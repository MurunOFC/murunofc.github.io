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Other\Apps\"/>
    </mc:Choice>
  </mc:AlternateContent>
  <xr:revisionPtr revIDLastSave="0" documentId="13_ncr:1_{706488C1-75AF-4845-AAE2-BEEF89E2DCE3}" xr6:coauthVersionLast="47" xr6:coauthVersionMax="47" xr10:uidLastSave="{00000000-0000-0000-0000-000000000000}"/>
  <workbookProtection workbookAlgorithmName="SHA-512" workbookHashValue="PTQqm7uM/EWyVVFJHIySVgTxouEp5uq3FP+88+ta+GMjeqiyjCtZFiX2JubI3O8IthK3nNCL1eX8lGGk2pezTQ==" workbookSaltValue="T2B6U4haTCnJYClW/OKGEA==" workbookSpinCount="100000" lockStructure="1"/>
  <bookViews>
    <workbookView xWindow="-120" yWindow="-120" windowWidth="29040" windowHeight="15990" xr2:uid="{125FD657-1419-4F0F-99F6-FB5684F0B840}"/>
  </bookViews>
  <sheets>
    <sheet name="START" sheetId="7" r:id="rId1"/>
    <sheet name="fin_meta" sheetId="9" state="veryHidden" r:id="rId2"/>
    <sheet name="fin_data" sheetId="8" state="veryHidden" r:id="rId3"/>
    <sheet name="macro_data" sheetId="2" state="veryHidden" r:id="rId4"/>
    <sheet name="macro_meta" sheetId="4" state="veryHidden" r:id="rId5"/>
    <sheet name="technicals" sheetId="6" state="veryHidden" r:id="rId6"/>
    <sheet name="Viewer" sheetId="5" state="veryHidden" r:id="rId7"/>
  </sheets>
  <functionGroups builtInGroupCount="19"/>
  <definedNames>
    <definedName name="avg">technicals!$B$26</definedName>
    <definedName name="cperiod">CONCATENATE("period_",LOWER(LEFT(technicals!$G$2,1)))</definedName>
    <definedName name="cum">technicals!$B$25</definedName>
    <definedName name="end_sub">OFFSET(technicals!$K$20,0,0,technicals!$K$18)</definedName>
    <definedName name="end_year">OFFSET(technicals!$H$3,0,0,technicals!$K$14)</definedName>
    <definedName name="ExternalData_1" localSheetId="3" hidden="1">macro_data!$A$1:$FX$266</definedName>
    <definedName name="ExternalData_1" localSheetId="4" hidden="1">macro_meta!$A$1:$F$181</definedName>
    <definedName name="ExternalData_2" localSheetId="2" hidden="1">fin_data!$A$1:$DH$266</definedName>
    <definedName name="ExternalData_3" localSheetId="1" hidden="1">fin_meta!$A$1:$F$113</definedName>
    <definedName name="L_0">technicals!$R$30</definedName>
    <definedName name="L_1">technicals!$R$31</definedName>
    <definedName name="L_2">technicals!$R$32</definedName>
    <definedName name="LN_0">technicals!$N$30</definedName>
    <definedName name="LN_1">technicals!$N$31</definedName>
    <definedName name="LN_2">technicals!$N$32</definedName>
    <definedName name="m">technicals!$B$56</definedName>
    <definedName name="net">technicals!$B$24</definedName>
    <definedName name="q">technicals!$B$55</definedName>
    <definedName name="start_sub">OFFSET(technicals!$J$20,0,0,technicals!$J$18)</definedName>
    <definedName name="start_year">OFFSET(technicals!$G$3,0,0,technicals!$K$13)</definedName>
    <definedName name="y">technicals!$B$54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3" i="6" l="1"/>
  <c r="Z11" i="6"/>
  <c r="T13" i="6"/>
  <c r="T14" i="6" s="1" a="1"/>
  <c r="T14" i="6" s="1"/>
  <c r="Y4" i="6" s="1"/>
  <c r="Z5" i="6"/>
  <c r="C3" i="7"/>
  <c r="Z4" i="6"/>
  <c r="Z25" i="6"/>
  <c r="Z27" i="6"/>
  <c r="Z29" i="6"/>
  <c r="Z31" i="6"/>
  <c r="Z24" i="6"/>
  <c r="Z26" i="6"/>
  <c r="T2" i="6" l="1"/>
  <c r="N32" i="6" a="1"/>
  <c r="N32" i="6" s="1"/>
  <c r="N31" i="6" a="1"/>
  <c r="N31" i="6" s="1"/>
  <c r="N30" i="6" a="1"/>
  <c r="N30" i="6" s="1"/>
  <c r="K32" i="6"/>
  <c r="J32" i="6"/>
  <c r="Q11" i="6"/>
  <c r="Q16" i="6" s="1"/>
  <c r="P11" i="6"/>
  <c r="P16" i="6" s="1"/>
  <c r="N11" i="6"/>
  <c r="M11" i="6"/>
  <c r="Q2" i="6"/>
  <c r="P2" i="6"/>
  <c r="O2" i="6"/>
  <c r="G2" i="6"/>
  <c r="K3" i="6" a="1"/>
  <c r="Z28" i="6"/>
  <c r="Z30" i="6"/>
  <c r="K2" i="6"/>
  <c r="O30" i="6" l="1"/>
  <c r="Q30" i="6" s="1"/>
  <c r="R30" i="6" s="1"/>
  <c r="G4" i="5" s="1"/>
  <c r="P30" i="6"/>
  <c r="O31" i="6"/>
  <c r="Q31" i="6" s="1"/>
  <c r="P31" i="6"/>
  <c r="P32" i="6"/>
  <c r="O32" i="6"/>
  <c r="Q32" i="6" s="1"/>
  <c r="R32" i="6" s="1"/>
  <c r="G6" i="5" s="1"/>
  <c r="K3" i="6"/>
  <c r="T3" i="6"/>
  <c r="F4" i="5"/>
  <c r="F5" i="5"/>
  <c r="M2" i="6"/>
  <c r="F6" i="5"/>
  <c r="R31" i="6" l="1"/>
  <c r="G5" i="5" s="1"/>
  <c r="K5" i="6"/>
  <c r="K8" i="6"/>
  <c r="K15" i="6" s="1"/>
  <c r="N5" i="6" s="1"/>
  <c r="T4" i="6" s="1"/>
  <c r="K6" i="6"/>
  <c r="K12" i="6" s="1"/>
  <c r="N7" i="6" s="1"/>
  <c r="K9" i="6"/>
  <c r="K16" i="6" s="1"/>
  <c r="N8" i="6" s="1"/>
  <c r="T5" i="6" s="1"/>
  <c r="T7" i="6" l="1"/>
  <c r="O7" i="6"/>
  <c r="P7" i="6" s="1"/>
  <c r="G4" i="6"/>
  <c r="K11" i="6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K13" i="6"/>
  <c r="G5" i="6" l="1"/>
  <c r="O8" i="6"/>
  <c r="Q7" i="6"/>
  <c r="P8" i="6"/>
  <c r="N4" i="6"/>
  <c r="T6" i="6" s="1"/>
  <c r="H4" i="6"/>
  <c r="H5" i="6" s="1"/>
  <c r="H6" i="6" s="1"/>
  <c r="H7" i="6" s="1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K20" i="6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14" i="6"/>
  <c r="J18" i="6"/>
  <c r="G6" i="6" l="1"/>
  <c r="G7" i="6" s="1"/>
  <c r="G8" i="6" s="1"/>
  <c r="G9" i="6" s="1"/>
  <c r="G10" i="6" s="1"/>
  <c r="G11" i="6" s="1"/>
  <c r="G12" i="6" s="1"/>
  <c r="G13" i="6" s="1"/>
  <c r="G14" i="6" s="1"/>
  <c r="G15" i="6" s="1"/>
  <c r="G16" i="6" s="1"/>
  <c r="G17" i="6" s="1"/>
  <c r="G18" i="6" s="1"/>
  <c r="G19" i="6" s="1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T9" i="6"/>
  <c r="V3" i="6" s="1"/>
  <c r="H10" i="5" s="1"/>
  <c r="O4" i="6"/>
  <c r="P4" i="6" s="1"/>
  <c r="K18" i="6"/>
  <c r="O5" i="6" l="1"/>
  <c r="Q4" i="6"/>
  <c r="P5" i="6"/>
  <c r="V4" i="6"/>
  <c r="V5" i="6"/>
  <c r="V6" i="6"/>
  <c r="V7" i="6"/>
  <c r="V8" i="6"/>
  <c r="M10" i="5" l="1"/>
  <c r="L10" i="5"/>
  <c r="K10" i="5"/>
  <c r="J10" i="5"/>
  <c r="I10" i="5"/>
  <c r="V9" i="6"/>
  <c r="N10" i="5" l="1"/>
  <c r="V10" i="6"/>
  <c r="O10" i="5" l="1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AD10" i="5" l="1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V27" i="6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V44" i="6" s="1"/>
  <c r="V45" i="6" s="1"/>
  <c r="V46" i="6" s="1"/>
  <c r="V47" i="6" s="1"/>
  <c r="V48" i="6" s="1"/>
  <c r="V49" i="6" s="1"/>
  <c r="V50" i="6" s="1"/>
  <c r="V51" i="6" s="1"/>
  <c r="V52" i="6" s="1"/>
  <c r="V53" i="6" s="1"/>
  <c r="V54" i="6" s="1"/>
  <c r="V55" i="6" s="1"/>
  <c r="V56" i="6" s="1"/>
  <c r="V57" i="6" s="1"/>
  <c r="V58" i="6" s="1"/>
  <c r="V59" i="6" s="1"/>
  <c r="V60" i="6" s="1"/>
  <c r="V61" i="6" s="1"/>
  <c r="V62" i="6" s="1"/>
  <c r="V63" i="6" s="1"/>
  <c r="V64" i="6" s="1"/>
  <c r="V65" i="6" s="1"/>
  <c r="V66" i="6" s="1"/>
  <c r="V67" i="6" s="1"/>
  <c r="V68" i="6" s="1"/>
  <c r="V69" i="6" s="1"/>
  <c r="V70" i="6" s="1"/>
  <c r="V71" i="6" s="1"/>
  <c r="V72" i="6" s="1"/>
  <c r="V73" i="6" s="1"/>
  <c r="V74" i="6" s="1"/>
  <c r="V75" i="6" s="1"/>
  <c r="V76" i="6" s="1"/>
  <c r="V77" i="6" s="1"/>
  <c r="V78" i="6" s="1"/>
  <c r="V79" i="6" s="1"/>
  <c r="V80" i="6" s="1"/>
  <c r="V81" i="6" s="1"/>
  <c r="V82" i="6" s="1"/>
  <c r="V83" i="6" s="1"/>
  <c r="V84" i="6" s="1"/>
  <c r="V85" i="6" s="1"/>
  <c r="V86" i="6" s="1"/>
  <c r="V87" i="6" s="1"/>
  <c r="V88" i="6" s="1"/>
  <c r="V89" i="6" s="1"/>
  <c r="V90" i="6" s="1"/>
  <c r="V91" i="6" s="1"/>
  <c r="V92" i="6" s="1"/>
  <c r="V93" i="6" s="1"/>
  <c r="V94" i="6" s="1"/>
  <c r="V95" i="6" s="1"/>
  <c r="V96" i="6" s="1"/>
  <c r="V97" i="6" s="1"/>
  <c r="V98" i="6" s="1"/>
  <c r="V99" i="6" s="1"/>
  <c r="V100" i="6" s="1"/>
  <c r="V101" i="6" s="1"/>
  <c r="V102" i="6" s="1"/>
  <c r="V103" i="6" s="1"/>
  <c r="V104" i="6" s="1"/>
  <c r="V105" i="6" s="1"/>
  <c r="V106" i="6" s="1"/>
  <c r="V107" i="6" s="1"/>
  <c r="V108" i="6" s="1"/>
  <c r="V109" i="6" s="1"/>
  <c r="V110" i="6" s="1"/>
  <c r="V111" i="6" s="1"/>
  <c r="V112" i="6" s="1"/>
  <c r="V113" i="6" s="1"/>
  <c r="V114" i="6" s="1"/>
  <c r="V115" i="6" s="1"/>
  <c r="V116" i="6" s="1"/>
  <c r="V117" i="6" s="1"/>
  <c r="V118" i="6" s="1"/>
  <c r="V119" i="6" s="1"/>
  <c r="V120" i="6" s="1"/>
  <c r="V121" i="6" s="1"/>
  <c r="V122" i="6" s="1"/>
  <c r="V123" i="6" s="1"/>
  <c r="V124" i="6" s="1"/>
  <c r="V125" i="6" s="1"/>
  <c r="V126" i="6" s="1"/>
  <c r="V127" i="6" s="1"/>
  <c r="V128" i="6" s="1"/>
  <c r="V129" i="6" s="1"/>
  <c r="V130" i="6" s="1"/>
  <c r="V131" i="6" s="1"/>
  <c r="V132" i="6" s="1"/>
  <c r="V133" i="6" s="1"/>
  <c r="V134" i="6" s="1"/>
  <c r="V135" i="6" s="1"/>
  <c r="V136" i="6" s="1"/>
  <c r="V137" i="6" s="1"/>
  <c r="V138" i="6" s="1"/>
  <c r="V139" i="6" s="1"/>
  <c r="V140" i="6" s="1"/>
  <c r="V141" i="6" s="1"/>
  <c r="V142" i="6" s="1"/>
  <c r="V143" i="6" s="1"/>
  <c r="V144" i="6" s="1"/>
  <c r="V145" i="6" s="1"/>
  <c r="V146" i="6" s="1"/>
  <c r="V147" i="6" s="1"/>
  <c r="V148" i="6" s="1"/>
  <c r="V149" i="6" s="1"/>
  <c r="V150" i="6" s="1"/>
  <c r="V151" i="6" s="1"/>
  <c r="V152" i="6" s="1"/>
  <c r="V153" i="6" s="1"/>
  <c r="V154" i="6" s="1"/>
  <c r="V155" i="6" s="1"/>
  <c r="V156" i="6" s="1"/>
  <c r="V157" i="6" s="1"/>
  <c r="V158" i="6" s="1"/>
  <c r="V159" i="6" s="1"/>
  <c r="V160" i="6" s="1"/>
  <c r="V161" i="6" s="1"/>
  <c r="V162" i="6" s="1"/>
  <c r="V163" i="6" s="1"/>
  <c r="V164" i="6" s="1"/>
  <c r="V165" i="6" s="1"/>
  <c r="V166" i="6" s="1"/>
  <c r="V167" i="6" s="1"/>
  <c r="V168" i="6" s="1"/>
  <c r="V169" i="6" s="1"/>
  <c r="V170" i="6" s="1"/>
  <c r="V171" i="6" s="1"/>
  <c r="V172" i="6" s="1"/>
  <c r="V173" i="6" s="1"/>
  <c r="V174" i="6" s="1"/>
  <c r="V175" i="6" s="1"/>
  <c r="V176" i="6" s="1"/>
  <c r="V177" i="6" s="1"/>
  <c r="V178" i="6" s="1"/>
  <c r="V179" i="6" s="1"/>
  <c r="V180" i="6" s="1"/>
  <c r="V181" i="6" s="1"/>
  <c r="V182" i="6" s="1"/>
  <c r="V183" i="6" s="1"/>
  <c r="V184" i="6" s="1"/>
  <c r="V185" i="6" s="1"/>
  <c r="V186" i="6" s="1"/>
  <c r="V187" i="6" s="1"/>
  <c r="V188" i="6" s="1"/>
  <c r="V189" i="6" s="1"/>
  <c r="V190" i="6" s="1"/>
  <c r="V191" i="6" s="1"/>
  <c r="V192" i="6" s="1"/>
  <c r="V193" i="6" s="1"/>
  <c r="V194" i="6" s="1"/>
  <c r="V195" i="6" s="1"/>
  <c r="V196" i="6" s="1"/>
  <c r="V197" i="6" s="1"/>
  <c r="V198" i="6" s="1"/>
  <c r="V199" i="6" s="1"/>
  <c r="V200" i="6" s="1"/>
  <c r="V201" i="6" s="1"/>
  <c r="V202" i="6" s="1"/>
  <c r="V203" i="6" s="1"/>
  <c r="V204" i="6" s="1"/>
  <c r="V205" i="6" s="1"/>
  <c r="V206" i="6" s="1"/>
  <c r="V207" i="6" s="1"/>
  <c r="V208" i="6" s="1"/>
  <c r="V209" i="6" s="1"/>
  <c r="V210" i="6" s="1"/>
  <c r="V211" i="6" s="1"/>
  <c r="V212" i="6" s="1"/>
  <c r="V213" i="6" s="1"/>
  <c r="V214" i="6" s="1"/>
  <c r="V215" i="6" s="1"/>
  <c r="V216" i="6" s="1"/>
  <c r="V217" i="6" s="1"/>
  <c r="V218" i="6" s="1"/>
  <c r="V219" i="6" s="1"/>
  <c r="V220" i="6" s="1"/>
  <c r="V221" i="6" s="1"/>
  <c r="V222" i="6" s="1"/>
  <c r="V223" i="6" s="1"/>
  <c r="V224" i="6" s="1"/>
  <c r="V225" i="6" s="1"/>
  <c r="V226" i="6" s="1"/>
  <c r="V227" i="6" s="1"/>
  <c r="V228" i="6" s="1"/>
  <c r="V229" i="6" s="1"/>
  <c r="V230" i="6" s="1"/>
  <c r="V231" i="6" s="1"/>
  <c r="V232" i="6" s="1"/>
  <c r="V233" i="6" s="1"/>
  <c r="V234" i="6" s="1"/>
  <c r="V235" i="6" s="1"/>
  <c r="V236" i="6" s="1"/>
  <c r="V237" i="6" s="1"/>
  <c r="V238" i="6" s="1"/>
  <c r="V239" i="6" s="1"/>
  <c r="V240" i="6" s="1"/>
  <c r="V241" i="6" s="1"/>
  <c r="V242" i="6" s="1"/>
  <c r="V243" i="6" s="1"/>
  <c r="V244" i="6" s="1"/>
  <c r="V245" i="6" s="1"/>
  <c r="V246" i="6" s="1"/>
  <c r="V247" i="6" s="1"/>
  <c r="V248" i="6" s="1"/>
  <c r="V249" i="6" s="1"/>
  <c r="V250" i="6" s="1"/>
  <c r="V251" i="6" s="1"/>
  <c r="V252" i="6" s="1"/>
  <c r="V253" i="6" s="1"/>
  <c r="V254" i="6" s="1"/>
  <c r="V255" i="6" s="1"/>
  <c r="V256" i="6" s="1"/>
  <c r="V257" i="6" s="1"/>
  <c r="V258" i="6" s="1"/>
  <c r="V259" i="6" s="1"/>
  <c r="V260" i="6" s="1"/>
  <c r="V261" i="6" s="1"/>
  <c r="V262" i="6" s="1"/>
  <c r="V263" i="6" s="1"/>
  <c r="V264" i="6" s="1"/>
  <c r="V265" i="6" s="1"/>
  <c r="V266" i="6" s="1"/>
  <c r="V267" i="6" s="1"/>
  <c r="V268" i="6" s="1"/>
  <c r="V269" i="6" s="1"/>
  <c r="V270" i="6" s="1"/>
  <c r="V271" i="6" s="1"/>
  <c r="V272" i="6" s="1"/>
  <c r="V273" i="6" s="1"/>
  <c r="V274" i="6" s="1"/>
  <c r="V275" i="6" s="1"/>
  <c r="V276" i="6" s="1"/>
  <c r="V277" i="6" s="1"/>
  <c r="V278" i="6" s="1"/>
  <c r="V279" i="6" s="1"/>
  <c r="V280" i="6" s="1"/>
  <c r="V281" i="6" s="1"/>
  <c r="V282" i="6" s="1"/>
  <c r="V283" i="6" s="1"/>
  <c r="V284" i="6" s="1"/>
  <c r="V285" i="6" s="1"/>
  <c r="V286" i="6" s="1"/>
  <c r="V287" i="6" s="1"/>
  <c r="V288" i="6" s="1"/>
  <c r="V289" i="6" s="1"/>
  <c r="V290" i="6" s="1"/>
  <c r="V291" i="6" s="1"/>
  <c r="V292" i="6" s="1"/>
  <c r="V293" i="6" s="1"/>
  <c r="V294" i="6" s="1"/>
  <c r="V295" i="6" s="1"/>
  <c r="V296" i="6" s="1"/>
  <c r="V297" i="6" s="1"/>
  <c r="V298" i="6" s="1"/>
  <c r="V299" i="6" s="1"/>
  <c r="V300" i="6" s="1"/>
  <c r="V301" i="6" s="1"/>
  <c r="V302" i="6" s="1"/>
  <c r="V303" i="6" s="1"/>
  <c r="V304" i="6" s="1"/>
  <c r="V305" i="6" s="1"/>
  <c r="V306" i="6" s="1"/>
  <c r="V307" i="6" s="1"/>
  <c r="V308" i="6" s="1"/>
  <c r="V309" i="6" s="1"/>
  <c r="V310" i="6" s="1"/>
  <c r="V311" i="6" s="1"/>
  <c r="V312" i="6" s="1"/>
  <c r="V313" i="6" s="1"/>
  <c r="V314" i="6" s="1"/>
  <c r="V315" i="6" s="1"/>
  <c r="V316" i="6" s="1"/>
  <c r="V317" i="6" s="1"/>
  <c r="V318" i="6" s="1"/>
  <c r="V319" i="6" s="1"/>
  <c r="V320" i="6" s="1"/>
  <c r="V321" i="6" s="1"/>
  <c r="V322" i="6" s="1"/>
  <c r="V323" i="6" s="1"/>
  <c r="V324" i="6" s="1"/>
  <c r="V325" i="6" s="1"/>
  <c r="V326" i="6" s="1"/>
  <c r="V327" i="6" s="1"/>
  <c r="V328" i="6" s="1"/>
  <c r="V329" i="6" s="1"/>
  <c r="V330" i="6" s="1"/>
  <c r="V331" i="6" s="1"/>
  <c r="V332" i="6" s="1"/>
  <c r="V333" i="6" s="1"/>
  <c r="V334" i="6" s="1"/>
  <c r="V335" i="6" s="1"/>
  <c r="V336" i="6" s="1"/>
  <c r="V337" i="6" s="1"/>
  <c r="V338" i="6" s="1"/>
  <c r="V339" i="6" s="1"/>
  <c r="V340" i="6" s="1"/>
  <c r="V341" i="6" s="1"/>
  <c r="V342" i="6" s="1"/>
  <c r="V343" i="6" s="1"/>
  <c r="V344" i="6" s="1"/>
  <c r="V345" i="6" s="1"/>
  <c r="V346" i="6" s="1"/>
  <c r="V347" i="6" s="1"/>
  <c r="V348" i="6" s="1"/>
  <c r="V349" i="6" s="1"/>
  <c r="V350" i="6" s="1"/>
  <c r="V351" i="6" s="1"/>
  <c r="V352" i="6" s="1"/>
  <c r="V353" i="6" s="1"/>
  <c r="V354" i="6" s="1"/>
  <c r="V355" i="6" s="1"/>
  <c r="V356" i="6" s="1"/>
  <c r="V357" i="6" s="1"/>
  <c r="V358" i="6" s="1"/>
  <c r="V359" i="6" s="1"/>
  <c r="V360" i="6" s="1"/>
  <c r="V361" i="6" s="1"/>
  <c r="V362" i="6" s="1"/>
  <c r="V363" i="6" s="1"/>
  <c r="V364" i="6" s="1"/>
  <c r="V365" i="6" s="1"/>
  <c r="V366" i="6" s="1"/>
  <c r="V367" i="6" s="1"/>
  <c r="V368" i="6" s="1"/>
  <c r="V369" i="6" s="1"/>
  <c r="V370" i="6" s="1"/>
  <c r="V371" i="6" s="1"/>
  <c r="V372" i="6" s="1"/>
  <c r="V373" i="6" s="1"/>
  <c r="V374" i="6" s="1"/>
  <c r="V375" i="6" s="1"/>
  <c r="V376" i="6" s="1"/>
  <c r="V377" i="6" s="1"/>
  <c r="V378" i="6" s="1"/>
  <c r="V379" i="6" s="1"/>
  <c r="V380" i="6" s="1"/>
  <c r="V381" i="6" s="1"/>
  <c r="V382" i="6" s="1"/>
  <c r="V383" i="6" s="1"/>
  <c r="V384" i="6" s="1"/>
  <c r="V385" i="6" s="1"/>
  <c r="V386" i="6" s="1"/>
  <c r="V387" i="6" s="1"/>
  <c r="V388" i="6" s="1"/>
  <c r="V389" i="6" s="1"/>
  <c r="V390" i="6" s="1"/>
  <c r="V391" i="6" s="1"/>
  <c r="V392" i="6" s="1"/>
  <c r="V393" i="6" s="1"/>
  <c r="V394" i="6" s="1"/>
  <c r="V395" i="6" s="1"/>
  <c r="V396" i="6" s="1"/>
  <c r="V397" i="6" s="1"/>
  <c r="V398" i="6" s="1"/>
  <c r="V399" i="6" s="1"/>
  <c r="V400" i="6" s="1"/>
  <c r="V401" i="6" s="1"/>
  <c r="V402" i="6" s="1"/>
  <c r="V403" i="6" s="1"/>
  <c r="V404" i="6" s="1"/>
  <c r="V405" i="6" s="1"/>
  <c r="V406" i="6" s="1"/>
  <c r="V407" i="6" s="1"/>
  <c r="V408" i="6" s="1"/>
  <c r="V409" i="6" s="1"/>
  <c r="V410" i="6" s="1"/>
  <c r="V411" i="6" s="1"/>
  <c r="V412" i="6" s="1"/>
  <c r="V413" i="6" s="1"/>
  <c r="V414" i="6" s="1"/>
  <c r="V415" i="6" s="1"/>
  <c r="V416" i="6" s="1"/>
  <c r="V417" i="6" s="1"/>
  <c r="V418" i="6" s="1"/>
  <c r="V419" i="6" s="1"/>
  <c r="V420" i="6" s="1"/>
  <c r="V421" i="6" s="1"/>
  <c r="V422" i="6" s="1"/>
  <c r="V423" i="6" s="1"/>
  <c r="V424" i="6" s="1"/>
  <c r="V425" i="6" s="1"/>
  <c r="V426" i="6" s="1"/>
  <c r="V427" i="6" s="1"/>
  <c r="V428" i="6" s="1"/>
  <c r="V429" i="6" s="1"/>
  <c r="V430" i="6" s="1"/>
  <c r="V431" i="6" s="1"/>
  <c r="V432" i="6" s="1"/>
  <c r="V433" i="6" s="1"/>
  <c r="V434" i="6" s="1"/>
  <c r="V435" i="6" s="1"/>
  <c r="V436" i="6" s="1"/>
  <c r="V437" i="6" s="1"/>
  <c r="V438" i="6" s="1"/>
  <c r="V439" i="6" s="1"/>
  <c r="V440" i="6" s="1"/>
  <c r="V441" i="6" s="1"/>
  <c r="V442" i="6" s="1"/>
  <c r="V443" i="6" s="1"/>
  <c r="V444" i="6" s="1"/>
  <c r="V445" i="6" s="1"/>
  <c r="V446" i="6" s="1"/>
  <c r="V447" i="6" s="1"/>
  <c r="V448" i="6" s="1"/>
  <c r="V449" i="6" s="1"/>
  <c r="V450" i="6" s="1"/>
  <c r="V451" i="6" s="1"/>
  <c r="V452" i="6" s="1"/>
  <c r="V453" i="6" s="1"/>
  <c r="V454" i="6" s="1"/>
  <c r="V455" i="6" s="1"/>
  <c r="V456" i="6" s="1"/>
  <c r="V457" i="6" s="1"/>
  <c r="V458" i="6" s="1"/>
  <c r="V459" i="6" s="1"/>
  <c r="V460" i="6" s="1"/>
  <c r="V461" i="6" s="1"/>
  <c r="V462" i="6" s="1"/>
  <c r="V463" i="6" s="1"/>
  <c r="V464" i="6" s="1"/>
  <c r="V465" i="6" s="1"/>
  <c r="V466" i="6" s="1"/>
  <c r="V467" i="6" s="1"/>
  <c r="V468" i="6" s="1"/>
  <c r="V469" i="6" s="1"/>
  <c r="V470" i="6" s="1"/>
  <c r="V471" i="6" s="1"/>
  <c r="V472" i="6" s="1"/>
  <c r="V473" i="6" s="1"/>
  <c r="V474" i="6" s="1"/>
  <c r="V475" i="6" s="1"/>
  <c r="V476" i="6" s="1"/>
  <c r="V477" i="6" s="1"/>
  <c r="V478" i="6" s="1"/>
  <c r="V479" i="6" s="1"/>
  <c r="V480" i="6" s="1"/>
  <c r="V481" i="6" s="1"/>
  <c r="V482" i="6" s="1"/>
  <c r="V483" i="6" s="1"/>
  <c r="V484" i="6" s="1"/>
  <c r="V485" i="6" s="1"/>
  <c r="V486" i="6" s="1"/>
  <c r="V487" i="6" s="1"/>
  <c r="V488" i="6" s="1"/>
  <c r="V489" i="6" s="1"/>
  <c r="V490" i="6" s="1"/>
  <c r="V491" i="6" s="1"/>
  <c r="V492" i="6" s="1"/>
  <c r="V493" i="6" s="1"/>
  <c r="V494" i="6" s="1"/>
  <c r="V495" i="6" s="1"/>
  <c r="V496" i="6" s="1"/>
  <c r="V497" i="6" s="1"/>
  <c r="V498" i="6" s="1"/>
  <c r="V499" i="6" s="1"/>
  <c r="V500" i="6" s="1"/>
  <c r="V501" i="6" s="1"/>
  <c r="V502" i="6" s="1"/>
  <c r="V1" i="6" s="1"/>
  <c r="T11" i="6" s="1"/>
  <c r="Y5" i="6" a="1"/>
  <c r="Y5" i="6" l="1"/>
  <c r="Z1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BED695-1690-4525-8F37-98D83DD544E3}" keepAlive="1" name="Query - fin_data" description="Connection to the 'fin_data' query in the workbook." type="5" refreshedVersion="7" background="1" saveData="1">
    <dbPr connection="Provider=Microsoft.Mashup.OleDb.1;Data Source=$Workbook$;Location=fin_data;Extended Properties=&quot;&quot;" command="SELECT * FROM [fin_data]"/>
  </connection>
  <connection id="2" xr16:uid="{29A5C5ED-DB65-459D-BC60-A20E74E8580B}" keepAlive="1" name="Query - fin_meta" description="Connection to the 'fin_meta' query in the workbook." type="5" refreshedVersion="7" background="1" saveData="1">
    <dbPr connection="Provider=Microsoft.Mashup.OleDb.1;Data Source=$Workbook$;Location=fin_meta;Extended Properties=&quot;&quot;" command="SELECT * FROM [fin_meta]"/>
  </connection>
  <connection id="3" xr16:uid="{9211D380-5A10-4777-ACA6-6E31822F99F2}" keepAlive="1" name="Query - macro_data" description="Connection to the 'macro_data' query in the workbook." type="5" refreshedVersion="7" background="1" saveData="1">
    <dbPr connection="Provider=Microsoft.Mashup.OleDb.1;Data Source=$Workbook$;Location=macro_data;Extended Properties=&quot;&quot;" command="SELECT * FROM [macro_data]"/>
  </connection>
  <connection id="4" xr16:uid="{8A46C5B0-34C0-4C4C-8FBF-4DE05C395192}" keepAlive="1" name="Query - macro_meta" description="Connection to the 'macro_meta' query in the workbook." type="5" refreshedVersion="7" background="1" saveData="1">
    <dbPr connection="Provider=Microsoft.Mashup.OleDb.1;Data Source=$Workbook$;Location=macro_meta;Extended Properties=&quot;&quot;" command="SELECT * FROM [macro_meta]"/>
  </connection>
</connections>
</file>

<file path=xl/sharedStrings.xml><?xml version="1.0" encoding="utf-8"?>
<sst xmlns="http://schemas.openxmlformats.org/spreadsheetml/2006/main" count="3950" uniqueCount="1125">
  <si>
    <t>VARIABLE</t>
  </si>
  <si>
    <t>SOURCE</t>
  </si>
  <si>
    <t>FREQUENCY</t>
  </si>
  <si>
    <t>DESCRIPTION</t>
  </si>
  <si>
    <t>UNIT</t>
  </si>
  <si>
    <t>TYPE</t>
  </si>
  <si>
    <t>period_y</t>
  </si>
  <si>
    <t>period_q</t>
  </si>
  <si>
    <t>period_m</t>
  </si>
  <si>
    <t>ngdp_total_p</t>
  </si>
  <si>
    <t>ngdp_agri_p</t>
  </si>
  <si>
    <t>ngdp_mining_p</t>
  </si>
  <si>
    <t>ngdp_manu_p</t>
  </si>
  <si>
    <t>ngdp_infra_p</t>
  </si>
  <si>
    <t>ngdp_const_p</t>
  </si>
  <si>
    <t>ngdp_trade_p</t>
  </si>
  <si>
    <t>ngdp_trans_p</t>
  </si>
  <si>
    <t>ngdp_comm_p</t>
  </si>
  <si>
    <t>ngdp_serv_p</t>
  </si>
  <si>
    <t>ngdp_tax_p</t>
  </si>
  <si>
    <t>rgdp_total_p</t>
  </si>
  <si>
    <t>rgdp_agri_p</t>
  </si>
  <si>
    <t>rgdp_mining_p</t>
  </si>
  <si>
    <t>rgdp_manu_p</t>
  </si>
  <si>
    <t>rgdp_infra_p</t>
  </si>
  <si>
    <t>rgdp_const_p</t>
  </si>
  <si>
    <t>rgdp_trade_p</t>
  </si>
  <si>
    <t>rgdp_trans_p</t>
  </si>
  <si>
    <t>rgdp_comm_p</t>
  </si>
  <si>
    <t>rgdp_serv_p</t>
  </si>
  <si>
    <t>rgdp_tax_p</t>
  </si>
  <si>
    <t>ngdp_total_e</t>
  </si>
  <si>
    <t>ngdp_consumpt_e</t>
  </si>
  <si>
    <t>ngdp_govcons_e</t>
  </si>
  <si>
    <t>ngdp_invstfixed_e</t>
  </si>
  <si>
    <t>ngdp_invstcurrent_e</t>
  </si>
  <si>
    <t>ngdp_exp_e</t>
  </si>
  <si>
    <t>ngdp_imp_e</t>
  </si>
  <si>
    <t>rgdp_total_e</t>
  </si>
  <si>
    <t>rgdp_consumpt_e</t>
  </si>
  <si>
    <t>rgdp_govcons_e</t>
  </si>
  <si>
    <t>rgdp_invstfixed_e</t>
  </si>
  <si>
    <t>rgdp_invstcurrent_e</t>
  </si>
  <si>
    <t>rgdp_exp_e</t>
  </si>
  <si>
    <t>rgdp_imp_e</t>
  </si>
  <si>
    <t>emp_total</t>
  </si>
  <si>
    <t>emp_male</t>
  </si>
  <si>
    <t>emp_female</t>
  </si>
  <si>
    <t>emp_un</t>
  </si>
  <si>
    <t>emp_un_male</t>
  </si>
  <si>
    <t>emp_un_female</t>
  </si>
  <si>
    <t>emp_inactive</t>
  </si>
  <si>
    <t>emp_inactive_male</t>
  </si>
  <si>
    <t>emp_inactive_female</t>
  </si>
  <si>
    <t>wage_total</t>
  </si>
  <si>
    <t>wage_agri</t>
  </si>
  <si>
    <t>wage_mining</t>
  </si>
  <si>
    <t>wage_manu</t>
  </si>
  <si>
    <t>wage_infra_elec</t>
  </si>
  <si>
    <t>wage_infra_water</t>
  </si>
  <si>
    <t>wage_const</t>
  </si>
  <si>
    <t>wage_trade</t>
  </si>
  <si>
    <t>wage_trans</t>
  </si>
  <si>
    <t>wage_food</t>
  </si>
  <si>
    <t>wage_comm</t>
  </si>
  <si>
    <t>wage_fin</t>
  </si>
  <si>
    <t>wage_estate</t>
  </si>
  <si>
    <t>wage_edu</t>
  </si>
  <si>
    <t>wage_health</t>
  </si>
  <si>
    <t>wage_entertain</t>
  </si>
  <si>
    <t>wage_othserv</t>
  </si>
  <si>
    <t>budget_income_opin</t>
  </si>
  <si>
    <t>budget_income_tax</t>
  </si>
  <si>
    <t>budget_income_tax_inc</t>
  </si>
  <si>
    <t>budget_income_tax_inc_corp</t>
  </si>
  <si>
    <t>budget_income_tax_inc_indiv</t>
  </si>
  <si>
    <t>budget_income_tax_socinsur</t>
  </si>
  <si>
    <t>budget_income_tax_vat</t>
  </si>
  <si>
    <t>budget_income_tax_special</t>
  </si>
  <si>
    <t>budget_income_nontax</t>
  </si>
  <si>
    <t>budget_exp_opex</t>
  </si>
  <si>
    <t>budget_exp_lending</t>
  </si>
  <si>
    <t>budget_exp_goods</t>
  </si>
  <si>
    <t>budget_exp_salary</t>
  </si>
  <si>
    <t>budget_exp_interest</t>
  </si>
  <si>
    <t>budget_exp_subsidy</t>
  </si>
  <si>
    <t>budget_exp_govtran</t>
  </si>
  <si>
    <t>budget_exp_othcur</t>
  </si>
  <si>
    <t>budget_exp_capex</t>
  </si>
  <si>
    <t>ms_m1</t>
  </si>
  <si>
    <t>ms_m2</t>
  </si>
  <si>
    <t>rate_saving_mnt</t>
  </si>
  <si>
    <t>rate_saving_fc</t>
  </si>
  <si>
    <t>rate_loan_mnt</t>
  </si>
  <si>
    <t>rate_loan_fc</t>
  </si>
  <si>
    <t>rate_policy</t>
  </si>
  <si>
    <t>cpi_total</t>
  </si>
  <si>
    <t>cpi_foodnonal</t>
  </si>
  <si>
    <t>cpi_beverage</t>
  </si>
  <si>
    <t>cpi_cloth</t>
  </si>
  <si>
    <t>cpi_comdity</t>
  </si>
  <si>
    <t>cpi_furnish</t>
  </si>
  <si>
    <t>cpi_health</t>
  </si>
  <si>
    <t>cpi_trans</t>
  </si>
  <si>
    <t>cpi_comm</t>
  </si>
  <si>
    <t>cpi_culture</t>
  </si>
  <si>
    <t>cpi_edu</t>
  </si>
  <si>
    <t>cpi_res</t>
  </si>
  <si>
    <t>cpi_oth</t>
  </si>
  <si>
    <t>tb_export</t>
  </si>
  <si>
    <t>tb_export_mining</t>
  </si>
  <si>
    <t>tb_export_mining_gold</t>
  </si>
  <si>
    <t>tb_export_mining_copp</t>
  </si>
  <si>
    <t>tb_export_mining_iron</t>
  </si>
  <si>
    <t>tb_export_mining_zinc</t>
  </si>
  <si>
    <t>tb_export_mining_coal</t>
  </si>
  <si>
    <t>tb_export_mining_oil</t>
  </si>
  <si>
    <t>tb_export_livestock</t>
  </si>
  <si>
    <t>tb_export_livestock_meat</t>
  </si>
  <si>
    <t>tb_export_livestock_leather</t>
  </si>
  <si>
    <t>tb_export_livestock_cashmere</t>
  </si>
  <si>
    <t>tb_export_farm</t>
  </si>
  <si>
    <t>tb_export_manu</t>
  </si>
  <si>
    <t>tb_export_oth</t>
  </si>
  <si>
    <t>tb_import</t>
  </si>
  <si>
    <t>tb_import_consumer</t>
  </si>
  <si>
    <t>tb_import_consumer_short</t>
  </si>
  <si>
    <t>tb_import_consumer_long</t>
  </si>
  <si>
    <t>tb_import_manu</t>
  </si>
  <si>
    <t>tb_import_manu_elect</t>
  </si>
  <si>
    <t>tb_import_invest</t>
  </si>
  <si>
    <t>tb_import_invest_vehic</t>
  </si>
  <si>
    <t>tb_import_invest_const</t>
  </si>
  <si>
    <t>tb_import_oil</t>
  </si>
  <si>
    <t>tb_import_oil_dies</t>
  </si>
  <si>
    <t>tb_import_oil_9295</t>
  </si>
  <si>
    <t>bop_current_account</t>
  </si>
  <si>
    <t>bop_current_goods</t>
  </si>
  <si>
    <t>bop_current_service</t>
  </si>
  <si>
    <t>bop_current_priminc</t>
  </si>
  <si>
    <t>bop_current_secondinc</t>
  </si>
  <si>
    <t>bop_capital_account</t>
  </si>
  <si>
    <t>bop_financial_account</t>
  </si>
  <si>
    <t>bop_financial_direct</t>
  </si>
  <si>
    <t>bop_financial_portf</t>
  </si>
  <si>
    <t>bop_financial_deriv</t>
  </si>
  <si>
    <t>bop_financial_oth</t>
  </si>
  <si>
    <t>bop_adjustment</t>
  </si>
  <si>
    <t>bop</t>
  </si>
  <si>
    <t>fxreserve</t>
  </si>
  <si>
    <t>fxreserve_security</t>
  </si>
  <si>
    <t>fxreserve_deposit</t>
  </si>
  <si>
    <t>fxreserve_imf_res</t>
  </si>
  <si>
    <t>fxreserve_sdr</t>
  </si>
  <si>
    <t>fxreserve_gold</t>
  </si>
  <si>
    <t>fxreserve_oth</t>
  </si>
  <si>
    <t>extdebt</t>
  </si>
  <si>
    <t>extdebt_gov</t>
  </si>
  <si>
    <t>extdebt_centralbank</t>
  </si>
  <si>
    <t>extdebt_deposit</t>
  </si>
  <si>
    <t>extdebt_oth</t>
  </si>
  <si>
    <t>extdebt_inv</t>
  </si>
  <si>
    <t>imf_price_coal</t>
  </si>
  <si>
    <t>imf_price_oil</t>
  </si>
  <si>
    <t>imf_price_copper</t>
  </si>
  <si>
    <t>imf_price_iron</t>
  </si>
  <si>
    <t>imf_price_gold</t>
  </si>
  <si>
    <t>depo_total</t>
  </si>
  <si>
    <t>depo_oth</t>
  </si>
  <si>
    <t>bank_asset</t>
  </si>
  <si>
    <t>bank_equity</t>
  </si>
  <si>
    <t>2000Q1</t>
  </si>
  <si>
    <t>2000M01</t>
  </si>
  <si>
    <t>2000M02</t>
  </si>
  <si>
    <t>2000M03</t>
  </si>
  <si>
    <t>2000Q2</t>
  </si>
  <si>
    <t>2000M04</t>
  </si>
  <si>
    <t>2000M05</t>
  </si>
  <si>
    <t>2000M06</t>
  </si>
  <si>
    <t>2000Q3</t>
  </si>
  <si>
    <t>2000M07</t>
  </si>
  <si>
    <t>2000M08</t>
  </si>
  <si>
    <t>2000M09</t>
  </si>
  <si>
    <t>2000Q4</t>
  </si>
  <si>
    <t>2000M10</t>
  </si>
  <si>
    <t>2000M11</t>
  </si>
  <si>
    <t>2000M12</t>
  </si>
  <si>
    <t>2001Q1</t>
  </si>
  <si>
    <t>2001M01</t>
  </si>
  <si>
    <t>2001M02</t>
  </si>
  <si>
    <t>2001M03</t>
  </si>
  <si>
    <t>2001Q2</t>
  </si>
  <si>
    <t>2001M04</t>
  </si>
  <si>
    <t>2001M05</t>
  </si>
  <si>
    <t>2001M06</t>
  </si>
  <si>
    <t>2001Q3</t>
  </si>
  <si>
    <t>2001M07</t>
  </si>
  <si>
    <t>2001M08</t>
  </si>
  <si>
    <t>2001M09</t>
  </si>
  <si>
    <t>2001Q4</t>
  </si>
  <si>
    <t>2001M10</t>
  </si>
  <si>
    <t>2001M11</t>
  </si>
  <si>
    <t>2001M12</t>
  </si>
  <si>
    <t>2002Q1</t>
  </si>
  <si>
    <t>2002M01</t>
  </si>
  <si>
    <t>2002M02</t>
  </si>
  <si>
    <t>2002M03</t>
  </si>
  <si>
    <t>2002Q2</t>
  </si>
  <si>
    <t>2002M04</t>
  </si>
  <si>
    <t>2002M05</t>
  </si>
  <si>
    <t>2002M06</t>
  </si>
  <si>
    <t>2002Q3</t>
  </si>
  <si>
    <t>2002M07</t>
  </si>
  <si>
    <t>2002M08</t>
  </si>
  <si>
    <t>2002M09</t>
  </si>
  <si>
    <t>2002Q4</t>
  </si>
  <si>
    <t>2002M10</t>
  </si>
  <si>
    <t>2002M11</t>
  </si>
  <si>
    <t>2002M12</t>
  </si>
  <si>
    <t>2003Q1</t>
  </si>
  <si>
    <t>2003M01</t>
  </si>
  <si>
    <t>2003M02</t>
  </si>
  <si>
    <t>2003M03</t>
  </si>
  <si>
    <t>2003Q2</t>
  </si>
  <si>
    <t>2003M04</t>
  </si>
  <si>
    <t>2003M05</t>
  </si>
  <si>
    <t>2003M06</t>
  </si>
  <si>
    <t>2003Q3</t>
  </si>
  <si>
    <t>2003M07</t>
  </si>
  <si>
    <t>2003M08</t>
  </si>
  <si>
    <t>2003M09</t>
  </si>
  <si>
    <t>2003Q4</t>
  </si>
  <si>
    <t>2003M10</t>
  </si>
  <si>
    <t>2003M11</t>
  </si>
  <si>
    <t>2003M12</t>
  </si>
  <si>
    <t>2004Q1</t>
  </si>
  <si>
    <t>2004M01</t>
  </si>
  <si>
    <t>2004M02</t>
  </si>
  <si>
    <t>2004M03</t>
  </si>
  <si>
    <t>2004Q2</t>
  </si>
  <si>
    <t>2004M04</t>
  </si>
  <si>
    <t>2004M05</t>
  </si>
  <si>
    <t>2004M06</t>
  </si>
  <si>
    <t>2004Q3</t>
  </si>
  <si>
    <t>2004M07</t>
  </si>
  <si>
    <t>2004M08</t>
  </si>
  <si>
    <t>2004M09</t>
  </si>
  <si>
    <t>2004Q4</t>
  </si>
  <si>
    <t>2004M10</t>
  </si>
  <si>
    <t>2004M11</t>
  </si>
  <si>
    <t>2004M12</t>
  </si>
  <si>
    <t>2005Q1</t>
  </si>
  <si>
    <t>2005M01</t>
  </si>
  <si>
    <t>2005M02</t>
  </si>
  <si>
    <t>2005M03</t>
  </si>
  <si>
    <t>2005Q2</t>
  </si>
  <si>
    <t>2005M04</t>
  </si>
  <si>
    <t>2005M05</t>
  </si>
  <si>
    <t>2005M06</t>
  </si>
  <si>
    <t>2005Q3</t>
  </si>
  <si>
    <t>2005M07</t>
  </si>
  <si>
    <t>2005M08</t>
  </si>
  <si>
    <t>2005M09</t>
  </si>
  <si>
    <t>2005Q4</t>
  </si>
  <si>
    <t>2005M10</t>
  </si>
  <si>
    <t>2005M11</t>
  </si>
  <si>
    <t>2005M12</t>
  </si>
  <si>
    <t>2006Q1</t>
  </si>
  <si>
    <t>2006M01</t>
  </si>
  <si>
    <t>2006M02</t>
  </si>
  <si>
    <t>2006M03</t>
  </si>
  <si>
    <t>2006Q2</t>
  </si>
  <si>
    <t>2006M04</t>
  </si>
  <si>
    <t>2006M05</t>
  </si>
  <si>
    <t>2006M06</t>
  </si>
  <si>
    <t>2006Q3</t>
  </si>
  <si>
    <t>2006M07</t>
  </si>
  <si>
    <t>2006M08</t>
  </si>
  <si>
    <t>2006M09</t>
  </si>
  <si>
    <t>2006Q4</t>
  </si>
  <si>
    <t>2006M10</t>
  </si>
  <si>
    <t>2006M11</t>
  </si>
  <si>
    <t>2006M12</t>
  </si>
  <si>
    <t>2007Q1</t>
  </si>
  <si>
    <t>2007M01</t>
  </si>
  <si>
    <t>2007M02</t>
  </si>
  <si>
    <t>2007M03</t>
  </si>
  <si>
    <t>2007Q2</t>
  </si>
  <si>
    <t>2007M04</t>
  </si>
  <si>
    <t>2007M05</t>
  </si>
  <si>
    <t>2007M06</t>
  </si>
  <si>
    <t>2007Q3</t>
  </si>
  <si>
    <t>2007M07</t>
  </si>
  <si>
    <t>2007M08</t>
  </si>
  <si>
    <t>2007M09</t>
  </si>
  <si>
    <t>2007Q4</t>
  </si>
  <si>
    <t>2007M10</t>
  </si>
  <si>
    <t>2007M11</t>
  </si>
  <si>
    <t>2007M12</t>
  </si>
  <si>
    <t>2008Q1</t>
  </si>
  <si>
    <t>2008M01</t>
  </si>
  <si>
    <t>2008M02</t>
  </si>
  <si>
    <t>2008M03</t>
  </si>
  <si>
    <t>2008Q2</t>
  </si>
  <si>
    <t>2008M04</t>
  </si>
  <si>
    <t>2008M05</t>
  </si>
  <si>
    <t>2008M06</t>
  </si>
  <si>
    <t>2008Q3</t>
  </si>
  <si>
    <t>2008M07</t>
  </si>
  <si>
    <t>2008M08</t>
  </si>
  <si>
    <t>2008M09</t>
  </si>
  <si>
    <t>2008Q4</t>
  </si>
  <si>
    <t>2008M10</t>
  </si>
  <si>
    <t>2008M11</t>
  </si>
  <si>
    <t>2008M12</t>
  </si>
  <si>
    <t>2009Q1</t>
  </si>
  <si>
    <t>2009M01</t>
  </si>
  <si>
    <t>2009M02</t>
  </si>
  <si>
    <t>2009M03</t>
  </si>
  <si>
    <t>2009Q2</t>
  </si>
  <si>
    <t>2009M04</t>
  </si>
  <si>
    <t>2009M05</t>
  </si>
  <si>
    <t>2009M06</t>
  </si>
  <si>
    <t>2009Q3</t>
  </si>
  <si>
    <t>2009M07</t>
  </si>
  <si>
    <t>2009M08</t>
  </si>
  <si>
    <t>2009M09</t>
  </si>
  <si>
    <t>2009Q4</t>
  </si>
  <si>
    <t>2009M10</t>
  </si>
  <si>
    <t>2009M11</t>
  </si>
  <si>
    <t>2009M12</t>
  </si>
  <si>
    <t>2010Q1</t>
  </si>
  <si>
    <t>2010M01</t>
  </si>
  <si>
    <t>2010M02</t>
  </si>
  <si>
    <t>2010M03</t>
  </si>
  <si>
    <t>2010Q2</t>
  </si>
  <si>
    <t>2010M04</t>
  </si>
  <si>
    <t>2010M05</t>
  </si>
  <si>
    <t>2010M06</t>
  </si>
  <si>
    <t>2010Q3</t>
  </si>
  <si>
    <t>2010M07</t>
  </si>
  <si>
    <t>2010M08</t>
  </si>
  <si>
    <t>2010M09</t>
  </si>
  <si>
    <t>2010Q4</t>
  </si>
  <si>
    <t>2010M10</t>
  </si>
  <si>
    <t>2010M11</t>
  </si>
  <si>
    <t>2010M12</t>
  </si>
  <si>
    <t>2011Q1</t>
  </si>
  <si>
    <t>2011M01</t>
  </si>
  <si>
    <t>2011M02</t>
  </si>
  <si>
    <t>2011M03</t>
  </si>
  <si>
    <t>2011Q2</t>
  </si>
  <si>
    <t>2011M04</t>
  </si>
  <si>
    <t>2011M05</t>
  </si>
  <si>
    <t>2011M06</t>
  </si>
  <si>
    <t>2011Q3</t>
  </si>
  <si>
    <t>2011M07</t>
  </si>
  <si>
    <t>2011M08</t>
  </si>
  <si>
    <t>2011M09</t>
  </si>
  <si>
    <t>2011Q4</t>
  </si>
  <si>
    <t>2011M10</t>
  </si>
  <si>
    <t>2011M11</t>
  </si>
  <si>
    <t>2011M12</t>
  </si>
  <si>
    <t>2012Q1</t>
  </si>
  <si>
    <t>2012M01</t>
  </si>
  <si>
    <t>2012M02</t>
  </si>
  <si>
    <t>2012M03</t>
  </si>
  <si>
    <t>2012Q2</t>
  </si>
  <si>
    <t>2012M04</t>
  </si>
  <si>
    <t>2012M05</t>
  </si>
  <si>
    <t>2012M06</t>
  </si>
  <si>
    <t>2012Q3</t>
  </si>
  <si>
    <t>2012M07</t>
  </si>
  <si>
    <t>2012M08</t>
  </si>
  <si>
    <t>2012M09</t>
  </si>
  <si>
    <t>2012Q4</t>
  </si>
  <si>
    <t>2012M10</t>
  </si>
  <si>
    <t>2012M11</t>
  </si>
  <si>
    <t>2012M12</t>
  </si>
  <si>
    <t>2013Q1</t>
  </si>
  <si>
    <t>2013M01</t>
  </si>
  <si>
    <t>2013M02</t>
  </si>
  <si>
    <t>2013M03</t>
  </si>
  <si>
    <t>2013Q2</t>
  </si>
  <si>
    <t>2013M04</t>
  </si>
  <si>
    <t>2013M05</t>
  </si>
  <si>
    <t>2013M06</t>
  </si>
  <si>
    <t>2013Q3</t>
  </si>
  <si>
    <t>2013M07</t>
  </si>
  <si>
    <t>2013M08</t>
  </si>
  <si>
    <t>2013M09</t>
  </si>
  <si>
    <t>2013Q4</t>
  </si>
  <si>
    <t>2013M10</t>
  </si>
  <si>
    <t>2013M11</t>
  </si>
  <si>
    <t>2013M12</t>
  </si>
  <si>
    <t>2014Q1</t>
  </si>
  <si>
    <t>2014M01</t>
  </si>
  <si>
    <t>2014M02</t>
  </si>
  <si>
    <t>2014M03</t>
  </si>
  <si>
    <t>2014Q2</t>
  </si>
  <si>
    <t>2014M04</t>
  </si>
  <si>
    <t>2014M05</t>
  </si>
  <si>
    <t>2014M06</t>
  </si>
  <si>
    <t>2014Q3</t>
  </si>
  <si>
    <t>2014M07</t>
  </si>
  <si>
    <t>2014M08</t>
  </si>
  <si>
    <t>2014M09</t>
  </si>
  <si>
    <t>2014Q4</t>
  </si>
  <si>
    <t>2014M10</t>
  </si>
  <si>
    <t>2014M11</t>
  </si>
  <si>
    <t>2014M12</t>
  </si>
  <si>
    <t>2015Q1</t>
  </si>
  <si>
    <t>2015M01</t>
  </si>
  <si>
    <t>2015M02</t>
  </si>
  <si>
    <t>2015M03</t>
  </si>
  <si>
    <t>2015Q2</t>
  </si>
  <si>
    <t>2015M04</t>
  </si>
  <si>
    <t>2015M05</t>
  </si>
  <si>
    <t>2015M06</t>
  </si>
  <si>
    <t>2015Q3</t>
  </si>
  <si>
    <t>2015M07</t>
  </si>
  <si>
    <t>2015M08</t>
  </si>
  <si>
    <t>2015M09</t>
  </si>
  <si>
    <t>2015Q4</t>
  </si>
  <si>
    <t>2015M10</t>
  </si>
  <si>
    <t>2015M11</t>
  </si>
  <si>
    <t>2015M12</t>
  </si>
  <si>
    <t>2016Q1</t>
  </si>
  <si>
    <t>2016M01</t>
  </si>
  <si>
    <t>2016M02</t>
  </si>
  <si>
    <t>2016M03</t>
  </si>
  <si>
    <t>2016Q2</t>
  </si>
  <si>
    <t>2016M04</t>
  </si>
  <si>
    <t>2016M05</t>
  </si>
  <si>
    <t>2016M06</t>
  </si>
  <si>
    <t>2016Q3</t>
  </si>
  <si>
    <t>2016M07</t>
  </si>
  <si>
    <t>2016M08</t>
  </si>
  <si>
    <t>2016M09</t>
  </si>
  <si>
    <t>2016Q4</t>
  </si>
  <si>
    <t>2016M10</t>
  </si>
  <si>
    <t>2016M11</t>
  </si>
  <si>
    <t>2016M12</t>
  </si>
  <si>
    <t>2017Q1</t>
  </si>
  <si>
    <t>2017M01</t>
  </si>
  <si>
    <t>2017M02</t>
  </si>
  <si>
    <t>2017M03</t>
  </si>
  <si>
    <t>2017Q2</t>
  </si>
  <si>
    <t>2017M04</t>
  </si>
  <si>
    <t>2017M05</t>
  </si>
  <si>
    <t>2017M06</t>
  </si>
  <si>
    <t>2017Q3</t>
  </si>
  <si>
    <t>2017M07</t>
  </si>
  <si>
    <t>2017M08</t>
  </si>
  <si>
    <t>2017M09</t>
  </si>
  <si>
    <t>2017Q4</t>
  </si>
  <si>
    <t>2017M10</t>
  </si>
  <si>
    <t>2017M11</t>
  </si>
  <si>
    <t>2017M12</t>
  </si>
  <si>
    <t>2018Q1</t>
  </si>
  <si>
    <t>2018M01</t>
  </si>
  <si>
    <t>2018M02</t>
  </si>
  <si>
    <t>2018M03</t>
  </si>
  <si>
    <t>2018Q2</t>
  </si>
  <si>
    <t>2018M04</t>
  </si>
  <si>
    <t>2018M05</t>
  </si>
  <si>
    <t>2018M06</t>
  </si>
  <si>
    <t>2018Q3</t>
  </si>
  <si>
    <t>2018M07</t>
  </si>
  <si>
    <t>2018M08</t>
  </si>
  <si>
    <t>2018M09</t>
  </si>
  <si>
    <t>2018Q4</t>
  </si>
  <si>
    <t>2018M10</t>
  </si>
  <si>
    <t>2018M11</t>
  </si>
  <si>
    <t>2018M12</t>
  </si>
  <si>
    <t>2019Q1</t>
  </si>
  <si>
    <t>2019M01</t>
  </si>
  <si>
    <t>2019M02</t>
  </si>
  <si>
    <t>2019M03</t>
  </si>
  <si>
    <t>2019Q2</t>
  </si>
  <si>
    <t>2019M04</t>
  </si>
  <si>
    <t>2019M05</t>
  </si>
  <si>
    <t>2019M06</t>
  </si>
  <si>
    <t>2019Q3</t>
  </si>
  <si>
    <t>2019M07</t>
  </si>
  <si>
    <t>2019M08</t>
  </si>
  <si>
    <t>2019M09</t>
  </si>
  <si>
    <t>2019Q4</t>
  </si>
  <si>
    <t>2019M10</t>
  </si>
  <si>
    <t>2019M11</t>
  </si>
  <si>
    <t>2019M12</t>
  </si>
  <si>
    <t>2020Q1</t>
  </si>
  <si>
    <t>2020M01</t>
  </si>
  <si>
    <t>2020M02</t>
  </si>
  <si>
    <t>2020M03</t>
  </si>
  <si>
    <t>2020Q2</t>
  </si>
  <si>
    <t>2020M04</t>
  </si>
  <si>
    <t>2020M05</t>
  </si>
  <si>
    <t>2020M06</t>
  </si>
  <si>
    <t>2020Q3</t>
  </si>
  <si>
    <t>2020M07</t>
  </si>
  <si>
    <t>2020M08</t>
  </si>
  <si>
    <t>2020M09</t>
  </si>
  <si>
    <t>2020Q4</t>
  </si>
  <si>
    <t>2020M10</t>
  </si>
  <si>
    <t>2020M11</t>
  </si>
  <si>
    <t>2020M12</t>
  </si>
  <si>
    <t>2021Q1</t>
  </si>
  <si>
    <t>2021M01</t>
  </si>
  <si>
    <t>2021M02</t>
  </si>
  <si>
    <t>2021M03</t>
  </si>
  <si>
    <t>2021Q2</t>
  </si>
  <si>
    <t>2021M04</t>
  </si>
  <si>
    <t>2021M05</t>
  </si>
  <si>
    <t>2021M06</t>
  </si>
  <si>
    <t>sys</t>
  </si>
  <si>
    <t>Y</t>
  </si>
  <si>
    <t>Period in Year</t>
  </si>
  <si>
    <t>-</t>
  </si>
  <si>
    <t>Q</t>
  </si>
  <si>
    <t>Period in Quarter</t>
  </si>
  <si>
    <t>M</t>
  </si>
  <si>
    <t>Period in Month</t>
  </si>
  <si>
    <t>nso</t>
  </si>
  <si>
    <t>Nominal GDP Total</t>
  </si>
  <si>
    <t>million MNT</t>
  </si>
  <si>
    <t>net</t>
  </si>
  <si>
    <t>Nominal GDP Agriculture</t>
  </si>
  <si>
    <t>Nominal GDP Mining</t>
  </si>
  <si>
    <t>Nominal GDP Manufacture</t>
  </si>
  <si>
    <t>Nominal GDP Infrastructure</t>
  </si>
  <si>
    <t>Nominal GDP Construction</t>
  </si>
  <si>
    <t>Nominal GDP Trade</t>
  </si>
  <si>
    <t>Nominal GDP Transport</t>
  </si>
  <si>
    <t>Nominal GDP Communication</t>
  </si>
  <si>
    <t>Nominal GDP Service</t>
  </si>
  <si>
    <t>Nominal GDP Net Tax</t>
  </si>
  <si>
    <t>Nominal GDP by Consumption</t>
  </si>
  <si>
    <t>Nominal GDP by Government Consumption</t>
  </si>
  <si>
    <t>Nominal GDP by Fixed Capital Formation</t>
  </si>
  <si>
    <t>Nominal GDP by Current Capital Formation</t>
  </si>
  <si>
    <t>Nominal GPD by Export</t>
  </si>
  <si>
    <t>Nominal GDP by Import</t>
  </si>
  <si>
    <t>Total Employed Population</t>
  </si>
  <si>
    <t>person</t>
  </si>
  <si>
    <t>Total Employed Male</t>
  </si>
  <si>
    <t>Total Employed Female</t>
  </si>
  <si>
    <t>Unemployed Population</t>
  </si>
  <si>
    <t>Unemployed Male</t>
  </si>
  <si>
    <t>Unemployed Female</t>
  </si>
  <si>
    <t>Economically Inactive Population</t>
  </si>
  <si>
    <t>Economically Inactive Population Male</t>
  </si>
  <si>
    <t>Economically Inactive Population Female</t>
  </si>
  <si>
    <t>Total Average Wage</t>
  </si>
  <si>
    <t>thousand MNT</t>
  </si>
  <si>
    <t>average</t>
  </si>
  <si>
    <t>Average Wage in Agriculture</t>
  </si>
  <si>
    <t>Average Wage in Mining</t>
  </si>
  <si>
    <t>Average Wage in Manufacture</t>
  </si>
  <si>
    <t>Average Wage in Infrastructure (Electricity, gas, steam and air)</t>
  </si>
  <si>
    <t>Average Wage in Infrastructure (Water, sewerage, waste)</t>
  </si>
  <si>
    <t>Average Wage in Construction</t>
  </si>
  <si>
    <t>Average Wage in Trade</t>
  </si>
  <si>
    <t>Average Wage in Transport</t>
  </si>
  <si>
    <t>Average Wage in Accomodation and Food</t>
  </si>
  <si>
    <t>Average Wage in Communication</t>
  </si>
  <si>
    <t>Average Wage in Finance</t>
  </si>
  <si>
    <t>Average Wage in Real Estate</t>
  </si>
  <si>
    <t>Average Wage in Education</t>
  </si>
  <si>
    <t>Average Wage in Health</t>
  </si>
  <si>
    <t>Average Wage in Art and Entertainment</t>
  </si>
  <si>
    <t>Average Wage in Other Service</t>
  </si>
  <si>
    <t>Total Budget Revenue and Grants</t>
  </si>
  <si>
    <t>Total Budget Tax Income</t>
  </si>
  <si>
    <t>Tax Income</t>
  </si>
  <si>
    <t>Tax Corporate Income</t>
  </si>
  <si>
    <t>Tax Individual Income</t>
  </si>
  <si>
    <t>Tax Social Insurance</t>
  </si>
  <si>
    <t>Tax VAT</t>
  </si>
  <si>
    <t>Tax Special Purpose</t>
  </si>
  <si>
    <t>Total Budget Non-Tax Income</t>
  </si>
  <si>
    <t>Total Budget Operational Expenditure</t>
  </si>
  <si>
    <t>Total Budget Net Lending</t>
  </si>
  <si>
    <t>Goods and Service Expenditure</t>
  </si>
  <si>
    <t>Wage and Salary Expenditure</t>
  </si>
  <si>
    <t>Interest Payment Expenditure</t>
  </si>
  <si>
    <t>Government Subsidy Expenditure</t>
  </si>
  <si>
    <t>Government Current Transaction</t>
  </si>
  <si>
    <t>Other Current Transaction</t>
  </si>
  <si>
    <t>Capital Expenditure</t>
  </si>
  <si>
    <t>bom_b</t>
  </si>
  <si>
    <t>Money Supply, M1</t>
  </si>
  <si>
    <t>cumulative</t>
  </si>
  <si>
    <t>Money Supply, M2</t>
  </si>
  <si>
    <t>Term Deposit Interest Rate MNT</t>
  </si>
  <si>
    <t>%</t>
  </si>
  <si>
    <t>Term Deposit Interest Rate FC</t>
  </si>
  <si>
    <t>Lending Interest Rate MNT</t>
  </si>
  <si>
    <t>Lending Interest Rate FC</t>
  </si>
  <si>
    <t>BoM Policy Rate</t>
  </si>
  <si>
    <t>Consumer Price Index P2015, Total</t>
  </si>
  <si>
    <t>index</t>
  </si>
  <si>
    <t>CPI P2015, Food and Non-Alcoholic Beverages</t>
  </si>
  <si>
    <t>CPI P2015, Alcoholic Beverages</t>
  </si>
  <si>
    <t>CPI P2015, Clothing</t>
  </si>
  <si>
    <t>CPI P2015, Housing Water Electricity and Fuels</t>
  </si>
  <si>
    <t>CPI P2015, Furnishings Household Equipment Tools</t>
  </si>
  <si>
    <t>CPI P2015, Health Medical Care and Services</t>
  </si>
  <si>
    <t>CPI P2015, Transport</t>
  </si>
  <si>
    <t>CPI P2015, Communication</t>
  </si>
  <si>
    <t>CPI P2015, Recreation and Culture</t>
  </si>
  <si>
    <t>CPI P2015, Education</t>
  </si>
  <si>
    <t>CPI P2015, Restaurant and Hotels</t>
  </si>
  <si>
    <t>CPI P2015, Miscellaneous Goods and Services</t>
  </si>
  <si>
    <t>bom_n</t>
  </si>
  <si>
    <t>Total Export</t>
  </si>
  <si>
    <t>million USD</t>
  </si>
  <si>
    <t>Export, Mining Products</t>
  </si>
  <si>
    <t>Export, Mining: Gold</t>
  </si>
  <si>
    <t>Export, Mining: Copper</t>
  </si>
  <si>
    <t>Export, Mining: Iron</t>
  </si>
  <si>
    <t>Export, Mining: Zinc</t>
  </si>
  <si>
    <t>Export, Mining: Coal</t>
  </si>
  <si>
    <t>Export, Mining: Oil</t>
  </si>
  <si>
    <t>Export, Livestock Products</t>
  </si>
  <si>
    <t>Export, Livestock: Meat</t>
  </si>
  <si>
    <t>Export, Livestock: Leather</t>
  </si>
  <si>
    <t>Export, Livestock: Cashmere</t>
  </si>
  <si>
    <t>Export, Farm Products</t>
  </si>
  <si>
    <t>Export, Manufacture Product</t>
  </si>
  <si>
    <t>Export, Other</t>
  </si>
  <si>
    <t>Total Import</t>
  </si>
  <si>
    <t>Import, Consumer Products</t>
  </si>
  <si>
    <t>Import, Consumer: Short Term</t>
  </si>
  <si>
    <t>Import, Consumer: Long Term</t>
  </si>
  <si>
    <t>Import, Manufacture Products</t>
  </si>
  <si>
    <t>Import, Manufacture: Electricity</t>
  </si>
  <si>
    <t>Import, Investment Products</t>
  </si>
  <si>
    <t>Import, Investment: Vehicle and Spares</t>
  </si>
  <si>
    <t>Import, Investment: Construction Materials</t>
  </si>
  <si>
    <t>Import, Oil Products</t>
  </si>
  <si>
    <t>Import, Oil: Diesel</t>
  </si>
  <si>
    <t>Import, Oil: A92, A95</t>
  </si>
  <si>
    <t>Balance of Payment, Current Account</t>
  </si>
  <si>
    <t>Balance of Payment, Current Account Net Goods</t>
  </si>
  <si>
    <t>Balance of Payment, Current Account Net Services</t>
  </si>
  <si>
    <t>Balance of Payment, Current Account Primary Income</t>
  </si>
  <si>
    <t>Balance of Payment, Current Account Secondary Income</t>
  </si>
  <si>
    <t>Balance of Payment, Capital Account</t>
  </si>
  <si>
    <t>Balance of Payment, Financial Account</t>
  </si>
  <si>
    <t>Balance of Payment, Financial Account Direct Investment</t>
  </si>
  <si>
    <t>Balance of Payment, Financial Account Portfolio Investment</t>
  </si>
  <si>
    <t>Balance of Payment, Financial Account Derivatives</t>
  </si>
  <si>
    <t>Balance of Payment, Financial Account Other Investment</t>
  </si>
  <si>
    <t>Balance of Payment, Errors and Adjustments</t>
  </si>
  <si>
    <t>Balance of Payment</t>
  </si>
  <si>
    <t>FX Reserve</t>
  </si>
  <si>
    <t>FX Reserve in Securities</t>
  </si>
  <si>
    <t>FX Reserve in Deposits</t>
  </si>
  <si>
    <t>FX Reserve as IMF Reserve Position</t>
  </si>
  <si>
    <t>FX Reserve in Special Drawing Right</t>
  </si>
  <si>
    <t>FX Reserve in Gold</t>
  </si>
  <si>
    <t>FX Reserve in Other Reserve Assets</t>
  </si>
  <si>
    <t>MNT/USD</t>
  </si>
  <si>
    <t>Gross External Debt</t>
  </si>
  <si>
    <t>General Government Debt</t>
  </si>
  <si>
    <t>Central Bank Debt</t>
  </si>
  <si>
    <t>Deposit-taking Corporation Debt</t>
  </si>
  <si>
    <t>Other Sector Debt</t>
  </si>
  <si>
    <t>Direct Investment</t>
  </si>
  <si>
    <t>imf</t>
  </si>
  <si>
    <t>IMF PCPS: Coal, Australian Thermal</t>
  </si>
  <si>
    <t>USD/metric ton</t>
  </si>
  <si>
    <t>IMF PCPS: Crude Oil, Dated Brent</t>
  </si>
  <si>
    <t>USD/barrel</t>
  </si>
  <si>
    <t>IMF PCPS: Copper, Grade A Cathode</t>
  </si>
  <si>
    <t>IMF PCPS: Iron Ore, CFR China (Tianjin Port)</t>
  </si>
  <si>
    <t>IMF PCPS: Gold, LBMA 3PM Fixed Price</t>
  </si>
  <si>
    <t>USD/troy oz</t>
  </si>
  <si>
    <t>Loan: Total Outstanding</t>
  </si>
  <si>
    <t>Loan: Other Loans</t>
  </si>
  <si>
    <t>Deposit: Total Outstanding</t>
  </si>
  <si>
    <t>Deposit: Other Deposits</t>
  </si>
  <si>
    <t>Banking Sector Total Asset</t>
  </si>
  <si>
    <t>Banking Sector Total Equity</t>
  </si>
  <si>
    <t>Period:</t>
  </si>
  <si>
    <t>Yearly</t>
  </si>
  <si>
    <t>Quarterly</t>
  </si>
  <si>
    <t>Monthly</t>
  </si>
  <si>
    <t>Focus:</t>
  </si>
  <si>
    <t>Q1</t>
  </si>
  <si>
    <t>Q2</t>
  </si>
  <si>
    <t>Q3</t>
  </si>
  <si>
    <t>Q4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</si>
  <si>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</si>
  <si>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</si>
  <si>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</si>
  <si>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</si>
  <si>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</si>
  <si>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</si>
  <si>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</si>
  <si>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</si>
  <si>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</si>
  <si>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</si>
  <si>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</si>
  <si>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</si>
  <si>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Start Period:</t>
  </si>
  <si>
    <t>End Period:</t>
  </si>
  <si>
    <t>VALIDATION</t>
  </si>
  <si>
    <t>Min:</t>
  </si>
  <si>
    <t>Max:</t>
  </si>
  <si>
    <t>EARLIEST</t>
  </si>
  <si>
    <t>LATEST</t>
  </si>
  <si>
    <t>Min Year:</t>
  </si>
  <si>
    <t>Max Year:</t>
  </si>
  <si>
    <t>Current Min:</t>
  </si>
  <si>
    <t>Min Periods:</t>
  </si>
  <si>
    <t>Max Periods:</t>
  </si>
  <si>
    <t>Min Sub:</t>
  </si>
  <si>
    <t>Max Sub:</t>
  </si>
  <si>
    <t>Current Max:</t>
  </si>
  <si>
    <t>Min</t>
  </si>
  <si>
    <t>Max</t>
  </si>
  <si>
    <t>Current Min Sub:</t>
  </si>
  <si>
    <t>Year</t>
  </si>
  <si>
    <t>Sub</t>
  </si>
  <si>
    <t>Current</t>
  </si>
  <si>
    <t>Current Max Sub:</t>
  </si>
  <si>
    <t>ID</t>
  </si>
  <si>
    <t>Update Status:</t>
  </si>
  <si>
    <t>L0</t>
  </si>
  <si>
    <t>L1</t>
  </si>
  <si>
    <t>L2</t>
  </si>
  <si>
    <t>Date</t>
  </si>
  <si>
    <t>Filled</t>
  </si>
  <si>
    <t>Total</t>
  </si>
  <si>
    <t>Formatted</t>
  </si>
  <si>
    <t>Headers</t>
  </si>
  <si>
    <t>Type:</t>
  </si>
  <si>
    <t>Current Focus:</t>
  </si>
  <si>
    <t>Value:</t>
  </si>
  <si>
    <t>Start Value:</t>
  </si>
  <si>
    <t>End Value:</t>
  </si>
  <si>
    <t>Does Exists:</t>
  </si>
  <si>
    <t>Data Range:</t>
  </si>
  <si>
    <t>Value</t>
  </si>
  <si>
    <t>Value-Growth</t>
  </si>
  <si>
    <t>Cumulative</t>
  </si>
  <si>
    <t>Cumulative-Growth</t>
  </si>
  <si>
    <t>Growth</t>
  </si>
  <si>
    <t>Ranges</t>
  </si>
  <si>
    <t>Formulas</t>
  </si>
  <si>
    <t>Variable Range1:</t>
  </si>
  <si>
    <t>Variable Range2:</t>
  </si>
  <si>
    <t>Default Values</t>
  </si>
  <si>
    <t>Shortcuts</t>
  </si>
  <si>
    <t>NGDP-P</t>
  </si>
  <si>
    <t>Name</t>
  </si>
  <si>
    <t>Copy</t>
  </si>
  <si>
    <t>Paste</t>
  </si>
  <si>
    <t>RGDP-P</t>
  </si>
  <si>
    <t>NGDP-E</t>
  </si>
  <si>
    <t>RGDP-E</t>
  </si>
  <si>
    <t>EMP</t>
  </si>
  <si>
    <t>WAGE</t>
  </si>
  <si>
    <t>BUDGET</t>
  </si>
  <si>
    <t>CPI</t>
  </si>
  <si>
    <t>TRADE</t>
  </si>
  <si>
    <t>BOP</t>
  </si>
  <si>
    <t>RATE</t>
  </si>
  <si>
    <t>C-PRICE</t>
  </si>
  <si>
    <t>FXRES</t>
  </si>
  <si>
    <t>BANK</t>
  </si>
  <si>
    <t>EXDEBT</t>
  </si>
  <si>
    <t>OTH</t>
  </si>
  <si>
    <t>A5:A15</t>
  </si>
  <si>
    <t>A16:A26</t>
  </si>
  <si>
    <t>A27:A33</t>
  </si>
  <si>
    <t>A34:A40</t>
  </si>
  <si>
    <t>A41:A49</t>
  </si>
  <si>
    <t>A50:A66</t>
  </si>
  <si>
    <t>A67:A84</t>
  </si>
  <si>
    <t>A92:A104</t>
  </si>
  <si>
    <t>A105:A131</t>
  </si>
  <si>
    <t>A132:A144</t>
  </si>
  <si>
    <t>A87:A91</t>
  </si>
  <si>
    <t>A159:A163</t>
  </si>
  <si>
    <t>A145:A151</t>
  </si>
  <si>
    <t>A153:A158</t>
  </si>
  <si>
    <t>A85:A86</t>
  </si>
  <si>
    <t>Export Infos:</t>
  </si>
  <si>
    <t>Directory</t>
  </si>
  <si>
    <t>Suffix</t>
  </si>
  <si>
    <t>Macro_Viewer_</t>
  </si>
  <si>
    <t>CopRange</t>
  </si>
  <si>
    <t>◌</t>
  </si>
  <si>
    <t/>
  </si>
  <si>
    <t>2021Q3</t>
  </si>
  <si>
    <t>2021M07</t>
  </si>
  <si>
    <t>Value PoPg</t>
  </si>
  <si>
    <t>Cumulative PoPg</t>
  </si>
  <si>
    <t>Value YoYg</t>
  </si>
  <si>
    <t>Cumulative YoYg</t>
  </si>
  <si>
    <t>Legacy</t>
  </si>
  <si>
    <t>=IFERROR(IF(AND(LEFT($C$7,10)=technicals!$B$14,$G5=technicals!$B$24,$C$3&lt;&gt;technicals!$B$3),SUM(OFFSET(data[[#Headers],[period_y]],MATCH(VALUE(LEFT(Z$10,4)),data[period_y],0),MATCH($B5,data[#Headers],0)-1,IF($C$3=technicals!$B$4,VALUE(RIGHT(Z$10,1))*3,IF($C$3=technicals!$B$5,VALUE(RIGHT(Z$10,2)),NA())))),SUMPRODUCT(INDIRECT(CONCATENATE("data[",$B5,"]")),IF(OR($G5=technicals!$B$24,$G5=technicals!$B$26),--(INDIRECT(CONCATENATE("data[period_",LOWER(LEFT($C$3,1)),"]"))=inte(Z$10)),IF($G5=technicals!$B$25,--(data[period_m]=IF($C$3=technicals!$B$3,CONCATENATE(LEFT(Z$10,4),"M12"),IF($C$3=technicals!$B$4,CONCATENATE(LEFT(Z$10,4),"M",TEXT(VALUE(RIGHT(Z$10,1))*3,"00")),IF($C$3=technicals!$B$5,inte(Z$10),NA())))),NA())))/SUMPRODUCT(IF($G5=technicals!$B$26,(--(INDIRECT(CONCATENATE("data[period_",LOWER(LEFT($C$3,1)),"]"))&lt;&gt;""))*(--(INDIRECT(CONCATENATE("data[period_",LOWER(LEFT($C$3,1)),"]"))=inte(Z$10))),1)))/IF(RIGHT($C$7,6)=technicals!$B$18,IF(AND(LEFT($C$7,10)=technicals!$B$14,$G5=technicals!$B$24,$C$3&lt;&gt;technicals!$B$3),SUM(OFFSET(data[[#Headers],[period_y]],MATCH(VALUE(LEFT(Y$10,4)),data[period_y],0),MATCH($B5,data[#Headers],0)-1,IF($C$3=technicals!$B$4,VALUE(RIGHT(Y$10,1))*3,IF($C$3=technicals!$B$5,VALUE(RIGHT(Y$10,2)),NA())))),SUMPRODUCT(INDIRECT(CONCATENATE("data[",$B5,"]")),IF(OR($G5=technicals!$B$24,$G5=technicals!$B$26),--(INDIRECT(CONCATENATE("data[period_",LOWER(LEFT($C$3,1)),"]"))=inte(Y$10)),IF($G5=technicals!$B$25,--(data[period_m]=IF($C$3=technicals!$B$3,CONCATENATE(LEFT(Y$10,4),"M12"),IF($C$3=technicals!$B$4,CONCATENATE(LEFT(Y$10,4),"M",TEXT(VALUE(RIGHT(Y$10,1))*3,"00")),IF($C$3=technicals!$B$5,inte(Y$10),NA())))),NA())))/SUMPRODUCT(IF($G5=technicals!$B$26,(--(INDIRECT(CONCATENATE("data[period_",LOWER(LEFT($C$3,1)),"]"))&lt;&gt;""))*(--(INDIRECT(CONCATENATE("data[period_",LOWER(LEFT($C$3,1)),"]"))=inte(Y$10))),1))),1)-IF(RIGHT($C$7,6)=technicals!$B$18,1,0),"")</t>
  </si>
  <si>
    <t>Real GDP P2015 Total</t>
  </si>
  <si>
    <t>Real GDP P2015 Agriculture</t>
  </si>
  <si>
    <t>Real GDP P2015 Mining</t>
  </si>
  <si>
    <t>Real GDP P2015 Manufacture</t>
  </si>
  <si>
    <t>Real GDP P2015 Infrastructure</t>
  </si>
  <si>
    <t>Real GDP P2015 Construction</t>
  </si>
  <si>
    <t>Real GDP P2015 Trade</t>
  </si>
  <si>
    <t>Real GDP P2015 Transport</t>
  </si>
  <si>
    <t>Real GDP P2015 Communication</t>
  </si>
  <si>
    <t>Real GDP P2015 Service</t>
  </si>
  <si>
    <t>Real GDP P2015 Net Tax</t>
  </si>
  <si>
    <t>Real GDP P2015 by Consumption</t>
  </si>
  <si>
    <t>Real GDP P2015 by Government Consumption</t>
  </si>
  <si>
    <t>Real GDP P2015 by Fixed Capital Formation</t>
  </si>
  <si>
    <t>Real GDP P2015 by Current Capital Formation</t>
  </si>
  <si>
    <t>Real GDP P2015 by Export</t>
  </si>
  <si>
    <t>Real GDP P2015 by Import</t>
  </si>
  <si>
    <t>Value Ytdg</t>
  </si>
  <si>
    <t>Cumulative Ytdg</t>
  </si>
  <si>
    <t>2021M08</t>
  </si>
  <si>
    <t>2021</t>
  </si>
  <si>
    <t>ex_usd_avg</t>
  </si>
  <si>
    <t>USD Exchange Rate, Monthly Average</t>
  </si>
  <si>
    <t>ex_usd_last</t>
  </si>
  <si>
    <t>USD Exchange Rate, End of Period</t>
  </si>
  <si>
    <t>loan_total</t>
  </si>
  <si>
    <t>loan_main</t>
  </si>
  <si>
    <t>loan_oth</t>
  </si>
  <si>
    <t>depo_main</t>
  </si>
  <si>
    <t>tb_export_mining_gold_q</t>
  </si>
  <si>
    <t>tb_export_mining_copp_q</t>
  </si>
  <si>
    <t>tb_export_mining_iron_q</t>
  </si>
  <si>
    <t>tb_export_mining_zinc_q</t>
  </si>
  <si>
    <t>tb_export_mining_coal_q</t>
  </si>
  <si>
    <t>tb_export_mining_oil_q</t>
  </si>
  <si>
    <t>tb_export_livestock_meat_q</t>
  </si>
  <si>
    <t>tb_export_livestock_leather_q</t>
  </si>
  <si>
    <t>tb_export_livestock_cashmere_q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</si>
  <si>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</si>
  <si>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</si>
  <si>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</si>
  <si>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</si>
  <si>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</si>
  <si>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</si>
  <si>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</si>
  <si>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</si>
  <si>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</si>
  <si>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</si>
  <si>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</si>
  <si>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</si>
  <si>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</si>
  <si>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</si>
  <si>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</si>
  <si>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</si>
  <si>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</si>
  <si>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</si>
  <si>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</si>
  <si>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</si>
  <si>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</si>
  <si>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2021M09</t>
  </si>
  <si>
    <t>2021Q4</t>
  </si>
  <si>
    <t>2021M10</t>
  </si>
  <si>
    <t>2021M11</t>
  </si>
  <si>
    <t>2021M12</t>
  </si>
  <si>
    <t>2022</t>
  </si>
  <si>
    <t>2022Q1</t>
  </si>
  <si>
    <t>2022M01</t>
  </si>
  <si>
    <t>Loan: Main Loans</t>
  </si>
  <si>
    <t>Deposit: Main Deposits</t>
  </si>
  <si>
    <t>Export, Mining, Quantity: Gold</t>
  </si>
  <si>
    <t>kg</t>
  </si>
  <si>
    <t>Export, Mining, Quantity: Copper</t>
  </si>
  <si>
    <t>thousand ton</t>
  </si>
  <si>
    <t>Export, Mining, Quantity: Iron</t>
  </si>
  <si>
    <t>Export, Mining, Quantity: Zinc</t>
  </si>
  <si>
    <t>Export, Mining, Quantity: Coal</t>
  </si>
  <si>
    <t>Export, Mining, Quantity: Oil</t>
  </si>
  <si>
    <t>bbl</t>
  </si>
  <si>
    <t>Export, Livestock, Quantity: Meat</t>
  </si>
  <si>
    <t>ton</t>
  </si>
  <si>
    <t>Export, Livestock, Quantity: Leather</t>
  </si>
  <si>
    <t>thousand dm2</t>
  </si>
  <si>
    <t>Export, Livestock, Quantity: Cashmere</t>
  </si>
  <si>
    <t>EXRATE</t>
  </si>
  <si>
    <t>TRADE(Q)</t>
  </si>
  <si>
    <t>A164:A171</t>
  </si>
  <si>
    <t>A173:A181</t>
  </si>
  <si>
    <t>A152,A172</t>
  </si>
  <si>
    <t>loan.b_main</t>
  </si>
  <si>
    <t>loan.b_main.sc_total</t>
  </si>
  <si>
    <t>loan.b_main.sc_agriculture</t>
  </si>
  <si>
    <t>loan.b_main.sc_mining</t>
  </si>
  <si>
    <t>loan.b_main.sc_manufacture</t>
  </si>
  <si>
    <t>loan.b_main.sc_infrastructure</t>
  </si>
  <si>
    <t>loan.b_main.sc_construction</t>
  </si>
  <si>
    <t>loan.b_main.sc_trade</t>
  </si>
  <si>
    <t>loan.b_main.sc_transportation</t>
  </si>
  <si>
    <t>loan.b_main.sc_service</t>
  </si>
  <si>
    <t>loan.b_main.sc_communication</t>
  </si>
  <si>
    <t>loan.b_main.sc_finance</t>
  </si>
  <si>
    <t>loan.b_main.sc_education</t>
  </si>
  <si>
    <t>loan.b_main.sc_health</t>
  </si>
  <si>
    <t>loan.b_main.sc_other</t>
  </si>
  <si>
    <t>loan.b_main.sc_salary</t>
  </si>
  <si>
    <t>loan.b_main.sc_card</t>
  </si>
  <si>
    <t>loan.b_main.sc_vehicle</t>
  </si>
  <si>
    <t>loan.b_main.sc_sbl</t>
  </si>
  <si>
    <t>loan.b_main.q_pdl</t>
  </si>
  <si>
    <t>loan.b_main.q_pdl.sc_total</t>
  </si>
  <si>
    <t>loan.b_main.q_pdl.sc_agriculture</t>
  </si>
  <si>
    <t>loan.b_main.q_pdl.sc_mining</t>
  </si>
  <si>
    <t>loan.b_main.q_pdl.sc_manufacture</t>
  </si>
  <si>
    <t>loan.b_main.q_pdl.sc_infrastructure</t>
  </si>
  <si>
    <t>loan.b_main.q_pdl.sc_construction</t>
  </si>
  <si>
    <t>loan.b_main.q_pdl.sc_trade</t>
  </si>
  <si>
    <t>loan.b_main.q_pdl.sc_transportation</t>
  </si>
  <si>
    <t>loan.b_main.q_pdl.sc_service</t>
  </si>
  <si>
    <t>loan.b_main.q_pdl.sc_communication</t>
  </si>
  <si>
    <t>loan.b_main.q_pdl.sc_finance</t>
  </si>
  <si>
    <t>loan.b_main.q_pdl.sc_education</t>
  </si>
  <si>
    <t>loan.b_main.q_pdl.sc_health</t>
  </si>
  <si>
    <t>loan.b_main.q_pdl.sc_other</t>
  </si>
  <si>
    <t>loan.b_main.q_npl</t>
  </si>
  <si>
    <t>loan.b_main.q_npl.sc_total</t>
  </si>
  <si>
    <t>loan.b_main.q_npl.sc_agriculture</t>
  </si>
  <si>
    <t>loan.b_main.q_npl.sc_mining</t>
  </si>
  <si>
    <t>loan.b_main.q_npl.sc_manufacture</t>
  </si>
  <si>
    <t>loan.b_main.q_npl.sc_infrastructure</t>
  </si>
  <si>
    <t>loan.b_main.q_npl.sc_construction</t>
  </si>
  <si>
    <t>loan.b_main.q_npl.sc_trade</t>
  </si>
  <si>
    <t>loan.b_main.q_npl.sc_transportation</t>
  </si>
  <si>
    <t>loan.b_main.q_npl.sc_service</t>
  </si>
  <si>
    <t>loan.b_main.q_npl.sc_communication</t>
  </si>
  <si>
    <t>loan.b_main.q_npl.sc_finance</t>
  </si>
  <si>
    <t>loan.b_main.q_npl.sc_education</t>
  </si>
  <si>
    <t>loan.b_main.q_npl.sc_health</t>
  </si>
  <si>
    <t>loan.b_main.q_npl.sc_other</t>
  </si>
  <si>
    <t>loan.b_main.sg_retail</t>
  </si>
  <si>
    <t>loan.b_main.sg_retail_sme</t>
  </si>
  <si>
    <t>loan.b_main.sg_corp</t>
  </si>
  <si>
    <t>loan.b_main.sg_corp_sme</t>
  </si>
  <si>
    <t>loan.b_main.q_pdl.sg_retail</t>
  </si>
  <si>
    <t>loan.b_main.q_pdl.sg_retail_sme</t>
  </si>
  <si>
    <t>loan.b_main.q_pdl.sg_corp</t>
  </si>
  <si>
    <t>loan.b_main.q_pdl.sg_corp_sme</t>
  </si>
  <si>
    <t>loan.b_main.q_npl.sg_retail</t>
  </si>
  <si>
    <t>loan.b_main.q_npl.sg_retail_sme</t>
  </si>
  <si>
    <t>loan.b_main.q_npl.sg_corp</t>
  </si>
  <si>
    <t>loan.b_main.q_npl.sg_corp_sme</t>
  </si>
  <si>
    <t>loan.b_main.c_mnt</t>
  </si>
  <si>
    <t>loan.b_main.c_mnt.sg_retail</t>
  </si>
  <si>
    <t>loan.b_main.c_mnt.sg_retail_sme</t>
  </si>
  <si>
    <t>loan.b_main.c_mnt.sg_corp</t>
  </si>
  <si>
    <t>loan.b_main.c_mnt.sg_corp_sme</t>
  </si>
  <si>
    <t>loan.b_main.q_pdl.c_mnt</t>
  </si>
  <si>
    <t>loan.b_main.q_pdl.c_mnt.sg_retail</t>
  </si>
  <si>
    <t>loan.b_main.q_pdl.c_mnt.sg_retail_sme</t>
  </si>
  <si>
    <t>loan.b_main.q_pdl.c_mnt.sg_corp</t>
  </si>
  <si>
    <t>loan.b_main.q_pdl.c_mnt.sg_corp_sme</t>
  </si>
  <si>
    <t>loan.b_main.q_npl.c_mnt</t>
  </si>
  <si>
    <t>loan.b_main.q_npl.c_mnt.sg_retail</t>
  </si>
  <si>
    <t>loan.b_main.q_npl.c_mnt.sg_retail_sme</t>
  </si>
  <si>
    <t>loan.b_main.q_npl.c_mnt.sg_corp</t>
  </si>
  <si>
    <t>loan.b_main.q_npl.c_mnt.sg_corp_sme</t>
  </si>
  <si>
    <t>loan.b_oth</t>
  </si>
  <si>
    <t>loan</t>
  </si>
  <si>
    <t>loan.b_numacc</t>
  </si>
  <si>
    <t>loan.b_numacc.c_mnt</t>
  </si>
  <si>
    <t>depo.b_main</t>
  </si>
  <si>
    <t>depo.b_main.sg_retail</t>
  </si>
  <si>
    <t>depo.b_main.sg_corp</t>
  </si>
  <si>
    <t>depo.b_main.c_mnt</t>
  </si>
  <si>
    <t>depo.b_main.c_mnt.sg_retail</t>
  </si>
  <si>
    <t>depo.b_main.c_mnt.sg_corp</t>
  </si>
  <si>
    <t>depo.b_main.c_fc</t>
  </si>
  <si>
    <t>depo.b_main.c_fc.sg_retail</t>
  </si>
  <si>
    <t>depo.b_main.c_fc.sg_corp</t>
  </si>
  <si>
    <t>depo.b_main.p_ca</t>
  </si>
  <si>
    <t>depo.b_main.p_ca.sg_retail</t>
  </si>
  <si>
    <t>depo.b_main.p_ca.sg_corp</t>
  </si>
  <si>
    <t>depo.b_main.p_ca.c_mnt</t>
  </si>
  <si>
    <t>depo.b_main.p_ca.c_mnt.sg_retail</t>
  </si>
  <si>
    <t>depo.b_main.p_ca.c_mnt.sg_corp</t>
  </si>
  <si>
    <t>depo.b_main.p_ca.c_fc</t>
  </si>
  <si>
    <t>depo.b_main.p_ca.c_fc.sg_retail</t>
  </si>
  <si>
    <t>depo.b_main.p_ca.c_fc.sg_corp</t>
  </si>
  <si>
    <t>depo.b_main.p_sa</t>
  </si>
  <si>
    <t>depo.b_main.p_sa.sg_retail</t>
  </si>
  <si>
    <t>depo.b_main.p_sa.sg_corp</t>
  </si>
  <si>
    <t>depo.b_main.p_sa.c_mnt</t>
  </si>
  <si>
    <t>depo.b_main.p_sa.c_mnt.sg_retail</t>
  </si>
  <si>
    <t>depo.b_main.p_sa.c_mnt.sg_corp</t>
  </si>
  <si>
    <t>depo.b_main.p_sa.c_fc</t>
  </si>
  <si>
    <t>depo.b_main.p_sa.c_fc.sg_retail</t>
  </si>
  <si>
    <t>depo.b_main.p_sa.c_fc.sg_corp</t>
  </si>
  <si>
    <t>depo</t>
  </si>
  <si>
    <t>depo.b_oth</t>
  </si>
  <si>
    <t>Loan: Branch:Main, Quality: Total, Currency: Total, Segment: Total, Sector: Total</t>
  </si>
  <si>
    <t>Loan: Branch:Main, Quality: Total, Currency: Total, Segment: Total, Sector: Agriculture</t>
  </si>
  <si>
    <t>Loan: Branch:Main, Quality: Total, Currency: Total, Segment: Total, Sector: Mining</t>
  </si>
  <si>
    <t>Loan: Branch:Main, Quality: Total, Currency: Total, Segment: Total, Sector: Manufacture</t>
  </si>
  <si>
    <t>Loan: Branch:Main, Quality: Total, Currency: Total, Segment: Total, Sector: Infrastructure</t>
  </si>
  <si>
    <t>Loan: Branch:Main, Quality: Total, Currency: Total, Segment: Total, Sector: Construction</t>
  </si>
  <si>
    <t>Loan: Branch:Main, Quality: Total, Currency: Total, Segment: Total, Sector: Trade</t>
  </si>
  <si>
    <t>Loan: Branch:Main, Quality: Total, Currency: Total, Segment: Total, Sector: Transportation</t>
  </si>
  <si>
    <t>Loan: Branch:Main, Quality: Total, Currency: Total, Segment: Total, Sector: Service</t>
  </si>
  <si>
    <t>Loan: Branch:Main, Quality: Total, Currency: Total, Segment: Total, Sector: Communication</t>
  </si>
  <si>
    <t>Loan: Branch:Main, Quality: Total, Currency: Total, Segment: Total, Sector: Finance</t>
  </si>
  <si>
    <t>Loan: Branch:Main, Quality: Total, Currency: Total, Segment: Total, Sector: Education</t>
  </si>
  <si>
    <t>Loan: Branch:Main, Quality: Total, Currency: Total, Segment: Total, Sector: Health</t>
  </si>
  <si>
    <t>Loan: Branch:Main, Quality: Total, Currency: Total, Segment: Total, Sector: Other</t>
  </si>
  <si>
    <t>Loan: Branch:Main, Quality: Total, Currency: Total, Segment: Total, Sector: Salary</t>
  </si>
  <si>
    <t>Loan: Branch:Main, Quality: Total, Currency: Total, Segment: Total, Sector: Card</t>
  </si>
  <si>
    <t>Loan: Branch:Main, Quality: Total, Currency: Total, Segment: Total, Sector: Vehicle</t>
  </si>
  <si>
    <t>Loan: Branch:Main, Quality: Total, Currency: Total, Segment: Total, Sector: SBL</t>
  </si>
  <si>
    <t>Loan: Branch:Main, Quality: PDL, Currency: Total, Segment: Total, Sector: Total</t>
  </si>
  <si>
    <t>Loan: Branch:Main, Quality: PDL, Currency: Total, Segment: Total, Sector: Agriculture</t>
  </si>
  <si>
    <t>Loan: Branch:Main, Quality: PDL, Currency: Total, Segment: Total, Sector: Mining</t>
  </si>
  <si>
    <t>Loan: Branch:Main, Quality: PDL, Currency: Total, Segment: Total, Sector: Manufacture</t>
  </si>
  <si>
    <t>Loan: Branch:Main, Quality: PDL, Currency: Total, Segment: Total, Sector: Infrastructure</t>
  </si>
  <si>
    <t>Loan: Branch:Main, Quality: PDL, Currency: Total, Segment: Total, Sector: Construction</t>
  </si>
  <si>
    <t>Loan: Branch:Main, Quality: PDL, Currency: Total, Segment: Total, Sector: Trade</t>
  </si>
  <si>
    <t>Loan: Branch:Main, Quality: PDL, Currency: Total, Segment: Total, Sector: Transportation</t>
  </si>
  <si>
    <t>Loan: Branch:Main, Quality: PDL, Currency: Total, Segment: Total, Sector: Service</t>
  </si>
  <si>
    <t>Loan: Branch:Main, Quality: PDL, Currency: Total, Segment: Total, Sector: Communication</t>
  </si>
  <si>
    <t>Loan: Branch:Main, Quality: PDL, Currency: Total, Segment: Total, Sector: Finance</t>
  </si>
  <si>
    <t>Loan: Branch:Main, Quality: PDL, Currency: Total, Segment: Total, Sector: Education</t>
  </si>
  <si>
    <t>Loan: Branch:Main, Quality: PDL, Currency: Total, Segment: Total, Sector: Health</t>
  </si>
  <si>
    <t>Loan: Branch:Main, Quality: PDL, Currency: Total, Segment: Total, Sector: Other</t>
  </si>
  <si>
    <t>Loan: Branch:Main, Quality: NPL, Currency: Total, Segment: Total, Sector: Total</t>
  </si>
  <si>
    <t>Loan: Branch:Main, Quality: NPL, Currency: Total, Segment: Total, Sector: Agriculture</t>
  </si>
  <si>
    <t>Loan: Branch:Main, Quality: NPL, Currency: Total, Segment: Total, Sector: Mining</t>
  </si>
  <si>
    <t>Loan: Branch:Main, Quality: NPL, Currency: Total, Segment: Total, Sector: Manufacture</t>
  </si>
  <si>
    <t>Loan: Branch:Main, Quality: NPL, Currency: Total, Segment: Total, Sector: Infrastructure</t>
  </si>
  <si>
    <t>Loan: Branch:Main, Quality: NPL, Currency: Total, Segment: Total, Sector: Construction</t>
  </si>
  <si>
    <t>Loan: Branch:Main, Quality: NPL, Currency: Total, Segment: Total, Sector: Trade</t>
  </si>
  <si>
    <t>Loan: Branch:Main, Quality: NPL, Currency: Total, Segment: Total, Sector: Transportation</t>
  </si>
  <si>
    <t>Loan: Branch:Main, Quality: NPL, Currency: Total, Segment: Total, Sector: Service</t>
  </si>
  <si>
    <t>Loan: Branch:Main, Quality: NPL, Currency: Total, Segment: Total, Sector: Communication</t>
  </si>
  <si>
    <t>Loan: Branch:Main, Quality: NPL, Currency: Total, Segment: Total, Sector: Finance</t>
  </si>
  <si>
    <t>Loan: Branch:Main, Quality: NPL, Currency: Total, Segment: Total, Sector: Education</t>
  </si>
  <si>
    <t>Loan: Branch:Main, Quality: NPL, Currency: Total, Segment: Total, Sector: Health</t>
  </si>
  <si>
    <t>Loan: Branch:Main, Quality: NPL, Currency: Total, Segment: Total, Sector: Other</t>
  </si>
  <si>
    <t>Loan: Branch:Main, Quality: Total, Currency: Total, Segment: Retail, Sector: Total</t>
  </si>
  <si>
    <t>Loan: Branch:Main, Quality: Total, Currency: Total, Segment: Retail_SME, Sector: Total</t>
  </si>
  <si>
    <t>Loan: Branch:Main, Quality: Total, Currency: Total, Segment: Corp, Sector: Total</t>
  </si>
  <si>
    <t>Loan: Branch:Main, Quality: Total, Currency: Total, Segment: Corp_SME, Sector: Total</t>
  </si>
  <si>
    <t>Loan: Branch:Main, Quality: PDL, Currency: Total, Segment: Retail, Sector: Total</t>
  </si>
  <si>
    <t>Loan: Branch:Main, Quality: PDL, Currency: Total, Segment: Retail_SME, Sector: Total</t>
  </si>
  <si>
    <t>Loan: Branch:Main, Quality: PDL, Currency: Total, Segment: Corp, Sector: Total</t>
  </si>
  <si>
    <t>Loan: Branch:Main, Quality: PDL, Currency: Total, Segment: Corp_SME, Sector: Total</t>
  </si>
  <si>
    <t>Loan: Branch:Main, Quality: NPL, Currency: Total, Segment: Retail, Sector: Total</t>
  </si>
  <si>
    <t>Loan: Branch:Main, Quality: NPL, Currency: Total, Segment: Retail_SME, Sector: Total</t>
  </si>
  <si>
    <t>Loan: Branch:Main, Quality: NPL, Currency: Total, Segment: Corp, Sector: Total</t>
  </si>
  <si>
    <t>Loan: Branch:Main, Quality: NPL, Currency: Total, Segment: Corp_SME, Sector: Total</t>
  </si>
  <si>
    <t>Loan: Branch:Main, Quality: Total, Currency: MNT, Segment: Total, Sector: Total</t>
  </si>
  <si>
    <t>Loan: Branch:Main, Quality: Total, Currency: MNT, Segment: Retail, Sector: Total</t>
  </si>
  <si>
    <t>Loan: Branch:Main, Quality: Total, Currency: MNT, Segment: Retail_SME, Sector: Total</t>
  </si>
  <si>
    <t>Loan: Branch:Main, Quality: Total, Currency: MNT, Segment: Corp, Sector: Total</t>
  </si>
  <si>
    <t>Loan: Branch:Main, Quality: Total, Currency: MNT, Segment: Corp_SME, Sector: Total</t>
  </si>
  <si>
    <t>Loan: Branch:Main, Quality: PDL, Currency: MNT, Segment: Total, Sector: Total</t>
  </si>
  <si>
    <t>Loan: Branch:Main, Quality: PDL, Currency: MNT, Segment: Retail, Sector: Total</t>
  </si>
  <si>
    <t>Loan: Branch:Main, Quality: PDL, Currency: MNT, Segment: Retail_SME, Sector: Total</t>
  </si>
  <si>
    <t>Loan: Branch:Main, Quality: PDL, Currency: MNT, Segment: Corp, Sector: Total</t>
  </si>
  <si>
    <t>Loan: Branch:Main, Quality: PDL, Currency: MNT, Segment: Corp_SME, Sector: Total</t>
  </si>
  <si>
    <t>Loan: Branch:Main, Quality: NPL, Currency: MNT, Segment: Total, Sector: Total</t>
  </si>
  <si>
    <t>Loan: Branch:Main, Quality: NPL, Currency: MNT, Segment: Retail, Sector: Total</t>
  </si>
  <si>
    <t>Loan: Branch:Main, Quality: NPL, Currency: MNT, Segment: Retail_SME, Sector: Total</t>
  </si>
  <si>
    <t>Loan: Branch:Main, Quality: NPL, Currency: MNT, Segment: Corp, Sector: Total</t>
  </si>
  <si>
    <t>Loan: Branch:Main, Quality: NPL, Currency: MNT, Segment: Corp_SME, Sector: Total</t>
  </si>
  <si>
    <t>Loan: Branch:Oth, Quality: Total, Currency: Total, Segment: Total, Sector: Total</t>
  </si>
  <si>
    <t>Loan: Branch:Total, Quality: Total, Currency: Total, Segment: Total, Sector: Total</t>
  </si>
  <si>
    <t>Loan: Branch:NumAcc, Quality: Total, Currency: Total, Segment: Total, Sector: Total</t>
  </si>
  <si>
    <t>Loan: Branch:NumAcc, Quality: Total, Currency: MNT, Segment: Total, Sector: Total</t>
  </si>
  <si>
    <t>Deposit: Branch:Total, Product: Total, Currency: Total, Segment: Total</t>
  </si>
  <si>
    <t>Deposit: Branch:Main, Product: Total, Currency: Total, Segment: Total</t>
  </si>
  <si>
    <t>Deposit: Branch:Main, Product: Total, Currency: Total, Segment: Retail</t>
  </si>
  <si>
    <t>Deposit: Branch:Main, Product: Total, Currency: Total, Segment: Private</t>
  </si>
  <si>
    <t>Deposit: Branch:Main, Product: Total, Currency: MNT, Segment: Total</t>
  </si>
  <si>
    <t>Deposit: Branch:Main, Product: Total, Currency: MNT, Segment: Retail</t>
  </si>
  <si>
    <t>Deposit: Branch:Main, Product: Total, Currency: MNT, Segment: Private</t>
  </si>
  <si>
    <t>Deposit: Branch:Main, Product: Total, Currency: FC, Segment: Total</t>
  </si>
  <si>
    <t>Deposit: Branch:Main, Product: Total, Currency: FC, Segment: Retail</t>
  </si>
  <si>
    <t>Deposit: Branch:Main, Product: Total, Currency: FC, Segment: Private</t>
  </si>
  <si>
    <t>Deposit: Branch:Main, Product: CA, Currency: Total, Segment: Total</t>
  </si>
  <si>
    <t>Deposit: Branch:Main, Product: CA, Currency: Total, Segment: Retail</t>
  </si>
  <si>
    <t>Deposit: Branch:Main, Product: CA, Currency: Total, Segment: Private</t>
  </si>
  <si>
    <t>Deposit: Branch:Main, Product: CA, Currency: MNT, Segment: Total</t>
  </si>
  <si>
    <t>Deposit: Branch:Main, Product: CA, Currency: MNT, Segment: Retail</t>
  </si>
  <si>
    <t>Deposit: Branch:Main, Product: CA, Currency: MNT, Segment: Private</t>
  </si>
  <si>
    <t>Deposit: Branch:Main, Product: CA, Currency: FC, Segment: Total</t>
  </si>
  <si>
    <t>Deposit: Branch:Main, Product: CA, Currency: FC, Segment: Retail</t>
  </si>
  <si>
    <t>Deposit: Branch:Main, Product: CA, Currency: FC, Segment: Private</t>
  </si>
  <si>
    <t>Deposit: Branch:Main, Product: SA, Currency: Total, Segment: Total</t>
  </si>
  <si>
    <t>Deposit: Branch:Main, Product: SA, Currency: Total, Segment: Retail</t>
  </si>
  <si>
    <t>Deposit: Branch:Main, Product: SA, Currency: Total, Segment: Private</t>
  </si>
  <si>
    <t>Deposit: Branch:Main, Product: SA, Currency: MNT, Segment: Total</t>
  </si>
  <si>
    <t>Deposit: Branch:Main, Product: SA, Currency: MNT, Segment: Retail</t>
  </si>
  <si>
    <t>Deposit: Branch:Main, Product: SA, Currency: MNT, Segment: Private</t>
  </si>
  <si>
    <t>Deposit: Branch:Main, Product: SA, Currency: FC, Segment: Total</t>
  </si>
  <si>
    <t>Deposit: Branch:Main, Product: SA, Currency: FC, Segment: Retail</t>
  </si>
  <si>
    <t>Deposit: Branch:Main, Product: SA, Currency: FC, Segment: Private</t>
  </si>
  <si>
    <t>Deposit: Branch:Oth, Product: Total, Currency: Total, Segment: Total</t>
  </si>
  <si>
    <t xml:space="preserve"> </t>
  </si>
  <si>
    <t>Meta</t>
  </si>
  <si>
    <t>macro</t>
  </si>
  <si>
    <t>LOAN (SECTOR)</t>
  </si>
  <si>
    <t>A6:A53</t>
  </si>
  <si>
    <t>fin</t>
  </si>
  <si>
    <t>LOAN (SEGMENT)</t>
  </si>
  <si>
    <t>B11</t>
  </si>
  <si>
    <t>A5,A54:A80</t>
  </si>
  <si>
    <t>LOAN (OTH)</t>
  </si>
  <si>
    <t>A5,A81:A84</t>
  </si>
  <si>
    <t>DEPO (PRODUCT)</t>
  </si>
  <si>
    <t>DEPO (SEGMENT)</t>
  </si>
  <si>
    <t>DEPO (OTH)</t>
  </si>
  <si>
    <t>A85:A93</t>
  </si>
  <si>
    <t>A85,A94:A111</t>
  </si>
  <si>
    <t>A85,A112:A113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</si>
</sst>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13" x14ac:knownFonts="1">
    <font>
      <sz val="11"/>
      <color theme="1"/>
      <name val="Arial"/>
      <family val="2"/>
      <scheme val="minor"/>
    </font>
    <font>
      <sz val="9"/>
      <color theme="1"/>
      <name val="Arial"/>
      <family val="2"/>
    </font>
    <font>
      <sz val="8"/>
      <name val="Arial"/>
      <family val="2"/>
      <scheme val="minor"/>
    </font>
    <font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9"/>
      <color theme="0"/>
      <name val="Arial"/>
      <family val="2"/>
      <scheme val="minor"/>
    </font>
    <font>
      <sz val="10"/>
      <color theme="0"/>
      <name val="Arial"/>
      <family val="2"/>
      <scheme val="minor"/>
    </font>
    <font>
      <b/>
      <sz val="10"/>
      <color theme="0"/>
      <name val="Arial"/>
      <family val="2"/>
      <scheme val="minor"/>
    </font>
    <font>
      <sz val="72"/>
      <color theme="0"/>
      <name val="Courier New"/>
      <family val="3"/>
    </font>
    <font>
      <i/>
      <sz val="8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66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4" fontId="1" fillId="2" borderId="0" xfId="0" applyNumberFormat="1" applyFont="1" applyFill="1"/>
    <xf numFmtId="4" fontId="0" fillId="2" borderId="0" xfId="0" applyNumberFormat="1" applyFill="1" applyAlignment="1">
      <alignment vertical="center" wrapText="1"/>
    </xf>
    <xf numFmtId="4" fontId="0" fillId="2" borderId="0" xfId="0" applyNumberFormat="1" applyFill="1"/>
    <xf numFmtId="4" fontId="0" fillId="2" borderId="0" xfId="0" applyNumberFormat="1" applyFill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4" fontId="0" fillId="0" borderId="0" xfId="0" applyNumberFormat="1" applyFont="1" applyFill="1" applyBorder="1"/>
    <xf numFmtId="0" fontId="0" fillId="0" borderId="0" xfId="0" applyFont="1" applyFill="1" applyBorder="1"/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9" fontId="3" fillId="2" borderId="0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4" fillId="2" borderId="0" xfId="0" quotePrefix="1" applyFont="1" applyFill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0" fontId="4" fillId="2" borderId="4" xfId="0" quotePrefix="1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3" fillId="2" borderId="0" xfId="0" quotePrefix="1" applyFont="1" applyFill="1" applyAlignment="1">
      <alignment vertical="center"/>
    </xf>
    <xf numFmtId="0" fontId="4" fillId="2" borderId="0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0" fillId="4" borderId="1" xfId="0" quotePrefix="1" applyFont="1" applyFill="1" applyBorder="1" applyAlignment="1">
      <alignment vertical="center"/>
    </xf>
    <xf numFmtId="0" fontId="3" fillId="2" borderId="0" xfId="2" applyNumberFormat="1" applyFont="1" applyFill="1" applyAlignment="1">
      <alignment vertical="center"/>
    </xf>
    <xf numFmtId="0" fontId="3" fillId="2" borderId="0" xfId="0" applyNumberFormat="1" applyFont="1" applyFill="1" applyAlignment="1">
      <alignment vertical="center"/>
    </xf>
    <xf numFmtId="0" fontId="3" fillId="2" borderId="0" xfId="0" applyFont="1" applyFill="1" applyAlignment="1" applyProtection="1">
      <alignment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3" fillId="2" borderId="0" xfId="2" quotePrefix="1" applyNumberFormat="1" applyFont="1" applyFill="1" applyAlignment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3" fillId="4" borderId="0" xfId="0" applyFont="1" applyFill="1"/>
    <xf numFmtId="0" fontId="11" fillId="4" borderId="8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4" fontId="0" fillId="0" borderId="0" xfId="0" applyNumberFormat="1" applyFont="1" applyFill="1"/>
    <xf numFmtId="0" fontId="4" fillId="2" borderId="1" xfId="0" quotePrefix="1" applyFont="1" applyFill="1" applyBorder="1" applyAlignment="1">
      <alignment vertical="center"/>
    </xf>
    <xf numFmtId="0" fontId="12" fillId="2" borderId="0" xfId="0" applyFont="1" applyFill="1" applyAlignment="1">
      <alignment vertical="center"/>
    </xf>
    <xf numFmtId="4" fontId="4" fillId="2" borderId="0" xfId="0" applyNumberFormat="1" applyFont="1" applyFill="1" applyAlignment="1">
      <alignment vertical="center"/>
    </xf>
    <xf numFmtId="0" fontId="4" fillId="2" borderId="0" xfId="0" quotePrefix="1" applyFont="1" applyFill="1" applyBorder="1" applyAlignment="1">
      <alignment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2" applyNumberFormat="1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 indent="1"/>
    </xf>
    <xf numFmtId="0" fontId="8" fillId="4" borderId="0" xfId="0" applyFont="1" applyFill="1" applyBorder="1" applyAlignment="1">
      <alignment horizontal="left" vertical="center" indent="1"/>
    </xf>
    <xf numFmtId="0" fontId="8" fillId="4" borderId="9" xfId="0" applyFont="1" applyFill="1" applyBorder="1" applyAlignment="1">
      <alignment vertical="top" wrapText="1"/>
    </xf>
  </cellXfs>
  <cellStyles count="3">
    <cellStyle name="Comma" xfId="2" builtinId="3"/>
    <cellStyle name="Normal" xfId="0" builtinId="0"/>
    <cellStyle name="Percent" xfId="1" builtinId="5"/>
  </cellStyles>
  <dxfs count="302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numFmt numFmtId="14" formatCode="0.00%"/>
    </dxf>
    <dxf>
      <numFmt numFmtId="4" formatCode="#,##0.00"/>
    </dxf>
    <dxf>
      <font>
        <b/>
        <i val="0"/>
        <color theme="0"/>
      </font>
      <fill>
        <patternFill>
          <bgColor theme="1" tint="0.24994659260841701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ill>
        <patternFill>
          <bgColor rgb="FFFFFFCC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2"/>
        </top>
        <bottom style="thin">
          <color theme="2"/>
        </bottom>
        <vertical/>
        <horizontal/>
      </border>
    </dxf>
    <dxf>
      <border outline="0">
        <top style="thin">
          <color theme="2"/>
        </top>
      </border>
    </dxf>
    <dxf>
      <border outline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color theme="0"/>
      </font>
      <fill>
        <patternFill>
          <bgColor theme="1" tint="0.14996795556505021"/>
        </patternFill>
      </fill>
    </dxf>
    <dxf>
      <fill>
        <patternFill>
          <bgColor theme="0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</dxfs>
  <tableStyles count="1" defaultTableStyle="TableStyleMedium2" defaultPivotStyle="PivotStyleLight16">
    <tableStyle name="murunofc" pivot="0" count="2" xr9:uid="{CB38DED2-F8AC-4E1B-B39F-2997D320D8FB}">
      <tableStyleElement type="wholeTable" dxfId="301"/>
      <tableStyleElement type="headerRow" dxfId="30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66676</xdr:colOff>
      <xdr:row>1</xdr:row>
      <xdr:rowOff>47625</xdr:rowOff>
    </xdr:from>
    <xdr:to>
      <xdr:col>8</xdr:col>
      <xdr:colOff>0</xdr:colOff>
      <xdr:row>5</xdr:row>
      <xdr:rowOff>47624</xdr:rowOff>
    </xdr:to>
    <xdr:sp macro="[0]!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132A7B-A4EB-4E01-89F1-75C6DCAA5024}"/>
            </a:ext>
          </a:extLst>
        </xdr:cNvPr>
        <xdr:cNvSpPr/>
      </xdr:nvSpPr>
      <xdr:spPr>
        <a:xfrm>
          <a:off x="5724526" y="200025"/>
          <a:ext cx="819149" cy="609599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REFRESH</a:t>
          </a:r>
        </a:p>
      </xdr:txBody>
    </xdr:sp>
    <xdr:clientData/>
  </xdr:twoCellAnchor>
  <xdr:twoCellAnchor>
    <xdr:from>
      <xdr:col>8</xdr:col>
      <xdr:colOff>38100</xdr:colOff>
      <xdr:row>1</xdr:row>
      <xdr:rowOff>57150</xdr:rowOff>
    </xdr:from>
    <xdr:to>
      <xdr:col>9</xdr:col>
      <xdr:colOff>190500</xdr:colOff>
      <xdr:row>3</xdr:row>
      <xdr:rowOff>9525</xdr:rowOff>
    </xdr:to>
    <xdr:sp macro="[0]!_xludf.clear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32213F3-EF6B-4A1C-9F0F-DD07861BAC7F}"/>
            </a:ext>
          </a:extLst>
        </xdr:cNvPr>
        <xdr:cNvSpPr/>
      </xdr:nvSpPr>
      <xdr:spPr>
        <a:xfrm>
          <a:off x="6581775" y="209550"/>
          <a:ext cx="1038225" cy="2571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>
    <xdr:from>
      <xdr:col>8</xdr:col>
      <xdr:colOff>38100</xdr:colOff>
      <xdr:row>3</xdr:row>
      <xdr:rowOff>57149</xdr:rowOff>
    </xdr:from>
    <xdr:to>
      <xdr:col>9</xdr:col>
      <xdr:colOff>200025</xdr:colOff>
      <xdr:row>5</xdr:row>
      <xdr:rowOff>28574</xdr:rowOff>
    </xdr:to>
    <xdr:sp macro="[0]!export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25CCECD7-7C36-4C0F-9CDF-B0F05C52A10E}"/>
            </a:ext>
          </a:extLst>
        </xdr:cNvPr>
        <xdr:cNvSpPr/>
      </xdr:nvSpPr>
      <xdr:spPr>
        <a:xfrm>
          <a:off x="6581775" y="514349"/>
          <a:ext cx="1047750" cy="2762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9</xdr:col>
      <xdr:colOff>590550</xdr:colOff>
      <xdr:row>1</xdr:row>
      <xdr:rowOff>95250</xdr:rowOff>
    </xdr:from>
    <xdr:to>
      <xdr:col>10</xdr:col>
      <xdr:colOff>523875</xdr:colOff>
      <xdr:row>3</xdr:row>
      <xdr:rowOff>0</xdr:rowOff>
    </xdr:to>
    <xdr:sp macro="[0]!quickca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8152A7-37DD-4922-94F5-0E3D7D34043E}"/>
            </a:ext>
          </a:extLst>
        </xdr:cNvPr>
        <xdr:cNvSpPr/>
      </xdr:nvSpPr>
      <xdr:spPr>
        <a:xfrm>
          <a:off x="7839075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NGDP-P</a:t>
          </a:r>
        </a:p>
      </xdr:txBody>
    </xdr:sp>
    <xdr:clientData/>
  </xdr:twoCellAnchor>
  <xdr:twoCellAnchor>
    <xdr:from>
      <xdr:col>10</xdr:col>
      <xdr:colOff>574675</xdr:colOff>
      <xdr:row>1</xdr:row>
      <xdr:rowOff>95250</xdr:rowOff>
    </xdr:from>
    <xdr:to>
      <xdr:col>11</xdr:col>
      <xdr:colOff>508000</xdr:colOff>
      <xdr:row>3</xdr:row>
      <xdr:rowOff>0</xdr:rowOff>
    </xdr:to>
    <xdr:sp macro="[0]!quickca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8B67CB-54EE-412D-BC72-A9340BADB508}"/>
            </a:ext>
          </a:extLst>
        </xdr:cNvPr>
        <xdr:cNvSpPr/>
      </xdr:nvSpPr>
      <xdr:spPr>
        <a:xfrm>
          <a:off x="8709025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NGDP-E</a:t>
          </a:r>
        </a:p>
      </xdr:txBody>
    </xdr:sp>
    <xdr:clientData/>
  </xdr:twoCellAnchor>
  <xdr:twoCellAnchor>
    <xdr:from>
      <xdr:col>11</xdr:col>
      <xdr:colOff>558800</xdr:colOff>
      <xdr:row>1</xdr:row>
      <xdr:rowOff>95250</xdr:rowOff>
    </xdr:from>
    <xdr:to>
      <xdr:col>12</xdr:col>
      <xdr:colOff>492125</xdr:colOff>
      <xdr:row>3</xdr:row>
      <xdr:rowOff>0</xdr:rowOff>
    </xdr:to>
    <xdr:sp macro="[0]!quickca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AFEE965-437B-4E60-B599-CA58FA29AE30}"/>
            </a:ext>
          </a:extLst>
        </xdr:cNvPr>
        <xdr:cNvSpPr/>
      </xdr:nvSpPr>
      <xdr:spPr>
        <a:xfrm>
          <a:off x="9578975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BUDGET</a:t>
          </a:r>
        </a:p>
      </xdr:txBody>
    </xdr:sp>
    <xdr:clientData/>
  </xdr:twoCellAnchor>
  <xdr:twoCellAnchor>
    <xdr:from>
      <xdr:col>12</xdr:col>
      <xdr:colOff>542925</xdr:colOff>
      <xdr:row>1</xdr:row>
      <xdr:rowOff>95250</xdr:rowOff>
    </xdr:from>
    <xdr:to>
      <xdr:col>13</xdr:col>
      <xdr:colOff>476250</xdr:colOff>
      <xdr:row>3</xdr:row>
      <xdr:rowOff>0</xdr:rowOff>
    </xdr:to>
    <xdr:sp macro="[0]!quickcas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C2C1CB4-2DB6-4E6C-A5B7-B70B42A0A53E}"/>
            </a:ext>
          </a:extLst>
        </xdr:cNvPr>
        <xdr:cNvSpPr/>
      </xdr:nvSpPr>
      <xdr:spPr>
        <a:xfrm>
          <a:off x="10448925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BOP</a:t>
          </a:r>
        </a:p>
      </xdr:txBody>
    </xdr:sp>
    <xdr:clientData/>
  </xdr:twoCellAnchor>
  <xdr:twoCellAnchor>
    <xdr:from>
      <xdr:col>13</xdr:col>
      <xdr:colOff>523875</xdr:colOff>
      <xdr:row>1</xdr:row>
      <xdr:rowOff>95250</xdr:rowOff>
    </xdr:from>
    <xdr:to>
      <xdr:col>14</xdr:col>
      <xdr:colOff>457200</xdr:colOff>
      <xdr:row>3</xdr:row>
      <xdr:rowOff>0</xdr:rowOff>
    </xdr:to>
    <xdr:sp macro="[0]!quickca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C0F1C8E-C6DB-49A1-AEB9-7F928CBDE131}"/>
            </a:ext>
          </a:extLst>
        </xdr:cNvPr>
        <xdr:cNvSpPr/>
      </xdr:nvSpPr>
      <xdr:spPr>
        <a:xfrm>
          <a:off x="11315700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FXRES</a:t>
          </a:r>
        </a:p>
      </xdr:txBody>
    </xdr:sp>
    <xdr:clientData/>
  </xdr:twoCellAnchor>
  <xdr:twoCellAnchor>
    <xdr:from>
      <xdr:col>14</xdr:col>
      <xdr:colOff>508000</xdr:colOff>
      <xdr:row>1</xdr:row>
      <xdr:rowOff>95250</xdr:rowOff>
    </xdr:from>
    <xdr:to>
      <xdr:col>15</xdr:col>
      <xdr:colOff>441325</xdr:colOff>
      <xdr:row>3</xdr:row>
      <xdr:rowOff>0</xdr:rowOff>
    </xdr:to>
    <xdr:sp macro="[0]!quickcast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D8794A29-D9D6-4738-A542-5F5716649C48}"/>
            </a:ext>
          </a:extLst>
        </xdr:cNvPr>
        <xdr:cNvSpPr/>
      </xdr:nvSpPr>
      <xdr:spPr>
        <a:xfrm>
          <a:off x="12185650" y="247650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BANK</a:t>
          </a:r>
        </a:p>
      </xdr:txBody>
    </xdr:sp>
    <xdr:clientData/>
  </xdr:twoCellAnchor>
  <xdr:twoCellAnchor>
    <xdr:from>
      <xdr:col>16</xdr:col>
      <xdr:colOff>28575</xdr:colOff>
      <xdr:row>1</xdr:row>
      <xdr:rowOff>95250</xdr:rowOff>
    </xdr:from>
    <xdr:to>
      <xdr:col>17</xdr:col>
      <xdr:colOff>514350</xdr:colOff>
      <xdr:row>3</xdr:row>
      <xdr:rowOff>0</xdr:rowOff>
    </xdr:to>
    <xdr:sp macro="[0]!quickcast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718B1727-6595-4999-9382-ED45D082142E}"/>
            </a:ext>
          </a:extLst>
        </xdr:cNvPr>
        <xdr:cNvSpPr/>
      </xdr:nvSpPr>
      <xdr:spPr>
        <a:xfrm>
          <a:off x="13477875" y="247650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(SECTOR)</a:t>
          </a:r>
        </a:p>
      </xdr:txBody>
    </xdr:sp>
    <xdr:clientData/>
  </xdr:twoCellAnchor>
  <xdr:twoCellAnchor>
    <xdr:from>
      <xdr:col>17</xdr:col>
      <xdr:colOff>561975</xdr:colOff>
      <xdr:row>1</xdr:row>
      <xdr:rowOff>95250</xdr:rowOff>
    </xdr:from>
    <xdr:to>
      <xdr:col>19</xdr:col>
      <xdr:colOff>161925</xdr:colOff>
      <xdr:row>3</xdr:row>
      <xdr:rowOff>0</xdr:rowOff>
    </xdr:to>
    <xdr:sp macro="[0]!quickcast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DD4623BF-24B8-4153-9CA2-E9131D4E43F7}"/>
            </a:ext>
          </a:extLst>
        </xdr:cNvPr>
        <xdr:cNvSpPr/>
      </xdr:nvSpPr>
      <xdr:spPr>
        <a:xfrm>
          <a:off x="14897100" y="247650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(PRODUCT)</a:t>
          </a:r>
        </a:p>
      </xdr:txBody>
    </xdr:sp>
    <xdr:clientData/>
  </xdr:twoCellAnchor>
  <xdr:twoCellAnchor>
    <xdr:from>
      <xdr:col>9</xdr:col>
      <xdr:colOff>590550</xdr:colOff>
      <xdr:row>3</xdr:row>
      <xdr:rowOff>40481</xdr:rowOff>
    </xdr:from>
    <xdr:to>
      <xdr:col>10</xdr:col>
      <xdr:colOff>523875</xdr:colOff>
      <xdr:row>4</xdr:row>
      <xdr:rowOff>97631</xdr:rowOff>
    </xdr:to>
    <xdr:sp macro="[0]!quickca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129A64E-63D1-4C20-B91D-829B2A1C0083}"/>
            </a:ext>
          </a:extLst>
        </xdr:cNvPr>
        <xdr:cNvSpPr/>
      </xdr:nvSpPr>
      <xdr:spPr>
        <a:xfrm>
          <a:off x="7839075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RGDP-P</a:t>
          </a:r>
        </a:p>
      </xdr:txBody>
    </xdr:sp>
    <xdr:clientData/>
  </xdr:twoCellAnchor>
  <xdr:twoCellAnchor>
    <xdr:from>
      <xdr:col>10</xdr:col>
      <xdr:colOff>574675</xdr:colOff>
      <xdr:row>3</xdr:row>
      <xdr:rowOff>40481</xdr:rowOff>
    </xdr:from>
    <xdr:to>
      <xdr:col>11</xdr:col>
      <xdr:colOff>508000</xdr:colOff>
      <xdr:row>4</xdr:row>
      <xdr:rowOff>97631</xdr:rowOff>
    </xdr:to>
    <xdr:sp macro="[0]!quickca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E78989F-7343-48A4-B8F6-CEDFCBD85939}"/>
            </a:ext>
          </a:extLst>
        </xdr:cNvPr>
        <xdr:cNvSpPr/>
      </xdr:nvSpPr>
      <xdr:spPr>
        <a:xfrm>
          <a:off x="8709025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RGDP-E</a:t>
          </a:r>
        </a:p>
      </xdr:txBody>
    </xdr:sp>
    <xdr:clientData/>
  </xdr:twoCellAnchor>
  <xdr:twoCellAnchor>
    <xdr:from>
      <xdr:col>11</xdr:col>
      <xdr:colOff>558800</xdr:colOff>
      <xdr:row>3</xdr:row>
      <xdr:rowOff>40481</xdr:rowOff>
    </xdr:from>
    <xdr:to>
      <xdr:col>12</xdr:col>
      <xdr:colOff>492125</xdr:colOff>
      <xdr:row>4</xdr:row>
      <xdr:rowOff>97631</xdr:rowOff>
    </xdr:to>
    <xdr:sp macro="[0]!quickcas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9A13C1-84DA-4903-B222-C6C6BD04AF3F}"/>
            </a:ext>
          </a:extLst>
        </xdr:cNvPr>
        <xdr:cNvSpPr/>
      </xdr:nvSpPr>
      <xdr:spPr>
        <a:xfrm>
          <a:off x="9578975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CPI</a:t>
          </a:r>
        </a:p>
      </xdr:txBody>
    </xdr:sp>
    <xdr:clientData/>
  </xdr:twoCellAnchor>
  <xdr:twoCellAnchor>
    <xdr:from>
      <xdr:col>12</xdr:col>
      <xdr:colOff>542925</xdr:colOff>
      <xdr:row>3</xdr:row>
      <xdr:rowOff>40481</xdr:rowOff>
    </xdr:from>
    <xdr:to>
      <xdr:col>13</xdr:col>
      <xdr:colOff>476250</xdr:colOff>
      <xdr:row>4</xdr:row>
      <xdr:rowOff>97631</xdr:rowOff>
    </xdr:to>
    <xdr:sp macro="[0]!quickcas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BC75505C-E64C-491D-8632-DD14D8C71E34}"/>
            </a:ext>
          </a:extLst>
        </xdr:cNvPr>
        <xdr:cNvSpPr/>
      </xdr:nvSpPr>
      <xdr:spPr>
        <a:xfrm>
          <a:off x="10448925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RATE</a:t>
          </a:r>
        </a:p>
      </xdr:txBody>
    </xdr:sp>
    <xdr:clientData/>
  </xdr:twoCellAnchor>
  <xdr:twoCellAnchor>
    <xdr:from>
      <xdr:col>13</xdr:col>
      <xdr:colOff>523875</xdr:colOff>
      <xdr:row>3</xdr:row>
      <xdr:rowOff>40481</xdr:rowOff>
    </xdr:from>
    <xdr:to>
      <xdr:col>14</xdr:col>
      <xdr:colOff>457200</xdr:colOff>
      <xdr:row>4</xdr:row>
      <xdr:rowOff>97631</xdr:rowOff>
    </xdr:to>
    <xdr:sp macro="[0]!quickcast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14423A73-7AEF-4ECD-9CD8-D35717F8BE1E}"/>
            </a:ext>
          </a:extLst>
        </xdr:cNvPr>
        <xdr:cNvSpPr/>
      </xdr:nvSpPr>
      <xdr:spPr>
        <a:xfrm>
          <a:off x="11315700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EXRATE</a:t>
          </a:r>
        </a:p>
      </xdr:txBody>
    </xdr:sp>
    <xdr:clientData/>
  </xdr:twoCellAnchor>
  <xdr:twoCellAnchor>
    <xdr:from>
      <xdr:col>14</xdr:col>
      <xdr:colOff>508000</xdr:colOff>
      <xdr:row>3</xdr:row>
      <xdr:rowOff>40481</xdr:rowOff>
    </xdr:from>
    <xdr:to>
      <xdr:col>15</xdr:col>
      <xdr:colOff>441325</xdr:colOff>
      <xdr:row>4</xdr:row>
      <xdr:rowOff>97631</xdr:rowOff>
    </xdr:to>
    <xdr:sp macro="[0]!quickcast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F170686B-BACE-409D-90CD-B0186445F5D3}"/>
            </a:ext>
          </a:extLst>
        </xdr:cNvPr>
        <xdr:cNvSpPr/>
      </xdr:nvSpPr>
      <xdr:spPr>
        <a:xfrm>
          <a:off x="12185650" y="497681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EXDEBT</a:t>
          </a:r>
        </a:p>
      </xdr:txBody>
    </xdr:sp>
    <xdr:clientData/>
  </xdr:twoCellAnchor>
  <xdr:twoCellAnchor>
    <xdr:from>
      <xdr:col>16</xdr:col>
      <xdr:colOff>28575</xdr:colOff>
      <xdr:row>3</xdr:row>
      <xdr:rowOff>40481</xdr:rowOff>
    </xdr:from>
    <xdr:to>
      <xdr:col>17</xdr:col>
      <xdr:colOff>514350</xdr:colOff>
      <xdr:row>4</xdr:row>
      <xdr:rowOff>97631</xdr:rowOff>
    </xdr:to>
    <xdr:sp macro="[0]!quickcast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3723B1C-6EB3-4E9B-A76F-07C5DEA4FE97}"/>
            </a:ext>
          </a:extLst>
        </xdr:cNvPr>
        <xdr:cNvSpPr/>
      </xdr:nvSpPr>
      <xdr:spPr>
        <a:xfrm>
          <a:off x="13477875" y="497681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(SEGMENT)</a:t>
          </a:r>
        </a:p>
      </xdr:txBody>
    </xdr:sp>
    <xdr:clientData/>
  </xdr:twoCellAnchor>
  <xdr:twoCellAnchor>
    <xdr:from>
      <xdr:col>17</xdr:col>
      <xdr:colOff>561975</xdr:colOff>
      <xdr:row>3</xdr:row>
      <xdr:rowOff>40481</xdr:rowOff>
    </xdr:from>
    <xdr:to>
      <xdr:col>19</xdr:col>
      <xdr:colOff>161925</xdr:colOff>
      <xdr:row>4</xdr:row>
      <xdr:rowOff>97631</xdr:rowOff>
    </xdr:to>
    <xdr:sp macro="[0]!quickcast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A45865F1-F525-44BD-A936-A49E002F9305}"/>
            </a:ext>
          </a:extLst>
        </xdr:cNvPr>
        <xdr:cNvSpPr/>
      </xdr:nvSpPr>
      <xdr:spPr>
        <a:xfrm>
          <a:off x="14897100" y="497681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(SEGMENT)</a:t>
          </a:r>
        </a:p>
      </xdr:txBody>
    </xdr:sp>
    <xdr:clientData/>
  </xdr:twoCellAnchor>
  <xdr:twoCellAnchor>
    <xdr:from>
      <xdr:col>9</xdr:col>
      <xdr:colOff>590550</xdr:colOff>
      <xdr:row>4</xdr:row>
      <xdr:rowOff>138112</xdr:rowOff>
    </xdr:from>
    <xdr:to>
      <xdr:col>10</xdr:col>
      <xdr:colOff>523875</xdr:colOff>
      <xdr:row>6</xdr:row>
      <xdr:rowOff>42862</xdr:rowOff>
    </xdr:to>
    <xdr:sp macro="[0]!quickcas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54499EFD-D90A-497D-9723-0D5EFC77C0B1}"/>
            </a:ext>
          </a:extLst>
        </xdr:cNvPr>
        <xdr:cNvSpPr/>
      </xdr:nvSpPr>
      <xdr:spPr>
        <a:xfrm>
          <a:off x="7839075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EMP</a:t>
          </a:r>
        </a:p>
      </xdr:txBody>
    </xdr:sp>
    <xdr:clientData/>
  </xdr:twoCellAnchor>
  <xdr:twoCellAnchor>
    <xdr:from>
      <xdr:col>10</xdr:col>
      <xdr:colOff>574675</xdr:colOff>
      <xdr:row>4</xdr:row>
      <xdr:rowOff>138112</xdr:rowOff>
    </xdr:from>
    <xdr:to>
      <xdr:col>11</xdr:col>
      <xdr:colOff>508000</xdr:colOff>
      <xdr:row>6</xdr:row>
      <xdr:rowOff>42862</xdr:rowOff>
    </xdr:to>
    <xdr:sp macro="[0]!quickcas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69742C05-2973-49CC-A9AA-27E1C0F6576C}"/>
            </a:ext>
          </a:extLst>
        </xdr:cNvPr>
        <xdr:cNvSpPr/>
      </xdr:nvSpPr>
      <xdr:spPr>
        <a:xfrm>
          <a:off x="8709025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WAGE</a:t>
          </a:r>
        </a:p>
      </xdr:txBody>
    </xdr:sp>
    <xdr:clientData/>
  </xdr:twoCellAnchor>
  <xdr:twoCellAnchor>
    <xdr:from>
      <xdr:col>11</xdr:col>
      <xdr:colOff>558800</xdr:colOff>
      <xdr:row>4</xdr:row>
      <xdr:rowOff>138112</xdr:rowOff>
    </xdr:from>
    <xdr:to>
      <xdr:col>12</xdr:col>
      <xdr:colOff>492125</xdr:colOff>
      <xdr:row>6</xdr:row>
      <xdr:rowOff>42862</xdr:rowOff>
    </xdr:to>
    <xdr:sp macro="[0]!quickcas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CA9A936-575C-40E2-BC85-41F8E539137A}"/>
            </a:ext>
          </a:extLst>
        </xdr:cNvPr>
        <xdr:cNvSpPr/>
      </xdr:nvSpPr>
      <xdr:spPr>
        <a:xfrm>
          <a:off x="9578975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TRADE</a:t>
          </a:r>
        </a:p>
      </xdr:txBody>
    </xdr:sp>
    <xdr:clientData/>
  </xdr:twoCellAnchor>
  <xdr:twoCellAnchor>
    <xdr:from>
      <xdr:col>12</xdr:col>
      <xdr:colOff>542925</xdr:colOff>
      <xdr:row>4</xdr:row>
      <xdr:rowOff>138112</xdr:rowOff>
    </xdr:from>
    <xdr:to>
      <xdr:col>13</xdr:col>
      <xdr:colOff>476250</xdr:colOff>
      <xdr:row>6</xdr:row>
      <xdr:rowOff>42862</xdr:rowOff>
    </xdr:to>
    <xdr:sp macro="[0]!quickcast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B299A312-37DB-453E-9492-56A8944213D5}"/>
            </a:ext>
          </a:extLst>
        </xdr:cNvPr>
        <xdr:cNvSpPr/>
      </xdr:nvSpPr>
      <xdr:spPr>
        <a:xfrm>
          <a:off x="10448925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C-PRICE</a:t>
          </a:r>
        </a:p>
      </xdr:txBody>
    </xdr:sp>
    <xdr:clientData/>
  </xdr:twoCellAnchor>
  <xdr:twoCellAnchor>
    <xdr:from>
      <xdr:col>13</xdr:col>
      <xdr:colOff>523875</xdr:colOff>
      <xdr:row>4</xdr:row>
      <xdr:rowOff>138112</xdr:rowOff>
    </xdr:from>
    <xdr:to>
      <xdr:col>14</xdr:col>
      <xdr:colOff>457200</xdr:colOff>
      <xdr:row>6</xdr:row>
      <xdr:rowOff>42862</xdr:rowOff>
    </xdr:to>
    <xdr:sp macro="[0]!quickcast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58510CB7-3D64-437F-B12E-8A9275C3BEAA}"/>
            </a:ext>
          </a:extLst>
        </xdr:cNvPr>
        <xdr:cNvSpPr/>
      </xdr:nvSpPr>
      <xdr:spPr>
        <a:xfrm>
          <a:off x="11315700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TRADE(Q)</a:t>
          </a:r>
        </a:p>
      </xdr:txBody>
    </xdr:sp>
    <xdr:clientData/>
  </xdr:twoCellAnchor>
  <xdr:twoCellAnchor>
    <xdr:from>
      <xdr:col>14</xdr:col>
      <xdr:colOff>508000</xdr:colOff>
      <xdr:row>4</xdr:row>
      <xdr:rowOff>138112</xdr:rowOff>
    </xdr:from>
    <xdr:to>
      <xdr:col>15</xdr:col>
      <xdr:colOff>441325</xdr:colOff>
      <xdr:row>6</xdr:row>
      <xdr:rowOff>42862</xdr:rowOff>
    </xdr:to>
    <xdr:sp macro="[0]!quickcast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7BFF2E1-4C06-4F46-B2EB-5AF24511A016}"/>
            </a:ext>
          </a:extLst>
        </xdr:cNvPr>
        <xdr:cNvSpPr/>
      </xdr:nvSpPr>
      <xdr:spPr>
        <a:xfrm>
          <a:off x="12185650" y="747712"/>
          <a:ext cx="81915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OTH</a:t>
          </a:r>
        </a:p>
      </xdr:txBody>
    </xdr:sp>
    <xdr:clientData/>
  </xdr:twoCellAnchor>
  <xdr:twoCellAnchor>
    <xdr:from>
      <xdr:col>16</xdr:col>
      <xdr:colOff>28575</xdr:colOff>
      <xdr:row>4</xdr:row>
      <xdr:rowOff>138112</xdr:rowOff>
    </xdr:from>
    <xdr:to>
      <xdr:col>17</xdr:col>
      <xdr:colOff>514350</xdr:colOff>
      <xdr:row>6</xdr:row>
      <xdr:rowOff>42862</xdr:rowOff>
    </xdr:to>
    <xdr:sp macro="[0]!quickcast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8426288F-D418-459D-9321-43EC444ACABC}"/>
            </a:ext>
          </a:extLst>
        </xdr:cNvPr>
        <xdr:cNvSpPr/>
      </xdr:nvSpPr>
      <xdr:spPr>
        <a:xfrm>
          <a:off x="13477875" y="747712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LOAN (OTH)</a:t>
          </a:r>
        </a:p>
      </xdr:txBody>
    </xdr:sp>
    <xdr:clientData/>
  </xdr:twoCellAnchor>
  <xdr:twoCellAnchor>
    <xdr:from>
      <xdr:col>17</xdr:col>
      <xdr:colOff>561975</xdr:colOff>
      <xdr:row>4</xdr:row>
      <xdr:rowOff>138112</xdr:rowOff>
    </xdr:from>
    <xdr:to>
      <xdr:col>19</xdr:col>
      <xdr:colOff>161925</xdr:colOff>
      <xdr:row>6</xdr:row>
      <xdr:rowOff>42862</xdr:rowOff>
    </xdr:to>
    <xdr:sp macro="[0]!quickcast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A8B37853-53A8-420C-8189-3EAF2CA61A27}"/>
            </a:ext>
          </a:extLst>
        </xdr:cNvPr>
        <xdr:cNvSpPr/>
      </xdr:nvSpPr>
      <xdr:spPr>
        <a:xfrm>
          <a:off x="14897100" y="747712"/>
          <a:ext cx="1371600" cy="20955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</a:rPr>
            <a:t>DEPO (OTH)</a:t>
          </a:r>
        </a:p>
      </xdr:txBody>
    </xdr:sp>
    <xdr:clientData/>
  </xdr:twoCellAnchor>
  <xdr:twoCellAnchor>
    <xdr:from>
      <xdr:col>7</xdr:col>
      <xdr:colOff>66674</xdr:colOff>
      <xdr:row>5</xdr:row>
      <xdr:rowOff>85726</xdr:rowOff>
    </xdr:from>
    <xdr:to>
      <xdr:col>9</xdr:col>
      <xdr:colOff>209549</xdr:colOff>
      <xdr:row>6</xdr:row>
      <xdr:rowOff>85725</xdr:rowOff>
    </xdr:to>
    <xdr:sp macro="[0]!acknowledgement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58459834-1D4E-4184-89CA-F96695CE2D1E}"/>
            </a:ext>
          </a:extLst>
        </xdr:cNvPr>
        <xdr:cNvSpPr/>
      </xdr:nvSpPr>
      <xdr:spPr>
        <a:xfrm>
          <a:off x="5724524" y="847726"/>
          <a:ext cx="1914525" cy="152399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ABOUT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6307ED4A-9F34-4AB1-B770-BAE805EC2AAF}" autoFormatId="16" applyNumberFormats="0" applyBorderFormats="0" applyFontFormats="0" applyPatternFormats="0" applyAlignmentFormats="0" applyWidthHeightFormats="0">
  <queryTableRefresh nextId="7">
    <queryTableFields count="6">
      <queryTableField id="1" name="VARIABLE" tableColumnId="1"/>
      <queryTableField id="2" name="SOURCE" tableColumnId="2"/>
      <queryTableField id="3" name="FREQUENCY" tableColumnId="3"/>
      <queryTableField id="4" name="DESCRIPTION" tableColumnId="4"/>
      <queryTableField id="5" name="UNIT" tableColumnId="5"/>
      <queryTableField id="6" name="TYP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1A224362-E7F2-4943-94A1-31F2E7D0AB20}" autoFormatId="16" applyNumberFormats="0" applyBorderFormats="0" applyFontFormats="0" applyPatternFormats="0" applyAlignmentFormats="0" applyWidthHeightFormats="0">
  <queryTableRefresh nextId="113">
    <queryTableFields count="112">
      <queryTableField id="1" name="period_y" tableColumnId="1"/>
      <queryTableField id="2" name="period_q" tableColumnId="2"/>
      <queryTableField id="3" name="period_m" tableColumnId="3"/>
      <queryTableField id="4" name="loan.b_main" tableColumnId="4"/>
      <queryTableField id="5" name="loan.b_main.sc_total" tableColumnId="5"/>
      <queryTableField id="6" name="loan.b_main.sc_agriculture" tableColumnId="6"/>
      <queryTableField id="7" name="loan.b_main.sc_mining" tableColumnId="7"/>
      <queryTableField id="8" name="loan.b_main.sc_manufacture" tableColumnId="8"/>
      <queryTableField id="9" name="loan.b_main.sc_infrastructure" tableColumnId="9"/>
      <queryTableField id="10" name="loan.b_main.sc_construction" tableColumnId="10"/>
      <queryTableField id="11" name="loan.b_main.sc_trade" tableColumnId="11"/>
      <queryTableField id="12" name="loan.b_main.sc_transportation" tableColumnId="12"/>
      <queryTableField id="13" name="loan.b_main.sc_service" tableColumnId="13"/>
      <queryTableField id="14" name="loan.b_main.sc_communication" tableColumnId="14"/>
      <queryTableField id="15" name="loan.b_main.sc_finance" tableColumnId="15"/>
      <queryTableField id="16" name="loan.b_main.sc_education" tableColumnId="16"/>
      <queryTableField id="17" name="loan.b_main.sc_health" tableColumnId="17"/>
      <queryTableField id="18" name="loan.b_main.sc_other" tableColumnId="18"/>
      <queryTableField id="19" name="loan.b_main.sc_salary" tableColumnId="19"/>
      <queryTableField id="20" name="loan.b_main.sc_card" tableColumnId="20"/>
      <queryTableField id="21" name="loan.b_main.sc_vehicle" tableColumnId="21"/>
      <queryTableField id="22" name="loan.b_main.sc_sbl" tableColumnId="22"/>
      <queryTableField id="23" name="loan.b_main.q_pdl" tableColumnId="23"/>
      <queryTableField id="24" name="loan.b_main.q_pdl.sc_total" tableColumnId="24"/>
      <queryTableField id="25" name="loan.b_main.q_pdl.sc_agriculture" tableColumnId="25"/>
      <queryTableField id="26" name="loan.b_main.q_pdl.sc_mining" tableColumnId="26"/>
      <queryTableField id="27" name="loan.b_main.q_pdl.sc_manufacture" tableColumnId="27"/>
      <queryTableField id="28" name="loan.b_main.q_pdl.sc_infrastructure" tableColumnId="28"/>
      <queryTableField id="29" name="loan.b_main.q_pdl.sc_construction" tableColumnId="29"/>
      <queryTableField id="30" name="loan.b_main.q_pdl.sc_trade" tableColumnId="30"/>
      <queryTableField id="31" name="loan.b_main.q_pdl.sc_transportation" tableColumnId="31"/>
      <queryTableField id="32" name="loan.b_main.q_pdl.sc_service" tableColumnId="32"/>
      <queryTableField id="33" name="loan.b_main.q_pdl.sc_communication" tableColumnId="33"/>
      <queryTableField id="34" name="loan.b_main.q_pdl.sc_finance" tableColumnId="34"/>
      <queryTableField id="35" name="loan.b_main.q_pdl.sc_education" tableColumnId="35"/>
      <queryTableField id="36" name="loan.b_main.q_pdl.sc_health" tableColumnId="36"/>
      <queryTableField id="37" name="loan.b_main.q_pdl.sc_other" tableColumnId="37"/>
      <queryTableField id="38" name="loan.b_main.q_npl" tableColumnId="38"/>
      <queryTableField id="39" name="loan.b_main.q_npl.sc_total" tableColumnId="39"/>
      <queryTableField id="40" name="loan.b_main.q_npl.sc_agriculture" tableColumnId="40"/>
      <queryTableField id="41" name="loan.b_main.q_npl.sc_mining" tableColumnId="41"/>
      <queryTableField id="42" name="loan.b_main.q_npl.sc_manufacture" tableColumnId="42"/>
      <queryTableField id="43" name="loan.b_main.q_npl.sc_infrastructure" tableColumnId="43"/>
      <queryTableField id="44" name="loan.b_main.q_npl.sc_construction" tableColumnId="44"/>
      <queryTableField id="45" name="loan.b_main.q_npl.sc_trade" tableColumnId="45"/>
      <queryTableField id="46" name="loan.b_main.q_npl.sc_transportation" tableColumnId="46"/>
      <queryTableField id="47" name="loan.b_main.q_npl.sc_service" tableColumnId="47"/>
      <queryTableField id="48" name="loan.b_main.q_npl.sc_communication" tableColumnId="48"/>
      <queryTableField id="49" name="loan.b_main.q_npl.sc_finance" tableColumnId="49"/>
      <queryTableField id="50" name="loan.b_main.q_npl.sc_education" tableColumnId="50"/>
      <queryTableField id="51" name="loan.b_main.q_npl.sc_health" tableColumnId="51"/>
      <queryTableField id="52" name="loan.b_main.q_npl.sc_other" tableColumnId="52"/>
      <queryTableField id="53" name="loan.b_main.sg_retail" tableColumnId="53"/>
      <queryTableField id="54" name="loan.b_main.sg_retail_sme" tableColumnId="54"/>
      <queryTableField id="55" name="loan.b_main.sg_corp" tableColumnId="55"/>
      <queryTableField id="56" name="loan.b_main.sg_corp_sme" tableColumnId="56"/>
      <queryTableField id="57" name="loan.b_main.q_pdl.sg_retail" tableColumnId="57"/>
      <queryTableField id="58" name="loan.b_main.q_pdl.sg_retail_sme" tableColumnId="58"/>
      <queryTableField id="59" name="loan.b_main.q_pdl.sg_corp" tableColumnId="59"/>
      <queryTableField id="60" name="loan.b_main.q_pdl.sg_corp_sme" tableColumnId="60"/>
      <queryTableField id="61" name="loan.b_main.q_npl.sg_retail" tableColumnId="61"/>
      <queryTableField id="62" name="loan.b_main.q_npl.sg_retail_sme" tableColumnId="62"/>
      <queryTableField id="63" name="loan.b_main.q_npl.sg_corp" tableColumnId="63"/>
      <queryTableField id="64" name="loan.b_main.q_npl.sg_corp_sme" tableColumnId="64"/>
      <queryTableField id="65" name="loan.b_main.c_mnt" tableColumnId="65"/>
      <queryTableField id="66" name="loan.b_main.c_mnt.sg_retail" tableColumnId="66"/>
      <queryTableField id="67" name="loan.b_main.c_mnt.sg_retail_sme" tableColumnId="67"/>
      <queryTableField id="68" name="loan.b_main.c_mnt.sg_corp" tableColumnId="68"/>
      <queryTableField id="69" name="loan.b_main.c_mnt.sg_corp_sme" tableColumnId="69"/>
      <queryTableField id="70" name="loan.b_main.q_pdl.c_mnt" tableColumnId="70"/>
      <queryTableField id="71" name="loan.b_main.q_pdl.c_mnt.sg_retail" tableColumnId="71"/>
      <queryTableField id="72" name="loan.b_main.q_pdl.c_mnt.sg_retail_sme" tableColumnId="72"/>
      <queryTableField id="73" name="loan.b_main.q_pdl.c_mnt.sg_corp" tableColumnId="73"/>
      <queryTableField id="74" name="loan.b_main.q_pdl.c_mnt.sg_corp_sme" tableColumnId="74"/>
      <queryTableField id="75" name="loan.b_main.q_npl.c_mnt" tableColumnId="75"/>
      <queryTableField id="76" name="loan.b_main.q_npl.c_mnt.sg_retail" tableColumnId="76"/>
      <queryTableField id="77" name="loan.b_main.q_npl.c_mnt.sg_retail_sme" tableColumnId="77"/>
      <queryTableField id="78" name="loan.b_main.q_npl.c_mnt.sg_corp" tableColumnId="78"/>
      <queryTableField id="79" name="loan.b_main.q_npl.c_mnt.sg_corp_sme" tableColumnId="79"/>
      <queryTableField id="80" name="loan.b_oth" tableColumnId="80"/>
      <queryTableField id="81" name="loan" tableColumnId="81"/>
      <queryTableField id="82" name="loan.b_numacc" tableColumnId="82"/>
      <queryTableField id="83" name="loan.b_numacc.c_mnt" tableColumnId="83"/>
      <queryTableField id="84" name="depo.b_main" tableColumnId="84"/>
      <queryTableField id="85" name="depo.b_main.sg_retail" tableColumnId="85"/>
      <queryTableField id="86" name="depo.b_main.sg_corp" tableColumnId="86"/>
      <queryTableField id="87" name="depo.b_main.c_mnt" tableColumnId="87"/>
      <queryTableField id="88" name="depo.b_main.c_mnt.sg_retail" tableColumnId="88"/>
      <queryTableField id="89" name="depo.b_main.c_mnt.sg_corp" tableColumnId="89"/>
      <queryTableField id="90" name="depo.b_main.c_fc" tableColumnId="90"/>
      <queryTableField id="91" name="depo.b_main.c_fc.sg_retail" tableColumnId="91"/>
      <queryTableField id="92" name="depo.b_main.c_fc.sg_corp" tableColumnId="92"/>
      <queryTableField id="93" name="depo.b_main.p_ca" tableColumnId="93"/>
      <queryTableField id="94" name="depo.b_main.p_ca.sg_retail" tableColumnId="94"/>
      <queryTableField id="95" name="depo.b_main.p_ca.sg_corp" tableColumnId="95"/>
      <queryTableField id="96" name="depo.b_main.p_ca.c_mnt" tableColumnId="96"/>
      <queryTableField id="97" name="depo.b_main.p_ca.c_mnt.sg_retail" tableColumnId="97"/>
      <queryTableField id="98" name="depo.b_main.p_ca.c_mnt.sg_corp" tableColumnId="98"/>
      <queryTableField id="99" name="depo.b_main.p_ca.c_fc" tableColumnId="99"/>
      <queryTableField id="100" name="depo.b_main.p_ca.c_fc.sg_retail" tableColumnId="100"/>
      <queryTableField id="101" name="depo.b_main.p_ca.c_fc.sg_corp" tableColumnId="101"/>
      <queryTableField id="102" name="depo.b_main.p_sa" tableColumnId="102"/>
      <queryTableField id="103" name="depo.b_main.p_sa.sg_retail" tableColumnId="103"/>
      <queryTableField id="104" name="depo.b_main.p_sa.sg_corp" tableColumnId="104"/>
      <queryTableField id="105" name="depo.b_main.p_sa.c_mnt" tableColumnId="105"/>
      <queryTableField id="106" name="depo.b_main.p_sa.c_mnt.sg_retail" tableColumnId="106"/>
      <queryTableField id="107" name="depo.b_main.p_sa.c_mnt.sg_corp" tableColumnId="107"/>
      <queryTableField id="108" name="depo.b_main.p_sa.c_fc" tableColumnId="108"/>
      <queryTableField id="109" name="depo.b_main.p_sa.c_fc.sg_retail" tableColumnId="109"/>
      <queryTableField id="110" name="depo.b_main.p_sa.c_fc.sg_corp" tableColumnId="110"/>
      <queryTableField id="111" name="depo" tableColumnId="111"/>
      <queryTableField id="112" name="depo.b_oth" tableColumnId="1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6309B99-BACE-40B1-9EF8-08C4A6D9EB13}" autoFormatId="16" applyNumberFormats="0" applyBorderFormats="0" applyFontFormats="0" applyPatternFormats="0" applyAlignmentFormats="0" applyWidthHeightFormats="0">
  <queryTableRefresh nextId="377">
    <queryTableFields count="180">
      <queryTableField id="163" name="period_y" tableColumnId="1"/>
      <queryTableField id="164" name="period_q" tableColumnId="2"/>
      <queryTableField id="165" name="period_m" tableColumnId="3"/>
      <queryTableField id="166" name="ngdp_total_p" tableColumnId="4"/>
      <queryTableField id="167" name="ngdp_agri_p" tableColumnId="5"/>
      <queryTableField id="168" name="ngdp_mining_p" tableColumnId="6"/>
      <queryTableField id="169" name="ngdp_manu_p" tableColumnId="7"/>
      <queryTableField id="170" name="ngdp_infra_p" tableColumnId="8"/>
      <queryTableField id="171" name="ngdp_const_p" tableColumnId="9"/>
      <queryTableField id="172" name="ngdp_trade_p" tableColumnId="10"/>
      <queryTableField id="173" name="ngdp_trans_p" tableColumnId="11"/>
      <queryTableField id="174" name="ngdp_comm_p" tableColumnId="12"/>
      <queryTableField id="175" name="ngdp_serv_p" tableColumnId="13"/>
      <queryTableField id="176" name="ngdp_tax_p" tableColumnId="14"/>
      <queryTableField id="177" name="rgdp_total_p" tableColumnId="15"/>
      <queryTableField id="178" name="rgdp_agri_p" tableColumnId="16"/>
      <queryTableField id="179" name="rgdp_mining_p" tableColumnId="17"/>
      <queryTableField id="180" name="rgdp_manu_p" tableColumnId="18"/>
      <queryTableField id="181" name="rgdp_infra_p" tableColumnId="19"/>
      <queryTableField id="182" name="rgdp_const_p" tableColumnId="20"/>
      <queryTableField id="183" name="rgdp_trade_p" tableColumnId="21"/>
      <queryTableField id="184" name="rgdp_trans_p" tableColumnId="22"/>
      <queryTableField id="185" name="rgdp_comm_p" tableColumnId="23"/>
      <queryTableField id="186" name="rgdp_serv_p" tableColumnId="24"/>
      <queryTableField id="187" name="rgdp_tax_p" tableColumnId="25"/>
      <queryTableField id="188" name="ngdp_total_e" tableColumnId="26"/>
      <queryTableField id="189" name="ngdp_consumpt_e" tableColumnId="27"/>
      <queryTableField id="190" name="ngdp_govcons_e" tableColumnId="28"/>
      <queryTableField id="191" name="ngdp_invstfixed_e" tableColumnId="29"/>
      <queryTableField id="192" name="ngdp_invstcurrent_e" tableColumnId="30"/>
      <queryTableField id="193" name="ngdp_exp_e" tableColumnId="31"/>
      <queryTableField id="194" name="ngdp_imp_e" tableColumnId="32"/>
      <queryTableField id="195" name="rgdp_total_e" tableColumnId="33"/>
      <queryTableField id="196" name="rgdp_consumpt_e" tableColumnId="34"/>
      <queryTableField id="197" name="rgdp_govcons_e" tableColumnId="35"/>
      <queryTableField id="198" name="rgdp_invstfixed_e" tableColumnId="36"/>
      <queryTableField id="199" name="rgdp_invstcurrent_e" tableColumnId="37"/>
      <queryTableField id="200" name="rgdp_exp_e" tableColumnId="38"/>
      <queryTableField id="201" name="rgdp_imp_e" tableColumnId="39"/>
      <queryTableField id="202" name="emp_total" tableColumnId="40"/>
      <queryTableField id="203" name="emp_male" tableColumnId="41"/>
      <queryTableField id="204" name="emp_female" tableColumnId="42"/>
      <queryTableField id="205" name="emp_un" tableColumnId="43"/>
      <queryTableField id="206" name="emp_un_male" tableColumnId="44"/>
      <queryTableField id="207" name="emp_un_female" tableColumnId="45"/>
      <queryTableField id="208" name="emp_inactive" tableColumnId="46"/>
      <queryTableField id="209" name="emp_inactive_male" tableColumnId="47"/>
      <queryTableField id="210" name="emp_inactive_female" tableColumnId="48"/>
      <queryTableField id="211" name="wage_total" tableColumnId="49"/>
      <queryTableField id="212" name="wage_agri" tableColumnId="50"/>
      <queryTableField id="213" name="wage_mining" tableColumnId="51"/>
      <queryTableField id="214" name="wage_manu" tableColumnId="52"/>
      <queryTableField id="215" name="wage_infra_elec" tableColumnId="53"/>
      <queryTableField id="216" name="wage_infra_water" tableColumnId="54"/>
      <queryTableField id="217" name="wage_const" tableColumnId="55"/>
      <queryTableField id="218" name="wage_trade" tableColumnId="56"/>
      <queryTableField id="219" name="wage_trans" tableColumnId="57"/>
      <queryTableField id="220" name="wage_food" tableColumnId="58"/>
      <queryTableField id="221" name="wage_comm" tableColumnId="59"/>
      <queryTableField id="222" name="wage_fin" tableColumnId="60"/>
      <queryTableField id="223" name="wage_estate" tableColumnId="61"/>
      <queryTableField id="224" name="wage_edu" tableColumnId="62"/>
      <queryTableField id="225" name="wage_health" tableColumnId="63"/>
      <queryTableField id="226" name="wage_entertain" tableColumnId="64"/>
      <queryTableField id="227" name="wage_othserv" tableColumnId="65"/>
      <queryTableField id="228" name="budget_income_opin" tableColumnId="66"/>
      <queryTableField id="229" name="budget_income_tax" tableColumnId="67"/>
      <queryTableField id="230" name="budget_income_tax_inc" tableColumnId="68"/>
      <queryTableField id="231" name="budget_income_tax_inc_corp" tableColumnId="69"/>
      <queryTableField id="232" name="budget_income_tax_inc_indiv" tableColumnId="70"/>
      <queryTableField id="233" name="budget_income_tax_socinsur" tableColumnId="71"/>
      <queryTableField id="234" name="budget_income_tax_vat" tableColumnId="72"/>
      <queryTableField id="235" name="budget_income_tax_special" tableColumnId="73"/>
      <queryTableField id="236" name="budget_income_nontax" tableColumnId="74"/>
      <queryTableField id="237" name="budget_exp_opex" tableColumnId="75"/>
      <queryTableField id="238" name="budget_exp_lending" tableColumnId="76"/>
      <queryTableField id="239" name="budget_exp_goods" tableColumnId="77"/>
      <queryTableField id="240" name="budget_exp_salary" tableColumnId="78"/>
      <queryTableField id="241" name="budget_exp_interest" tableColumnId="79"/>
      <queryTableField id="242" name="budget_exp_subsidy" tableColumnId="80"/>
      <queryTableField id="243" name="budget_exp_govtran" tableColumnId="81"/>
      <queryTableField id="244" name="budget_exp_othcur" tableColumnId="82"/>
      <queryTableField id="245" name="budget_exp_capex" tableColumnId="83"/>
      <queryTableField id="246" name="ms_m1" tableColumnId="84"/>
      <queryTableField id="247" name="ms_m2" tableColumnId="85"/>
      <queryTableField id="248" name="rate_saving_mnt" tableColumnId="86"/>
      <queryTableField id="249" name="rate_saving_fc" tableColumnId="87"/>
      <queryTableField id="250" name="rate_loan_mnt" tableColumnId="88"/>
      <queryTableField id="251" name="rate_loan_fc" tableColumnId="89"/>
      <queryTableField id="252" name="rate_policy" tableColumnId="90"/>
      <queryTableField id="253" name="cpi_total" tableColumnId="91"/>
      <queryTableField id="254" name="cpi_foodnonal" tableColumnId="92"/>
      <queryTableField id="255" name="cpi_beverage" tableColumnId="93"/>
      <queryTableField id="256" name="cpi_cloth" tableColumnId="94"/>
      <queryTableField id="257" name="cpi_comdity" tableColumnId="95"/>
      <queryTableField id="258" name="cpi_furnish" tableColumnId="96"/>
      <queryTableField id="259" name="cpi_health" tableColumnId="97"/>
      <queryTableField id="260" name="cpi_trans" tableColumnId="98"/>
      <queryTableField id="261" name="cpi_comm" tableColumnId="99"/>
      <queryTableField id="262" name="cpi_culture" tableColumnId="100"/>
      <queryTableField id="263" name="cpi_edu" tableColumnId="101"/>
      <queryTableField id="264" name="cpi_res" tableColumnId="102"/>
      <queryTableField id="265" name="cpi_oth" tableColumnId="103"/>
      <queryTableField id="266" name="tb_export" tableColumnId="104"/>
      <queryTableField id="267" name="tb_export_mining" tableColumnId="105"/>
      <queryTableField id="268" name="tb_export_mining_gold" tableColumnId="106"/>
      <queryTableField id="269" name="tb_export_mining_copp" tableColumnId="107"/>
      <queryTableField id="270" name="tb_export_mining_iron" tableColumnId="108"/>
      <queryTableField id="271" name="tb_export_mining_zinc" tableColumnId="109"/>
      <queryTableField id="272" name="tb_export_mining_coal" tableColumnId="110"/>
      <queryTableField id="273" name="tb_export_mining_oil" tableColumnId="111"/>
      <queryTableField id="274" name="tb_export_livestock" tableColumnId="112"/>
      <queryTableField id="275" name="tb_export_livestock_meat" tableColumnId="113"/>
      <queryTableField id="276" name="tb_export_livestock_leather" tableColumnId="114"/>
      <queryTableField id="277" name="tb_export_livestock_cashmere" tableColumnId="115"/>
      <queryTableField id="278" name="tb_export_farm" tableColumnId="116"/>
      <queryTableField id="279" name="tb_export_manu" tableColumnId="117"/>
      <queryTableField id="280" name="tb_export_oth" tableColumnId="118"/>
      <queryTableField id="281" name="tb_import" tableColumnId="119"/>
      <queryTableField id="282" name="tb_import_consumer" tableColumnId="120"/>
      <queryTableField id="283" name="tb_import_consumer_short" tableColumnId="121"/>
      <queryTableField id="284" name="tb_import_consumer_long" tableColumnId="122"/>
      <queryTableField id="285" name="tb_import_manu" tableColumnId="123"/>
      <queryTableField id="286" name="tb_import_manu_elect" tableColumnId="124"/>
      <queryTableField id="287" name="tb_import_invest" tableColumnId="125"/>
      <queryTableField id="288" name="tb_import_invest_vehic" tableColumnId="126"/>
      <queryTableField id="289" name="tb_import_invest_const" tableColumnId="127"/>
      <queryTableField id="290" name="tb_import_oil" tableColumnId="128"/>
      <queryTableField id="291" name="tb_import_oil_dies" tableColumnId="129"/>
      <queryTableField id="292" name="tb_import_oil_9295" tableColumnId="130"/>
      <queryTableField id="293" name="bop_current_account" tableColumnId="131"/>
      <queryTableField id="294" name="bop_current_goods" tableColumnId="132"/>
      <queryTableField id="295" name="bop_current_service" tableColumnId="133"/>
      <queryTableField id="296" name="bop_current_priminc" tableColumnId="134"/>
      <queryTableField id="297" name="bop_current_secondinc" tableColumnId="135"/>
      <queryTableField id="298" name="bop_capital_account" tableColumnId="136"/>
      <queryTableField id="299" name="bop_financial_account" tableColumnId="137"/>
      <queryTableField id="300" name="bop_financial_direct" tableColumnId="138"/>
      <queryTableField id="301" name="bop_financial_portf" tableColumnId="139"/>
      <queryTableField id="302" name="bop_financial_deriv" tableColumnId="140"/>
      <queryTableField id="303" name="bop_financial_oth" tableColumnId="141"/>
      <queryTableField id="304" name="bop_adjustment" tableColumnId="142"/>
      <queryTableField id="305" name="bop" tableColumnId="143"/>
      <queryTableField id="306" name="fxreserve" tableColumnId="144"/>
      <queryTableField id="307" name="fxreserve_security" tableColumnId="145"/>
      <queryTableField id="308" name="fxreserve_deposit" tableColumnId="146"/>
      <queryTableField id="309" name="fxreserve_imf_res" tableColumnId="147"/>
      <queryTableField id="310" name="fxreserve_sdr" tableColumnId="148"/>
      <queryTableField id="311" name="fxreserve_gold" tableColumnId="149"/>
      <queryTableField id="312" name="fxreserve_oth" tableColumnId="150"/>
      <queryTableField id="357" name="ex_usd_avg" tableColumnId="151"/>
      <queryTableField id="314" name="extdebt" tableColumnId="152"/>
      <queryTableField id="315" name="extdebt_gov" tableColumnId="153"/>
      <queryTableField id="316" name="extdebt_centralbank" tableColumnId="154"/>
      <queryTableField id="317" name="extdebt_deposit" tableColumnId="155"/>
      <queryTableField id="318" name="extdebt_oth" tableColumnId="156"/>
      <queryTableField id="319" name="extdebt_inv" tableColumnId="157"/>
      <queryTableField id="320" name="imf_price_coal" tableColumnId="158"/>
      <queryTableField id="321" name="imf_price_oil" tableColumnId="159"/>
      <queryTableField id="322" name="imf_price_copper" tableColumnId="160"/>
      <queryTableField id="323" name="imf_price_iron" tableColumnId="161"/>
      <queryTableField id="324" name="imf_price_gold" tableColumnId="162"/>
      <queryTableField id="360" name="loan_total" tableColumnId="163"/>
      <queryTableField id="361" name="loan_main" tableColumnId="164"/>
      <queryTableField id="362" name="loan_oth" tableColumnId="165"/>
      <queryTableField id="345" name="depo_total" tableColumnId="183"/>
      <queryTableField id="363" name="depo_main" tableColumnId="166"/>
      <queryTableField id="354" name="depo_oth" tableColumnId="192"/>
      <queryTableField id="355" name="bank_asset" tableColumnId="193"/>
      <queryTableField id="356" name="bank_equity" tableColumnId="194"/>
      <queryTableField id="358" name="ex_usd_last" tableColumnId="195"/>
      <queryTableField id="364" name="tb_export_mining_gold_q" tableColumnId="167"/>
      <queryTableField id="365" name="tb_export_mining_copp_q" tableColumnId="168"/>
      <queryTableField id="366" name="tb_export_mining_iron_q" tableColumnId="169"/>
      <queryTableField id="367" name="tb_export_mining_zinc_q" tableColumnId="170"/>
      <queryTableField id="368" name="tb_export_mining_coal_q" tableColumnId="171"/>
      <queryTableField id="369" name="tb_export_mining_oil_q" tableColumnId="172"/>
      <queryTableField id="370" name="tb_export_livestock_meat_q" tableColumnId="173"/>
      <queryTableField id="371" name="tb_export_livestock_leather_q" tableColumnId="174"/>
      <queryTableField id="372" name="tb_export_livestock_cashmere_q" tableColumnId="17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06AD3D2-F0DD-4A82-B96C-285DC57557C5}" autoFormatId="16" applyNumberFormats="0" applyBorderFormats="0" applyFontFormats="0" applyPatternFormats="0" applyAlignmentFormats="0" applyWidthHeightFormats="0">
  <queryTableRefresh nextId="7">
    <queryTableFields count="6">
      <queryTableField id="1" name="VARIABLE" tableColumnId="1"/>
      <queryTableField id="2" name="SOURCE" tableColumnId="2"/>
      <queryTableField id="3" name="FREQUENCY" tableColumnId="3"/>
      <queryTableField id="4" name="DESCRIPTION" tableColumnId="4"/>
      <queryTableField id="5" name="UNIT" tableColumnId="5"/>
      <queryTableField id="6" name="TYP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958B28-891B-43DF-8000-39A02B322CED}" name="fin_meta" displayName="fin_meta" ref="A1:F113" tableType="queryTable" totalsRowShown="0">
  <autoFilter ref="A1:F113" xr:uid="{2A958B28-891B-43DF-8000-39A02B322CED}"/>
  <tableColumns count="6">
    <tableColumn id="1" xr3:uid="{617845A7-BD5C-4A51-87FC-F97763414A77}" uniqueName="1" name="VARIABLE" queryTableFieldId="1"/>
    <tableColumn id="2" xr3:uid="{DA6DF84A-156F-41A3-9996-98627DF8A9CB}" uniqueName="2" name="SOURCE" queryTableFieldId="2"/>
    <tableColumn id="3" xr3:uid="{7CE8982F-BB85-49E9-9783-F6FF1E1F2DAA}" uniqueName="3" name="FREQUENCY" queryTableFieldId="3"/>
    <tableColumn id="4" xr3:uid="{011DA4C9-CA6D-498F-859C-E90F93E9CCB2}" uniqueName="4" name="DESCRIPTION" queryTableFieldId="4"/>
    <tableColumn id="5" xr3:uid="{A0E1E85F-DE4F-4F23-B412-81470C9A562B}" uniqueName="5" name="UNIT" queryTableFieldId="5"/>
    <tableColumn id="6" xr3:uid="{0EFFC01E-78F1-4237-A62D-14F9BA3CC4EE}" uniqueName="6" name="TYPE" queryTableFieldId="6"/>
  </tableColumns>
  <tableStyleInfo name="murunofc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4816B6-2E2C-444B-9928-EC4E41A95797}" name="fin_data" displayName="fin_data" ref="A1:DH266" tableType="queryTable" totalsRowShown="0" headerRowDxfId="299" dataDxfId="298">
  <autoFilter ref="A1:DH266" xr:uid="{D84816B6-2E2C-444B-9928-EC4E41A95797}"/>
  <tableColumns count="112">
    <tableColumn id="1" xr3:uid="{9978B938-568E-4186-9798-DF6A8E54A2C3}" uniqueName="1" name="period_y" queryTableFieldId="1" dataDxfId="297"/>
    <tableColumn id="2" xr3:uid="{93D72ED1-9AEF-4555-9675-89654211A86A}" uniqueName="2" name="period_q" queryTableFieldId="2" dataDxfId="296"/>
    <tableColumn id="3" xr3:uid="{DE812630-8737-40A0-A453-878A71B9C703}" uniqueName="3" name="period_m" queryTableFieldId="3" dataDxfId="295"/>
    <tableColumn id="4" xr3:uid="{79A66129-F87A-408F-A11C-367AA5280421}" uniqueName="4" name="loan.b_main" queryTableFieldId="4" dataDxfId="294"/>
    <tableColumn id="5" xr3:uid="{C639BE2C-5780-4B00-9FD0-0CE7CFF0CD6A}" uniqueName="5" name="loan.b_main.sc_total" queryTableFieldId="5" dataDxfId="293"/>
    <tableColumn id="6" xr3:uid="{746C1BFD-BC45-448B-8C09-6198AA5CBC90}" uniqueName="6" name="loan.b_main.sc_agriculture" queryTableFieldId="6" dataDxfId="292"/>
    <tableColumn id="7" xr3:uid="{E33F3A9B-FE6F-4F39-8404-B2B534276B5E}" uniqueName="7" name="loan.b_main.sc_mining" queryTableFieldId="7" dataDxfId="291"/>
    <tableColumn id="8" xr3:uid="{A0BCC3F3-DFB7-4AB6-B56C-906D339943B1}" uniqueName="8" name="loan.b_main.sc_manufacture" queryTableFieldId="8" dataDxfId="290"/>
    <tableColumn id="9" xr3:uid="{DA061E3F-A6DE-4A85-8752-3D5FB851FEF0}" uniqueName="9" name="loan.b_main.sc_infrastructure" queryTableFieldId="9" dataDxfId="289"/>
    <tableColumn id="10" xr3:uid="{3EF8EB1D-9CEF-4A63-9468-035B20107A97}" uniqueName="10" name="loan.b_main.sc_construction" queryTableFieldId="10" dataDxfId="288"/>
    <tableColumn id="11" xr3:uid="{F6DF7384-2C8E-4CF2-9BBE-9D8F5DCF732D}" uniqueName="11" name="loan.b_main.sc_trade" queryTableFieldId="11" dataDxfId="287"/>
    <tableColumn id="12" xr3:uid="{D854CF4A-811F-4A41-B536-653F1BFB27FF}" uniqueName="12" name="loan.b_main.sc_transportation" queryTableFieldId="12" dataDxfId="286"/>
    <tableColumn id="13" xr3:uid="{628784AB-655A-45FA-B692-73DF1B3AC919}" uniqueName="13" name="loan.b_main.sc_service" queryTableFieldId="13" dataDxfId="285"/>
    <tableColumn id="14" xr3:uid="{79A75170-38DB-417B-B5D1-49CF0C527E25}" uniqueName="14" name="loan.b_main.sc_communication" queryTableFieldId="14" dataDxfId="284"/>
    <tableColumn id="15" xr3:uid="{CDEE2836-4D18-46B9-B8DB-7B48ABD535FE}" uniqueName="15" name="loan.b_main.sc_finance" queryTableFieldId="15" dataDxfId="283"/>
    <tableColumn id="16" xr3:uid="{F0B9BA98-7B00-4838-836D-9E160176461D}" uniqueName="16" name="loan.b_main.sc_education" queryTableFieldId="16" dataDxfId="282"/>
    <tableColumn id="17" xr3:uid="{4A2829EA-912D-4AA4-A9CB-1A491C8C8A74}" uniqueName="17" name="loan.b_main.sc_health" queryTableFieldId="17" dataDxfId="281"/>
    <tableColumn id="18" xr3:uid="{065A6989-0171-4724-A0D4-2E97FC13E214}" uniqueName="18" name="loan.b_main.sc_other" queryTableFieldId="18" dataDxfId="280"/>
    <tableColumn id="19" xr3:uid="{83408931-346F-4B1B-BBCF-658F9C65BFB1}" uniqueName="19" name="loan.b_main.sc_salary" queryTableFieldId="19" dataDxfId="279"/>
    <tableColumn id="20" xr3:uid="{4857AB53-7646-4F18-9844-150045F27237}" uniqueName="20" name="loan.b_main.sc_card" queryTableFieldId="20" dataDxfId="278"/>
    <tableColumn id="21" xr3:uid="{67A8D0A7-461B-4A22-9023-1CCA8F249EC7}" uniqueName="21" name="loan.b_main.sc_vehicle" queryTableFieldId="21" dataDxfId="277"/>
    <tableColumn id="22" xr3:uid="{822C3534-82F1-4F53-967D-5D62B63A5631}" uniqueName="22" name="loan.b_main.sc_sbl" queryTableFieldId="22" dataDxfId="276"/>
    <tableColumn id="23" xr3:uid="{8845FF2B-11FE-463C-9AAC-AA04A4405674}" uniqueName="23" name="loan.b_main.q_pdl" queryTableFieldId="23" dataDxfId="275"/>
    <tableColumn id="24" xr3:uid="{26C98BA9-67A1-4252-8905-B484A41ED7E0}" uniqueName="24" name="loan.b_main.q_pdl.sc_total" queryTableFieldId="24" dataDxfId="274"/>
    <tableColumn id="25" xr3:uid="{0578FA1B-A555-46A4-A2BB-F22401FD7F8C}" uniqueName="25" name="loan.b_main.q_pdl.sc_agriculture" queryTableFieldId="25" dataDxfId="273"/>
    <tableColumn id="26" xr3:uid="{46A94076-B4DE-4357-9DC3-579588C6381F}" uniqueName="26" name="loan.b_main.q_pdl.sc_mining" queryTableFieldId="26" dataDxfId="272"/>
    <tableColumn id="27" xr3:uid="{5990BAED-3836-4E67-8D50-5079BD87C566}" uniqueName="27" name="loan.b_main.q_pdl.sc_manufacture" queryTableFieldId="27" dataDxfId="271"/>
    <tableColumn id="28" xr3:uid="{7B611BF7-6C44-4587-B15B-D19BA96FE582}" uniqueName="28" name="loan.b_main.q_pdl.sc_infrastructure" queryTableFieldId="28" dataDxfId="270"/>
    <tableColumn id="29" xr3:uid="{DC5B7785-2679-4D5F-A9D9-0DCBDBED3226}" uniqueName="29" name="loan.b_main.q_pdl.sc_construction" queryTableFieldId="29" dataDxfId="269"/>
    <tableColumn id="30" xr3:uid="{BAFB9B07-5AF5-4D01-8C36-2FE570C24C44}" uniqueName="30" name="loan.b_main.q_pdl.sc_trade" queryTableFieldId="30" dataDxfId="268"/>
    <tableColumn id="31" xr3:uid="{D07D5A3C-CD47-4352-8019-E92FC76CA95B}" uniqueName="31" name="loan.b_main.q_pdl.sc_transportation" queryTableFieldId="31" dataDxfId="267"/>
    <tableColumn id="32" xr3:uid="{12DE41BC-1CB0-406F-BB05-2EA8B219F716}" uniqueName="32" name="loan.b_main.q_pdl.sc_service" queryTableFieldId="32" dataDxfId="266"/>
    <tableColumn id="33" xr3:uid="{1466AC42-AEAD-497B-B773-937EDA1CD75F}" uniqueName="33" name="loan.b_main.q_pdl.sc_communication" queryTableFieldId="33" dataDxfId="265"/>
    <tableColumn id="34" xr3:uid="{62231879-73D2-4891-A57E-C1010D5365A5}" uniqueName="34" name="loan.b_main.q_pdl.sc_finance" queryTableFieldId="34" dataDxfId="264"/>
    <tableColumn id="35" xr3:uid="{C68E95B6-5309-4F05-A5BB-9AE177BBA4B1}" uniqueName="35" name="loan.b_main.q_pdl.sc_education" queryTableFieldId="35" dataDxfId="263"/>
    <tableColumn id="36" xr3:uid="{AA45198B-B8D7-4983-8E8E-714E3193BCB6}" uniqueName="36" name="loan.b_main.q_pdl.sc_health" queryTableFieldId="36" dataDxfId="262"/>
    <tableColumn id="37" xr3:uid="{26E24B6B-B474-406A-822A-D57F05ACE7C0}" uniqueName="37" name="loan.b_main.q_pdl.sc_other" queryTableFieldId="37" dataDxfId="261"/>
    <tableColumn id="38" xr3:uid="{F8321130-68B3-4066-927C-8A2726AFC4B5}" uniqueName="38" name="loan.b_main.q_npl" queryTableFieldId="38" dataDxfId="260"/>
    <tableColumn id="39" xr3:uid="{DD0C5989-110B-4654-A746-56CCC7747CCC}" uniqueName="39" name="loan.b_main.q_npl.sc_total" queryTableFieldId="39" dataDxfId="259"/>
    <tableColumn id="40" xr3:uid="{02E315E1-122B-45D6-B951-2E49EA25260D}" uniqueName="40" name="loan.b_main.q_npl.sc_agriculture" queryTableFieldId="40" dataDxfId="258"/>
    <tableColumn id="41" xr3:uid="{D59E9EB7-A4F1-4105-9C51-1473163870A9}" uniqueName="41" name="loan.b_main.q_npl.sc_mining" queryTableFieldId="41" dataDxfId="257"/>
    <tableColumn id="42" xr3:uid="{B73C01BF-0231-4E80-98E4-5C379567FB1F}" uniqueName="42" name="loan.b_main.q_npl.sc_manufacture" queryTableFieldId="42" dataDxfId="256"/>
    <tableColumn id="43" xr3:uid="{191E8788-CBB8-4B68-AF55-57E494915D69}" uniqueName="43" name="loan.b_main.q_npl.sc_infrastructure" queryTableFieldId="43" dataDxfId="255"/>
    <tableColumn id="44" xr3:uid="{5888C7F0-5EE2-4030-BC3B-40DA501B8D90}" uniqueName="44" name="loan.b_main.q_npl.sc_construction" queryTableFieldId="44" dataDxfId="254"/>
    <tableColumn id="45" xr3:uid="{8A1B5BF1-8A60-49F1-A6A6-50D0E730A888}" uniqueName="45" name="loan.b_main.q_npl.sc_trade" queryTableFieldId="45" dataDxfId="253"/>
    <tableColumn id="46" xr3:uid="{A15FD252-CE27-4FAB-AD07-BEF57D023475}" uniqueName="46" name="loan.b_main.q_npl.sc_transportation" queryTableFieldId="46" dataDxfId="252"/>
    <tableColumn id="47" xr3:uid="{5362A6F6-2889-4A0F-AC43-4DB24B83CB37}" uniqueName="47" name="loan.b_main.q_npl.sc_service" queryTableFieldId="47" dataDxfId="251"/>
    <tableColumn id="48" xr3:uid="{B256D266-5F71-4C87-B24F-2002D5A7DF4A}" uniqueName="48" name="loan.b_main.q_npl.sc_communication" queryTableFieldId="48" dataDxfId="250"/>
    <tableColumn id="49" xr3:uid="{E168701C-C9AF-4934-875E-03260D90F10A}" uniqueName="49" name="loan.b_main.q_npl.sc_finance" queryTableFieldId="49" dataDxfId="249"/>
    <tableColumn id="50" xr3:uid="{6699E648-5B52-4BE1-AB0F-9EFDF56A38B3}" uniqueName="50" name="loan.b_main.q_npl.sc_education" queryTableFieldId="50" dataDxfId="248"/>
    <tableColumn id="51" xr3:uid="{3CE28908-E0B6-4707-BC36-BB390EA206D7}" uniqueName="51" name="loan.b_main.q_npl.sc_health" queryTableFieldId="51" dataDxfId="247"/>
    <tableColumn id="52" xr3:uid="{0ABADCB5-4F66-4A35-8CEC-974A9C484289}" uniqueName="52" name="loan.b_main.q_npl.sc_other" queryTableFieldId="52" dataDxfId="246"/>
    <tableColumn id="53" xr3:uid="{AB9A073F-5848-494A-B189-F29B0BF8CC27}" uniqueName="53" name="loan.b_main.sg_retail" queryTableFieldId="53" dataDxfId="245"/>
    <tableColumn id="54" xr3:uid="{CEA1682A-1EE4-4BCC-9477-5B14C54A7013}" uniqueName="54" name="loan.b_main.sg_retail_sme" queryTableFieldId="54" dataDxfId="244"/>
    <tableColumn id="55" xr3:uid="{E8447CB3-2746-4CEE-9752-FFAABB945CBC}" uniqueName="55" name="loan.b_main.sg_corp" queryTableFieldId="55" dataDxfId="243"/>
    <tableColumn id="56" xr3:uid="{AE7004B3-9187-4C17-86A1-F6455D2A5755}" uniqueName="56" name="loan.b_main.sg_corp_sme" queryTableFieldId="56" dataDxfId="242"/>
    <tableColumn id="57" xr3:uid="{4BF350AB-339A-4379-833C-A94629550DD9}" uniqueName="57" name="loan.b_main.q_pdl.sg_retail" queryTableFieldId="57" dataDxfId="241"/>
    <tableColumn id="58" xr3:uid="{DCFF9697-E22D-4767-943A-929B4E28F74B}" uniqueName="58" name="loan.b_main.q_pdl.sg_retail_sme" queryTableFieldId="58" dataDxfId="240"/>
    <tableColumn id="59" xr3:uid="{6E9DD20D-7230-47BE-A686-D55542339020}" uniqueName="59" name="loan.b_main.q_pdl.sg_corp" queryTableFieldId="59" dataDxfId="239"/>
    <tableColumn id="60" xr3:uid="{92680E51-0C1B-4A87-BF96-77CA5612E3F5}" uniqueName="60" name="loan.b_main.q_pdl.sg_corp_sme" queryTableFieldId="60" dataDxfId="238"/>
    <tableColumn id="61" xr3:uid="{EA894DBD-D078-4DC9-ABA4-F7C566FC0701}" uniqueName="61" name="loan.b_main.q_npl.sg_retail" queryTableFieldId="61" dataDxfId="237"/>
    <tableColumn id="62" xr3:uid="{D4B4DA39-9236-4FDC-B87F-D70A44B4A1C9}" uniqueName="62" name="loan.b_main.q_npl.sg_retail_sme" queryTableFieldId="62" dataDxfId="236"/>
    <tableColumn id="63" xr3:uid="{4659770F-D707-470E-81DF-533B9192CF12}" uniqueName="63" name="loan.b_main.q_npl.sg_corp" queryTableFieldId="63" dataDxfId="235"/>
    <tableColumn id="64" xr3:uid="{C36FC16F-3EC9-44CC-AE03-3413B3D6FD8C}" uniqueName="64" name="loan.b_main.q_npl.sg_corp_sme" queryTableFieldId="64" dataDxfId="234"/>
    <tableColumn id="65" xr3:uid="{409E1084-BBAF-460A-AD14-A668E147E8A1}" uniqueName="65" name="loan.b_main.c_mnt" queryTableFieldId="65" dataDxfId="233"/>
    <tableColumn id="66" xr3:uid="{0F782642-2223-4610-BC54-D633BD569FB7}" uniqueName="66" name="loan.b_main.c_mnt.sg_retail" queryTableFieldId="66" dataDxfId="232"/>
    <tableColumn id="67" xr3:uid="{C7CFC1E9-5D1B-4B7E-B896-F530B1F5A01B}" uniqueName="67" name="loan.b_main.c_mnt.sg_retail_sme" queryTableFieldId="67" dataDxfId="231"/>
    <tableColumn id="68" xr3:uid="{D6FC5763-B6E4-47EC-BF72-575EC00A64D1}" uniqueName="68" name="loan.b_main.c_mnt.sg_corp" queryTableFieldId="68" dataDxfId="230"/>
    <tableColumn id="69" xr3:uid="{66864A0A-6FF7-493E-AA60-B0443AB0DA2D}" uniqueName="69" name="loan.b_main.c_mnt.sg_corp_sme" queryTableFieldId="69" dataDxfId="229"/>
    <tableColumn id="70" xr3:uid="{CE316116-1F00-4DF4-802F-B71265AA8B83}" uniqueName="70" name="loan.b_main.q_pdl.c_mnt" queryTableFieldId="70" dataDxfId="228"/>
    <tableColumn id="71" xr3:uid="{A14CE638-67B5-4E1A-9CE5-AFD2D1D4C1F8}" uniqueName="71" name="loan.b_main.q_pdl.c_mnt.sg_retail" queryTableFieldId="71" dataDxfId="227"/>
    <tableColumn id="72" xr3:uid="{70E40CB5-A7C2-4A1E-9D66-4EBF4A837E4E}" uniqueName="72" name="loan.b_main.q_pdl.c_mnt.sg_retail_sme" queryTableFieldId="72" dataDxfId="226"/>
    <tableColumn id="73" xr3:uid="{5B66DFD5-DED6-47F5-84E9-7719168EFCFE}" uniqueName="73" name="loan.b_main.q_pdl.c_mnt.sg_corp" queryTableFieldId="73" dataDxfId="225"/>
    <tableColumn id="74" xr3:uid="{54B58FAF-7B44-4D75-B2FB-C8CC9F83B323}" uniqueName="74" name="loan.b_main.q_pdl.c_mnt.sg_corp_sme" queryTableFieldId="74" dataDxfId="224"/>
    <tableColumn id="75" xr3:uid="{CBD2109C-BB91-4E8E-A062-4B613ABA0C08}" uniqueName="75" name="loan.b_main.q_npl.c_mnt" queryTableFieldId="75" dataDxfId="223"/>
    <tableColumn id="76" xr3:uid="{F8DE0BD6-31F6-4210-BD2F-374DC451D69C}" uniqueName="76" name="loan.b_main.q_npl.c_mnt.sg_retail" queryTableFieldId="76" dataDxfId="222"/>
    <tableColumn id="77" xr3:uid="{D69C5D9D-B8A0-46BD-9DC7-67E19A1B5390}" uniqueName="77" name="loan.b_main.q_npl.c_mnt.sg_retail_sme" queryTableFieldId="77" dataDxfId="221"/>
    <tableColumn id="78" xr3:uid="{A84EC885-25CA-4D09-A441-211640B2CAD0}" uniqueName="78" name="loan.b_main.q_npl.c_mnt.sg_corp" queryTableFieldId="78" dataDxfId="220"/>
    <tableColumn id="79" xr3:uid="{A8CBA8E0-B81F-4D61-AB66-354B81F375F0}" uniqueName="79" name="loan.b_main.q_npl.c_mnt.sg_corp_sme" queryTableFieldId="79" dataDxfId="219"/>
    <tableColumn id="80" xr3:uid="{7675971F-1C20-435D-B933-D585176B745D}" uniqueName="80" name="loan.b_oth" queryTableFieldId="80" dataDxfId="218"/>
    <tableColumn id="81" xr3:uid="{DE80058C-5F67-4628-A778-63EACBE62076}" uniqueName="81" name="loan" queryTableFieldId="81" dataDxfId="217"/>
    <tableColumn id="82" xr3:uid="{C21F23EF-C8A3-4055-A827-DE3688D4E218}" uniqueName="82" name="loan.b_numacc" queryTableFieldId="82" dataDxfId="216"/>
    <tableColumn id="83" xr3:uid="{DC9BD04D-1BAA-4B1B-9D8F-86F9C92F291B}" uniqueName="83" name="loan.b_numacc.c_mnt" queryTableFieldId="83" dataDxfId="215"/>
    <tableColumn id="84" xr3:uid="{93A89185-5750-4F0E-A8FA-94899A2CFB44}" uniqueName="84" name="depo.b_main" queryTableFieldId="84" dataDxfId="214"/>
    <tableColumn id="85" xr3:uid="{A5931545-2623-40E6-BB3A-5F87A42A330B}" uniqueName="85" name="depo.b_main.sg_retail" queryTableFieldId="85" dataDxfId="213"/>
    <tableColumn id="86" xr3:uid="{7489EF86-7651-4BA1-9E98-DD94CFFDB418}" uniqueName="86" name="depo.b_main.sg_corp" queryTableFieldId="86" dataDxfId="212"/>
    <tableColumn id="87" xr3:uid="{159B35BB-A908-4E48-9511-5D04D4E7597D}" uniqueName="87" name="depo.b_main.c_mnt" queryTableFieldId="87" dataDxfId="211"/>
    <tableColumn id="88" xr3:uid="{728F44A9-5E05-4EDD-94C0-6BB3291BD223}" uniqueName="88" name="depo.b_main.c_mnt.sg_retail" queryTableFieldId="88" dataDxfId="210"/>
    <tableColumn id="89" xr3:uid="{963D72CC-2341-4FD2-A243-11D2B76D17F9}" uniqueName="89" name="depo.b_main.c_mnt.sg_corp" queryTableFieldId="89" dataDxfId="209"/>
    <tableColumn id="90" xr3:uid="{F544C6B8-009E-4F12-9252-DE0EEDDF1202}" uniqueName="90" name="depo.b_main.c_fc" queryTableFieldId="90" dataDxfId="208"/>
    <tableColumn id="91" xr3:uid="{938F5B1D-2AA2-4F2A-BEA7-EECAB5D57BB3}" uniqueName="91" name="depo.b_main.c_fc.sg_retail" queryTableFieldId="91" dataDxfId="207"/>
    <tableColumn id="92" xr3:uid="{9A8ED696-3ADA-4045-8669-AE416F174165}" uniqueName="92" name="depo.b_main.c_fc.sg_corp" queryTableFieldId="92" dataDxfId="206"/>
    <tableColumn id="93" xr3:uid="{62CA1F0B-A9D5-4EAD-80F5-8076273CEA22}" uniqueName="93" name="depo.b_main.p_ca" queryTableFieldId="93" dataDxfId="205"/>
    <tableColumn id="94" xr3:uid="{985D275A-1F61-4A87-AE05-1B018F848BAC}" uniqueName="94" name="depo.b_main.p_ca.sg_retail" queryTableFieldId="94" dataDxfId="204"/>
    <tableColumn id="95" xr3:uid="{FED00663-EE95-46C4-B4AF-A3DAE77C0186}" uniqueName="95" name="depo.b_main.p_ca.sg_corp" queryTableFieldId="95" dataDxfId="203"/>
    <tableColumn id="96" xr3:uid="{28627914-CFD7-4325-876B-C76C85B10A5F}" uniqueName="96" name="depo.b_main.p_ca.c_mnt" queryTableFieldId="96" dataDxfId="202"/>
    <tableColumn id="97" xr3:uid="{E66D7C51-22F1-4BBD-BD43-F40286842A92}" uniqueName="97" name="depo.b_main.p_ca.c_mnt.sg_retail" queryTableFieldId="97" dataDxfId="201"/>
    <tableColumn id="98" xr3:uid="{24C855CB-9130-4724-8626-9EDD0BFB4855}" uniqueName="98" name="depo.b_main.p_ca.c_mnt.sg_corp" queryTableFieldId="98" dataDxfId="200"/>
    <tableColumn id="99" xr3:uid="{9B7F0087-609D-448F-989A-27E18F58C5F1}" uniqueName="99" name="depo.b_main.p_ca.c_fc" queryTableFieldId="99" dataDxfId="199"/>
    <tableColumn id="100" xr3:uid="{41D63EC4-2BA0-4A4C-BE2C-D2980184C084}" uniqueName="100" name="depo.b_main.p_ca.c_fc.sg_retail" queryTableFieldId="100" dataDxfId="198"/>
    <tableColumn id="101" xr3:uid="{52DE5E01-B197-4BAE-8FC3-BC3E7587FC69}" uniqueName="101" name="depo.b_main.p_ca.c_fc.sg_corp" queryTableFieldId="101" dataDxfId="197"/>
    <tableColumn id="102" xr3:uid="{66ED6F5C-CC17-4F22-B67E-AA2238532875}" uniqueName="102" name="depo.b_main.p_sa" queryTableFieldId="102" dataDxfId="196"/>
    <tableColumn id="103" xr3:uid="{C3661B7A-5CD9-46E9-8223-9968A448832A}" uniqueName="103" name="depo.b_main.p_sa.sg_retail" queryTableFieldId="103" dataDxfId="195"/>
    <tableColumn id="104" xr3:uid="{6A784EC5-32F7-4C30-83C7-D9BF54C27C0E}" uniqueName="104" name="depo.b_main.p_sa.sg_corp" queryTableFieldId="104" dataDxfId="194"/>
    <tableColumn id="105" xr3:uid="{E36DACD6-872F-41A8-9643-64FD6476C1A8}" uniqueName="105" name="depo.b_main.p_sa.c_mnt" queryTableFieldId="105" dataDxfId="193"/>
    <tableColumn id="106" xr3:uid="{17A5C033-94A0-4494-982F-BD884A368DD2}" uniqueName="106" name="depo.b_main.p_sa.c_mnt.sg_retail" queryTableFieldId="106" dataDxfId="192"/>
    <tableColumn id="107" xr3:uid="{03486DAD-5357-4CBB-AA0C-DEF4E4146D1B}" uniqueName="107" name="depo.b_main.p_sa.c_mnt.sg_corp" queryTableFieldId="107" dataDxfId="191"/>
    <tableColumn id="108" xr3:uid="{8CA28A6B-25A7-458C-80F5-39C959A10580}" uniqueName="108" name="depo.b_main.p_sa.c_fc" queryTableFieldId="108" dataDxfId="190"/>
    <tableColumn id="109" xr3:uid="{C7E16C7C-6637-4F04-8958-80830DF89580}" uniqueName="109" name="depo.b_main.p_sa.c_fc.sg_retail" queryTableFieldId="109" dataDxfId="189"/>
    <tableColumn id="110" xr3:uid="{ABBB84F1-A95A-41C7-8F40-597922669327}" uniqueName="110" name="depo.b_main.p_sa.c_fc.sg_corp" queryTableFieldId="110" dataDxfId="188"/>
    <tableColumn id="111" xr3:uid="{2C7A389E-FD3E-4909-9F76-9AA5E77D9873}" uniqueName="111" name="depo" queryTableFieldId="111" dataDxfId="187"/>
    <tableColumn id="112" xr3:uid="{6C6D5296-A244-4AD5-AD9B-6FF2EC7B264B}" uniqueName="112" name="depo.b_oth" queryTableFieldId="112" dataDxfId="186"/>
  </tableColumns>
  <tableStyleInfo name="murunofc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65FA5B-D558-40E4-A62C-2AF9902D37F3}" name="macro_data" displayName="macro_data" ref="A1:FX266" tableType="queryTable" totalsRowDxfId="185">
  <autoFilter ref="A1:FX266" xr:uid="{8B0277FA-5378-48EB-B57C-0C0BD99A3DCF}"/>
  <tableColumns count="180">
    <tableColumn id="1" xr3:uid="{49B462BE-4A6A-4F2E-A21E-464C7C61F2AD}" uniqueName="1" name="period_y" queryTableFieldId="163" dataDxfId="184"/>
    <tableColumn id="2" xr3:uid="{DB05A632-BE83-4296-AF9C-E32E01554A4F}" uniqueName="2" name="period_q" queryTableFieldId="164" dataDxfId="183"/>
    <tableColumn id="3" xr3:uid="{4C61B491-08D1-4A06-AC31-057C219271F3}" uniqueName="3" name="period_m" queryTableFieldId="165" dataDxfId="182"/>
    <tableColumn id="4" xr3:uid="{FEABA70B-B11B-4065-9FEC-58878A22862D}" uniqueName="4" name="ngdp_total_p" queryTableFieldId="166" dataDxfId="181"/>
    <tableColumn id="5" xr3:uid="{16A98BE3-BD39-47E8-A893-CAE11F2ACBB2}" uniqueName="5" name="ngdp_agri_p" queryTableFieldId="167" dataDxfId="180"/>
    <tableColumn id="6" xr3:uid="{6D5E0B76-18CE-4E25-B58B-DC8B26BD9A53}" uniqueName="6" name="ngdp_mining_p" queryTableFieldId="168" dataDxfId="179"/>
    <tableColumn id="7" xr3:uid="{17039637-1669-4D75-9894-A3177BC269D5}" uniqueName="7" name="ngdp_manu_p" queryTableFieldId="169" dataDxfId="178"/>
    <tableColumn id="8" xr3:uid="{6DACC14D-20C0-47DC-AA25-A94B64E9A6A6}" uniqueName="8" name="ngdp_infra_p" queryTableFieldId="170" dataDxfId="177"/>
    <tableColumn id="9" xr3:uid="{934F54F2-2A76-43B8-A414-BCBE5E2C8C44}" uniqueName="9" name="ngdp_const_p" queryTableFieldId="171" dataDxfId="176"/>
    <tableColumn id="10" xr3:uid="{6D9BEF49-FF5A-4F3A-9C09-ACDD0CAC6BE7}" uniqueName="10" name="ngdp_trade_p" queryTableFieldId="172" dataDxfId="175"/>
    <tableColumn id="11" xr3:uid="{6C0F7770-2CD6-45D6-9D1B-349B1328DBD9}" uniqueName="11" name="ngdp_trans_p" queryTableFieldId="173" dataDxfId="174"/>
    <tableColumn id="12" xr3:uid="{097243F7-735B-427F-95E5-121D3BF23D24}" uniqueName="12" name="ngdp_comm_p" queryTableFieldId="174" dataDxfId="173"/>
    <tableColumn id="13" xr3:uid="{352F64C3-AB4D-4551-A041-7F27A7EE3A88}" uniqueName="13" name="ngdp_serv_p" queryTableFieldId="175" dataDxfId="172"/>
    <tableColumn id="14" xr3:uid="{716EEC30-BADB-43D1-B81A-AC0022988C91}" uniqueName="14" name="ngdp_tax_p" queryTableFieldId="176" dataDxfId="171"/>
    <tableColumn id="15" xr3:uid="{4C99F412-358B-4889-983E-45C10342CEF4}" uniqueName="15" name="rgdp_total_p" queryTableFieldId="177" dataDxfId="170"/>
    <tableColumn id="16" xr3:uid="{2874E2C2-72D7-4B69-9E78-0499A801452A}" uniqueName="16" name="rgdp_agri_p" queryTableFieldId="178" dataDxfId="169"/>
    <tableColumn id="17" xr3:uid="{25193ACC-0BB1-4DD9-8106-EABF14DE86C7}" uniqueName="17" name="rgdp_mining_p" queryTableFieldId="179" dataDxfId="168"/>
    <tableColumn id="18" xr3:uid="{3CFD657E-3740-4852-BA1E-E6230B11FBBC}" uniqueName="18" name="rgdp_manu_p" queryTableFieldId="180" dataDxfId="167"/>
    <tableColumn id="19" xr3:uid="{B6B1FED4-CFF7-4AC4-9321-770575110B6D}" uniqueName="19" name="rgdp_infra_p" queryTableFieldId="181" dataDxfId="166"/>
    <tableColumn id="20" xr3:uid="{E4B63AC7-0BA0-4EEE-86C9-76F1DBF20497}" uniqueName="20" name="rgdp_const_p" queryTableFieldId="182" dataDxfId="165"/>
    <tableColumn id="21" xr3:uid="{626DA0D8-AF80-4BE3-B6FA-D817819BA402}" uniqueName="21" name="rgdp_trade_p" queryTableFieldId="183" dataDxfId="164"/>
    <tableColumn id="22" xr3:uid="{BBB5B32C-A7E0-4FFA-933B-56E761460C3A}" uniqueName="22" name="rgdp_trans_p" queryTableFieldId="184" dataDxfId="163"/>
    <tableColumn id="23" xr3:uid="{8F0D68F5-3B9D-4AFB-BCC6-C44EAB93F87C}" uniqueName="23" name="rgdp_comm_p" queryTableFieldId="185" dataDxfId="162"/>
    <tableColumn id="24" xr3:uid="{E1746AE1-9DC0-4EDF-BB43-6EBD3CBEFD83}" uniqueName="24" name="rgdp_serv_p" queryTableFieldId="186" dataDxfId="161"/>
    <tableColumn id="25" xr3:uid="{6A80A61E-B84E-4E0D-93CE-50424EC17C67}" uniqueName="25" name="rgdp_tax_p" queryTableFieldId="187" dataDxfId="160"/>
    <tableColumn id="26" xr3:uid="{FA5D1523-5018-49F2-B5B0-3A4EBBFC85E4}" uniqueName="26" name="ngdp_total_e" queryTableFieldId="188" dataDxfId="159"/>
    <tableColumn id="27" xr3:uid="{BF0B33BF-D1C1-48E7-B0E3-1CF0D9C88AF1}" uniqueName="27" name="ngdp_consumpt_e" queryTableFieldId="189" dataDxfId="158"/>
    <tableColumn id="28" xr3:uid="{6D0CCE26-2DDF-42AE-B0F3-D820A57D09A0}" uniqueName="28" name="ngdp_govcons_e" queryTableFieldId="190" dataDxfId="157"/>
    <tableColumn id="29" xr3:uid="{A2AC2F5D-A9F1-4A8C-9F63-B32535289FF0}" uniqueName="29" name="ngdp_invstfixed_e" queryTableFieldId="191" dataDxfId="156"/>
    <tableColumn id="30" xr3:uid="{284DD9C8-3B40-4AD2-9BBE-42F1A5E9E7B7}" uniqueName="30" name="ngdp_invstcurrent_e" queryTableFieldId="192" dataDxfId="155"/>
    <tableColumn id="31" xr3:uid="{7023D2DB-D9A2-494F-8B05-D2D8B91A931C}" uniqueName="31" name="ngdp_exp_e" queryTableFieldId="193" dataDxfId="154"/>
    <tableColumn id="32" xr3:uid="{D54C4700-2EE7-485C-BDCB-72C3710D74A5}" uniqueName="32" name="ngdp_imp_e" queryTableFieldId="194" dataDxfId="153"/>
    <tableColumn id="33" xr3:uid="{F201269B-8B92-4A29-86F7-ED29FE655FA3}" uniqueName="33" name="rgdp_total_e" queryTableFieldId="195" dataDxfId="152"/>
    <tableColumn id="34" xr3:uid="{8575683E-3D04-404B-B83D-4263C2FF8CCB}" uniqueName="34" name="rgdp_consumpt_e" queryTableFieldId="196" dataDxfId="151"/>
    <tableColumn id="35" xr3:uid="{F624D456-9303-4691-90E2-40606905A67B}" uniqueName="35" name="rgdp_govcons_e" queryTableFieldId="197" dataDxfId="150"/>
    <tableColumn id="36" xr3:uid="{B6A4F490-42D5-4545-9B96-876B05BD0738}" uniqueName="36" name="rgdp_invstfixed_e" queryTableFieldId="198" dataDxfId="149"/>
    <tableColumn id="37" xr3:uid="{78BD6276-9463-4D29-B9D4-FEFB35CD3915}" uniqueName="37" name="rgdp_invstcurrent_e" queryTableFieldId="199" dataDxfId="148"/>
    <tableColumn id="38" xr3:uid="{80AB4719-2407-4426-AB44-CD88F73F46EA}" uniqueName="38" name="rgdp_exp_e" queryTableFieldId="200" dataDxfId="147"/>
    <tableColumn id="39" xr3:uid="{AB43C27D-43DA-4C1B-A62D-087CC25A5993}" uniqueName="39" name="rgdp_imp_e" queryTableFieldId="201" dataDxfId="146"/>
    <tableColumn id="40" xr3:uid="{28B39847-0357-41D9-B0CF-3B062FD7C987}" uniqueName="40" name="emp_total" queryTableFieldId="202" dataDxfId="145"/>
    <tableColumn id="41" xr3:uid="{F7E86B2C-3902-47F3-A787-BADC1FD6BE44}" uniqueName="41" name="emp_male" queryTableFieldId="203" dataDxfId="144"/>
    <tableColumn id="42" xr3:uid="{D692A420-B6F3-4FE2-B64B-7215F77A4BD6}" uniqueName="42" name="emp_female" queryTableFieldId="204" dataDxfId="143"/>
    <tableColumn id="43" xr3:uid="{CFAD0DAB-032A-4670-BDD6-A18E8AC40BB5}" uniqueName="43" name="emp_un" queryTableFieldId="205" dataDxfId="142"/>
    <tableColumn id="44" xr3:uid="{2185E5FD-B252-4DA5-A6A8-2B3006744E9D}" uniqueName="44" name="emp_un_male" queryTableFieldId="206" dataDxfId="141"/>
    <tableColumn id="45" xr3:uid="{51018614-E098-4646-9877-4A47C40F1ACE}" uniqueName="45" name="emp_un_female" queryTableFieldId="207" dataDxfId="140"/>
    <tableColumn id="46" xr3:uid="{D0790F3D-03B8-4E84-BF8C-AF26083BB4C4}" uniqueName="46" name="emp_inactive" queryTableFieldId="208" dataDxfId="139"/>
    <tableColumn id="47" xr3:uid="{0073CCFF-E624-46C7-AF6E-206A2599AC62}" uniqueName="47" name="emp_inactive_male" queryTableFieldId="209" dataDxfId="138"/>
    <tableColumn id="48" xr3:uid="{00EEA7A6-D51C-47BD-AAB8-4F681ECB1564}" uniqueName="48" name="emp_inactive_female" queryTableFieldId="210" dataDxfId="137"/>
    <tableColumn id="49" xr3:uid="{4CDA06B2-C1D5-4BA8-8376-D5189298074A}" uniqueName="49" name="wage_total" queryTableFieldId="211" dataDxfId="136"/>
    <tableColumn id="50" xr3:uid="{56921EE5-C4E3-4C79-B0F2-2750A458B795}" uniqueName="50" name="wage_agri" queryTableFieldId="212" dataDxfId="135"/>
    <tableColumn id="51" xr3:uid="{F1794CAA-DB97-4D56-A65C-2156A79074D1}" uniqueName="51" name="wage_mining" queryTableFieldId="213" dataDxfId="134"/>
    <tableColumn id="52" xr3:uid="{92525E11-DC70-4CD2-8BE0-686CE2C70B8D}" uniqueName="52" name="wage_manu" queryTableFieldId="214" dataDxfId="133"/>
    <tableColumn id="53" xr3:uid="{71CD3D10-BDC2-4777-88C1-A4D6EA447C46}" uniqueName="53" name="wage_infra_elec" queryTableFieldId="215" dataDxfId="132"/>
    <tableColumn id="54" xr3:uid="{89090C65-390C-4324-B292-B583ED6E501C}" uniqueName="54" name="wage_infra_water" queryTableFieldId="216" dataDxfId="131"/>
    <tableColumn id="55" xr3:uid="{5F53E4A7-3EA9-43EA-9A2B-37D7999082DC}" uniqueName="55" name="wage_const" queryTableFieldId="217" dataDxfId="130"/>
    <tableColumn id="56" xr3:uid="{7D3EC5B7-0531-4600-AC0A-449B8DE88B07}" uniqueName="56" name="wage_trade" queryTableFieldId="218" dataDxfId="129"/>
    <tableColumn id="57" xr3:uid="{9634CD60-BB55-4934-BCFF-62592657E7D5}" uniqueName="57" name="wage_trans" queryTableFieldId="219" dataDxfId="128"/>
    <tableColumn id="58" xr3:uid="{17CEFAEF-B46E-47AD-B6A1-DDBA3A0FF712}" uniqueName="58" name="wage_food" queryTableFieldId="220" dataDxfId="127"/>
    <tableColumn id="59" xr3:uid="{3F523791-C5D9-4254-A96D-7B73DEBBBE70}" uniqueName="59" name="wage_comm" queryTableFieldId="221" dataDxfId="126"/>
    <tableColumn id="60" xr3:uid="{1C3C77E9-F123-4943-8E11-B0BD26641560}" uniqueName="60" name="wage_fin" queryTableFieldId="222" dataDxfId="125"/>
    <tableColumn id="61" xr3:uid="{E873E225-20BB-4C2F-AD98-27CFEF608879}" uniqueName="61" name="wage_estate" queryTableFieldId="223" dataDxfId="124"/>
    <tableColumn id="62" xr3:uid="{A7FE83B7-4FD7-40C9-8A7C-F6DC3AD3C104}" uniqueName="62" name="wage_edu" queryTableFieldId="224" dataDxfId="123"/>
    <tableColumn id="63" xr3:uid="{2DDCC651-5664-48FB-B2C7-3702B7A7AEFA}" uniqueName="63" name="wage_health" queryTableFieldId="225" dataDxfId="122"/>
    <tableColumn id="64" xr3:uid="{00F96F92-4A85-46CA-9616-B2223EE4669A}" uniqueName="64" name="wage_entertain" queryTableFieldId="226" dataDxfId="121"/>
    <tableColumn id="65" xr3:uid="{822B6A60-43D9-46E6-BD77-A3D3989699EA}" uniqueName="65" name="wage_othserv" queryTableFieldId="227" dataDxfId="120"/>
    <tableColumn id="66" xr3:uid="{DA2183BB-F3A7-414E-8548-FD3D2D124E4F}" uniqueName="66" name="budget_income_opin" queryTableFieldId="228" dataDxfId="119"/>
    <tableColumn id="67" xr3:uid="{DCDF6B8B-38B3-4872-8E51-ED1631161EB7}" uniqueName="67" name="budget_income_tax" queryTableFieldId="229" dataDxfId="118"/>
    <tableColumn id="68" xr3:uid="{88F7B19E-3972-447E-9192-DDEB946761B5}" uniqueName="68" name="budget_income_tax_inc" queryTableFieldId="230" dataDxfId="117"/>
    <tableColumn id="69" xr3:uid="{E009A386-08A2-4757-886C-F09265CDF969}" uniqueName="69" name="budget_income_tax_inc_corp" queryTableFieldId="231" dataDxfId="116"/>
    <tableColumn id="70" xr3:uid="{98A269D1-516F-4C97-A574-777668EAEB68}" uniqueName="70" name="budget_income_tax_inc_indiv" queryTableFieldId="232" dataDxfId="115"/>
    <tableColumn id="71" xr3:uid="{4AED1F43-EFA0-4739-8A02-338252946C43}" uniqueName="71" name="budget_income_tax_socinsur" queryTableFieldId="233" dataDxfId="114"/>
    <tableColumn id="72" xr3:uid="{26CF44EF-D735-44F7-9A16-2D097C58DB86}" uniqueName="72" name="budget_income_tax_vat" queryTableFieldId="234" dataDxfId="113"/>
    <tableColumn id="73" xr3:uid="{14C0C57C-3DA1-467C-AF7A-876C1DFBDDA2}" uniqueName="73" name="budget_income_tax_special" queryTableFieldId="235" dataDxfId="112"/>
    <tableColumn id="74" xr3:uid="{7048C69E-C7BF-4EFB-B0B8-AA72887FC443}" uniqueName="74" name="budget_income_nontax" queryTableFieldId="236" dataDxfId="111"/>
    <tableColumn id="75" xr3:uid="{08EEF043-D048-4147-8F56-FB09C8BE4B3D}" uniqueName="75" name="budget_exp_opex" queryTableFieldId="237" dataDxfId="110"/>
    <tableColumn id="76" xr3:uid="{5292B3B4-5AF4-4403-B6AA-ED328236EBB4}" uniqueName="76" name="budget_exp_lending" queryTableFieldId="238" dataDxfId="109"/>
    <tableColumn id="77" xr3:uid="{DF47A78D-13AD-4685-BA4F-9EC839ECF653}" uniqueName="77" name="budget_exp_goods" queryTableFieldId="239" dataDxfId="108"/>
    <tableColumn id="78" xr3:uid="{E5B45498-36D3-41EC-AE2C-4E2B8D6C77FA}" uniqueName="78" name="budget_exp_salary" queryTableFieldId="240" dataDxfId="107"/>
    <tableColumn id="79" xr3:uid="{CBDF9A40-555B-46CB-B8AF-B0C1C0F20C78}" uniqueName="79" name="budget_exp_interest" queryTableFieldId="241" dataDxfId="106"/>
    <tableColumn id="80" xr3:uid="{8423B31D-5ECD-471C-9DEA-FF9AE31C909B}" uniqueName="80" name="budget_exp_subsidy" queryTableFieldId="242" dataDxfId="105"/>
    <tableColumn id="81" xr3:uid="{C057D619-0452-4DA2-BC35-7CB41DA4FAC0}" uniqueName="81" name="budget_exp_govtran" queryTableFieldId="243" dataDxfId="104"/>
    <tableColumn id="82" xr3:uid="{2B6AAC50-E762-47F0-BFA3-7A5B5913C053}" uniqueName="82" name="budget_exp_othcur" queryTableFieldId="244" dataDxfId="103"/>
    <tableColumn id="83" xr3:uid="{7F945A1D-3394-4C43-A06A-09E0C287DBC1}" uniqueName="83" name="budget_exp_capex" queryTableFieldId="245" dataDxfId="102"/>
    <tableColumn id="84" xr3:uid="{690C2AA7-1735-43DD-82EB-54D9E914B76D}" uniqueName="84" name="ms_m1" queryTableFieldId="246" dataDxfId="101"/>
    <tableColumn id="85" xr3:uid="{1BC39326-CAF6-4CF3-B41D-A0D248C2F463}" uniqueName="85" name="ms_m2" queryTableFieldId="247" dataDxfId="100"/>
    <tableColumn id="86" xr3:uid="{CBBBE7EE-1021-4409-98CB-337C24C92146}" uniqueName="86" name="rate_saving_mnt" queryTableFieldId="248" dataDxfId="99"/>
    <tableColumn id="87" xr3:uid="{707C09F2-2178-4927-BA07-6C204A651D38}" uniqueName="87" name="rate_saving_fc" queryTableFieldId="249" dataDxfId="98"/>
    <tableColumn id="88" xr3:uid="{12925DEB-368F-499C-8696-F31FC4D72765}" uniqueName="88" name="rate_loan_mnt" queryTableFieldId="250" dataDxfId="97"/>
    <tableColumn id="89" xr3:uid="{0294556A-650F-4174-8D03-3D15A120D635}" uniqueName="89" name="rate_loan_fc" queryTableFieldId="251" dataDxfId="96"/>
    <tableColumn id="90" xr3:uid="{A3E33E80-C2DA-4C5E-8601-B7A1CC761FB8}" uniqueName="90" name="rate_policy" queryTableFieldId="252" dataDxfId="95"/>
    <tableColumn id="91" xr3:uid="{02F4A796-C8C5-4827-9F77-A2471704BC8E}" uniqueName="91" name="cpi_total" queryTableFieldId="253" dataDxfId="94"/>
    <tableColumn id="92" xr3:uid="{C48447FD-38CF-45E1-AB6C-20ACF79B59AB}" uniqueName="92" name="cpi_foodnonal" queryTableFieldId="254" dataDxfId="93"/>
    <tableColumn id="93" xr3:uid="{C7338BCB-9081-438F-B5D0-EC5329FD8D28}" uniqueName="93" name="cpi_beverage" queryTableFieldId="255" dataDxfId="92"/>
    <tableColumn id="94" xr3:uid="{6A81C852-EAA2-43B4-AFA6-A329E41EF5FA}" uniqueName="94" name="cpi_cloth" queryTableFieldId="256" dataDxfId="91"/>
    <tableColumn id="95" xr3:uid="{C1F9D00D-57E2-4C76-8523-A19667FD6CD5}" uniqueName="95" name="cpi_comdity" queryTableFieldId="257" dataDxfId="90"/>
    <tableColumn id="96" xr3:uid="{1D34217B-8D3B-472F-8FF5-DF23675D2C4A}" uniqueName="96" name="cpi_furnish" queryTableFieldId="258" dataDxfId="89"/>
    <tableColumn id="97" xr3:uid="{6B2517EF-3778-4CDA-93D9-A479E69CB296}" uniqueName="97" name="cpi_health" queryTableFieldId="259" dataDxfId="88"/>
    <tableColumn id="98" xr3:uid="{D9619105-2FD0-4CCB-9F4E-20F064B3FD8E}" uniqueName="98" name="cpi_trans" queryTableFieldId="260" dataDxfId="87"/>
    <tableColumn id="99" xr3:uid="{43D7F50A-0540-4578-B136-2EA279316513}" uniqueName="99" name="cpi_comm" queryTableFieldId="261" dataDxfId="86"/>
    <tableColumn id="100" xr3:uid="{54820D15-8D58-4C0C-8D32-EA01E70E072A}" uniqueName="100" name="cpi_culture" queryTableFieldId="262" dataDxfId="85"/>
    <tableColumn id="101" xr3:uid="{26D2B298-9F4A-4CDF-B171-51A4C646A174}" uniqueName="101" name="cpi_edu" queryTableFieldId="263" dataDxfId="84"/>
    <tableColumn id="102" xr3:uid="{F704E168-5BD2-4930-A612-9AC3118CC20B}" uniqueName="102" name="cpi_res" queryTableFieldId="264" dataDxfId="83"/>
    <tableColumn id="103" xr3:uid="{513CBFFB-51F0-4321-B555-1EA97FAD72CD}" uniqueName="103" name="cpi_oth" queryTableFieldId="265" dataDxfId="82"/>
    <tableColumn id="104" xr3:uid="{3D99FD38-C784-48F0-8731-5E06F9B2BEAE}" uniqueName="104" name="tb_export" queryTableFieldId="266" dataDxfId="81"/>
    <tableColumn id="105" xr3:uid="{31ABBD61-B890-4C81-BD06-BB247A031756}" uniqueName="105" name="tb_export_mining" queryTableFieldId="267" dataDxfId="80"/>
    <tableColumn id="106" xr3:uid="{DB6F8762-2769-44DE-B4E2-075F4FBEAFEB}" uniqueName="106" name="tb_export_mining_gold" queryTableFieldId="268" dataDxfId="79"/>
    <tableColumn id="107" xr3:uid="{3BAE90F4-0F99-40BA-AA0B-03DFB45081E2}" uniqueName="107" name="tb_export_mining_copp" queryTableFieldId="269" dataDxfId="78"/>
    <tableColumn id="108" xr3:uid="{D20D11D3-EED5-402D-B2AA-8BDDC202378E}" uniqueName="108" name="tb_export_mining_iron" queryTableFieldId="270" dataDxfId="77"/>
    <tableColumn id="109" xr3:uid="{D7EEB8FA-CFF6-46D9-B2A4-8FDEA0DE9F6E}" uniqueName="109" name="tb_export_mining_zinc" queryTableFieldId="271" dataDxfId="76"/>
    <tableColumn id="110" xr3:uid="{288AF406-BB37-456B-8C71-49E74B0B3B7A}" uniqueName="110" name="tb_export_mining_coal" queryTableFieldId="272" dataDxfId="75"/>
    <tableColumn id="111" xr3:uid="{9AD55B43-3CD8-4C4E-8FD9-E894D0434C32}" uniqueName="111" name="tb_export_mining_oil" queryTableFieldId="273" dataDxfId="74"/>
    <tableColumn id="112" xr3:uid="{5649B6DA-4898-4B80-ABDA-1C98145ECF6A}" uniqueName="112" name="tb_export_livestock" queryTableFieldId="274" dataDxfId="73"/>
    <tableColumn id="113" xr3:uid="{CBA1A273-D93C-43E0-89D2-343B4E9AEAA5}" uniqueName="113" name="tb_export_livestock_meat" queryTableFieldId="275" dataDxfId="72"/>
    <tableColumn id="114" xr3:uid="{E1CC6000-3E80-40B7-B753-017E0EA32E00}" uniqueName="114" name="tb_export_livestock_leather" queryTableFieldId="276" dataDxfId="71"/>
    <tableColumn id="115" xr3:uid="{C7081502-B4F4-4F14-BC2E-DF3FB0CA3CCB}" uniqueName="115" name="tb_export_livestock_cashmere" queryTableFieldId="277" dataDxfId="70"/>
    <tableColumn id="116" xr3:uid="{E382A95D-339B-4ED1-9995-69ABA7F3ACC1}" uniqueName="116" name="tb_export_farm" queryTableFieldId="278" dataDxfId="69"/>
    <tableColumn id="117" xr3:uid="{F4FAD95D-E036-4A74-9491-99EB50FA6162}" uniqueName="117" name="tb_export_manu" queryTableFieldId="279" dataDxfId="68"/>
    <tableColumn id="118" xr3:uid="{44AFEE11-CB29-47FB-95FB-9FC0A1AFC3CF}" uniqueName="118" name="tb_export_oth" queryTableFieldId="280" dataDxfId="67"/>
    <tableColumn id="119" xr3:uid="{7196F135-CEE9-4424-A46A-3E464E865CBA}" uniqueName="119" name="tb_import" queryTableFieldId="281" dataDxfId="66"/>
    <tableColumn id="120" xr3:uid="{8864903C-D0DD-429E-9904-AB1C3DBCAAF1}" uniqueName="120" name="tb_import_consumer" queryTableFieldId="282" dataDxfId="65"/>
    <tableColumn id="121" xr3:uid="{A5826928-1A1E-4CB7-B23A-C908F4E6D505}" uniqueName="121" name="tb_import_consumer_short" queryTableFieldId="283" dataDxfId="64"/>
    <tableColumn id="122" xr3:uid="{A0E56213-831A-4FDA-A425-A8A235A97E24}" uniqueName="122" name="tb_import_consumer_long" queryTableFieldId="284" dataDxfId="63"/>
    <tableColumn id="123" xr3:uid="{E98A4FE5-C34B-4363-9086-DDC72A869583}" uniqueName="123" name="tb_import_manu" queryTableFieldId="285" dataDxfId="62"/>
    <tableColumn id="124" xr3:uid="{DE93C692-D1CB-4083-9743-9DCB27334F18}" uniqueName="124" name="tb_import_manu_elect" queryTableFieldId="286" dataDxfId="61"/>
    <tableColumn id="125" xr3:uid="{F64648AE-B457-4F55-9E55-E4DA496ED133}" uniqueName="125" name="tb_import_invest" queryTableFieldId="287" dataDxfId="60"/>
    <tableColumn id="126" xr3:uid="{59183A8E-2256-4F3C-9C54-2F2F79E90176}" uniqueName="126" name="tb_import_invest_vehic" queryTableFieldId="288" dataDxfId="59"/>
    <tableColumn id="127" xr3:uid="{F1323718-A564-40FE-B312-E36DFA4450E5}" uniqueName="127" name="tb_import_invest_const" queryTableFieldId="289" dataDxfId="58"/>
    <tableColumn id="128" xr3:uid="{69D0DAF3-70CC-41A9-8D1C-CBED24BED370}" uniqueName="128" name="tb_import_oil" queryTableFieldId="290" dataDxfId="57"/>
    <tableColumn id="129" xr3:uid="{9BB0D739-2487-40ED-AD58-FF5890FDBFCB}" uniqueName="129" name="tb_import_oil_dies" queryTableFieldId="291" dataDxfId="56"/>
    <tableColumn id="130" xr3:uid="{0AD60F73-38F1-4E8F-9FB4-CCE478A75B3F}" uniqueName="130" name="tb_import_oil_9295" queryTableFieldId="292" dataDxfId="55"/>
    <tableColumn id="131" xr3:uid="{3285C37C-64D0-4266-AA14-27CC500794E6}" uniqueName="131" name="bop_current_account" queryTableFieldId="293" dataDxfId="54"/>
    <tableColumn id="132" xr3:uid="{0AE6C48F-426C-4FCE-A9D7-DB96507250B1}" uniqueName="132" name="bop_current_goods" queryTableFieldId="294" dataDxfId="53"/>
    <tableColumn id="133" xr3:uid="{2D7FBB93-5F31-462B-AE9E-BB9C7B60E501}" uniqueName="133" name="bop_current_service" queryTableFieldId="295" dataDxfId="52"/>
    <tableColumn id="134" xr3:uid="{407BC0D8-6C25-4E09-87C5-236F63799F0F}" uniqueName="134" name="bop_current_priminc" queryTableFieldId="296" dataDxfId="51"/>
    <tableColumn id="135" xr3:uid="{27CD7F63-6CC8-43B5-9BB8-59C684AB3383}" uniqueName="135" name="bop_current_secondinc" queryTableFieldId="297" dataDxfId="50"/>
    <tableColumn id="136" xr3:uid="{B361AD59-121B-4409-A336-050F0448234D}" uniqueName="136" name="bop_capital_account" queryTableFieldId="298" dataDxfId="49"/>
    <tableColumn id="137" xr3:uid="{BADC0ACF-7045-4FA0-A6D7-F58A5EED989E}" uniqueName="137" name="bop_financial_account" queryTableFieldId="299" dataDxfId="48"/>
    <tableColumn id="138" xr3:uid="{9B5EE439-88F5-4E7D-9DDD-EBFB7DEE9E04}" uniqueName="138" name="bop_financial_direct" queryTableFieldId="300" dataDxfId="47"/>
    <tableColumn id="139" xr3:uid="{1E9B69C4-FA7D-426C-9D6B-40B41B3DAD6C}" uniqueName="139" name="bop_financial_portf" queryTableFieldId="301" dataDxfId="46"/>
    <tableColumn id="140" xr3:uid="{90273179-1F0F-4EA5-914F-A6138907A1F9}" uniqueName="140" name="bop_financial_deriv" queryTableFieldId="302" dataDxfId="45"/>
    <tableColumn id="141" xr3:uid="{B2AFA95B-FB88-4829-8167-B0646C77DD52}" uniqueName="141" name="bop_financial_oth" queryTableFieldId="303" dataDxfId="44"/>
    <tableColumn id="142" xr3:uid="{DC6F469A-8B32-4BA7-84A9-07EE648B4683}" uniqueName="142" name="bop_adjustment" queryTableFieldId="304" dataDxfId="43"/>
    <tableColumn id="143" xr3:uid="{DF8263F3-A616-4F30-B783-06CA4B800F07}" uniqueName="143" name="bop" queryTableFieldId="305" dataDxfId="42"/>
    <tableColumn id="144" xr3:uid="{BCC5803E-4BCD-4D81-8ECA-64623C784C52}" uniqueName="144" name="fxreserve" queryTableFieldId="306" dataDxfId="41"/>
    <tableColumn id="145" xr3:uid="{9BE019A2-DDF3-4D77-944F-BE3F4E65FAC3}" uniqueName="145" name="fxreserve_security" queryTableFieldId="307" dataDxfId="40"/>
    <tableColumn id="146" xr3:uid="{8B7652BF-752D-45E7-B3F5-7A2C67C4939A}" uniqueName="146" name="fxreserve_deposit" queryTableFieldId="308" dataDxfId="39"/>
    <tableColumn id="147" xr3:uid="{1D148FC8-0A0C-4DA3-AF82-71BE354872E9}" uniqueName="147" name="fxreserve_imf_res" queryTableFieldId="309" dataDxfId="38"/>
    <tableColumn id="148" xr3:uid="{CC46C8B2-72C8-49A5-A840-4C684B72FCF7}" uniqueName="148" name="fxreserve_sdr" queryTableFieldId="310" dataDxfId="37"/>
    <tableColumn id="149" xr3:uid="{9CB6C60A-15D7-41B0-BC87-274952CFA7AF}" uniqueName="149" name="fxreserve_gold" queryTableFieldId="311" dataDxfId="36"/>
    <tableColumn id="150" xr3:uid="{F6420041-57ED-41F6-A01D-6C62F4F42AD1}" uniqueName="150" name="fxreserve_oth" queryTableFieldId="312" dataDxfId="35"/>
    <tableColumn id="151" xr3:uid="{AC8BC11C-7197-4086-B022-B55ABCDAA019}" uniqueName="151" name="ex_usd_avg" queryTableFieldId="357"/>
    <tableColumn id="152" xr3:uid="{6E076968-8AD9-417C-B5AD-AB181BE8B394}" uniqueName="152" name="extdebt" queryTableFieldId="314" dataDxfId="34"/>
    <tableColumn id="153" xr3:uid="{D447C6C9-485A-4240-B077-4C76336BE63A}" uniqueName="153" name="extdebt_gov" queryTableFieldId="315" dataDxfId="33"/>
    <tableColumn id="154" xr3:uid="{B059B6B1-A409-41E7-893F-FD986DF1A6FB}" uniqueName="154" name="extdebt_centralbank" queryTableFieldId="316" dataDxfId="32"/>
    <tableColumn id="155" xr3:uid="{DE857275-9C45-46B9-83FD-6C5DCA93B16C}" uniqueName="155" name="extdebt_deposit" queryTableFieldId="317" dataDxfId="31"/>
    <tableColumn id="156" xr3:uid="{9FA58356-91CE-41A1-AA9C-F0D912B1F8D4}" uniqueName="156" name="extdebt_oth" queryTableFieldId="318" dataDxfId="30"/>
    <tableColumn id="157" xr3:uid="{C3DD9559-5C90-4896-86BD-F26D2F2ACBE3}" uniqueName="157" name="extdebt_inv" queryTableFieldId="319" dataDxfId="29"/>
    <tableColumn id="158" xr3:uid="{19FE5145-5E94-4029-82E1-8192F70555AE}" uniqueName="158" name="imf_price_coal" queryTableFieldId="320" dataDxfId="28"/>
    <tableColumn id="159" xr3:uid="{2469569C-6180-4327-8782-C56AE5E1F2D2}" uniqueName="159" name="imf_price_oil" queryTableFieldId="321" dataDxfId="27"/>
    <tableColumn id="160" xr3:uid="{C5EC4147-4CBC-4BE2-820B-22EC9ED2FBCC}" uniqueName="160" name="imf_price_copper" queryTableFieldId="322" dataDxfId="26"/>
    <tableColumn id="161" xr3:uid="{A8824484-82D7-4AAC-8744-AE8BF77D06C4}" uniqueName="161" name="imf_price_iron" queryTableFieldId="323" dataDxfId="25"/>
    <tableColumn id="162" xr3:uid="{C305F430-B097-420D-A4E9-36F0DCBC989A}" uniqueName="162" name="imf_price_gold" queryTableFieldId="324" dataDxfId="24"/>
    <tableColumn id="163" xr3:uid="{C073DBC6-FBB5-4620-839A-97241CA44BEF}" uniqueName="163" name="loan_total" queryTableFieldId="360"/>
    <tableColumn id="164" xr3:uid="{B4B34858-A871-49DA-BC59-54C638FCA3C8}" uniqueName="164" name="loan_main" queryTableFieldId="361"/>
    <tableColumn id="165" xr3:uid="{84590B1E-1C96-4CD3-8D02-0A2C4DB61D51}" uniqueName="165" name="loan_oth" queryTableFieldId="362"/>
    <tableColumn id="183" xr3:uid="{CA8A6B7D-C5F0-4382-ABF4-6769D54895A6}" uniqueName="183" name="depo_total" queryTableFieldId="345" dataDxfId="23"/>
    <tableColumn id="166" xr3:uid="{B79CEAF7-E4A9-4028-825A-D68057388F62}" uniqueName="166" name="depo_main" queryTableFieldId="363"/>
    <tableColumn id="192" xr3:uid="{359E0FEB-250A-4440-9364-A1A171F4B0C0}" uniqueName="192" name="depo_oth" queryTableFieldId="354" dataDxfId="22"/>
    <tableColumn id="193" xr3:uid="{DD54E18E-B510-488C-8804-AF2DEA6F4828}" uniqueName="193" name="bank_asset" queryTableFieldId="355" dataDxfId="21"/>
    <tableColumn id="194" xr3:uid="{83B26A83-B2DA-4EB4-929F-25C2979780F0}" uniqueName="194" name="bank_equity" queryTableFieldId="356" dataDxfId="20"/>
    <tableColumn id="195" xr3:uid="{063DD1FD-CB95-4549-99FD-FBF3BC39B284}" uniqueName="195" name="ex_usd_last" queryTableFieldId="358"/>
    <tableColumn id="167" xr3:uid="{ABB3445D-9244-47AC-A275-C5A86F64DFE6}" uniqueName="167" name="tb_export_mining_gold_q" queryTableFieldId="364"/>
    <tableColumn id="168" xr3:uid="{97E5A57C-8A50-4E24-969F-FEEE35A0E9D5}" uniqueName="168" name="tb_export_mining_copp_q" queryTableFieldId="365"/>
    <tableColumn id="169" xr3:uid="{AEE9203B-0454-4A58-92D5-867A3B12BBD6}" uniqueName="169" name="tb_export_mining_iron_q" queryTableFieldId="366"/>
    <tableColumn id="170" xr3:uid="{18219917-BF81-4B22-935E-CDD4AD636E80}" uniqueName="170" name="tb_export_mining_zinc_q" queryTableFieldId="367"/>
    <tableColumn id="171" xr3:uid="{AE7C5135-42E4-4B24-AB61-D124F0904EB7}" uniqueName="171" name="tb_export_mining_coal_q" queryTableFieldId="368"/>
    <tableColumn id="172" xr3:uid="{E01350C9-1EDB-4D86-BF76-FBC42F677498}" uniqueName="172" name="tb_export_mining_oil_q" queryTableFieldId="369"/>
    <tableColumn id="173" xr3:uid="{E5788A4D-7E90-465A-8FE0-F5B1DE144917}" uniqueName="173" name="tb_export_livestock_meat_q" queryTableFieldId="370"/>
    <tableColumn id="174" xr3:uid="{DAE88459-7806-45DA-8C20-D08E3FDEC96A}" uniqueName="174" name="tb_export_livestock_leather_q" queryTableFieldId="371"/>
    <tableColumn id="175" xr3:uid="{CCCA80EC-D434-40C6-932A-587531E8B616}" uniqueName="175" name="tb_export_livestock_cashmere_q" queryTableFieldId="372"/>
  </tableColumns>
  <tableStyleInfo name="murunofc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8C2705-B196-4E68-B60E-B79193F1871B}" name="macro_meta" displayName="macro_meta" ref="A1:F181" tableType="queryTable" totalsRowShown="0">
  <autoFilter ref="A1:F181" xr:uid="{956AFD57-DCB0-4172-81A1-1181CDECF2C6}"/>
  <tableColumns count="6">
    <tableColumn id="1" xr3:uid="{080227CC-79AE-4FDC-AFFD-F50F73AC7879}" uniqueName="1" name="VARIABLE" queryTableFieldId="1" dataDxfId="19"/>
    <tableColumn id="2" xr3:uid="{921D23CC-6F0D-45B4-8D7D-9147F291D881}" uniqueName="2" name="SOURCE" queryTableFieldId="2" dataDxfId="18"/>
    <tableColumn id="3" xr3:uid="{216FF522-2EFA-4AD9-BA1F-AFAFF38E73A3}" uniqueName="3" name="FREQUENCY" queryTableFieldId="3" dataDxfId="17"/>
    <tableColumn id="4" xr3:uid="{47AA70F7-8C59-491D-AA35-371E8A2FF59A}" uniqueName="4" name="DESCRIPTION" queryTableFieldId="4" dataDxfId="16"/>
    <tableColumn id="5" xr3:uid="{D42B9A29-A18A-419B-AB5F-8F6D01867EFC}" uniqueName="5" name="UNIT" queryTableFieldId="5" dataDxfId="15"/>
    <tableColumn id="6" xr3:uid="{9CFE22C2-0C5F-449A-9E61-F40B73A26BF7}" uniqueName="6" name="TYPE" queryTableFieldId="6" dataDxfId="14"/>
  </tableColumns>
  <tableStyleInfo name="murunofc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A281D2-B2D5-4B85-AF15-351466F4C792}" name="headers" displayName="headers" ref="V2:V502" totalsRowShown="0" headerRowDxfId="13" dataDxfId="11" headerRowBorderDxfId="12" tableBorderDxfId="10" totalsRowBorderDxfId="9">
  <autoFilter ref="V2:V502" xr:uid="{1CA281D2-B2D5-4B85-AF15-351466F4C792}"/>
  <tableColumns count="1">
    <tableColumn id="1" xr3:uid="{16BB9A29-E0FD-4030-8AAA-16DA4E73FE93}" name="Headers" dataDxfId="8">
      <calculatedColumnFormula>IF(V2="","",IF(NOT($T$2=""),IF(AND(VALUE(LEFT(V2,4))+1+$T$3/100&gt;=$T$6,VALUE(LEFT(V2,4))+1+$T$3/100&lt;=$T$7),CONCATENATE(VALUE(LEFT(V2,4))+1,$T$2),""),IF(next_period(V2,$G$2)=next_period(CONCATENATE($N$7,$N$8),$G$2),"",next_period(V2,$G$2))))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12154-E4FA-49D0-AC58-5B544CF26085}">
  <sheetPr codeName="Sheet5"/>
  <dimension ref="B3:C3"/>
  <sheetViews>
    <sheetView tabSelected="1" topLeftCell="A2" workbookViewId="0">
      <selection activeCell="C8" sqref="C8"/>
    </sheetView>
  </sheetViews>
  <sheetFormatPr defaultColWidth="9" defaultRowHeight="12" x14ac:dyDescent="0.2"/>
  <cols>
    <col min="1" max="1" width="9" style="50"/>
    <col min="2" max="2" width="19" style="50" customWidth="1"/>
    <col min="3" max="3" width="61.625" style="50" customWidth="1"/>
    <col min="4" max="16384" width="9" style="50"/>
  </cols>
  <sheetData>
    <row r="3" spans="2:3" ht="160.5" customHeight="1" x14ac:dyDescent="0.2">
      <c r="B3" s="51" t="s">
        <v>795</v>
      </c>
      <c r="C3" s="65" t="str">
        <f ca="1">CONCATENATE("
WELCOME TO MACRO INDICATOR VIEWER VERSION ",get_version(),".
You are viewing this page because you haven't enabled macro yet. Please enable macro to proceed further.
                   - MurunOFC © ",TEXT(TODAY(),"yyyy"))</f>
        <v xml:space="preserve">
WELCOME TO MACRO INDICATOR VIEWER VERSION v2.1.
You are viewing this page because you haven't enabled macro yet. Please enable macro to proceed further.
                   - MurunOFC © 2022</v>
      </c>
    </row>
  </sheetData>
  <sheetProtection algorithmName="SHA-512" hashValue="JYc/vWN2RkSsn4VhauMAZrQLFDPbu9a36zK5f0O591oWBKzyL8G52y9jJwLkymcEA2DCysO8xvUgd0MmUyDqpQ==" saltValue="rftWVpgCY6nY8Mh72vFTxA==" spinCount="100000" sheet="1" objects="1" scenarios="1" formatColumns="0" formatRow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A0536-DD56-414A-9E5C-4F8050F25763}">
  <sheetPr codeName="Sheet7"/>
  <dimension ref="A1:F113"/>
  <sheetViews>
    <sheetView topLeftCell="A74" zoomScale="80" zoomScaleNormal="80" workbookViewId="0">
      <selection activeCell="A112" sqref="A112:A113"/>
    </sheetView>
  </sheetViews>
  <sheetFormatPr defaultRowHeight="14.25" x14ac:dyDescent="0.2"/>
  <cols>
    <col min="1" max="1" width="36.75" bestFit="1" customWidth="1"/>
    <col min="2" max="2" width="11.75" bestFit="1" customWidth="1"/>
    <col min="3" max="3" width="15.25" bestFit="1" customWidth="1"/>
    <col min="4" max="4" width="80" bestFit="1" customWidth="1"/>
    <col min="5" max="5" width="11.25" bestFit="1" customWidth="1"/>
    <col min="6" max="6" width="10.2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 t="s">
        <v>515</v>
      </c>
      <c r="C2" t="s">
        <v>516</v>
      </c>
      <c r="D2" t="s">
        <v>517</v>
      </c>
      <c r="E2" t="s">
        <v>518</v>
      </c>
      <c r="F2" t="s">
        <v>518</v>
      </c>
    </row>
    <row r="3" spans="1:6" x14ac:dyDescent="0.2">
      <c r="A3" t="s">
        <v>7</v>
      </c>
      <c r="B3" t="s">
        <v>515</v>
      </c>
      <c r="C3" t="s">
        <v>519</v>
      </c>
      <c r="D3" t="s">
        <v>520</v>
      </c>
      <c r="E3" t="s">
        <v>518</v>
      </c>
      <c r="F3" t="s">
        <v>518</v>
      </c>
    </row>
    <row r="4" spans="1:6" x14ac:dyDescent="0.2">
      <c r="A4" t="s">
        <v>8</v>
      </c>
      <c r="B4" t="s">
        <v>515</v>
      </c>
      <c r="C4" t="s">
        <v>521</v>
      </c>
      <c r="D4" t="s">
        <v>522</v>
      </c>
      <c r="E4" t="s">
        <v>518</v>
      </c>
      <c r="F4" t="s">
        <v>518</v>
      </c>
    </row>
    <row r="5" spans="1:6" x14ac:dyDescent="0.2">
      <c r="A5" t="s">
        <v>893</v>
      </c>
      <c r="B5" t="s">
        <v>614</v>
      </c>
      <c r="C5" t="s">
        <v>521</v>
      </c>
      <c r="D5" t="s">
        <v>1002</v>
      </c>
      <c r="E5" t="s">
        <v>525</v>
      </c>
      <c r="F5" t="s">
        <v>592</v>
      </c>
    </row>
    <row r="6" spans="1:6" x14ac:dyDescent="0.2">
      <c r="A6" t="s">
        <v>894</v>
      </c>
      <c r="B6" t="s">
        <v>614</v>
      </c>
      <c r="C6" t="s">
        <v>521</v>
      </c>
      <c r="D6" t="s">
        <v>1002</v>
      </c>
      <c r="E6" t="s">
        <v>525</v>
      </c>
      <c r="F6" t="s">
        <v>592</v>
      </c>
    </row>
    <row r="7" spans="1:6" x14ac:dyDescent="0.2">
      <c r="A7" t="s">
        <v>895</v>
      </c>
      <c r="B7" t="s">
        <v>614</v>
      </c>
      <c r="C7" t="s">
        <v>521</v>
      </c>
      <c r="D7" t="s">
        <v>1003</v>
      </c>
      <c r="E7" t="s">
        <v>525</v>
      </c>
      <c r="F7" t="s">
        <v>592</v>
      </c>
    </row>
    <row r="8" spans="1:6" x14ac:dyDescent="0.2">
      <c r="A8" t="s">
        <v>896</v>
      </c>
      <c r="B8" t="s">
        <v>614</v>
      </c>
      <c r="C8" t="s">
        <v>521</v>
      </c>
      <c r="D8" t="s">
        <v>1004</v>
      </c>
      <c r="E8" t="s">
        <v>525</v>
      </c>
      <c r="F8" t="s">
        <v>592</v>
      </c>
    </row>
    <row r="9" spans="1:6" x14ac:dyDescent="0.2">
      <c r="A9" t="s">
        <v>897</v>
      </c>
      <c r="B9" t="s">
        <v>614</v>
      </c>
      <c r="C9" t="s">
        <v>521</v>
      </c>
      <c r="D9" t="s">
        <v>1005</v>
      </c>
      <c r="E9" t="s">
        <v>525</v>
      </c>
      <c r="F9" t="s">
        <v>592</v>
      </c>
    </row>
    <row r="10" spans="1:6" x14ac:dyDescent="0.2">
      <c r="A10" t="s">
        <v>898</v>
      </c>
      <c r="B10" t="s">
        <v>614</v>
      </c>
      <c r="C10" t="s">
        <v>521</v>
      </c>
      <c r="D10" t="s">
        <v>1006</v>
      </c>
      <c r="E10" t="s">
        <v>525</v>
      </c>
      <c r="F10" t="s">
        <v>592</v>
      </c>
    </row>
    <row r="11" spans="1:6" x14ac:dyDescent="0.2">
      <c r="A11" t="s">
        <v>899</v>
      </c>
      <c r="B11" t="s">
        <v>614</v>
      </c>
      <c r="C11" t="s">
        <v>521</v>
      </c>
      <c r="D11" t="s">
        <v>1007</v>
      </c>
      <c r="E11" t="s">
        <v>525</v>
      </c>
      <c r="F11" t="s">
        <v>592</v>
      </c>
    </row>
    <row r="12" spans="1:6" x14ac:dyDescent="0.2">
      <c r="A12" t="s">
        <v>900</v>
      </c>
      <c r="B12" t="s">
        <v>614</v>
      </c>
      <c r="C12" t="s">
        <v>521</v>
      </c>
      <c r="D12" t="s">
        <v>1008</v>
      </c>
      <c r="E12" t="s">
        <v>525</v>
      </c>
      <c r="F12" t="s">
        <v>592</v>
      </c>
    </row>
    <row r="13" spans="1:6" x14ac:dyDescent="0.2">
      <c r="A13" t="s">
        <v>901</v>
      </c>
      <c r="B13" t="s">
        <v>614</v>
      </c>
      <c r="C13" t="s">
        <v>521</v>
      </c>
      <c r="D13" t="s">
        <v>1009</v>
      </c>
      <c r="E13" t="s">
        <v>525</v>
      </c>
      <c r="F13" t="s">
        <v>592</v>
      </c>
    </row>
    <row r="14" spans="1:6" x14ac:dyDescent="0.2">
      <c r="A14" t="s">
        <v>902</v>
      </c>
      <c r="B14" t="s">
        <v>614</v>
      </c>
      <c r="C14" t="s">
        <v>521</v>
      </c>
      <c r="D14" t="s">
        <v>1010</v>
      </c>
      <c r="E14" t="s">
        <v>525</v>
      </c>
      <c r="F14" t="s">
        <v>592</v>
      </c>
    </row>
    <row r="15" spans="1:6" x14ac:dyDescent="0.2">
      <c r="A15" t="s">
        <v>903</v>
      </c>
      <c r="B15" t="s">
        <v>614</v>
      </c>
      <c r="C15" t="s">
        <v>521</v>
      </c>
      <c r="D15" t="s">
        <v>1011</v>
      </c>
      <c r="E15" t="s">
        <v>525</v>
      </c>
      <c r="F15" t="s">
        <v>592</v>
      </c>
    </row>
    <row r="16" spans="1:6" x14ac:dyDescent="0.2">
      <c r="A16" t="s">
        <v>904</v>
      </c>
      <c r="B16" t="s">
        <v>614</v>
      </c>
      <c r="C16" t="s">
        <v>521</v>
      </c>
      <c r="D16" t="s">
        <v>1012</v>
      </c>
      <c r="E16" t="s">
        <v>525</v>
      </c>
      <c r="F16" t="s">
        <v>592</v>
      </c>
    </row>
    <row r="17" spans="1:6" x14ac:dyDescent="0.2">
      <c r="A17" t="s">
        <v>905</v>
      </c>
      <c r="B17" t="s">
        <v>614</v>
      </c>
      <c r="C17" t="s">
        <v>521</v>
      </c>
      <c r="D17" t="s">
        <v>1013</v>
      </c>
      <c r="E17" t="s">
        <v>525</v>
      </c>
      <c r="F17" t="s">
        <v>592</v>
      </c>
    </row>
    <row r="18" spans="1:6" x14ac:dyDescent="0.2">
      <c r="A18" t="s">
        <v>906</v>
      </c>
      <c r="B18" t="s">
        <v>614</v>
      </c>
      <c r="C18" t="s">
        <v>521</v>
      </c>
      <c r="D18" t="s">
        <v>1014</v>
      </c>
      <c r="E18" t="s">
        <v>525</v>
      </c>
      <c r="F18" t="s">
        <v>592</v>
      </c>
    </row>
    <row r="19" spans="1:6" x14ac:dyDescent="0.2">
      <c r="A19" t="s">
        <v>907</v>
      </c>
      <c r="B19" t="s">
        <v>614</v>
      </c>
      <c r="C19" t="s">
        <v>521</v>
      </c>
      <c r="D19" t="s">
        <v>1015</v>
      </c>
      <c r="E19" t="s">
        <v>525</v>
      </c>
      <c r="F19" t="s">
        <v>592</v>
      </c>
    </row>
    <row r="20" spans="1:6" x14ac:dyDescent="0.2">
      <c r="A20" t="s">
        <v>908</v>
      </c>
      <c r="B20" t="s">
        <v>614</v>
      </c>
      <c r="C20" t="s">
        <v>521</v>
      </c>
      <c r="D20" t="s">
        <v>1016</v>
      </c>
      <c r="E20" t="s">
        <v>525</v>
      </c>
      <c r="F20" t="s">
        <v>592</v>
      </c>
    </row>
    <row r="21" spans="1:6" x14ac:dyDescent="0.2">
      <c r="A21" t="s">
        <v>909</v>
      </c>
      <c r="B21" t="s">
        <v>614</v>
      </c>
      <c r="C21" t="s">
        <v>521</v>
      </c>
      <c r="D21" t="s">
        <v>1017</v>
      </c>
      <c r="E21" t="s">
        <v>525</v>
      </c>
      <c r="F21" t="s">
        <v>592</v>
      </c>
    </row>
    <row r="22" spans="1:6" x14ac:dyDescent="0.2">
      <c r="A22" t="s">
        <v>910</v>
      </c>
      <c r="B22" t="s">
        <v>614</v>
      </c>
      <c r="C22" t="s">
        <v>521</v>
      </c>
      <c r="D22" t="s">
        <v>1018</v>
      </c>
      <c r="E22" t="s">
        <v>525</v>
      </c>
      <c r="F22" t="s">
        <v>592</v>
      </c>
    </row>
    <row r="23" spans="1:6" x14ac:dyDescent="0.2">
      <c r="A23" t="s">
        <v>911</v>
      </c>
      <c r="B23" t="s">
        <v>614</v>
      </c>
      <c r="C23" t="s">
        <v>521</v>
      </c>
      <c r="D23" t="s">
        <v>1019</v>
      </c>
      <c r="E23" t="s">
        <v>525</v>
      </c>
      <c r="F23" t="s">
        <v>592</v>
      </c>
    </row>
    <row r="24" spans="1:6" x14ac:dyDescent="0.2">
      <c r="A24" t="s">
        <v>912</v>
      </c>
      <c r="B24" t="s">
        <v>614</v>
      </c>
      <c r="C24" t="s">
        <v>521</v>
      </c>
      <c r="D24" t="s">
        <v>1020</v>
      </c>
      <c r="E24" t="s">
        <v>525</v>
      </c>
      <c r="F24" t="s">
        <v>592</v>
      </c>
    </row>
    <row r="25" spans="1:6" x14ac:dyDescent="0.2">
      <c r="A25" t="s">
        <v>913</v>
      </c>
      <c r="B25" t="s">
        <v>614</v>
      </c>
      <c r="C25" t="s">
        <v>521</v>
      </c>
      <c r="D25" t="s">
        <v>1020</v>
      </c>
      <c r="E25" t="s">
        <v>525</v>
      </c>
      <c r="F25" t="s">
        <v>592</v>
      </c>
    </row>
    <row r="26" spans="1:6" x14ac:dyDescent="0.2">
      <c r="A26" t="s">
        <v>914</v>
      </c>
      <c r="B26" t="s">
        <v>614</v>
      </c>
      <c r="C26" t="s">
        <v>521</v>
      </c>
      <c r="D26" t="s">
        <v>1021</v>
      </c>
      <c r="E26" t="s">
        <v>525</v>
      </c>
      <c r="F26" t="s">
        <v>592</v>
      </c>
    </row>
    <row r="27" spans="1:6" x14ac:dyDescent="0.2">
      <c r="A27" t="s">
        <v>915</v>
      </c>
      <c r="B27" t="s">
        <v>614</v>
      </c>
      <c r="C27" t="s">
        <v>521</v>
      </c>
      <c r="D27" t="s">
        <v>1022</v>
      </c>
      <c r="E27" t="s">
        <v>525</v>
      </c>
      <c r="F27" t="s">
        <v>592</v>
      </c>
    </row>
    <row r="28" spans="1:6" x14ac:dyDescent="0.2">
      <c r="A28" t="s">
        <v>916</v>
      </c>
      <c r="B28" t="s">
        <v>614</v>
      </c>
      <c r="C28" t="s">
        <v>521</v>
      </c>
      <c r="D28" t="s">
        <v>1023</v>
      </c>
      <c r="E28" t="s">
        <v>525</v>
      </c>
      <c r="F28" t="s">
        <v>592</v>
      </c>
    </row>
    <row r="29" spans="1:6" x14ac:dyDescent="0.2">
      <c r="A29" t="s">
        <v>917</v>
      </c>
      <c r="B29" t="s">
        <v>614</v>
      </c>
      <c r="C29" t="s">
        <v>521</v>
      </c>
      <c r="D29" t="s">
        <v>1024</v>
      </c>
      <c r="E29" t="s">
        <v>525</v>
      </c>
      <c r="F29" t="s">
        <v>592</v>
      </c>
    </row>
    <row r="30" spans="1:6" x14ac:dyDescent="0.2">
      <c r="A30" t="s">
        <v>918</v>
      </c>
      <c r="B30" t="s">
        <v>614</v>
      </c>
      <c r="C30" t="s">
        <v>521</v>
      </c>
      <c r="D30" t="s">
        <v>1025</v>
      </c>
      <c r="E30" t="s">
        <v>525</v>
      </c>
      <c r="F30" t="s">
        <v>592</v>
      </c>
    </row>
    <row r="31" spans="1:6" x14ac:dyDescent="0.2">
      <c r="A31" t="s">
        <v>919</v>
      </c>
      <c r="B31" t="s">
        <v>614</v>
      </c>
      <c r="C31" t="s">
        <v>521</v>
      </c>
      <c r="D31" t="s">
        <v>1026</v>
      </c>
      <c r="E31" t="s">
        <v>525</v>
      </c>
      <c r="F31" t="s">
        <v>592</v>
      </c>
    </row>
    <row r="32" spans="1:6" x14ac:dyDescent="0.2">
      <c r="A32" t="s">
        <v>920</v>
      </c>
      <c r="B32" t="s">
        <v>614</v>
      </c>
      <c r="C32" t="s">
        <v>521</v>
      </c>
      <c r="D32" t="s">
        <v>1027</v>
      </c>
      <c r="E32" t="s">
        <v>525</v>
      </c>
      <c r="F32" t="s">
        <v>592</v>
      </c>
    </row>
    <row r="33" spans="1:6" x14ac:dyDescent="0.2">
      <c r="A33" t="s">
        <v>921</v>
      </c>
      <c r="B33" t="s">
        <v>614</v>
      </c>
      <c r="C33" t="s">
        <v>521</v>
      </c>
      <c r="D33" t="s">
        <v>1028</v>
      </c>
      <c r="E33" t="s">
        <v>525</v>
      </c>
      <c r="F33" t="s">
        <v>592</v>
      </c>
    </row>
    <row r="34" spans="1:6" x14ac:dyDescent="0.2">
      <c r="A34" t="s">
        <v>922</v>
      </c>
      <c r="B34" t="s">
        <v>614</v>
      </c>
      <c r="C34" t="s">
        <v>521</v>
      </c>
      <c r="D34" t="s">
        <v>1029</v>
      </c>
      <c r="E34" t="s">
        <v>525</v>
      </c>
      <c r="F34" t="s">
        <v>592</v>
      </c>
    </row>
    <row r="35" spans="1:6" x14ac:dyDescent="0.2">
      <c r="A35" t="s">
        <v>923</v>
      </c>
      <c r="B35" t="s">
        <v>614</v>
      </c>
      <c r="C35" t="s">
        <v>521</v>
      </c>
      <c r="D35" t="s">
        <v>1030</v>
      </c>
      <c r="E35" t="s">
        <v>525</v>
      </c>
      <c r="F35" t="s">
        <v>592</v>
      </c>
    </row>
    <row r="36" spans="1:6" x14ac:dyDescent="0.2">
      <c r="A36" t="s">
        <v>924</v>
      </c>
      <c r="B36" t="s">
        <v>614</v>
      </c>
      <c r="C36" t="s">
        <v>521</v>
      </c>
      <c r="D36" t="s">
        <v>1031</v>
      </c>
      <c r="E36" t="s">
        <v>525</v>
      </c>
      <c r="F36" t="s">
        <v>592</v>
      </c>
    </row>
    <row r="37" spans="1:6" x14ac:dyDescent="0.2">
      <c r="A37" t="s">
        <v>925</v>
      </c>
      <c r="B37" t="s">
        <v>614</v>
      </c>
      <c r="C37" t="s">
        <v>521</v>
      </c>
      <c r="D37" t="s">
        <v>1032</v>
      </c>
      <c r="E37" t="s">
        <v>525</v>
      </c>
      <c r="F37" t="s">
        <v>592</v>
      </c>
    </row>
    <row r="38" spans="1:6" x14ac:dyDescent="0.2">
      <c r="A38" t="s">
        <v>926</v>
      </c>
      <c r="B38" t="s">
        <v>614</v>
      </c>
      <c r="C38" t="s">
        <v>521</v>
      </c>
      <c r="D38" t="s">
        <v>1033</v>
      </c>
      <c r="E38" t="s">
        <v>525</v>
      </c>
      <c r="F38" t="s">
        <v>592</v>
      </c>
    </row>
    <row r="39" spans="1:6" x14ac:dyDescent="0.2">
      <c r="A39" t="s">
        <v>927</v>
      </c>
      <c r="B39" t="s">
        <v>614</v>
      </c>
      <c r="C39" t="s">
        <v>521</v>
      </c>
      <c r="D39" t="s">
        <v>1034</v>
      </c>
      <c r="E39" t="s">
        <v>525</v>
      </c>
      <c r="F39" t="s">
        <v>592</v>
      </c>
    </row>
    <row r="40" spans="1:6" x14ac:dyDescent="0.2">
      <c r="A40" t="s">
        <v>928</v>
      </c>
      <c r="B40" t="s">
        <v>614</v>
      </c>
      <c r="C40" t="s">
        <v>521</v>
      </c>
      <c r="D40" t="s">
        <v>1034</v>
      </c>
      <c r="E40" t="s">
        <v>525</v>
      </c>
      <c r="F40" t="s">
        <v>592</v>
      </c>
    </row>
    <row r="41" spans="1:6" x14ac:dyDescent="0.2">
      <c r="A41" t="s">
        <v>929</v>
      </c>
      <c r="B41" t="s">
        <v>614</v>
      </c>
      <c r="C41" t="s">
        <v>521</v>
      </c>
      <c r="D41" t="s">
        <v>1035</v>
      </c>
      <c r="E41" t="s">
        <v>525</v>
      </c>
      <c r="F41" t="s">
        <v>592</v>
      </c>
    </row>
    <row r="42" spans="1:6" x14ac:dyDescent="0.2">
      <c r="A42" t="s">
        <v>930</v>
      </c>
      <c r="B42" t="s">
        <v>614</v>
      </c>
      <c r="C42" t="s">
        <v>521</v>
      </c>
      <c r="D42" t="s">
        <v>1036</v>
      </c>
      <c r="E42" t="s">
        <v>525</v>
      </c>
      <c r="F42" t="s">
        <v>592</v>
      </c>
    </row>
    <row r="43" spans="1:6" x14ac:dyDescent="0.2">
      <c r="A43" t="s">
        <v>931</v>
      </c>
      <c r="B43" t="s">
        <v>614</v>
      </c>
      <c r="C43" t="s">
        <v>521</v>
      </c>
      <c r="D43" t="s">
        <v>1037</v>
      </c>
      <c r="E43" t="s">
        <v>525</v>
      </c>
      <c r="F43" t="s">
        <v>592</v>
      </c>
    </row>
    <row r="44" spans="1:6" x14ac:dyDescent="0.2">
      <c r="A44" t="s">
        <v>932</v>
      </c>
      <c r="B44" t="s">
        <v>614</v>
      </c>
      <c r="C44" t="s">
        <v>521</v>
      </c>
      <c r="D44" t="s">
        <v>1038</v>
      </c>
      <c r="E44" t="s">
        <v>525</v>
      </c>
      <c r="F44" t="s">
        <v>592</v>
      </c>
    </row>
    <row r="45" spans="1:6" x14ac:dyDescent="0.2">
      <c r="A45" t="s">
        <v>933</v>
      </c>
      <c r="B45" t="s">
        <v>614</v>
      </c>
      <c r="C45" t="s">
        <v>521</v>
      </c>
      <c r="D45" t="s">
        <v>1039</v>
      </c>
      <c r="E45" t="s">
        <v>525</v>
      </c>
      <c r="F45" t="s">
        <v>592</v>
      </c>
    </row>
    <row r="46" spans="1:6" x14ac:dyDescent="0.2">
      <c r="A46" t="s">
        <v>934</v>
      </c>
      <c r="B46" t="s">
        <v>614</v>
      </c>
      <c r="C46" t="s">
        <v>521</v>
      </c>
      <c r="D46" t="s">
        <v>1040</v>
      </c>
      <c r="E46" t="s">
        <v>525</v>
      </c>
      <c r="F46" t="s">
        <v>592</v>
      </c>
    </row>
    <row r="47" spans="1:6" x14ac:dyDescent="0.2">
      <c r="A47" t="s">
        <v>935</v>
      </c>
      <c r="B47" t="s">
        <v>614</v>
      </c>
      <c r="C47" t="s">
        <v>521</v>
      </c>
      <c r="D47" t="s">
        <v>1041</v>
      </c>
      <c r="E47" t="s">
        <v>525</v>
      </c>
      <c r="F47" t="s">
        <v>592</v>
      </c>
    </row>
    <row r="48" spans="1:6" x14ac:dyDescent="0.2">
      <c r="A48" t="s">
        <v>936</v>
      </c>
      <c r="B48" t="s">
        <v>614</v>
      </c>
      <c r="C48" t="s">
        <v>521</v>
      </c>
      <c r="D48" t="s">
        <v>1042</v>
      </c>
      <c r="E48" t="s">
        <v>525</v>
      </c>
      <c r="F48" t="s">
        <v>592</v>
      </c>
    </row>
    <row r="49" spans="1:6" x14ac:dyDescent="0.2">
      <c r="A49" t="s">
        <v>937</v>
      </c>
      <c r="B49" t="s">
        <v>614</v>
      </c>
      <c r="C49" t="s">
        <v>521</v>
      </c>
      <c r="D49" t="s">
        <v>1043</v>
      </c>
      <c r="E49" t="s">
        <v>525</v>
      </c>
      <c r="F49" t="s">
        <v>592</v>
      </c>
    </row>
    <row r="50" spans="1:6" x14ac:dyDescent="0.2">
      <c r="A50" t="s">
        <v>938</v>
      </c>
      <c r="B50" t="s">
        <v>614</v>
      </c>
      <c r="C50" t="s">
        <v>521</v>
      </c>
      <c r="D50" t="s">
        <v>1044</v>
      </c>
      <c r="E50" t="s">
        <v>525</v>
      </c>
      <c r="F50" t="s">
        <v>592</v>
      </c>
    </row>
    <row r="51" spans="1:6" x14ac:dyDescent="0.2">
      <c r="A51" t="s">
        <v>939</v>
      </c>
      <c r="B51" t="s">
        <v>614</v>
      </c>
      <c r="C51" t="s">
        <v>521</v>
      </c>
      <c r="D51" t="s">
        <v>1045</v>
      </c>
      <c r="E51" t="s">
        <v>525</v>
      </c>
      <c r="F51" t="s">
        <v>592</v>
      </c>
    </row>
    <row r="52" spans="1:6" x14ac:dyDescent="0.2">
      <c r="A52" t="s">
        <v>940</v>
      </c>
      <c r="B52" t="s">
        <v>614</v>
      </c>
      <c r="C52" t="s">
        <v>521</v>
      </c>
      <c r="D52" t="s">
        <v>1046</v>
      </c>
      <c r="E52" t="s">
        <v>525</v>
      </c>
      <c r="F52" t="s">
        <v>592</v>
      </c>
    </row>
    <row r="53" spans="1:6" x14ac:dyDescent="0.2">
      <c r="A53" t="s">
        <v>941</v>
      </c>
      <c r="B53" t="s">
        <v>614</v>
      </c>
      <c r="C53" t="s">
        <v>521</v>
      </c>
      <c r="D53" t="s">
        <v>1047</v>
      </c>
      <c r="E53" t="s">
        <v>525</v>
      </c>
      <c r="F53" t="s">
        <v>592</v>
      </c>
    </row>
    <row r="54" spans="1:6" x14ac:dyDescent="0.2">
      <c r="A54" t="s">
        <v>942</v>
      </c>
      <c r="B54" t="s">
        <v>614</v>
      </c>
      <c r="C54" t="s">
        <v>521</v>
      </c>
      <c r="D54" t="s">
        <v>1048</v>
      </c>
      <c r="E54" t="s">
        <v>525</v>
      </c>
      <c r="F54" t="s">
        <v>592</v>
      </c>
    </row>
    <row r="55" spans="1:6" x14ac:dyDescent="0.2">
      <c r="A55" t="s">
        <v>943</v>
      </c>
      <c r="B55" t="s">
        <v>614</v>
      </c>
      <c r="C55" t="s">
        <v>521</v>
      </c>
      <c r="D55" t="s">
        <v>1049</v>
      </c>
      <c r="E55" t="s">
        <v>525</v>
      </c>
      <c r="F55" t="s">
        <v>592</v>
      </c>
    </row>
    <row r="56" spans="1:6" x14ac:dyDescent="0.2">
      <c r="A56" t="s">
        <v>944</v>
      </c>
      <c r="B56" t="s">
        <v>614</v>
      </c>
      <c r="C56" t="s">
        <v>521</v>
      </c>
      <c r="D56" t="s">
        <v>1050</v>
      </c>
      <c r="E56" t="s">
        <v>525</v>
      </c>
      <c r="F56" t="s">
        <v>592</v>
      </c>
    </row>
    <row r="57" spans="1:6" x14ac:dyDescent="0.2">
      <c r="A57" t="s">
        <v>945</v>
      </c>
      <c r="B57" t="s">
        <v>614</v>
      </c>
      <c r="C57" t="s">
        <v>521</v>
      </c>
      <c r="D57" t="s">
        <v>1051</v>
      </c>
      <c r="E57" t="s">
        <v>525</v>
      </c>
      <c r="F57" t="s">
        <v>592</v>
      </c>
    </row>
    <row r="58" spans="1:6" x14ac:dyDescent="0.2">
      <c r="A58" t="s">
        <v>946</v>
      </c>
      <c r="B58" t="s">
        <v>614</v>
      </c>
      <c r="C58" t="s">
        <v>521</v>
      </c>
      <c r="D58" t="s">
        <v>1052</v>
      </c>
      <c r="E58" t="s">
        <v>525</v>
      </c>
      <c r="F58" t="s">
        <v>592</v>
      </c>
    </row>
    <row r="59" spans="1:6" x14ac:dyDescent="0.2">
      <c r="A59" t="s">
        <v>947</v>
      </c>
      <c r="B59" t="s">
        <v>614</v>
      </c>
      <c r="C59" t="s">
        <v>521</v>
      </c>
      <c r="D59" t="s">
        <v>1053</v>
      </c>
      <c r="E59" t="s">
        <v>525</v>
      </c>
      <c r="F59" t="s">
        <v>592</v>
      </c>
    </row>
    <row r="60" spans="1:6" x14ac:dyDescent="0.2">
      <c r="A60" t="s">
        <v>948</v>
      </c>
      <c r="B60" t="s">
        <v>614</v>
      </c>
      <c r="C60" t="s">
        <v>521</v>
      </c>
      <c r="D60" t="s">
        <v>1054</v>
      </c>
      <c r="E60" t="s">
        <v>525</v>
      </c>
      <c r="F60" t="s">
        <v>592</v>
      </c>
    </row>
    <row r="61" spans="1:6" x14ac:dyDescent="0.2">
      <c r="A61" t="s">
        <v>949</v>
      </c>
      <c r="B61" t="s">
        <v>614</v>
      </c>
      <c r="C61" t="s">
        <v>521</v>
      </c>
      <c r="D61" t="s">
        <v>1055</v>
      </c>
      <c r="E61" t="s">
        <v>525</v>
      </c>
      <c r="F61" t="s">
        <v>592</v>
      </c>
    </row>
    <row r="62" spans="1:6" x14ac:dyDescent="0.2">
      <c r="A62" t="s">
        <v>950</v>
      </c>
      <c r="B62" t="s">
        <v>614</v>
      </c>
      <c r="C62" t="s">
        <v>521</v>
      </c>
      <c r="D62" t="s">
        <v>1056</v>
      </c>
      <c r="E62" t="s">
        <v>525</v>
      </c>
      <c r="F62" t="s">
        <v>592</v>
      </c>
    </row>
    <row r="63" spans="1:6" x14ac:dyDescent="0.2">
      <c r="A63" t="s">
        <v>951</v>
      </c>
      <c r="B63" t="s">
        <v>614</v>
      </c>
      <c r="C63" t="s">
        <v>521</v>
      </c>
      <c r="D63" t="s">
        <v>1057</v>
      </c>
      <c r="E63" t="s">
        <v>525</v>
      </c>
      <c r="F63" t="s">
        <v>592</v>
      </c>
    </row>
    <row r="64" spans="1:6" x14ac:dyDescent="0.2">
      <c r="A64" t="s">
        <v>952</v>
      </c>
      <c r="B64" t="s">
        <v>614</v>
      </c>
      <c r="C64" t="s">
        <v>521</v>
      </c>
      <c r="D64" t="s">
        <v>1058</v>
      </c>
      <c r="E64" t="s">
        <v>525</v>
      </c>
      <c r="F64" t="s">
        <v>592</v>
      </c>
    </row>
    <row r="65" spans="1:6" x14ac:dyDescent="0.2">
      <c r="A65" t="s">
        <v>953</v>
      </c>
      <c r="B65" t="s">
        <v>614</v>
      </c>
      <c r="C65" t="s">
        <v>521</v>
      </c>
      <c r="D65" t="s">
        <v>1059</v>
      </c>
      <c r="E65" t="s">
        <v>525</v>
      </c>
      <c r="F65" t="s">
        <v>592</v>
      </c>
    </row>
    <row r="66" spans="1:6" x14ac:dyDescent="0.2">
      <c r="A66" t="s">
        <v>954</v>
      </c>
      <c r="B66" t="s">
        <v>614</v>
      </c>
      <c r="C66" t="s">
        <v>521</v>
      </c>
      <c r="D66" t="s">
        <v>1060</v>
      </c>
      <c r="E66" t="s">
        <v>525</v>
      </c>
      <c r="F66" t="s">
        <v>592</v>
      </c>
    </row>
    <row r="67" spans="1:6" x14ac:dyDescent="0.2">
      <c r="A67" t="s">
        <v>955</v>
      </c>
      <c r="B67" t="s">
        <v>614</v>
      </c>
      <c r="C67" t="s">
        <v>521</v>
      </c>
      <c r="D67" t="s">
        <v>1061</v>
      </c>
      <c r="E67" t="s">
        <v>525</v>
      </c>
      <c r="F67" t="s">
        <v>592</v>
      </c>
    </row>
    <row r="68" spans="1:6" x14ac:dyDescent="0.2">
      <c r="A68" t="s">
        <v>956</v>
      </c>
      <c r="B68" t="s">
        <v>614</v>
      </c>
      <c r="C68" t="s">
        <v>521</v>
      </c>
      <c r="D68" t="s">
        <v>1062</v>
      </c>
      <c r="E68" t="s">
        <v>525</v>
      </c>
      <c r="F68" t="s">
        <v>592</v>
      </c>
    </row>
    <row r="69" spans="1:6" x14ac:dyDescent="0.2">
      <c r="A69" t="s">
        <v>957</v>
      </c>
      <c r="B69" t="s">
        <v>614</v>
      </c>
      <c r="C69" t="s">
        <v>521</v>
      </c>
      <c r="D69" t="s">
        <v>1063</v>
      </c>
      <c r="E69" t="s">
        <v>525</v>
      </c>
      <c r="F69" t="s">
        <v>592</v>
      </c>
    </row>
    <row r="70" spans="1:6" x14ac:dyDescent="0.2">
      <c r="A70" t="s">
        <v>958</v>
      </c>
      <c r="B70" t="s">
        <v>614</v>
      </c>
      <c r="C70" t="s">
        <v>521</v>
      </c>
      <c r="D70" t="s">
        <v>1064</v>
      </c>
      <c r="E70" t="s">
        <v>525</v>
      </c>
      <c r="F70" t="s">
        <v>592</v>
      </c>
    </row>
    <row r="71" spans="1:6" x14ac:dyDescent="0.2">
      <c r="A71" t="s">
        <v>959</v>
      </c>
      <c r="B71" t="s">
        <v>614</v>
      </c>
      <c r="C71" t="s">
        <v>521</v>
      </c>
      <c r="D71" t="s">
        <v>1065</v>
      </c>
      <c r="E71" t="s">
        <v>525</v>
      </c>
      <c r="F71" t="s">
        <v>592</v>
      </c>
    </row>
    <row r="72" spans="1:6" x14ac:dyDescent="0.2">
      <c r="A72" t="s">
        <v>960</v>
      </c>
      <c r="B72" t="s">
        <v>614</v>
      </c>
      <c r="C72" t="s">
        <v>521</v>
      </c>
      <c r="D72" t="s">
        <v>1066</v>
      </c>
      <c r="E72" t="s">
        <v>525</v>
      </c>
      <c r="F72" t="s">
        <v>592</v>
      </c>
    </row>
    <row r="73" spans="1:6" x14ac:dyDescent="0.2">
      <c r="A73" t="s">
        <v>961</v>
      </c>
      <c r="B73" t="s">
        <v>614</v>
      </c>
      <c r="C73" t="s">
        <v>521</v>
      </c>
      <c r="D73" t="s">
        <v>1067</v>
      </c>
      <c r="E73" t="s">
        <v>525</v>
      </c>
      <c r="F73" t="s">
        <v>592</v>
      </c>
    </row>
    <row r="74" spans="1:6" x14ac:dyDescent="0.2">
      <c r="A74" t="s">
        <v>962</v>
      </c>
      <c r="B74" t="s">
        <v>614</v>
      </c>
      <c r="C74" t="s">
        <v>521</v>
      </c>
      <c r="D74" t="s">
        <v>1068</v>
      </c>
      <c r="E74" t="s">
        <v>525</v>
      </c>
      <c r="F74" t="s">
        <v>592</v>
      </c>
    </row>
    <row r="75" spans="1:6" x14ac:dyDescent="0.2">
      <c r="A75" t="s">
        <v>963</v>
      </c>
      <c r="B75" t="s">
        <v>614</v>
      </c>
      <c r="C75" t="s">
        <v>521</v>
      </c>
      <c r="D75" t="s">
        <v>1069</v>
      </c>
      <c r="E75" t="s">
        <v>525</v>
      </c>
      <c r="F75" t="s">
        <v>592</v>
      </c>
    </row>
    <row r="76" spans="1:6" x14ac:dyDescent="0.2">
      <c r="A76" t="s">
        <v>964</v>
      </c>
      <c r="B76" t="s">
        <v>614</v>
      </c>
      <c r="C76" t="s">
        <v>521</v>
      </c>
      <c r="D76" t="s">
        <v>1070</v>
      </c>
      <c r="E76" t="s">
        <v>525</v>
      </c>
      <c r="F76" t="s">
        <v>592</v>
      </c>
    </row>
    <row r="77" spans="1:6" x14ac:dyDescent="0.2">
      <c r="A77" t="s">
        <v>965</v>
      </c>
      <c r="B77" t="s">
        <v>614</v>
      </c>
      <c r="C77" t="s">
        <v>521</v>
      </c>
      <c r="D77" t="s">
        <v>1071</v>
      </c>
      <c r="E77" t="s">
        <v>525</v>
      </c>
      <c r="F77" t="s">
        <v>592</v>
      </c>
    </row>
    <row r="78" spans="1:6" x14ac:dyDescent="0.2">
      <c r="A78" t="s">
        <v>966</v>
      </c>
      <c r="B78" t="s">
        <v>614</v>
      </c>
      <c r="C78" t="s">
        <v>521</v>
      </c>
      <c r="D78" t="s">
        <v>1072</v>
      </c>
      <c r="E78" t="s">
        <v>525</v>
      </c>
      <c r="F78" t="s">
        <v>592</v>
      </c>
    </row>
    <row r="79" spans="1:6" x14ac:dyDescent="0.2">
      <c r="A79" t="s">
        <v>967</v>
      </c>
      <c r="B79" t="s">
        <v>614</v>
      </c>
      <c r="C79" t="s">
        <v>521</v>
      </c>
      <c r="D79" t="s">
        <v>1073</v>
      </c>
      <c r="E79" t="s">
        <v>525</v>
      </c>
      <c r="F79" t="s">
        <v>592</v>
      </c>
    </row>
    <row r="80" spans="1:6" x14ac:dyDescent="0.2">
      <c r="A80" t="s">
        <v>968</v>
      </c>
      <c r="B80" t="s">
        <v>614</v>
      </c>
      <c r="C80" t="s">
        <v>521</v>
      </c>
      <c r="D80" t="s">
        <v>1074</v>
      </c>
      <c r="E80" t="s">
        <v>525</v>
      </c>
      <c r="F80" t="s">
        <v>592</v>
      </c>
    </row>
    <row r="81" spans="1:6" x14ac:dyDescent="0.2">
      <c r="A81" t="s">
        <v>969</v>
      </c>
      <c r="B81" t="s">
        <v>614</v>
      </c>
      <c r="C81" t="s">
        <v>521</v>
      </c>
      <c r="D81" t="s">
        <v>1075</v>
      </c>
      <c r="E81" t="s">
        <v>525</v>
      </c>
      <c r="F81" t="s">
        <v>592</v>
      </c>
    </row>
    <row r="82" spans="1:6" x14ac:dyDescent="0.2">
      <c r="A82" t="s">
        <v>970</v>
      </c>
      <c r="B82" t="s">
        <v>614</v>
      </c>
      <c r="C82" t="s">
        <v>521</v>
      </c>
      <c r="D82" t="s">
        <v>1076</v>
      </c>
      <c r="E82" t="s">
        <v>525</v>
      </c>
      <c r="F82" t="s">
        <v>592</v>
      </c>
    </row>
    <row r="83" spans="1:6" x14ac:dyDescent="0.2">
      <c r="A83" t="s">
        <v>971</v>
      </c>
      <c r="B83" t="s">
        <v>614</v>
      </c>
      <c r="C83" t="s">
        <v>521</v>
      </c>
      <c r="D83" t="s">
        <v>1077</v>
      </c>
      <c r="E83" t="s">
        <v>525</v>
      </c>
      <c r="F83" t="s">
        <v>592</v>
      </c>
    </row>
    <row r="84" spans="1:6" x14ac:dyDescent="0.2">
      <c r="A84" t="s">
        <v>972</v>
      </c>
      <c r="B84" t="s">
        <v>614</v>
      </c>
      <c r="C84" t="s">
        <v>521</v>
      </c>
      <c r="D84" t="s">
        <v>1078</v>
      </c>
      <c r="E84" t="s">
        <v>525</v>
      </c>
      <c r="F84" t="s">
        <v>592</v>
      </c>
    </row>
    <row r="85" spans="1:6" x14ac:dyDescent="0.2">
      <c r="A85" t="s">
        <v>973</v>
      </c>
      <c r="B85" t="s">
        <v>614</v>
      </c>
      <c r="C85" t="s">
        <v>521</v>
      </c>
      <c r="D85" t="s">
        <v>1079</v>
      </c>
      <c r="E85" t="s">
        <v>525</v>
      </c>
      <c r="F85" t="s">
        <v>592</v>
      </c>
    </row>
    <row r="86" spans="1:6" x14ac:dyDescent="0.2">
      <c r="A86" t="s">
        <v>974</v>
      </c>
      <c r="B86" t="s">
        <v>614</v>
      </c>
      <c r="C86" t="s">
        <v>521</v>
      </c>
      <c r="D86" t="s">
        <v>1080</v>
      </c>
      <c r="E86" t="s">
        <v>525</v>
      </c>
      <c r="F86" t="s">
        <v>592</v>
      </c>
    </row>
    <row r="87" spans="1:6" x14ac:dyDescent="0.2">
      <c r="A87" t="s">
        <v>975</v>
      </c>
      <c r="B87" t="s">
        <v>614</v>
      </c>
      <c r="C87" t="s">
        <v>521</v>
      </c>
      <c r="D87" t="s">
        <v>1081</v>
      </c>
      <c r="E87" t="s">
        <v>525</v>
      </c>
      <c r="F87" t="s">
        <v>592</v>
      </c>
    </row>
    <row r="88" spans="1:6" x14ac:dyDescent="0.2">
      <c r="A88" t="s">
        <v>976</v>
      </c>
      <c r="B88" t="s">
        <v>614</v>
      </c>
      <c r="C88" t="s">
        <v>521</v>
      </c>
      <c r="D88" t="s">
        <v>1082</v>
      </c>
      <c r="E88" t="s">
        <v>525</v>
      </c>
      <c r="F88" t="s">
        <v>592</v>
      </c>
    </row>
    <row r="89" spans="1:6" x14ac:dyDescent="0.2">
      <c r="A89" t="s">
        <v>977</v>
      </c>
      <c r="B89" t="s">
        <v>614</v>
      </c>
      <c r="C89" t="s">
        <v>521</v>
      </c>
      <c r="D89" t="s">
        <v>1083</v>
      </c>
      <c r="E89" t="s">
        <v>525</v>
      </c>
      <c r="F89" t="s">
        <v>592</v>
      </c>
    </row>
    <row r="90" spans="1:6" x14ac:dyDescent="0.2">
      <c r="A90" t="s">
        <v>978</v>
      </c>
      <c r="B90" t="s">
        <v>614</v>
      </c>
      <c r="C90" t="s">
        <v>521</v>
      </c>
      <c r="D90" t="s">
        <v>1084</v>
      </c>
      <c r="E90" t="s">
        <v>525</v>
      </c>
      <c r="F90" t="s">
        <v>592</v>
      </c>
    </row>
    <row r="91" spans="1:6" x14ac:dyDescent="0.2">
      <c r="A91" t="s">
        <v>979</v>
      </c>
      <c r="B91" t="s">
        <v>614</v>
      </c>
      <c r="C91" t="s">
        <v>521</v>
      </c>
      <c r="D91" t="s">
        <v>1085</v>
      </c>
      <c r="E91" t="s">
        <v>525</v>
      </c>
      <c r="F91" t="s">
        <v>592</v>
      </c>
    </row>
    <row r="92" spans="1:6" x14ac:dyDescent="0.2">
      <c r="A92" t="s">
        <v>980</v>
      </c>
      <c r="B92" t="s">
        <v>614</v>
      </c>
      <c r="C92" t="s">
        <v>521</v>
      </c>
      <c r="D92" t="s">
        <v>1086</v>
      </c>
      <c r="E92" t="s">
        <v>525</v>
      </c>
      <c r="F92" t="s">
        <v>592</v>
      </c>
    </row>
    <row r="93" spans="1:6" x14ac:dyDescent="0.2">
      <c r="A93" t="s">
        <v>981</v>
      </c>
      <c r="B93" t="s">
        <v>614</v>
      </c>
      <c r="C93" t="s">
        <v>521</v>
      </c>
      <c r="D93" t="s">
        <v>1087</v>
      </c>
      <c r="E93" t="s">
        <v>525</v>
      </c>
      <c r="F93" t="s">
        <v>592</v>
      </c>
    </row>
    <row r="94" spans="1:6" x14ac:dyDescent="0.2">
      <c r="A94" t="s">
        <v>982</v>
      </c>
      <c r="B94" t="s">
        <v>614</v>
      </c>
      <c r="C94" t="s">
        <v>521</v>
      </c>
      <c r="D94" t="s">
        <v>1088</v>
      </c>
      <c r="E94" t="s">
        <v>525</v>
      </c>
      <c r="F94" t="s">
        <v>592</v>
      </c>
    </row>
    <row r="95" spans="1:6" x14ac:dyDescent="0.2">
      <c r="A95" t="s">
        <v>983</v>
      </c>
      <c r="B95" t="s">
        <v>614</v>
      </c>
      <c r="C95" t="s">
        <v>521</v>
      </c>
      <c r="D95" t="s">
        <v>1089</v>
      </c>
      <c r="E95" t="s">
        <v>525</v>
      </c>
      <c r="F95" t="s">
        <v>592</v>
      </c>
    </row>
    <row r="96" spans="1:6" x14ac:dyDescent="0.2">
      <c r="A96" t="s">
        <v>984</v>
      </c>
      <c r="B96" t="s">
        <v>614</v>
      </c>
      <c r="C96" t="s">
        <v>521</v>
      </c>
      <c r="D96" t="s">
        <v>1090</v>
      </c>
      <c r="E96" t="s">
        <v>525</v>
      </c>
      <c r="F96" t="s">
        <v>592</v>
      </c>
    </row>
    <row r="97" spans="1:6" x14ac:dyDescent="0.2">
      <c r="A97" t="s">
        <v>985</v>
      </c>
      <c r="B97" t="s">
        <v>614</v>
      </c>
      <c r="C97" t="s">
        <v>521</v>
      </c>
      <c r="D97" t="s">
        <v>1091</v>
      </c>
      <c r="E97" t="s">
        <v>525</v>
      </c>
      <c r="F97" t="s">
        <v>592</v>
      </c>
    </row>
    <row r="98" spans="1:6" x14ac:dyDescent="0.2">
      <c r="A98" t="s">
        <v>986</v>
      </c>
      <c r="B98" t="s">
        <v>614</v>
      </c>
      <c r="C98" t="s">
        <v>521</v>
      </c>
      <c r="D98" t="s">
        <v>1092</v>
      </c>
      <c r="E98" t="s">
        <v>525</v>
      </c>
      <c r="F98" t="s">
        <v>592</v>
      </c>
    </row>
    <row r="99" spans="1:6" x14ac:dyDescent="0.2">
      <c r="A99" t="s">
        <v>987</v>
      </c>
      <c r="B99" t="s">
        <v>614</v>
      </c>
      <c r="C99" t="s">
        <v>521</v>
      </c>
      <c r="D99" t="s">
        <v>1093</v>
      </c>
      <c r="E99" t="s">
        <v>525</v>
      </c>
      <c r="F99" t="s">
        <v>592</v>
      </c>
    </row>
    <row r="100" spans="1:6" x14ac:dyDescent="0.2">
      <c r="A100" t="s">
        <v>988</v>
      </c>
      <c r="B100" t="s">
        <v>614</v>
      </c>
      <c r="C100" t="s">
        <v>521</v>
      </c>
      <c r="D100" t="s">
        <v>1094</v>
      </c>
      <c r="E100" t="s">
        <v>525</v>
      </c>
      <c r="F100" t="s">
        <v>592</v>
      </c>
    </row>
    <row r="101" spans="1:6" x14ac:dyDescent="0.2">
      <c r="A101" t="s">
        <v>989</v>
      </c>
      <c r="B101" t="s">
        <v>614</v>
      </c>
      <c r="C101" t="s">
        <v>521</v>
      </c>
      <c r="D101" t="s">
        <v>1095</v>
      </c>
      <c r="E101" t="s">
        <v>525</v>
      </c>
      <c r="F101" t="s">
        <v>592</v>
      </c>
    </row>
    <row r="102" spans="1:6" x14ac:dyDescent="0.2">
      <c r="A102" t="s">
        <v>990</v>
      </c>
      <c r="B102" t="s">
        <v>614</v>
      </c>
      <c r="C102" t="s">
        <v>521</v>
      </c>
      <c r="D102" t="s">
        <v>1096</v>
      </c>
      <c r="E102" t="s">
        <v>525</v>
      </c>
      <c r="F102" t="s">
        <v>592</v>
      </c>
    </row>
    <row r="103" spans="1:6" x14ac:dyDescent="0.2">
      <c r="A103" t="s">
        <v>991</v>
      </c>
      <c r="B103" t="s">
        <v>614</v>
      </c>
      <c r="C103" t="s">
        <v>521</v>
      </c>
      <c r="D103" t="s">
        <v>1097</v>
      </c>
      <c r="E103" t="s">
        <v>525</v>
      </c>
      <c r="F103" t="s">
        <v>592</v>
      </c>
    </row>
    <row r="104" spans="1:6" x14ac:dyDescent="0.2">
      <c r="A104" t="s">
        <v>992</v>
      </c>
      <c r="B104" t="s">
        <v>614</v>
      </c>
      <c r="C104" t="s">
        <v>521</v>
      </c>
      <c r="D104" t="s">
        <v>1098</v>
      </c>
      <c r="E104" t="s">
        <v>525</v>
      </c>
      <c r="F104" t="s">
        <v>592</v>
      </c>
    </row>
    <row r="105" spans="1:6" x14ac:dyDescent="0.2">
      <c r="A105" t="s">
        <v>993</v>
      </c>
      <c r="B105" t="s">
        <v>614</v>
      </c>
      <c r="C105" t="s">
        <v>521</v>
      </c>
      <c r="D105" t="s">
        <v>1099</v>
      </c>
      <c r="E105" t="s">
        <v>525</v>
      </c>
      <c r="F105" t="s">
        <v>592</v>
      </c>
    </row>
    <row r="106" spans="1:6" x14ac:dyDescent="0.2">
      <c r="A106" t="s">
        <v>994</v>
      </c>
      <c r="B106" t="s">
        <v>614</v>
      </c>
      <c r="C106" t="s">
        <v>521</v>
      </c>
      <c r="D106" t="s">
        <v>1100</v>
      </c>
      <c r="E106" t="s">
        <v>525</v>
      </c>
      <c r="F106" t="s">
        <v>592</v>
      </c>
    </row>
    <row r="107" spans="1:6" x14ac:dyDescent="0.2">
      <c r="A107" t="s">
        <v>995</v>
      </c>
      <c r="B107" t="s">
        <v>614</v>
      </c>
      <c r="C107" t="s">
        <v>521</v>
      </c>
      <c r="D107" t="s">
        <v>1101</v>
      </c>
      <c r="E107" t="s">
        <v>525</v>
      </c>
      <c r="F107" t="s">
        <v>592</v>
      </c>
    </row>
    <row r="108" spans="1:6" x14ac:dyDescent="0.2">
      <c r="A108" t="s">
        <v>996</v>
      </c>
      <c r="B108" t="s">
        <v>614</v>
      </c>
      <c r="C108" t="s">
        <v>521</v>
      </c>
      <c r="D108" t="s">
        <v>1102</v>
      </c>
      <c r="E108" t="s">
        <v>525</v>
      </c>
      <c r="F108" t="s">
        <v>592</v>
      </c>
    </row>
    <row r="109" spans="1:6" x14ac:dyDescent="0.2">
      <c r="A109" t="s">
        <v>997</v>
      </c>
      <c r="B109" t="s">
        <v>614</v>
      </c>
      <c r="C109" t="s">
        <v>521</v>
      </c>
      <c r="D109" t="s">
        <v>1103</v>
      </c>
      <c r="E109" t="s">
        <v>525</v>
      </c>
      <c r="F109" t="s">
        <v>592</v>
      </c>
    </row>
    <row r="110" spans="1:6" x14ac:dyDescent="0.2">
      <c r="A110" t="s">
        <v>998</v>
      </c>
      <c r="B110" t="s">
        <v>614</v>
      </c>
      <c r="C110" t="s">
        <v>521</v>
      </c>
      <c r="D110" t="s">
        <v>1104</v>
      </c>
      <c r="E110" t="s">
        <v>525</v>
      </c>
      <c r="F110" t="s">
        <v>592</v>
      </c>
    </row>
    <row r="111" spans="1:6" x14ac:dyDescent="0.2">
      <c r="A111" t="s">
        <v>999</v>
      </c>
      <c r="B111" t="s">
        <v>614</v>
      </c>
      <c r="C111" t="s">
        <v>521</v>
      </c>
      <c r="D111" t="s">
        <v>1105</v>
      </c>
      <c r="E111" t="s">
        <v>525</v>
      </c>
      <c r="F111" t="s">
        <v>592</v>
      </c>
    </row>
    <row r="112" spans="1:6" x14ac:dyDescent="0.2">
      <c r="A112" t="s">
        <v>1000</v>
      </c>
      <c r="B112" t="s">
        <v>614</v>
      </c>
      <c r="C112" t="s">
        <v>521</v>
      </c>
      <c r="D112" t="s">
        <v>1106</v>
      </c>
      <c r="E112" t="s">
        <v>525</v>
      </c>
      <c r="F112" t="s">
        <v>592</v>
      </c>
    </row>
    <row r="113" spans="1:6" x14ac:dyDescent="0.2">
      <c r="A113" t="s">
        <v>1001</v>
      </c>
      <c r="B113" t="s">
        <v>614</v>
      </c>
      <c r="C113" t="s">
        <v>521</v>
      </c>
      <c r="D113" t="s">
        <v>1107</v>
      </c>
      <c r="E113" t="s">
        <v>525</v>
      </c>
      <c r="F113" t="s">
        <v>592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BB45-53A7-4F21-8973-31589419BCC5}">
  <sheetPr codeName="Sheet6"/>
  <dimension ref="A1:DH266"/>
  <sheetViews>
    <sheetView zoomScale="80" zoomScaleNormal="80" workbookViewId="0">
      <selection activeCell="C25" sqref="C25"/>
    </sheetView>
  </sheetViews>
  <sheetFormatPr defaultRowHeight="14.25" x14ac:dyDescent="0.2"/>
  <cols>
    <col min="1" max="1" width="13.375" bestFit="1" customWidth="1"/>
    <col min="2" max="2" width="13.75" bestFit="1" customWidth="1"/>
    <col min="3" max="4" width="14.375" bestFit="1" customWidth="1"/>
    <col min="5" max="5" width="21.875" bestFit="1" customWidth="1"/>
    <col min="6" max="6" width="27.5" bestFit="1" customWidth="1"/>
    <col min="7" max="7" width="24.25" bestFit="1" customWidth="1"/>
    <col min="8" max="8" width="29.25" bestFit="1" customWidth="1"/>
    <col min="9" max="9" width="29.625" bestFit="1" customWidth="1"/>
    <col min="10" max="10" width="28.875" bestFit="1" customWidth="1"/>
    <col min="11" max="11" width="22.625" bestFit="1" customWidth="1"/>
    <col min="12" max="12" width="30.5" bestFit="1" customWidth="1"/>
    <col min="13" max="13" width="24.375" bestFit="1" customWidth="1"/>
    <col min="14" max="14" width="31.875" bestFit="1" customWidth="1"/>
    <col min="15" max="15" width="24.5" bestFit="1" customWidth="1"/>
    <col min="16" max="16" width="26.875" bestFit="1" customWidth="1"/>
    <col min="17" max="17" width="23.625" bestFit="1" customWidth="1"/>
    <col min="18" max="18" width="22.625" bestFit="1" customWidth="1"/>
    <col min="19" max="19" width="23.375" bestFit="1" customWidth="1"/>
    <col min="20" max="20" width="22" bestFit="1" customWidth="1"/>
    <col min="21" max="21" width="24.25" bestFit="1" customWidth="1"/>
    <col min="22" max="22" width="20.75" bestFit="1" customWidth="1"/>
    <col min="23" max="23" width="19.875" bestFit="1" customWidth="1"/>
    <col min="24" max="24" width="27.375" bestFit="1" customWidth="1"/>
    <col min="25" max="25" width="33" bestFit="1" customWidth="1"/>
    <col min="26" max="26" width="29.625" bestFit="1" customWidth="1"/>
    <col min="27" max="27" width="34.625" bestFit="1" customWidth="1"/>
    <col min="28" max="28" width="35.25" bestFit="1" customWidth="1"/>
    <col min="29" max="29" width="34.375" bestFit="1" customWidth="1"/>
    <col min="30" max="30" width="28.125" bestFit="1" customWidth="1"/>
    <col min="31" max="31" width="35.875" bestFit="1" customWidth="1"/>
    <col min="32" max="32" width="29.875" bestFit="1" customWidth="1"/>
    <col min="33" max="33" width="37.375" bestFit="1" customWidth="1"/>
    <col min="34" max="34" width="30" bestFit="1" customWidth="1"/>
    <col min="35" max="35" width="32.375" bestFit="1" customWidth="1"/>
    <col min="36" max="36" width="29" bestFit="1" customWidth="1"/>
    <col min="37" max="37" width="28.125" bestFit="1" customWidth="1"/>
    <col min="38" max="38" width="19.875" bestFit="1" customWidth="1"/>
    <col min="39" max="39" width="27.375" bestFit="1" customWidth="1"/>
    <col min="40" max="40" width="33" bestFit="1" customWidth="1"/>
    <col min="41" max="41" width="29.625" bestFit="1" customWidth="1"/>
    <col min="42" max="42" width="34.625" bestFit="1" customWidth="1"/>
    <col min="43" max="43" width="35.25" bestFit="1" customWidth="1"/>
    <col min="44" max="44" width="34.375" bestFit="1" customWidth="1"/>
    <col min="45" max="45" width="28.125" bestFit="1" customWidth="1"/>
    <col min="46" max="46" width="35.875" bestFit="1" customWidth="1"/>
    <col min="47" max="47" width="29.875" bestFit="1" customWidth="1"/>
    <col min="48" max="48" width="37.375" bestFit="1" customWidth="1"/>
    <col min="49" max="49" width="30" bestFit="1" customWidth="1"/>
    <col min="50" max="50" width="32.375" bestFit="1" customWidth="1"/>
    <col min="51" max="51" width="29" bestFit="1" customWidth="1"/>
    <col min="52" max="52" width="28.125" bestFit="1" customWidth="1"/>
    <col min="53" max="53" width="22.625" bestFit="1" customWidth="1"/>
    <col min="54" max="54" width="27.75" bestFit="1" customWidth="1"/>
    <col min="55" max="55" width="22.125" bestFit="1" customWidth="1"/>
    <col min="56" max="56" width="27.375" bestFit="1" customWidth="1"/>
    <col min="57" max="57" width="28.125" bestFit="1" customWidth="1"/>
    <col min="58" max="58" width="33.25" bestFit="1" customWidth="1"/>
    <col min="59" max="59" width="27.625" bestFit="1" customWidth="1"/>
    <col min="60" max="60" width="32.75" bestFit="1" customWidth="1"/>
    <col min="61" max="61" width="28.125" bestFit="1" customWidth="1"/>
    <col min="62" max="62" width="33.25" bestFit="1" customWidth="1"/>
    <col min="63" max="63" width="27.625" bestFit="1" customWidth="1"/>
    <col min="64" max="64" width="32.75" bestFit="1" customWidth="1"/>
    <col min="65" max="65" width="20.25" bestFit="1" customWidth="1"/>
    <col min="66" max="66" width="28.625" bestFit="1" customWidth="1"/>
    <col min="67" max="67" width="33.75" bestFit="1" customWidth="1"/>
    <col min="68" max="68" width="28.125" bestFit="1" customWidth="1"/>
    <col min="69" max="69" width="33.25" bestFit="1" customWidth="1"/>
    <col min="70" max="70" width="25.875" bestFit="1" customWidth="1"/>
    <col min="71" max="71" width="34" bestFit="1" customWidth="1"/>
    <col min="72" max="72" width="39.25" bestFit="1" customWidth="1"/>
    <col min="73" max="73" width="33.625" bestFit="1" customWidth="1"/>
    <col min="74" max="74" width="38.75" bestFit="1" customWidth="1"/>
    <col min="75" max="75" width="25.875" bestFit="1" customWidth="1"/>
    <col min="76" max="76" width="34" bestFit="1" customWidth="1"/>
    <col min="77" max="77" width="39.25" bestFit="1" customWidth="1"/>
    <col min="78" max="78" width="33.625" bestFit="1" customWidth="1"/>
    <col min="79" max="79" width="38.75" bestFit="1" customWidth="1"/>
    <col min="80" max="80" width="12.625" bestFit="1" customWidth="1"/>
    <col min="81" max="81" width="13.375" bestFit="1" customWidth="1"/>
    <col min="82" max="82" width="17" bestFit="1" customWidth="1"/>
    <col min="83" max="83" width="23" bestFit="1" customWidth="1"/>
    <col min="84" max="84" width="15" bestFit="1" customWidth="1"/>
    <col min="85" max="85" width="23.25" bestFit="1" customWidth="1"/>
    <col min="86" max="86" width="22.75" bestFit="1" customWidth="1"/>
    <col min="87" max="87" width="20.875" bestFit="1" customWidth="1"/>
    <col min="88" max="88" width="29.25" bestFit="1" customWidth="1"/>
    <col min="89" max="89" width="28.75" bestFit="1" customWidth="1"/>
    <col min="90" max="90" width="19" bestFit="1" customWidth="1"/>
    <col min="91" max="91" width="27.375" bestFit="1" customWidth="1"/>
    <col min="92" max="92" width="26.875" bestFit="1" customWidth="1"/>
    <col min="93" max="93" width="19.875" bestFit="1" customWidth="1"/>
    <col min="94" max="94" width="28.125" bestFit="1" customWidth="1"/>
    <col min="95" max="95" width="27.625" bestFit="1" customWidth="1"/>
    <col min="96" max="96" width="25.875" bestFit="1" customWidth="1"/>
    <col min="97" max="97" width="34" bestFit="1" customWidth="1"/>
    <col min="98" max="98" width="33.625" bestFit="1" customWidth="1"/>
    <col min="99" max="99" width="23.875" bestFit="1" customWidth="1"/>
    <col min="100" max="100" width="32.125" bestFit="1" customWidth="1"/>
    <col min="101" max="101" width="31.75" bestFit="1" customWidth="1"/>
    <col min="102" max="102" width="20" bestFit="1" customWidth="1"/>
    <col min="103" max="103" width="28.25" bestFit="1" customWidth="1"/>
    <col min="104" max="104" width="27.75" bestFit="1" customWidth="1"/>
    <col min="105" max="105" width="26.125" bestFit="1" customWidth="1"/>
    <col min="106" max="106" width="34.25" bestFit="1" customWidth="1"/>
    <col min="107" max="107" width="33.75" bestFit="1" customWidth="1"/>
    <col min="108" max="108" width="24" bestFit="1" customWidth="1"/>
    <col min="109" max="109" width="32.375" bestFit="1" customWidth="1"/>
    <col min="110" max="110" width="31.875" bestFit="1" customWidth="1"/>
    <col min="111" max="111" width="13.375" bestFit="1" customWidth="1"/>
    <col min="112" max="112" width="13.25" bestFit="1" customWidth="1"/>
  </cols>
  <sheetData>
    <row r="1" spans="1:112" x14ac:dyDescent="0.2">
      <c r="A1" s="8" t="s">
        <v>6</v>
      </c>
      <c r="B1" s="8" t="s">
        <v>7</v>
      </c>
      <c r="C1" s="8" t="s">
        <v>8</v>
      </c>
      <c r="D1" s="9" t="s">
        <v>893</v>
      </c>
      <c r="E1" s="9" t="s">
        <v>894</v>
      </c>
      <c r="F1" s="9" t="s">
        <v>895</v>
      </c>
      <c r="G1" s="9" t="s">
        <v>896</v>
      </c>
      <c r="H1" s="9" t="s">
        <v>897</v>
      </c>
      <c r="I1" s="9" t="s">
        <v>898</v>
      </c>
      <c r="J1" s="9" t="s">
        <v>899</v>
      </c>
      <c r="K1" s="9" t="s">
        <v>900</v>
      </c>
      <c r="L1" s="9" t="s">
        <v>901</v>
      </c>
      <c r="M1" s="9" t="s">
        <v>902</v>
      </c>
      <c r="N1" s="9" t="s">
        <v>903</v>
      </c>
      <c r="O1" s="9" t="s">
        <v>904</v>
      </c>
      <c r="P1" s="9" t="s">
        <v>905</v>
      </c>
      <c r="Q1" s="9" t="s">
        <v>906</v>
      </c>
      <c r="R1" s="9" t="s">
        <v>907</v>
      </c>
      <c r="S1" s="9" t="s">
        <v>908</v>
      </c>
      <c r="T1" s="9" t="s">
        <v>909</v>
      </c>
      <c r="U1" s="9" t="s">
        <v>910</v>
      </c>
      <c r="V1" s="9" t="s">
        <v>911</v>
      </c>
      <c r="W1" s="9" t="s">
        <v>912</v>
      </c>
      <c r="X1" s="9" t="s">
        <v>913</v>
      </c>
      <c r="Y1" s="9" t="s">
        <v>914</v>
      </c>
      <c r="Z1" s="9" t="s">
        <v>915</v>
      </c>
      <c r="AA1" s="9" t="s">
        <v>916</v>
      </c>
      <c r="AB1" s="9" t="s">
        <v>917</v>
      </c>
      <c r="AC1" s="9" t="s">
        <v>918</v>
      </c>
      <c r="AD1" s="9" t="s">
        <v>919</v>
      </c>
      <c r="AE1" s="9" t="s">
        <v>920</v>
      </c>
      <c r="AF1" s="9" t="s">
        <v>921</v>
      </c>
      <c r="AG1" s="9" t="s">
        <v>922</v>
      </c>
      <c r="AH1" s="9" t="s">
        <v>923</v>
      </c>
      <c r="AI1" s="9" t="s">
        <v>924</v>
      </c>
      <c r="AJ1" s="9" t="s">
        <v>925</v>
      </c>
      <c r="AK1" s="9" t="s">
        <v>926</v>
      </c>
      <c r="AL1" s="9" t="s">
        <v>927</v>
      </c>
      <c r="AM1" s="9" t="s">
        <v>928</v>
      </c>
      <c r="AN1" s="9" t="s">
        <v>929</v>
      </c>
      <c r="AO1" s="9" t="s">
        <v>930</v>
      </c>
      <c r="AP1" s="9" t="s">
        <v>931</v>
      </c>
      <c r="AQ1" s="9" t="s">
        <v>932</v>
      </c>
      <c r="AR1" s="9" t="s">
        <v>933</v>
      </c>
      <c r="AS1" s="9" t="s">
        <v>934</v>
      </c>
      <c r="AT1" s="9" t="s">
        <v>935</v>
      </c>
      <c r="AU1" s="9" t="s">
        <v>936</v>
      </c>
      <c r="AV1" s="9" t="s">
        <v>937</v>
      </c>
      <c r="AW1" s="9" t="s">
        <v>938</v>
      </c>
      <c r="AX1" s="9" t="s">
        <v>939</v>
      </c>
      <c r="AY1" s="9" t="s">
        <v>940</v>
      </c>
      <c r="AZ1" s="9" t="s">
        <v>941</v>
      </c>
      <c r="BA1" s="9" t="s">
        <v>942</v>
      </c>
      <c r="BB1" s="9" t="s">
        <v>943</v>
      </c>
      <c r="BC1" s="9" t="s">
        <v>944</v>
      </c>
      <c r="BD1" s="9" t="s">
        <v>945</v>
      </c>
      <c r="BE1" s="9" t="s">
        <v>946</v>
      </c>
      <c r="BF1" s="9" t="s">
        <v>947</v>
      </c>
      <c r="BG1" s="9" t="s">
        <v>948</v>
      </c>
      <c r="BH1" s="9" t="s">
        <v>949</v>
      </c>
      <c r="BI1" s="9" t="s">
        <v>950</v>
      </c>
      <c r="BJ1" s="9" t="s">
        <v>951</v>
      </c>
      <c r="BK1" s="9" t="s">
        <v>952</v>
      </c>
      <c r="BL1" s="9" t="s">
        <v>953</v>
      </c>
      <c r="BM1" s="9" t="s">
        <v>954</v>
      </c>
      <c r="BN1" s="9" t="s">
        <v>955</v>
      </c>
      <c r="BO1" s="9" t="s">
        <v>956</v>
      </c>
      <c r="BP1" s="9" t="s">
        <v>957</v>
      </c>
      <c r="BQ1" s="9" t="s">
        <v>958</v>
      </c>
      <c r="BR1" s="9" t="s">
        <v>959</v>
      </c>
      <c r="BS1" s="9" t="s">
        <v>960</v>
      </c>
      <c r="BT1" s="9" t="s">
        <v>961</v>
      </c>
      <c r="BU1" s="9" t="s">
        <v>962</v>
      </c>
      <c r="BV1" s="9" t="s">
        <v>963</v>
      </c>
      <c r="BW1" s="9" t="s">
        <v>964</v>
      </c>
      <c r="BX1" s="9" t="s">
        <v>965</v>
      </c>
      <c r="BY1" s="9" t="s">
        <v>966</v>
      </c>
      <c r="BZ1" s="9" t="s">
        <v>967</v>
      </c>
      <c r="CA1" s="9" t="s">
        <v>968</v>
      </c>
      <c r="CB1" s="9" t="s">
        <v>969</v>
      </c>
      <c r="CC1" s="9" t="s">
        <v>970</v>
      </c>
      <c r="CD1" s="9" t="s">
        <v>971</v>
      </c>
      <c r="CE1" s="9" t="s">
        <v>972</v>
      </c>
      <c r="CF1" s="9" t="s">
        <v>973</v>
      </c>
      <c r="CG1" s="9" t="s">
        <v>974</v>
      </c>
      <c r="CH1" s="9" t="s">
        <v>975</v>
      </c>
      <c r="CI1" s="9" t="s">
        <v>976</v>
      </c>
      <c r="CJ1" s="9" t="s">
        <v>977</v>
      </c>
      <c r="CK1" s="9" t="s">
        <v>978</v>
      </c>
      <c r="CL1" s="9" t="s">
        <v>979</v>
      </c>
      <c r="CM1" s="9" t="s">
        <v>980</v>
      </c>
      <c r="CN1" s="9" t="s">
        <v>981</v>
      </c>
      <c r="CO1" s="9" t="s">
        <v>982</v>
      </c>
      <c r="CP1" s="9" t="s">
        <v>983</v>
      </c>
      <c r="CQ1" s="9" t="s">
        <v>984</v>
      </c>
      <c r="CR1" s="9" t="s">
        <v>985</v>
      </c>
      <c r="CS1" s="9" t="s">
        <v>986</v>
      </c>
      <c r="CT1" s="9" t="s">
        <v>987</v>
      </c>
      <c r="CU1" s="9" t="s">
        <v>988</v>
      </c>
      <c r="CV1" s="9" t="s">
        <v>989</v>
      </c>
      <c r="CW1" s="9" t="s">
        <v>990</v>
      </c>
      <c r="CX1" s="9" t="s">
        <v>991</v>
      </c>
      <c r="CY1" s="9" t="s">
        <v>992</v>
      </c>
      <c r="CZ1" s="9" t="s">
        <v>993</v>
      </c>
      <c r="DA1" s="9" t="s">
        <v>994</v>
      </c>
      <c r="DB1" s="9" t="s">
        <v>995</v>
      </c>
      <c r="DC1" s="9" t="s">
        <v>996</v>
      </c>
      <c r="DD1" s="9" t="s">
        <v>997</v>
      </c>
      <c r="DE1" s="9" t="s">
        <v>998</v>
      </c>
      <c r="DF1" s="9" t="s">
        <v>999</v>
      </c>
      <c r="DG1" s="9" t="s">
        <v>1000</v>
      </c>
      <c r="DH1" s="9" t="s">
        <v>1001</v>
      </c>
    </row>
    <row r="2" spans="1:112" x14ac:dyDescent="0.2">
      <c r="A2" s="8" t="s">
        <v>843</v>
      </c>
      <c r="B2" s="8" t="s">
        <v>171</v>
      </c>
      <c r="C2" s="8" t="s">
        <v>172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</row>
    <row r="3" spans="1:112" x14ac:dyDescent="0.2">
      <c r="A3" s="8" t="s">
        <v>843</v>
      </c>
      <c r="B3" s="8" t="s">
        <v>171</v>
      </c>
      <c r="C3" s="8" t="s">
        <v>173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</row>
    <row r="4" spans="1:112" x14ac:dyDescent="0.2">
      <c r="A4" s="8" t="s">
        <v>843</v>
      </c>
      <c r="B4" s="8" t="s">
        <v>171</v>
      </c>
      <c r="C4" s="8" t="s">
        <v>174</v>
      </c>
      <c r="D4" s="9"/>
      <c r="E4" s="9">
        <v>50262.83</v>
      </c>
      <c r="F4" s="9">
        <v>1185.03</v>
      </c>
      <c r="G4" s="9">
        <v>12217.71</v>
      </c>
      <c r="H4" s="9">
        <v>11232.3</v>
      </c>
      <c r="I4" s="9">
        <v>0</v>
      </c>
      <c r="J4" s="9">
        <v>1884.25</v>
      </c>
      <c r="K4" s="9">
        <v>0</v>
      </c>
      <c r="L4" s="9">
        <v>1977.71</v>
      </c>
      <c r="M4" s="9">
        <v>436.85</v>
      </c>
      <c r="N4" s="9">
        <v>0</v>
      </c>
      <c r="O4" s="9">
        <v>1311.12</v>
      </c>
      <c r="P4" s="9">
        <v>0</v>
      </c>
      <c r="Q4" s="9">
        <v>103.63</v>
      </c>
      <c r="R4" s="9">
        <v>19914.23</v>
      </c>
      <c r="S4" s="9">
        <v>0</v>
      </c>
      <c r="T4" s="9">
        <v>0</v>
      </c>
      <c r="U4" s="9">
        <v>0</v>
      </c>
      <c r="V4" s="9">
        <v>0</v>
      </c>
      <c r="W4" s="9"/>
      <c r="X4" s="9">
        <v>1016.39</v>
      </c>
      <c r="Y4" s="9">
        <v>78</v>
      </c>
      <c r="Z4" s="9">
        <v>5</v>
      </c>
      <c r="AA4" s="9">
        <v>401.28</v>
      </c>
      <c r="AB4" s="9">
        <v>0</v>
      </c>
      <c r="AC4" s="9">
        <v>21.8</v>
      </c>
      <c r="AD4" s="9">
        <v>0</v>
      </c>
      <c r="AE4" s="9">
        <v>0</v>
      </c>
      <c r="AF4" s="9">
        <v>0</v>
      </c>
      <c r="AG4" s="9">
        <v>0</v>
      </c>
      <c r="AH4" s="9">
        <v>0</v>
      </c>
      <c r="AI4" s="9">
        <v>0</v>
      </c>
      <c r="AJ4" s="9">
        <v>5.93</v>
      </c>
      <c r="AK4" s="9">
        <v>504.38</v>
      </c>
      <c r="AL4" s="9"/>
      <c r="AM4" s="9">
        <v>15563.83</v>
      </c>
      <c r="AN4" s="9">
        <v>351.71</v>
      </c>
      <c r="AO4" s="9">
        <v>3944.62</v>
      </c>
      <c r="AP4" s="9">
        <v>3874.8</v>
      </c>
      <c r="AQ4" s="9">
        <v>0</v>
      </c>
      <c r="AR4" s="9">
        <v>76.099999999999994</v>
      </c>
      <c r="AS4" s="9">
        <v>0</v>
      </c>
      <c r="AT4" s="9">
        <v>251.81</v>
      </c>
      <c r="AU4" s="9">
        <v>436.15</v>
      </c>
      <c r="AV4" s="9">
        <v>0</v>
      </c>
      <c r="AW4" s="9">
        <v>124.12</v>
      </c>
      <c r="AX4" s="9">
        <v>0</v>
      </c>
      <c r="AY4" s="9">
        <v>34.950000000000003</v>
      </c>
      <c r="AZ4" s="9">
        <v>6469.57</v>
      </c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</row>
    <row r="5" spans="1:112" x14ac:dyDescent="0.2">
      <c r="A5" s="8" t="s">
        <v>843</v>
      </c>
      <c r="B5" s="8" t="s">
        <v>175</v>
      </c>
      <c r="C5" s="8" t="s">
        <v>176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</row>
    <row r="6" spans="1:112" x14ac:dyDescent="0.2">
      <c r="A6" s="8" t="s">
        <v>843</v>
      </c>
      <c r="B6" s="8" t="s">
        <v>175</v>
      </c>
      <c r="C6" s="8" t="s">
        <v>177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</row>
    <row r="7" spans="1:112" x14ac:dyDescent="0.2">
      <c r="A7" s="8" t="s">
        <v>843</v>
      </c>
      <c r="B7" s="8" t="s">
        <v>175</v>
      </c>
      <c r="C7" s="8" t="s">
        <v>178</v>
      </c>
      <c r="D7" s="9"/>
      <c r="E7" s="9">
        <v>54235.27</v>
      </c>
      <c r="F7" s="9">
        <v>1543.3</v>
      </c>
      <c r="G7" s="9">
        <v>11323.16</v>
      </c>
      <c r="H7" s="9">
        <v>13342.66</v>
      </c>
      <c r="I7" s="9">
        <v>0</v>
      </c>
      <c r="J7" s="9">
        <v>2390.4699999999998</v>
      </c>
      <c r="K7" s="9">
        <v>0</v>
      </c>
      <c r="L7" s="9">
        <v>1617.53</v>
      </c>
      <c r="M7" s="9">
        <v>579.70000000000005</v>
      </c>
      <c r="N7" s="9">
        <v>0</v>
      </c>
      <c r="O7" s="9">
        <v>1132.74</v>
      </c>
      <c r="P7" s="9">
        <v>0</v>
      </c>
      <c r="Q7" s="9">
        <v>132.84</v>
      </c>
      <c r="R7" s="9">
        <v>22172.85</v>
      </c>
      <c r="S7" s="9">
        <v>0</v>
      </c>
      <c r="T7" s="9">
        <v>0</v>
      </c>
      <c r="U7" s="9">
        <v>0</v>
      </c>
      <c r="V7" s="9">
        <v>0</v>
      </c>
      <c r="W7" s="9"/>
      <c r="X7" s="9">
        <v>1838.26</v>
      </c>
      <c r="Y7" s="9">
        <v>68.069999999999993</v>
      </c>
      <c r="Z7" s="9">
        <v>370</v>
      </c>
      <c r="AA7" s="9">
        <v>288.05</v>
      </c>
      <c r="AB7" s="9">
        <v>0</v>
      </c>
      <c r="AC7" s="9">
        <v>109.26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6.46</v>
      </c>
      <c r="AK7" s="9">
        <v>996.43</v>
      </c>
      <c r="AL7" s="9"/>
      <c r="AM7" s="9">
        <v>14600.73</v>
      </c>
      <c r="AN7" s="9">
        <v>340.94</v>
      </c>
      <c r="AO7" s="9">
        <v>3048.2</v>
      </c>
      <c r="AP7" s="9">
        <v>3931.54</v>
      </c>
      <c r="AQ7" s="9">
        <v>0</v>
      </c>
      <c r="AR7" s="9">
        <v>148.66</v>
      </c>
      <c r="AS7" s="9">
        <v>0</v>
      </c>
      <c r="AT7" s="9">
        <v>210.96</v>
      </c>
      <c r="AU7" s="9">
        <v>533.11</v>
      </c>
      <c r="AV7" s="9">
        <v>0</v>
      </c>
      <c r="AW7" s="9">
        <v>121.45</v>
      </c>
      <c r="AX7" s="9">
        <v>0</v>
      </c>
      <c r="AY7" s="9">
        <v>6.84</v>
      </c>
      <c r="AZ7" s="9">
        <v>6259.02</v>
      </c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</row>
    <row r="8" spans="1:112" x14ac:dyDescent="0.2">
      <c r="A8" s="8" t="s">
        <v>843</v>
      </c>
      <c r="B8" s="8" t="s">
        <v>179</v>
      </c>
      <c r="C8" s="8" t="s">
        <v>180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</row>
    <row r="9" spans="1:112" x14ac:dyDescent="0.2">
      <c r="A9" s="8" t="s">
        <v>843</v>
      </c>
      <c r="B9" s="8" t="s">
        <v>179</v>
      </c>
      <c r="C9" s="8" t="s">
        <v>181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</row>
    <row r="10" spans="1:112" x14ac:dyDescent="0.2">
      <c r="A10" s="8" t="s">
        <v>843</v>
      </c>
      <c r="B10" s="8" t="s">
        <v>179</v>
      </c>
      <c r="C10" s="8" t="s">
        <v>182</v>
      </c>
      <c r="D10" s="9"/>
      <c r="E10" s="9">
        <v>56925.919999999998</v>
      </c>
      <c r="F10" s="9">
        <v>1781.31</v>
      </c>
      <c r="G10" s="9">
        <v>8310.99</v>
      </c>
      <c r="H10" s="9">
        <v>16220.82</v>
      </c>
      <c r="I10" s="9">
        <v>0</v>
      </c>
      <c r="J10" s="9">
        <v>1511.35</v>
      </c>
      <c r="K10" s="9">
        <v>0</v>
      </c>
      <c r="L10" s="9">
        <v>1948.47</v>
      </c>
      <c r="M10" s="9">
        <v>803.04</v>
      </c>
      <c r="N10" s="9">
        <v>0</v>
      </c>
      <c r="O10" s="9">
        <v>772.68</v>
      </c>
      <c r="P10" s="9">
        <v>0</v>
      </c>
      <c r="Q10" s="9">
        <v>143.75</v>
      </c>
      <c r="R10" s="9">
        <v>25433.5</v>
      </c>
      <c r="S10" s="9">
        <v>0</v>
      </c>
      <c r="T10" s="9">
        <v>0</v>
      </c>
      <c r="U10" s="9">
        <v>0</v>
      </c>
      <c r="V10" s="9">
        <v>0</v>
      </c>
      <c r="W10" s="9"/>
      <c r="X10" s="9">
        <v>2588.11</v>
      </c>
      <c r="Y10" s="9">
        <v>68.069999999999993</v>
      </c>
      <c r="Z10" s="9">
        <v>530</v>
      </c>
      <c r="AA10" s="9">
        <v>699.1</v>
      </c>
      <c r="AB10" s="9">
        <v>0</v>
      </c>
      <c r="AC10" s="9">
        <v>25</v>
      </c>
      <c r="AD10" s="9">
        <v>0</v>
      </c>
      <c r="AE10" s="9">
        <v>57.84</v>
      </c>
      <c r="AF10" s="9">
        <v>46.59</v>
      </c>
      <c r="AG10" s="9">
        <v>0</v>
      </c>
      <c r="AH10" s="9">
        <v>0</v>
      </c>
      <c r="AI10" s="9">
        <v>0</v>
      </c>
      <c r="AJ10" s="9">
        <v>55.58</v>
      </c>
      <c r="AK10" s="9">
        <v>1105.94</v>
      </c>
      <c r="AL10" s="9"/>
      <c r="AM10" s="9">
        <v>14734.61</v>
      </c>
      <c r="AN10" s="9">
        <v>320.60000000000002</v>
      </c>
      <c r="AO10" s="9">
        <v>2477.9699999999998</v>
      </c>
      <c r="AP10" s="9">
        <v>3933.86</v>
      </c>
      <c r="AQ10" s="9">
        <v>0</v>
      </c>
      <c r="AR10" s="9">
        <v>194.48</v>
      </c>
      <c r="AS10" s="9">
        <v>0</v>
      </c>
      <c r="AT10" s="9">
        <v>208.99</v>
      </c>
      <c r="AU10" s="9">
        <v>524.33000000000004</v>
      </c>
      <c r="AV10" s="9">
        <v>0</v>
      </c>
      <c r="AW10" s="9">
        <v>118.04</v>
      </c>
      <c r="AX10" s="9">
        <v>0</v>
      </c>
      <c r="AY10" s="9">
        <v>6.68</v>
      </c>
      <c r="AZ10" s="9">
        <v>6949.66</v>
      </c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</row>
    <row r="11" spans="1:112" x14ac:dyDescent="0.2">
      <c r="A11" s="8" t="s">
        <v>843</v>
      </c>
      <c r="B11" s="8" t="s">
        <v>183</v>
      </c>
      <c r="C11" s="8" t="s">
        <v>184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</row>
    <row r="12" spans="1:112" x14ac:dyDescent="0.2">
      <c r="A12" s="8" t="s">
        <v>843</v>
      </c>
      <c r="B12" s="8" t="s">
        <v>183</v>
      </c>
      <c r="C12" s="8" t="s">
        <v>185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</row>
    <row r="13" spans="1:112" x14ac:dyDescent="0.2">
      <c r="A13" s="8" t="s">
        <v>843</v>
      </c>
      <c r="B13" s="8" t="s">
        <v>183</v>
      </c>
      <c r="C13" s="8" t="s">
        <v>186</v>
      </c>
      <c r="D13" s="9"/>
      <c r="E13" s="9">
        <v>63766.39</v>
      </c>
      <c r="F13" s="9">
        <v>1678.69</v>
      </c>
      <c r="G13" s="9">
        <v>11998.22</v>
      </c>
      <c r="H13" s="9">
        <v>14493.79</v>
      </c>
      <c r="I13" s="9">
        <v>0</v>
      </c>
      <c r="J13" s="9">
        <v>2224.11</v>
      </c>
      <c r="K13" s="9">
        <v>0</v>
      </c>
      <c r="L13" s="9">
        <v>2760.23</v>
      </c>
      <c r="M13" s="9">
        <v>618.91999999999996</v>
      </c>
      <c r="N13" s="9">
        <v>0</v>
      </c>
      <c r="O13" s="9">
        <v>631.12</v>
      </c>
      <c r="P13" s="9">
        <v>0</v>
      </c>
      <c r="Q13" s="9">
        <v>117.14</v>
      </c>
      <c r="R13" s="9">
        <v>29244.17</v>
      </c>
      <c r="S13" s="9">
        <v>0</v>
      </c>
      <c r="T13" s="9">
        <v>0</v>
      </c>
      <c r="U13" s="9">
        <v>0</v>
      </c>
      <c r="V13" s="9">
        <v>0</v>
      </c>
      <c r="W13" s="9"/>
      <c r="X13" s="9">
        <v>1281.82</v>
      </c>
      <c r="Y13" s="9">
        <v>25</v>
      </c>
      <c r="Z13" s="9">
        <v>438.67</v>
      </c>
      <c r="AA13" s="9">
        <v>334</v>
      </c>
      <c r="AB13" s="9">
        <v>0</v>
      </c>
      <c r="AC13" s="9">
        <v>38.74</v>
      </c>
      <c r="AD13" s="9">
        <v>0</v>
      </c>
      <c r="AE13" s="9">
        <v>60.49</v>
      </c>
      <c r="AF13" s="9">
        <v>0</v>
      </c>
      <c r="AG13" s="9">
        <v>0</v>
      </c>
      <c r="AH13" s="9">
        <v>0</v>
      </c>
      <c r="AI13" s="9">
        <v>0</v>
      </c>
      <c r="AJ13" s="9">
        <v>52.68</v>
      </c>
      <c r="AK13" s="9">
        <v>332.23</v>
      </c>
      <c r="AL13" s="9"/>
      <c r="AM13" s="9">
        <v>14579.29</v>
      </c>
      <c r="AN13" s="9">
        <v>292.94</v>
      </c>
      <c r="AO13" s="9">
        <v>1963.48</v>
      </c>
      <c r="AP13" s="9">
        <v>3634.42</v>
      </c>
      <c r="AQ13" s="9">
        <v>0</v>
      </c>
      <c r="AR13" s="9">
        <v>188.43</v>
      </c>
      <c r="AS13" s="9">
        <v>0</v>
      </c>
      <c r="AT13" s="9">
        <v>126.75</v>
      </c>
      <c r="AU13" s="9">
        <v>447.98</v>
      </c>
      <c r="AV13" s="9">
        <v>0</v>
      </c>
      <c r="AW13" s="9">
        <v>117.37</v>
      </c>
      <c r="AX13" s="9">
        <v>0</v>
      </c>
      <c r="AY13" s="9">
        <v>5.19</v>
      </c>
      <c r="AZ13" s="9">
        <v>7802.73</v>
      </c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</row>
    <row r="14" spans="1:112" x14ac:dyDescent="0.2">
      <c r="A14" s="8" t="s">
        <v>844</v>
      </c>
      <c r="B14" s="8" t="s">
        <v>187</v>
      </c>
      <c r="C14" s="8" t="s">
        <v>188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</row>
    <row r="15" spans="1:112" x14ac:dyDescent="0.2">
      <c r="A15" s="8" t="s">
        <v>844</v>
      </c>
      <c r="B15" s="8" t="s">
        <v>187</v>
      </c>
      <c r="C15" s="8" t="s">
        <v>189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</row>
    <row r="16" spans="1:112" x14ac:dyDescent="0.2">
      <c r="A16" s="8" t="s">
        <v>844</v>
      </c>
      <c r="B16" s="8" t="s">
        <v>187</v>
      </c>
      <c r="C16" s="8" t="s">
        <v>190</v>
      </c>
      <c r="D16" s="9"/>
      <c r="E16" s="9">
        <v>77321.539999999994</v>
      </c>
      <c r="F16" s="9">
        <v>1606.62</v>
      </c>
      <c r="G16" s="9">
        <v>15624.11</v>
      </c>
      <c r="H16" s="9">
        <v>20861.93</v>
      </c>
      <c r="I16" s="9">
        <v>0</v>
      </c>
      <c r="J16" s="9">
        <v>3336.96</v>
      </c>
      <c r="K16" s="9">
        <v>0</v>
      </c>
      <c r="L16" s="9">
        <v>1315.47</v>
      </c>
      <c r="M16" s="9">
        <v>771.34</v>
      </c>
      <c r="N16" s="9">
        <v>0</v>
      </c>
      <c r="O16" s="9">
        <v>592.73</v>
      </c>
      <c r="P16" s="9">
        <v>0</v>
      </c>
      <c r="Q16" s="9">
        <v>198.43</v>
      </c>
      <c r="R16" s="9">
        <v>33013.96</v>
      </c>
      <c r="S16" s="9">
        <v>0</v>
      </c>
      <c r="T16" s="9">
        <v>0</v>
      </c>
      <c r="U16" s="9">
        <v>0</v>
      </c>
      <c r="V16" s="9">
        <v>0</v>
      </c>
      <c r="W16" s="9"/>
      <c r="X16" s="9">
        <v>1704.03</v>
      </c>
      <c r="Y16" s="9">
        <v>352.26</v>
      </c>
      <c r="Z16" s="9">
        <v>125</v>
      </c>
      <c r="AA16" s="9">
        <v>348.09</v>
      </c>
      <c r="AB16" s="9">
        <v>0</v>
      </c>
      <c r="AC16" s="9">
        <v>0</v>
      </c>
      <c r="AD16" s="9">
        <v>0</v>
      </c>
      <c r="AE16" s="9">
        <v>61.87</v>
      </c>
      <c r="AF16" s="9">
        <v>0</v>
      </c>
      <c r="AG16" s="9">
        <v>0</v>
      </c>
      <c r="AH16" s="9">
        <v>0</v>
      </c>
      <c r="AI16" s="9">
        <v>0</v>
      </c>
      <c r="AJ16" s="9">
        <v>5.0999999999999996</v>
      </c>
      <c r="AK16" s="9">
        <v>811.71</v>
      </c>
      <c r="AL16" s="9"/>
      <c r="AM16" s="9">
        <v>13989.88</v>
      </c>
      <c r="AN16" s="9">
        <v>268.81</v>
      </c>
      <c r="AO16" s="9">
        <v>1730.83</v>
      </c>
      <c r="AP16" s="9">
        <v>3946.4</v>
      </c>
      <c r="AQ16" s="9">
        <v>0</v>
      </c>
      <c r="AR16" s="9">
        <v>194.47</v>
      </c>
      <c r="AS16" s="9">
        <v>0</v>
      </c>
      <c r="AT16" s="9">
        <v>106.2</v>
      </c>
      <c r="AU16" s="9">
        <v>392.66</v>
      </c>
      <c r="AV16" s="9">
        <v>0</v>
      </c>
      <c r="AW16" s="9">
        <v>117.1</v>
      </c>
      <c r="AX16" s="9">
        <v>0</v>
      </c>
      <c r="AY16" s="9">
        <v>52.69</v>
      </c>
      <c r="AZ16" s="9">
        <v>7180.72</v>
      </c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</row>
    <row r="17" spans="1:112" x14ac:dyDescent="0.2">
      <c r="A17" s="8" t="s">
        <v>844</v>
      </c>
      <c r="B17" s="8" t="s">
        <v>191</v>
      </c>
      <c r="C17" s="8" t="s">
        <v>192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</row>
    <row r="18" spans="1:112" x14ac:dyDescent="0.2">
      <c r="A18" s="8" t="s">
        <v>844</v>
      </c>
      <c r="B18" s="8" t="s">
        <v>191</v>
      </c>
      <c r="C18" s="8" t="s">
        <v>193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</row>
    <row r="19" spans="1:112" x14ac:dyDescent="0.2">
      <c r="A19" s="8" t="s">
        <v>844</v>
      </c>
      <c r="B19" s="8" t="s">
        <v>191</v>
      </c>
      <c r="C19" s="8" t="s">
        <v>194</v>
      </c>
      <c r="D19" s="9"/>
      <c r="E19" s="9">
        <v>92723.06</v>
      </c>
      <c r="F19" s="9">
        <v>2336.17</v>
      </c>
      <c r="G19" s="9">
        <v>15818.36</v>
      </c>
      <c r="H19" s="9">
        <v>28311.439999999999</v>
      </c>
      <c r="I19" s="9">
        <v>0</v>
      </c>
      <c r="J19" s="9">
        <v>4652.93</v>
      </c>
      <c r="K19" s="9">
        <v>0</v>
      </c>
      <c r="L19" s="9">
        <v>2698.57</v>
      </c>
      <c r="M19" s="9">
        <v>672.99</v>
      </c>
      <c r="N19" s="9">
        <v>0</v>
      </c>
      <c r="O19" s="9">
        <v>566.6</v>
      </c>
      <c r="P19" s="9">
        <v>0</v>
      </c>
      <c r="Q19" s="9">
        <v>206.86</v>
      </c>
      <c r="R19" s="9">
        <v>37459.14</v>
      </c>
      <c r="S19" s="9">
        <v>0</v>
      </c>
      <c r="T19" s="9">
        <v>0</v>
      </c>
      <c r="U19" s="9">
        <v>0</v>
      </c>
      <c r="V19" s="9">
        <v>0</v>
      </c>
      <c r="W19" s="9"/>
      <c r="X19" s="9">
        <v>1420.23</v>
      </c>
      <c r="Y19" s="9">
        <v>284.41000000000003</v>
      </c>
      <c r="Z19" s="9">
        <v>0</v>
      </c>
      <c r="AA19" s="9">
        <v>367.73</v>
      </c>
      <c r="AB19" s="9">
        <v>0</v>
      </c>
      <c r="AC19" s="9">
        <v>4.5</v>
      </c>
      <c r="AD19" s="9">
        <v>0</v>
      </c>
      <c r="AE19" s="9">
        <v>46.07</v>
      </c>
      <c r="AF19" s="9">
        <v>0</v>
      </c>
      <c r="AG19" s="9">
        <v>0</v>
      </c>
      <c r="AH19" s="9">
        <v>0</v>
      </c>
      <c r="AI19" s="9">
        <v>0</v>
      </c>
      <c r="AJ19" s="9">
        <v>5.0999999999999996</v>
      </c>
      <c r="AK19" s="9">
        <v>712.41</v>
      </c>
      <c r="AL19" s="9"/>
      <c r="AM19" s="9">
        <v>10682.21</v>
      </c>
      <c r="AN19" s="9">
        <v>428.58</v>
      </c>
      <c r="AO19" s="9">
        <v>1677.16</v>
      </c>
      <c r="AP19" s="9">
        <v>3749.89</v>
      </c>
      <c r="AQ19" s="9">
        <v>0</v>
      </c>
      <c r="AR19" s="9">
        <v>185.34</v>
      </c>
      <c r="AS19" s="9">
        <v>0</v>
      </c>
      <c r="AT19" s="9">
        <v>116.3</v>
      </c>
      <c r="AU19" s="9">
        <v>223.33</v>
      </c>
      <c r="AV19" s="9">
        <v>0</v>
      </c>
      <c r="AW19" s="9">
        <v>0</v>
      </c>
      <c r="AX19" s="9">
        <v>0</v>
      </c>
      <c r="AY19" s="9">
        <v>27.69</v>
      </c>
      <c r="AZ19" s="9">
        <v>4271.67</v>
      </c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</row>
    <row r="20" spans="1:112" x14ac:dyDescent="0.2">
      <c r="A20" s="8" t="s">
        <v>844</v>
      </c>
      <c r="B20" s="8" t="s">
        <v>195</v>
      </c>
      <c r="C20" s="8" t="s">
        <v>196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</row>
    <row r="21" spans="1:112" x14ac:dyDescent="0.2">
      <c r="A21" s="8" t="s">
        <v>844</v>
      </c>
      <c r="B21" s="8" t="s">
        <v>195</v>
      </c>
      <c r="C21" s="8" t="s">
        <v>197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</row>
    <row r="22" spans="1:112" x14ac:dyDescent="0.2">
      <c r="A22" s="8" t="s">
        <v>844</v>
      </c>
      <c r="B22" s="8" t="s">
        <v>195</v>
      </c>
      <c r="C22" s="8" t="s">
        <v>198</v>
      </c>
      <c r="D22" s="9"/>
      <c r="E22" s="9">
        <v>96722.91</v>
      </c>
      <c r="F22" s="9">
        <v>2116.5700000000002</v>
      </c>
      <c r="G22" s="9">
        <v>11823.17</v>
      </c>
      <c r="H22" s="9">
        <v>31279.62</v>
      </c>
      <c r="I22" s="9">
        <v>0</v>
      </c>
      <c r="J22" s="9">
        <v>4774.6099999999997</v>
      </c>
      <c r="K22" s="9">
        <v>0</v>
      </c>
      <c r="L22" s="9">
        <v>1853.05</v>
      </c>
      <c r="M22" s="9">
        <v>1085.43</v>
      </c>
      <c r="N22" s="9">
        <v>0</v>
      </c>
      <c r="O22" s="9">
        <v>348.78</v>
      </c>
      <c r="P22" s="9">
        <v>0</v>
      </c>
      <c r="Q22" s="9">
        <v>682.4</v>
      </c>
      <c r="R22" s="9">
        <v>42759.29</v>
      </c>
      <c r="S22" s="9">
        <v>0</v>
      </c>
      <c r="T22" s="9">
        <v>0</v>
      </c>
      <c r="U22" s="9">
        <v>0</v>
      </c>
      <c r="V22" s="9">
        <v>0</v>
      </c>
      <c r="W22" s="9"/>
      <c r="X22" s="9">
        <v>1651.11</v>
      </c>
      <c r="Y22" s="9">
        <v>38.01</v>
      </c>
      <c r="Z22" s="9">
        <v>201</v>
      </c>
      <c r="AA22" s="9">
        <v>771.92</v>
      </c>
      <c r="AB22" s="9">
        <v>0</v>
      </c>
      <c r="AC22" s="9">
        <v>62.3</v>
      </c>
      <c r="AD22" s="9">
        <v>0</v>
      </c>
      <c r="AE22" s="9">
        <v>0</v>
      </c>
      <c r="AF22" s="9">
        <v>0</v>
      </c>
      <c r="AG22" s="9">
        <v>0</v>
      </c>
      <c r="AH22" s="9">
        <v>0</v>
      </c>
      <c r="AI22" s="9">
        <v>0</v>
      </c>
      <c r="AJ22" s="9">
        <v>47.85</v>
      </c>
      <c r="AK22" s="9">
        <v>617.71</v>
      </c>
      <c r="AL22" s="9"/>
      <c r="AM22" s="9">
        <v>10187.65</v>
      </c>
      <c r="AN22" s="9">
        <v>425.27</v>
      </c>
      <c r="AO22" s="9">
        <v>1054.48</v>
      </c>
      <c r="AP22" s="9">
        <v>3468.75</v>
      </c>
      <c r="AQ22" s="9">
        <v>0</v>
      </c>
      <c r="AR22" s="9">
        <v>144.32</v>
      </c>
      <c r="AS22" s="9">
        <v>0</v>
      </c>
      <c r="AT22" s="9">
        <v>148.57</v>
      </c>
      <c r="AU22" s="9">
        <v>223.33</v>
      </c>
      <c r="AV22" s="9">
        <v>0</v>
      </c>
      <c r="AW22" s="9">
        <v>0</v>
      </c>
      <c r="AX22" s="9">
        <v>0</v>
      </c>
      <c r="AY22" s="9">
        <v>5.19</v>
      </c>
      <c r="AZ22" s="9">
        <v>4717.7299999999996</v>
      </c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</row>
    <row r="23" spans="1:112" x14ac:dyDescent="0.2">
      <c r="A23" s="8" t="s">
        <v>844</v>
      </c>
      <c r="B23" s="8" t="s">
        <v>199</v>
      </c>
      <c r="C23" s="8" t="s">
        <v>200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</row>
    <row r="24" spans="1:112" x14ac:dyDescent="0.2">
      <c r="A24" s="8" t="s">
        <v>844</v>
      </c>
      <c r="B24" s="8" t="s">
        <v>199</v>
      </c>
      <c r="C24" s="8" t="s">
        <v>201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</row>
    <row r="25" spans="1:112" x14ac:dyDescent="0.2">
      <c r="A25" s="8" t="s">
        <v>844</v>
      </c>
      <c r="B25" s="8" t="s">
        <v>199</v>
      </c>
      <c r="C25" s="8" t="s">
        <v>202</v>
      </c>
      <c r="D25" s="9"/>
      <c r="E25" s="9">
        <v>127483.99</v>
      </c>
      <c r="F25" s="9">
        <v>3010.67</v>
      </c>
      <c r="G25" s="9">
        <v>20022.84</v>
      </c>
      <c r="H25" s="9">
        <v>39640.9</v>
      </c>
      <c r="I25" s="9">
        <v>0</v>
      </c>
      <c r="J25" s="9">
        <v>6527.02</v>
      </c>
      <c r="K25" s="9">
        <v>0</v>
      </c>
      <c r="L25" s="9">
        <v>987.13</v>
      </c>
      <c r="M25" s="9">
        <v>3361.15</v>
      </c>
      <c r="N25" s="9">
        <v>0</v>
      </c>
      <c r="O25" s="9">
        <v>315.10000000000002</v>
      </c>
      <c r="P25" s="9">
        <v>0</v>
      </c>
      <c r="Q25" s="9">
        <v>714.11</v>
      </c>
      <c r="R25" s="9">
        <v>52905.07</v>
      </c>
      <c r="S25" s="9">
        <v>0</v>
      </c>
      <c r="T25" s="9">
        <v>0</v>
      </c>
      <c r="U25" s="9">
        <v>0</v>
      </c>
      <c r="V25" s="9">
        <v>0</v>
      </c>
      <c r="W25" s="9"/>
      <c r="X25" s="9">
        <v>1797.58</v>
      </c>
      <c r="Y25" s="9">
        <v>60</v>
      </c>
      <c r="Z25" s="9">
        <v>216.85</v>
      </c>
      <c r="AA25" s="9">
        <v>988.59</v>
      </c>
      <c r="AB25" s="9">
        <v>0</v>
      </c>
      <c r="AC25" s="9">
        <v>21.4</v>
      </c>
      <c r="AD25" s="9">
        <v>0</v>
      </c>
      <c r="AE25" s="9">
        <v>0</v>
      </c>
      <c r="AF25" s="9">
        <v>0</v>
      </c>
      <c r="AG25" s="9">
        <v>0</v>
      </c>
      <c r="AH25" s="9">
        <v>0</v>
      </c>
      <c r="AI25" s="9">
        <v>0</v>
      </c>
      <c r="AJ25" s="9">
        <v>21.89</v>
      </c>
      <c r="AK25" s="9">
        <v>488.85</v>
      </c>
      <c r="AL25" s="9"/>
      <c r="AM25" s="9">
        <v>9062.4500000000007</v>
      </c>
      <c r="AN25" s="9">
        <v>377.19</v>
      </c>
      <c r="AO25" s="9">
        <v>442.15</v>
      </c>
      <c r="AP25" s="9">
        <v>3624.6</v>
      </c>
      <c r="AQ25" s="9">
        <v>0</v>
      </c>
      <c r="AR25" s="9">
        <v>32.799999999999997</v>
      </c>
      <c r="AS25" s="9">
        <v>0</v>
      </c>
      <c r="AT25" s="9">
        <v>145.74</v>
      </c>
      <c r="AU25" s="9">
        <v>205.16</v>
      </c>
      <c r="AV25" s="9">
        <v>0</v>
      </c>
      <c r="AW25" s="9">
        <v>0</v>
      </c>
      <c r="AX25" s="9">
        <v>0</v>
      </c>
      <c r="AY25" s="9">
        <v>5.19</v>
      </c>
      <c r="AZ25" s="9">
        <v>4229.6099999999997</v>
      </c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</row>
    <row r="26" spans="1:112" x14ac:dyDescent="0.2">
      <c r="A26" s="8" t="s">
        <v>845</v>
      </c>
      <c r="B26" s="8" t="s">
        <v>203</v>
      </c>
      <c r="C26" s="8" t="s">
        <v>204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</row>
    <row r="27" spans="1:112" x14ac:dyDescent="0.2">
      <c r="A27" s="8" t="s">
        <v>845</v>
      </c>
      <c r="B27" s="8" t="s">
        <v>203</v>
      </c>
      <c r="C27" s="8" t="s">
        <v>205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</row>
    <row r="28" spans="1:112" x14ac:dyDescent="0.2">
      <c r="A28" s="8" t="s">
        <v>845</v>
      </c>
      <c r="B28" s="8" t="s">
        <v>203</v>
      </c>
      <c r="C28" s="8" t="s">
        <v>206</v>
      </c>
      <c r="D28" s="9"/>
      <c r="E28" s="9">
        <v>151142.53</v>
      </c>
      <c r="F28" s="9">
        <v>7195.12</v>
      </c>
      <c r="G28" s="9">
        <v>26383.11</v>
      </c>
      <c r="H28" s="9">
        <v>40126.65</v>
      </c>
      <c r="I28" s="9">
        <v>4215.54</v>
      </c>
      <c r="J28" s="9">
        <v>6523.02</v>
      </c>
      <c r="K28" s="9">
        <v>41474.720000000001</v>
      </c>
      <c r="L28" s="9">
        <v>3440.79</v>
      </c>
      <c r="M28" s="9">
        <v>970.43</v>
      </c>
      <c r="N28" s="9">
        <v>0</v>
      </c>
      <c r="O28" s="9">
        <v>960.33</v>
      </c>
      <c r="P28" s="9">
        <v>0</v>
      </c>
      <c r="Q28" s="9">
        <v>1210.3599999999999</v>
      </c>
      <c r="R28" s="9">
        <v>18642.47</v>
      </c>
      <c r="S28" s="9">
        <v>0</v>
      </c>
      <c r="T28" s="9">
        <v>0</v>
      </c>
      <c r="U28" s="9">
        <v>0</v>
      </c>
      <c r="V28" s="9">
        <v>0</v>
      </c>
      <c r="W28" s="9"/>
      <c r="X28" s="9">
        <v>3525.63</v>
      </c>
      <c r="Y28" s="9">
        <v>861.01</v>
      </c>
      <c r="Z28" s="9">
        <v>268.08</v>
      </c>
      <c r="AA28" s="9">
        <v>1112.49</v>
      </c>
      <c r="AB28" s="9">
        <v>0</v>
      </c>
      <c r="AC28" s="9">
        <v>0</v>
      </c>
      <c r="AD28" s="9">
        <v>907.01</v>
      </c>
      <c r="AE28" s="9">
        <v>60.75</v>
      </c>
      <c r="AF28" s="9">
        <v>0</v>
      </c>
      <c r="AG28" s="9">
        <v>0</v>
      </c>
      <c r="AH28" s="9">
        <v>0</v>
      </c>
      <c r="AI28" s="9">
        <v>0</v>
      </c>
      <c r="AJ28" s="9">
        <v>36.700000000000003</v>
      </c>
      <c r="AK28" s="9">
        <v>279.60000000000002</v>
      </c>
      <c r="AL28" s="9"/>
      <c r="AM28" s="9">
        <v>10568.64</v>
      </c>
      <c r="AN28" s="9">
        <v>923.77</v>
      </c>
      <c r="AO28" s="9">
        <v>381.52</v>
      </c>
      <c r="AP28" s="9">
        <v>4009.76</v>
      </c>
      <c r="AQ28" s="9">
        <v>0</v>
      </c>
      <c r="AR28" s="9">
        <v>766.54</v>
      </c>
      <c r="AS28" s="9">
        <v>2633.21</v>
      </c>
      <c r="AT28" s="9">
        <v>793.74</v>
      </c>
      <c r="AU28" s="9">
        <v>119.78</v>
      </c>
      <c r="AV28" s="9">
        <v>0</v>
      </c>
      <c r="AW28" s="9">
        <v>0</v>
      </c>
      <c r="AX28" s="9">
        <v>0</v>
      </c>
      <c r="AY28" s="9">
        <v>5.86</v>
      </c>
      <c r="AZ28" s="9">
        <v>934.48</v>
      </c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</row>
    <row r="29" spans="1:112" x14ac:dyDescent="0.2">
      <c r="A29" s="8" t="s">
        <v>845</v>
      </c>
      <c r="B29" s="8" t="s">
        <v>207</v>
      </c>
      <c r="C29" s="8" t="s">
        <v>208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</row>
    <row r="30" spans="1:112" x14ac:dyDescent="0.2">
      <c r="A30" s="8" t="s">
        <v>845</v>
      </c>
      <c r="B30" s="8" t="s">
        <v>207</v>
      </c>
      <c r="C30" s="8" t="s">
        <v>209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</row>
    <row r="31" spans="1:112" x14ac:dyDescent="0.2">
      <c r="A31" s="8" t="s">
        <v>845</v>
      </c>
      <c r="B31" s="8" t="s">
        <v>207</v>
      </c>
      <c r="C31" s="8" t="s">
        <v>210</v>
      </c>
      <c r="D31" s="9"/>
      <c r="E31" s="9">
        <v>191040.97</v>
      </c>
      <c r="F31" s="9">
        <v>7141.9</v>
      </c>
      <c r="G31" s="9">
        <v>34425.64</v>
      </c>
      <c r="H31" s="9">
        <v>49168.82</v>
      </c>
      <c r="I31" s="9">
        <v>4227.8900000000003</v>
      </c>
      <c r="J31" s="9">
        <v>9407.23</v>
      </c>
      <c r="K31" s="9">
        <v>59360.97</v>
      </c>
      <c r="L31" s="9">
        <v>7566.79</v>
      </c>
      <c r="M31" s="9">
        <v>1129.54</v>
      </c>
      <c r="N31" s="9">
        <v>0</v>
      </c>
      <c r="O31" s="9">
        <v>1277.53</v>
      </c>
      <c r="P31" s="9">
        <v>0</v>
      </c>
      <c r="Q31" s="9">
        <v>1366.48</v>
      </c>
      <c r="R31" s="9">
        <v>15968.18</v>
      </c>
      <c r="S31" s="9">
        <v>0</v>
      </c>
      <c r="T31" s="9">
        <v>0</v>
      </c>
      <c r="U31" s="9">
        <v>0</v>
      </c>
      <c r="V31" s="9">
        <v>0</v>
      </c>
      <c r="W31" s="9"/>
      <c r="X31" s="9">
        <v>5426.35</v>
      </c>
      <c r="Y31" s="9">
        <v>911.1</v>
      </c>
      <c r="Z31" s="9">
        <v>1471.92</v>
      </c>
      <c r="AA31" s="9">
        <v>1725.72</v>
      </c>
      <c r="AB31" s="9">
        <v>61.9</v>
      </c>
      <c r="AC31" s="9">
        <v>1.8</v>
      </c>
      <c r="AD31" s="9">
        <v>832.73</v>
      </c>
      <c r="AE31" s="9">
        <v>61</v>
      </c>
      <c r="AF31" s="9">
        <v>0</v>
      </c>
      <c r="AG31" s="9">
        <v>0</v>
      </c>
      <c r="AH31" s="9">
        <v>0</v>
      </c>
      <c r="AI31" s="9">
        <v>0</v>
      </c>
      <c r="AJ31" s="9">
        <v>31</v>
      </c>
      <c r="AK31" s="9">
        <v>329.17</v>
      </c>
      <c r="AL31" s="9"/>
      <c r="AM31" s="9">
        <v>10623.35</v>
      </c>
      <c r="AN31" s="9">
        <v>536.66</v>
      </c>
      <c r="AO31" s="9">
        <v>312.45</v>
      </c>
      <c r="AP31" s="9">
        <v>4486.54</v>
      </c>
      <c r="AQ31" s="9">
        <v>0</v>
      </c>
      <c r="AR31" s="9">
        <v>740.86</v>
      </c>
      <c r="AS31" s="9">
        <v>2797.71</v>
      </c>
      <c r="AT31" s="9">
        <v>782.41</v>
      </c>
      <c r="AU31" s="9">
        <v>119.78</v>
      </c>
      <c r="AV31" s="9">
        <v>0</v>
      </c>
      <c r="AW31" s="9">
        <v>0</v>
      </c>
      <c r="AX31" s="9">
        <v>0</v>
      </c>
      <c r="AY31" s="9">
        <v>28.09</v>
      </c>
      <c r="AZ31" s="9">
        <v>818.86</v>
      </c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</row>
    <row r="32" spans="1:112" x14ac:dyDescent="0.2">
      <c r="A32" s="8" t="s">
        <v>845</v>
      </c>
      <c r="B32" s="8" t="s">
        <v>211</v>
      </c>
      <c r="C32" s="8" t="s">
        <v>212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</row>
    <row r="33" spans="1:112" x14ac:dyDescent="0.2">
      <c r="A33" s="8" t="s">
        <v>845</v>
      </c>
      <c r="B33" s="8" t="s">
        <v>211</v>
      </c>
      <c r="C33" s="8" t="s">
        <v>213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</row>
    <row r="34" spans="1:112" x14ac:dyDescent="0.2">
      <c r="A34" s="8" t="s">
        <v>845</v>
      </c>
      <c r="B34" s="8" t="s">
        <v>211</v>
      </c>
      <c r="C34" s="8" t="s">
        <v>214</v>
      </c>
      <c r="D34" s="9"/>
      <c r="E34" s="9">
        <v>196614.7</v>
      </c>
      <c r="F34" s="9">
        <v>11492.43</v>
      </c>
      <c r="G34" s="9">
        <v>20144.96</v>
      </c>
      <c r="H34" s="9">
        <v>51711.67</v>
      </c>
      <c r="I34" s="9">
        <v>5224.74</v>
      </c>
      <c r="J34" s="9">
        <v>12437.33</v>
      </c>
      <c r="K34" s="9">
        <v>59559.74</v>
      </c>
      <c r="L34" s="9">
        <v>7194.04</v>
      </c>
      <c r="M34" s="9">
        <v>1743.4</v>
      </c>
      <c r="N34" s="9">
        <v>0</v>
      </c>
      <c r="O34" s="9">
        <v>1140.04</v>
      </c>
      <c r="P34" s="9">
        <v>0</v>
      </c>
      <c r="Q34" s="9">
        <v>1516.58</v>
      </c>
      <c r="R34" s="9">
        <v>24449.75</v>
      </c>
      <c r="S34" s="9">
        <v>0</v>
      </c>
      <c r="T34" s="9">
        <v>0</v>
      </c>
      <c r="U34" s="9">
        <v>0</v>
      </c>
      <c r="V34" s="9">
        <v>0</v>
      </c>
      <c r="W34" s="9"/>
      <c r="X34" s="9">
        <v>4396.76</v>
      </c>
      <c r="Y34" s="9">
        <v>754.63</v>
      </c>
      <c r="Z34" s="9">
        <v>1227.6199999999999</v>
      </c>
      <c r="AA34" s="9">
        <v>1655.79</v>
      </c>
      <c r="AB34" s="9">
        <v>26.16</v>
      </c>
      <c r="AC34" s="9">
        <v>26.81</v>
      </c>
      <c r="AD34" s="9">
        <v>477.94</v>
      </c>
      <c r="AE34" s="9">
        <v>1.35</v>
      </c>
      <c r="AF34" s="9">
        <v>0</v>
      </c>
      <c r="AG34" s="9">
        <v>0</v>
      </c>
      <c r="AH34" s="9">
        <v>0</v>
      </c>
      <c r="AI34" s="9">
        <v>0</v>
      </c>
      <c r="AJ34" s="9">
        <v>46</v>
      </c>
      <c r="AK34" s="9">
        <v>180.46</v>
      </c>
      <c r="AL34" s="9"/>
      <c r="AM34" s="9">
        <v>11447.94</v>
      </c>
      <c r="AN34" s="9">
        <v>740.35</v>
      </c>
      <c r="AO34" s="9">
        <v>86.57</v>
      </c>
      <c r="AP34" s="9">
        <v>5428.31</v>
      </c>
      <c r="AQ34" s="9">
        <v>0</v>
      </c>
      <c r="AR34" s="9">
        <v>744.06</v>
      </c>
      <c r="AS34" s="9">
        <v>2837.54</v>
      </c>
      <c r="AT34" s="9">
        <v>563.33000000000004</v>
      </c>
      <c r="AU34" s="9">
        <v>119.78</v>
      </c>
      <c r="AV34" s="9">
        <v>0</v>
      </c>
      <c r="AW34" s="9">
        <v>0</v>
      </c>
      <c r="AX34" s="9">
        <v>0</v>
      </c>
      <c r="AY34" s="9">
        <v>26.98</v>
      </c>
      <c r="AZ34" s="9">
        <v>901.02</v>
      </c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</row>
    <row r="35" spans="1:112" x14ac:dyDescent="0.2">
      <c r="A35" s="8" t="s">
        <v>845</v>
      </c>
      <c r="B35" s="8" t="s">
        <v>215</v>
      </c>
      <c r="C35" s="8" t="s">
        <v>216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</row>
    <row r="36" spans="1:112" x14ac:dyDescent="0.2">
      <c r="A36" s="8" t="s">
        <v>845</v>
      </c>
      <c r="B36" s="8" t="s">
        <v>215</v>
      </c>
      <c r="C36" s="8" t="s">
        <v>217</v>
      </c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</row>
    <row r="37" spans="1:112" x14ac:dyDescent="0.2">
      <c r="A37" s="8" t="s">
        <v>845</v>
      </c>
      <c r="B37" s="8" t="s">
        <v>215</v>
      </c>
      <c r="C37" s="8" t="s">
        <v>218</v>
      </c>
      <c r="D37" s="9"/>
      <c r="E37" s="9">
        <v>231449.77</v>
      </c>
      <c r="F37" s="9">
        <v>9468.5499999999993</v>
      </c>
      <c r="G37" s="9">
        <v>35628.449999999997</v>
      </c>
      <c r="H37" s="9">
        <v>56109.65</v>
      </c>
      <c r="I37" s="9">
        <v>3490.56</v>
      </c>
      <c r="J37" s="9">
        <v>14400.72</v>
      </c>
      <c r="K37" s="9">
        <v>71258.02</v>
      </c>
      <c r="L37" s="9">
        <v>6749.07</v>
      </c>
      <c r="M37" s="9">
        <v>2471.15</v>
      </c>
      <c r="N37" s="9">
        <v>0</v>
      </c>
      <c r="O37" s="9">
        <v>1107.58</v>
      </c>
      <c r="P37" s="9">
        <v>0</v>
      </c>
      <c r="Q37" s="9">
        <v>1301.3</v>
      </c>
      <c r="R37" s="9">
        <v>29464.720000000001</v>
      </c>
      <c r="S37" s="9">
        <v>0</v>
      </c>
      <c r="T37" s="9">
        <v>0</v>
      </c>
      <c r="U37" s="9">
        <v>0</v>
      </c>
      <c r="V37" s="9">
        <v>0</v>
      </c>
      <c r="W37" s="9"/>
      <c r="X37" s="9">
        <v>4968.8900000000003</v>
      </c>
      <c r="Y37" s="9">
        <v>111.37</v>
      </c>
      <c r="Z37" s="9">
        <v>178.41</v>
      </c>
      <c r="AA37" s="9">
        <v>2721.61</v>
      </c>
      <c r="AB37" s="9">
        <v>136</v>
      </c>
      <c r="AC37" s="9">
        <v>191</v>
      </c>
      <c r="AD37" s="9">
        <v>901.41</v>
      </c>
      <c r="AE37" s="9">
        <v>3.76</v>
      </c>
      <c r="AF37" s="9">
        <v>22.35</v>
      </c>
      <c r="AG37" s="9">
        <v>0</v>
      </c>
      <c r="AH37" s="9">
        <v>0</v>
      </c>
      <c r="AI37" s="9">
        <v>0</v>
      </c>
      <c r="AJ37" s="9">
        <v>40.5</v>
      </c>
      <c r="AK37" s="9">
        <v>662.48</v>
      </c>
      <c r="AL37" s="9"/>
      <c r="AM37" s="9">
        <v>11618.95</v>
      </c>
      <c r="AN37" s="9">
        <v>529.38</v>
      </c>
      <c r="AO37" s="9">
        <v>1095.3399999999999</v>
      </c>
      <c r="AP37" s="9">
        <v>5947.66</v>
      </c>
      <c r="AQ37" s="9">
        <v>21.77</v>
      </c>
      <c r="AR37" s="9">
        <v>670.64</v>
      </c>
      <c r="AS37" s="9">
        <v>2322.56</v>
      </c>
      <c r="AT37" s="9">
        <v>142.86000000000001</v>
      </c>
      <c r="AU37" s="9">
        <v>129.78</v>
      </c>
      <c r="AV37" s="9">
        <v>0</v>
      </c>
      <c r="AW37" s="9">
        <v>0</v>
      </c>
      <c r="AX37" s="9">
        <v>0</v>
      </c>
      <c r="AY37" s="9">
        <v>42.82</v>
      </c>
      <c r="AZ37" s="9">
        <v>716.14</v>
      </c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</row>
    <row r="38" spans="1:112" x14ac:dyDescent="0.2">
      <c r="A38" s="8" t="s">
        <v>846</v>
      </c>
      <c r="B38" s="8" t="s">
        <v>219</v>
      </c>
      <c r="C38" s="8" t="s">
        <v>220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</row>
    <row r="39" spans="1:112" x14ac:dyDescent="0.2">
      <c r="A39" s="8" t="s">
        <v>846</v>
      </c>
      <c r="B39" s="8" t="s">
        <v>219</v>
      </c>
      <c r="C39" s="8" t="s">
        <v>221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</row>
    <row r="40" spans="1:112" x14ac:dyDescent="0.2">
      <c r="A40" s="8" t="s">
        <v>846</v>
      </c>
      <c r="B40" s="8" t="s">
        <v>219</v>
      </c>
      <c r="C40" s="8" t="s">
        <v>222</v>
      </c>
      <c r="D40" s="9"/>
      <c r="E40" s="9">
        <v>279923.8</v>
      </c>
      <c r="F40" s="9">
        <v>11806.42</v>
      </c>
      <c r="G40" s="9">
        <v>43891.43</v>
      </c>
      <c r="H40" s="9">
        <v>57470</v>
      </c>
      <c r="I40" s="9">
        <v>2399.0700000000002</v>
      </c>
      <c r="J40" s="9">
        <v>18540.98</v>
      </c>
      <c r="K40" s="9">
        <v>94615.58</v>
      </c>
      <c r="L40" s="9">
        <v>6837.94</v>
      </c>
      <c r="M40" s="9">
        <v>3179.01</v>
      </c>
      <c r="N40" s="9">
        <v>0</v>
      </c>
      <c r="O40" s="9">
        <v>1780.18</v>
      </c>
      <c r="P40" s="9">
        <v>0</v>
      </c>
      <c r="Q40" s="9">
        <v>1664.92</v>
      </c>
      <c r="R40" s="9">
        <v>37738.25</v>
      </c>
      <c r="S40" s="9">
        <v>0</v>
      </c>
      <c r="T40" s="9">
        <v>0</v>
      </c>
      <c r="U40" s="9">
        <v>0</v>
      </c>
      <c r="V40" s="9">
        <v>0</v>
      </c>
      <c r="W40" s="9"/>
      <c r="X40" s="9">
        <v>11680.98</v>
      </c>
      <c r="Y40" s="9">
        <v>116.63</v>
      </c>
      <c r="Z40" s="9">
        <v>114.37</v>
      </c>
      <c r="AA40" s="9">
        <v>3777.53</v>
      </c>
      <c r="AB40" s="9">
        <v>0</v>
      </c>
      <c r="AC40" s="9">
        <v>72.5</v>
      </c>
      <c r="AD40" s="9">
        <v>6680.21</v>
      </c>
      <c r="AE40" s="9">
        <v>18.21</v>
      </c>
      <c r="AF40" s="9">
        <v>218.38</v>
      </c>
      <c r="AG40" s="9">
        <v>0</v>
      </c>
      <c r="AH40" s="9">
        <v>50</v>
      </c>
      <c r="AI40" s="9">
        <v>0</v>
      </c>
      <c r="AJ40" s="9">
        <v>6.31</v>
      </c>
      <c r="AK40" s="9">
        <v>626.85</v>
      </c>
      <c r="AL40" s="9"/>
      <c r="AM40" s="9">
        <v>18582.62</v>
      </c>
      <c r="AN40" s="9">
        <v>1238.44</v>
      </c>
      <c r="AO40" s="9">
        <v>4257.58</v>
      </c>
      <c r="AP40" s="9">
        <v>7788.43</v>
      </c>
      <c r="AQ40" s="9">
        <v>177.84</v>
      </c>
      <c r="AR40" s="9">
        <v>849.77</v>
      </c>
      <c r="AS40" s="9">
        <v>2611.73</v>
      </c>
      <c r="AT40" s="9">
        <v>154.01</v>
      </c>
      <c r="AU40" s="9">
        <v>129.97999999999999</v>
      </c>
      <c r="AV40" s="9">
        <v>0</v>
      </c>
      <c r="AW40" s="9">
        <v>0</v>
      </c>
      <c r="AX40" s="9">
        <v>0</v>
      </c>
      <c r="AY40" s="9">
        <v>218.88</v>
      </c>
      <c r="AZ40" s="9">
        <v>1155.97</v>
      </c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</row>
    <row r="41" spans="1:112" x14ac:dyDescent="0.2">
      <c r="A41" s="8" t="s">
        <v>846</v>
      </c>
      <c r="B41" s="8" t="s">
        <v>223</v>
      </c>
      <c r="C41" s="8" t="s">
        <v>224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</row>
    <row r="42" spans="1:112" x14ac:dyDescent="0.2">
      <c r="A42" s="8" t="s">
        <v>846</v>
      </c>
      <c r="B42" s="8" t="s">
        <v>223</v>
      </c>
      <c r="C42" s="8" t="s">
        <v>225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</row>
    <row r="43" spans="1:112" x14ac:dyDescent="0.2">
      <c r="A43" s="8" t="s">
        <v>846</v>
      </c>
      <c r="B43" s="8" t="s">
        <v>223</v>
      </c>
      <c r="C43" s="8" t="s">
        <v>226</v>
      </c>
      <c r="D43" s="9"/>
      <c r="E43" s="9">
        <v>327925.77</v>
      </c>
      <c r="F43" s="9">
        <v>20777.22</v>
      </c>
      <c r="G43" s="9">
        <v>39920.410000000003</v>
      </c>
      <c r="H43" s="9">
        <v>63565.85</v>
      </c>
      <c r="I43" s="9">
        <v>4596.83</v>
      </c>
      <c r="J43" s="9">
        <v>25234.27</v>
      </c>
      <c r="K43" s="9">
        <v>111431.39</v>
      </c>
      <c r="L43" s="9">
        <v>10350.76</v>
      </c>
      <c r="M43" s="9">
        <v>3451.4</v>
      </c>
      <c r="N43" s="9">
        <v>0</v>
      </c>
      <c r="O43" s="9">
        <v>1743.16</v>
      </c>
      <c r="P43" s="9">
        <v>0</v>
      </c>
      <c r="Q43" s="9">
        <v>1885.09</v>
      </c>
      <c r="R43" s="9">
        <v>44969.39</v>
      </c>
      <c r="S43" s="9">
        <v>0</v>
      </c>
      <c r="T43" s="9">
        <v>0</v>
      </c>
      <c r="U43" s="9">
        <v>0</v>
      </c>
      <c r="V43" s="9">
        <v>0</v>
      </c>
      <c r="W43" s="9"/>
      <c r="X43" s="9">
        <v>13086.46</v>
      </c>
      <c r="Y43" s="9">
        <v>98.81</v>
      </c>
      <c r="Z43" s="9">
        <v>253.74</v>
      </c>
      <c r="AA43" s="9">
        <v>3690.64</v>
      </c>
      <c r="AB43" s="9">
        <v>0</v>
      </c>
      <c r="AC43" s="9">
        <v>154.72999999999999</v>
      </c>
      <c r="AD43" s="9">
        <v>8120.19</v>
      </c>
      <c r="AE43" s="9">
        <v>8.5399999999999991</v>
      </c>
      <c r="AF43" s="9">
        <v>3</v>
      </c>
      <c r="AG43" s="9">
        <v>0</v>
      </c>
      <c r="AH43" s="9">
        <v>0.95</v>
      </c>
      <c r="AI43" s="9">
        <v>0</v>
      </c>
      <c r="AJ43" s="9">
        <v>9.6</v>
      </c>
      <c r="AK43" s="9">
        <v>746.25</v>
      </c>
      <c r="AL43" s="9"/>
      <c r="AM43" s="9">
        <v>19763.740000000002</v>
      </c>
      <c r="AN43" s="9">
        <v>2323.89</v>
      </c>
      <c r="AO43" s="9">
        <v>2892.46</v>
      </c>
      <c r="AP43" s="9">
        <v>8517.36</v>
      </c>
      <c r="AQ43" s="9">
        <v>153.07</v>
      </c>
      <c r="AR43" s="9">
        <v>806.21</v>
      </c>
      <c r="AS43" s="9">
        <v>3136.6</v>
      </c>
      <c r="AT43" s="9">
        <v>134.65</v>
      </c>
      <c r="AU43" s="9">
        <v>345.36</v>
      </c>
      <c r="AV43" s="9">
        <v>0</v>
      </c>
      <c r="AW43" s="9">
        <v>50.45</v>
      </c>
      <c r="AX43" s="9">
        <v>0</v>
      </c>
      <c r="AY43" s="9">
        <v>212.57</v>
      </c>
      <c r="AZ43" s="9">
        <v>1191.0999999999999</v>
      </c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</row>
    <row r="44" spans="1:112" x14ac:dyDescent="0.2">
      <c r="A44" s="8" t="s">
        <v>846</v>
      </c>
      <c r="B44" s="8" t="s">
        <v>227</v>
      </c>
      <c r="C44" s="8" t="s">
        <v>228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</row>
    <row r="45" spans="1:112" x14ac:dyDescent="0.2">
      <c r="A45" s="8" t="s">
        <v>846</v>
      </c>
      <c r="B45" s="8" t="s">
        <v>227</v>
      </c>
      <c r="C45" s="8" t="s">
        <v>229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</row>
    <row r="46" spans="1:112" x14ac:dyDescent="0.2">
      <c r="A46" s="8" t="s">
        <v>846</v>
      </c>
      <c r="B46" s="8" t="s">
        <v>227</v>
      </c>
      <c r="C46" s="8" t="s">
        <v>230</v>
      </c>
      <c r="D46" s="9"/>
      <c r="E46" s="9">
        <v>352123.56</v>
      </c>
      <c r="F46" s="9">
        <v>20781.3</v>
      </c>
      <c r="G46" s="9">
        <v>33103.379999999997</v>
      </c>
      <c r="H46" s="9">
        <v>68720.490000000005</v>
      </c>
      <c r="I46" s="9">
        <v>7713.56</v>
      </c>
      <c r="J46" s="9">
        <v>29684.65</v>
      </c>
      <c r="K46" s="9">
        <v>122646.24</v>
      </c>
      <c r="L46" s="9">
        <v>9901.42</v>
      </c>
      <c r="M46" s="9">
        <v>4694.18</v>
      </c>
      <c r="N46" s="9">
        <v>0</v>
      </c>
      <c r="O46" s="9">
        <v>1332.99</v>
      </c>
      <c r="P46" s="9">
        <v>0</v>
      </c>
      <c r="Q46" s="9">
        <v>2090.75</v>
      </c>
      <c r="R46" s="9">
        <v>51454.61</v>
      </c>
      <c r="S46" s="9">
        <v>0</v>
      </c>
      <c r="T46" s="9">
        <v>0</v>
      </c>
      <c r="U46" s="9">
        <v>0</v>
      </c>
      <c r="V46" s="9">
        <v>0</v>
      </c>
      <c r="W46" s="9"/>
      <c r="X46" s="9">
        <v>11386.54</v>
      </c>
      <c r="Y46" s="9">
        <v>250.77</v>
      </c>
      <c r="Z46" s="9">
        <v>702.13</v>
      </c>
      <c r="AA46" s="9">
        <v>2487.2399999999998</v>
      </c>
      <c r="AB46" s="9">
        <v>1.89</v>
      </c>
      <c r="AC46" s="9">
        <v>301.14999999999998</v>
      </c>
      <c r="AD46" s="9">
        <v>6571.34</v>
      </c>
      <c r="AE46" s="9">
        <v>296.75</v>
      </c>
      <c r="AF46" s="9">
        <v>69.400000000000006</v>
      </c>
      <c r="AG46" s="9">
        <v>0</v>
      </c>
      <c r="AH46" s="9">
        <v>10.95</v>
      </c>
      <c r="AI46" s="9">
        <v>0</v>
      </c>
      <c r="AJ46" s="9">
        <v>15</v>
      </c>
      <c r="AK46" s="9">
        <v>679.92</v>
      </c>
      <c r="AL46" s="9"/>
      <c r="AM46" s="9">
        <v>21479.41</v>
      </c>
      <c r="AN46" s="9">
        <v>2434.9</v>
      </c>
      <c r="AO46" s="9">
        <v>3084.42</v>
      </c>
      <c r="AP46" s="9">
        <v>9236.01</v>
      </c>
      <c r="AQ46" s="9">
        <v>140.94</v>
      </c>
      <c r="AR46" s="9">
        <v>1218.44</v>
      </c>
      <c r="AS46" s="9">
        <v>3651.23</v>
      </c>
      <c r="AT46" s="9">
        <v>127.44</v>
      </c>
      <c r="AU46" s="9">
        <v>371.88</v>
      </c>
      <c r="AV46" s="9">
        <v>0</v>
      </c>
      <c r="AW46" s="9">
        <v>50.45</v>
      </c>
      <c r="AX46" s="9">
        <v>0</v>
      </c>
      <c r="AY46" s="9">
        <v>210.75</v>
      </c>
      <c r="AZ46" s="9">
        <v>952.96</v>
      </c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</row>
    <row r="47" spans="1:112" x14ac:dyDescent="0.2">
      <c r="A47" s="8" t="s">
        <v>846</v>
      </c>
      <c r="B47" s="8" t="s">
        <v>231</v>
      </c>
      <c r="C47" s="8" t="s">
        <v>232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</row>
    <row r="48" spans="1:112" x14ac:dyDescent="0.2">
      <c r="A48" s="8" t="s">
        <v>846</v>
      </c>
      <c r="B48" s="8" t="s">
        <v>231</v>
      </c>
      <c r="C48" s="8" t="s">
        <v>233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</row>
    <row r="49" spans="1:112" x14ac:dyDescent="0.2">
      <c r="A49" s="8" t="s">
        <v>846</v>
      </c>
      <c r="B49" s="8" t="s">
        <v>231</v>
      </c>
      <c r="C49" s="8" t="s">
        <v>234</v>
      </c>
      <c r="D49" s="9"/>
      <c r="E49" s="9">
        <v>441949.53</v>
      </c>
      <c r="F49" s="9">
        <v>25228.63</v>
      </c>
      <c r="G49" s="9">
        <v>37307.43</v>
      </c>
      <c r="H49" s="9">
        <v>88704.25</v>
      </c>
      <c r="I49" s="9">
        <v>8603.82</v>
      </c>
      <c r="J49" s="9">
        <v>33331.050000000003</v>
      </c>
      <c r="K49" s="9">
        <v>150402.06</v>
      </c>
      <c r="L49" s="9">
        <v>13333.8</v>
      </c>
      <c r="M49" s="9">
        <v>9844.4500000000007</v>
      </c>
      <c r="N49" s="9">
        <v>0</v>
      </c>
      <c r="O49" s="9">
        <v>4420.92</v>
      </c>
      <c r="P49" s="9">
        <v>0</v>
      </c>
      <c r="Q49" s="9">
        <v>2092.44</v>
      </c>
      <c r="R49" s="9">
        <v>68680.69</v>
      </c>
      <c r="S49" s="9">
        <v>0</v>
      </c>
      <c r="T49" s="9">
        <v>0</v>
      </c>
      <c r="U49" s="9">
        <v>0</v>
      </c>
      <c r="V49" s="9">
        <v>0</v>
      </c>
      <c r="W49" s="9"/>
      <c r="X49" s="9">
        <v>11294.48</v>
      </c>
      <c r="Y49" s="9">
        <v>3027.2</v>
      </c>
      <c r="Z49" s="9">
        <v>546.84</v>
      </c>
      <c r="AA49" s="9">
        <v>2295.88</v>
      </c>
      <c r="AB49" s="9">
        <v>0</v>
      </c>
      <c r="AC49" s="9">
        <v>834.56</v>
      </c>
      <c r="AD49" s="9">
        <v>3226.69</v>
      </c>
      <c r="AE49" s="9">
        <v>716.98</v>
      </c>
      <c r="AF49" s="9">
        <v>104.3</v>
      </c>
      <c r="AG49" s="9">
        <v>0</v>
      </c>
      <c r="AH49" s="9">
        <v>0</v>
      </c>
      <c r="AI49" s="9">
        <v>0</v>
      </c>
      <c r="AJ49" s="9">
        <v>21.38</v>
      </c>
      <c r="AK49" s="9">
        <v>520.64</v>
      </c>
      <c r="AL49" s="9"/>
      <c r="AM49" s="9">
        <v>20720</v>
      </c>
      <c r="AN49" s="9">
        <v>1200.45</v>
      </c>
      <c r="AO49" s="9">
        <v>2866.36</v>
      </c>
      <c r="AP49" s="9">
        <v>10500.3</v>
      </c>
      <c r="AQ49" s="9">
        <v>100.4</v>
      </c>
      <c r="AR49" s="9">
        <v>607.38</v>
      </c>
      <c r="AS49" s="9">
        <v>3355.27</v>
      </c>
      <c r="AT49" s="9">
        <v>95.48</v>
      </c>
      <c r="AU49" s="9">
        <v>421.81</v>
      </c>
      <c r="AV49" s="9">
        <v>0</v>
      </c>
      <c r="AW49" s="9">
        <v>55.23</v>
      </c>
      <c r="AX49" s="9">
        <v>0</v>
      </c>
      <c r="AY49" s="9">
        <v>214.55</v>
      </c>
      <c r="AZ49" s="9">
        <v>1302.79</v>
      </c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</row>
    <row r="50" spans="1:112" x14ac:dyDescent="0.2">
      <c r="A50" s="8" t="s">
        <v>847</v>
      </c>
      <c r="B50" s="8" t="s">
        <v>235</v>
      </c>
      <c r="C50" s="8" t="s">
        <v>236</v>
      </c>
      <c r="D50" s="9">
        <v>426749.79</v>
      </c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>
        <v>17195.89</v>
      </c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>
        <v>21124.82</v>
      </c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>
        <v>147518.75</v>
      </c>
      <c r="BB50" s="9"/>
      <c r="BC50" s="9">
        <v>279360.61999999988</v>
      </c>
      <c r="BD50" s="9"/>
      <c r="BE50" s="9">
        <v>2789.53</v>
      </c>
      <c r="BF50" s="9"/>
      <c r="BG50" s="9">
        <v>14406.36</v>
      </c>
      <c r="BH50" s="9"/>
      <c r="BI50" s="9">
        <v>5430.97</v>
      </c>
      <c r="BJ50" s="9"/>
      <c r="BK50" s="9">
        <v>15693.85</v>
      </c>
      <c r="BL50" s="9"/>
      <c r="BM50" s="9">
        <v>262147.71000000002</v>
      </c>
      <c r="BN50" s="9">
        <v>133479.26</v>
      </c>
      <c r="BO50" s="9"/>
      <c r="BP50" s="9">
        <v>128668.45</v>
      </c>
      <c r="BQ50" s="9"/>
      <c r="BR50" s="9">
        <v>11448.31</v>
      </c>
      <c r="BS50" s="9">
        <v>1997.43</v>
      </c>
      <c r="BT50" s="9"/>
      <c r="BU50" s="9">
        <v>9450.8799999999992</v>
      </c>
      <c r="BV50" s="9"/>
      <c r="BW50" s="9">
        <v>11142.79</v>
      </c>
      <c r="BX50" s="9">
        <v>5237.21</v>
      </c>
      <c r="BY50" s="9"/>
      <c r="BZ50" s="9">
        <v>5905.58</v>
      </c>
      <c r="CA50" s="9"/>
      <c r="CB50" s="9">
        <v>25254.560000000001</v>
      </c>
      <c r="CC50" s="9">
        <v>452004.35</v>
      </c>
      <c r="CD50" s="9"/>
      <c r="CE50" s="9"/>
      <c r="CF50" s="9">
        <v>565095.5</v>
      </c>
      <c r="CG50" s="9">
        <v>383895.71</v>
      </c>
      <c r="CH50" s="9">
        <v>181199.79</v>
      </c>
      <c r="CI50" s="9">
        <v>322671.38</v>
      </c>
      <c r="CJ50" s="9">
        <v>241766.77</v>
      </c>
      <c r="CK50" s="9">
        <v>80904.61</v>
      </c>
      <c r="CL50" s="9">
        <v>242424.12</v>
      </c>
      <c r="CM50" s="9">
        <v>142128.94</v>
      </c>
      <c r="CN50" s="9">
        <v>100295.18</v>
      </c>
      <c r="CO50" s="9">
        <v>185113.67</v>
      </c>
      <c r="CP50" s="9">
        <v>17944.73</v>
      </c>
      <c r="CQ50" s="9">
        <v>167168.94</v>
      </c>
      <c r="CR50" s="9">
        <v>76010.350000000006</v>
      </c>
      <c r="CS50" s="9">
        <v>5563.12</v>
      </c>
      <c r="CT50" s="9">
        <v>70447.23</v>
      </c>
      <c r="CU50" s="9">
        <v>109103.32</v>
      </c>
      <c r="CV50" s="9">
        <v>12381.61</v>
      </c>
      <c r="CW50" s="9">
        <v>96721.71</v>
      </c>
      <c r="CX50" s="9">
        <v>379981.83</v>
      </c>
      <c r="CY50" s="9">
        <v>365950.98</v>
      </c>
      <c r="CZ50" s="9">
        <v>14030.85</v>
      </c>
      <c r="DA50" s="9">
        <v>246661.03</v>
      </c>
      <c r="DB50" s="9">
        <v>236203.65</v>
      </c>
      <c r="DC50" s="9">
        <v>10457.379999999999</v>
      </c>
      <c r="DD50" s="9">
        <v>133320.79999999999</v>
      </c>
      <c r="DE50" s="9">
        <v>129747.33</v>
      </c>
      <c r="DF50" s="9">
        <v>3573.47</v>
      </c>
      <c r="DG50" s="9">
        <v>594823.05999999994</v>
      </c>
      <c r="DH50" s="9">
        <v>29727.56</v>
      </c>
    </row>
    <row r="51" spans="1:112" x14ac:dyDescent="0.2">
      <c r="A51" s="8" t="s">
        <v>847</v>
      </c>
      <c r="B51" s="8" t="s">
        <v>235</v>
      </c>
      <c r="C51" s="8" t="s">
        <v>237</v>
      </c>
      <c r="D51" s="9">
        <v>441791.74</v>
      </c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>
        <v>15697.82</v>
      </c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>
        <v>22253.05</v>
      </c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>
        <v>149061.59</v>
      </c>
      <c r="BB51" s="9"/>
      <c r="BC51" s="9">
        <v>292865.06</v>
      </c>
      <c r="BD51" s="9"/>
      <c r="BE51" s="9">
        <v>2573.9</v>
      </c>
      <c r="BF51" s="9"/>
      <c r="BG51" s="9">
        <v>13123.91</v>
      </c>
      <c r="BH51" s="9"/>
      <c r="BI51" s="9">
        <v>2988.04</v>
      </c>
      <c r="BJ51" s="9"/>
      <c r="BK51" s="9">
        <v>19265</v>
      </c>
      <c r="BL51" s="9"/>
      <c r="BM51" s="9">
        <v>274651.26</v>
      </c>
      <c r="BN51" s="9">
        <v>136128.79</v>
      </c>
      <c r="BO51" s="9"/>
      <c r="BP51" s="9">
        <v>138522.45000000001</v>
      </c>
      <c r="BQ51" s="9"/>
      <c r="BR51" s="9">
        <v>11538.04</v>
      </c>
      <c r="BS51" s="9">
        <v>2373.86</v>
      </c>
      <c r="BT51" s="9"/>
      <c r="BU51" s="9">
        <v>9164.18</v>
      </c>
      <c r="BV51" s="9"/>
      <c r="BW51" s="9">
        <v>11550.16</v>
      </c>
      <c r="BX51" s="9">
        <v>2787.49</v>
      </c>
      <c r="BY51" s="9"/>
      <c r="BZ51" s="9">
        <v>8762.66</v>
      </c>
      <c r="CA51" s="9"/>
      <c r="CB51" s="9">
        <v>27159.72</v>
      </c>
      <c r="CC51" s="9">
        <v>468951.46</v>
      </c>
      <c r="CD51" s="9"/>
      <c r="CE51" s="9"/>
      <c r="CF51" s="9">
        <v>589823.30000000005</v>
      </c>
      <c r="CG51" s="9">
        <v>412551.29</v>
      </c>
      <c r="CH51" s="9">
        <v>177272.01</v>
      </c>
      <c r="CI51" s="9">
        <v>330693.76000000001</v>
      </c>
      <c r="CJ51" s="9">
        <v>258287.25</v>
      </c>
      <c r="CK51" s="9">
        <v>72406.509999999995</v>
      </c>
      <c r="CL51" s="9">
        <v>259129.54</v>
      </c>
      <c r="CM51" s="9">
        <v>154264.04</v>
      </c>
      <c r="CN51" s="9">
        <v>104865.5</v>
      </c>
      <c r="CO51" s="9">
        <v>184390.19</v>
      </c>
      <c r="CP51" s="9">
        <v>22858.02</v>
      </c>
      <c r="CQ51" s="9">
        <v>161532.17000000001</v>
      </c>
      <c r="CR51" s="9">
        <v>68193.929999999993</v>
      </c>
      <c r="CS51" s="9">
        <v>7003.41</v>
      </c>
      <c r="CT51" s="9">
        <v>61190.52</v>
      </c>
      <c r="CU51" s="9">
        <v>116196.26</v>
      </c>
      <c r="CV51" s="9">
        <v>15854.61</v>
      </c>
      <c r="CW51" s="9">
        <v>100341.65</v>
      </c>
      <c r="CX51" s="9">
        <v>405433.11</v>
      </c>
      <c r="CY51" s="9">
        <v>389693.27</v>
      </c>
      <c r="CZ51" s="9">
        <v>15739.84</v>
      </c>
      <c r="DA51" s="9">
        <v>262499.83</v>
      </c>
      <c r="DB51" s="9">
        <v>251283.84</v>
      </c>
      <c r="DC51" s="9">
        <v>11215.99</v>
      </c>
      <c r="DD51" s="9">
        <v>142933.28</v>
      </c>
      <c r="DE51" s="9">
        <v>138409.43</v>
      </c>
      <c r="DF51" s="9">
        <v>4523.8500000000004</v>
      </c>
      <c r="DG51" s="9">
        <v>622150.16</v>
      </c>
      <c r="DH51" s="9">
        <v>32326.86</v>
      </c>
    </row>
    <row r="52" spans="1:112" x14ac:dyDescent="0.2">
      <c r="A52" s="8" t="s">
        <v>847</v>
      </c>
      <c r="B52" s="8" t="s">
        <v>235</v>
      </c>
      <c r="C52" s="8" t="s">
        <v>238</v>
      </c>
      <c r="D52" s="9">
        <v>472302.34</v>
      </c>
      <c r="E52" s="9">
        <v>486591.54</v>
      </c>
      <c r="F52" s="9">
        <v>23869.25</v>
      </c>
      <c r="G52" s="9">
        <v>35728.089999999997</v>
      </c>
      <c r="H52" s="9">
        <v>92784.43</v>
      </c>
      <c r="I52" s="9">
        <v>6494.62</v>
      </c>
      <c r="J52" s="9">
        <v>28261.47</v>
      </c>
      <c r="K52" s="9">
        <v>181175.15</v>
      </c>
      <c r="L52" s="9">
        <v>15770.19</v>
      </c>
      <c r="M52" s="9">
        <v>7483.98</v>
      </c>
      <c r="N52" s="9">
        <v>0</v>
      </c>
      <c r="O52" s="9">
        <v>4816.96</v>
      </c>
      <c r="P52" s="9">
        <v>0</v>
      </c>
      <c r="Q52" s="9">
        <v>1898.31</v>
      </c>
      <c r="R52" s="9">
        <v>88309.1</v>
      </c>
      <c r="S52" s="9">
        <v>0</v>
      </c>
      <c r="T52" s="9">
        <v>0</v>
      </c>
      <c r="U52" s="9">
        <v>0</v>
      </c>
      <c r="V52" s="9">
        <v>0</v>
      </c>
      <c r="W52" s="9">
        <v>14722.74</v>
      </c>
      <c r="X52" s="9">
        <v>18193.36</v>
      </c>
      <c r="Y52" s="9">
        <v>2541.08</v>
      </c>
      <c r="Z52" s="9">
        <v>865.54</v>
      </c>
      <c r="AA52" s="9">
        <v>2317.06</v>
      </c>
      <c r="AB52" s="9">
        <v>25.46</v>
      </c>
      <c r="AC52" s="9">
        <v>70.12</v>
      </c>
      <c r="AD52" s="9">
        <v>4183.6400000000003</v>
      </c>
      <c r="AE52" s="9">
        <v>1715.96</v>
      </c>
      <c r="AF52" s="9">
        <v>214.41</v>
      </c>
      <c r="AG52" s="9">
        <v>0</v>
      </c>
      <c r="AH52" s="9">
        <v>152.52000000000001</v>
      </c>
      <c r="AI52" s="9">
        <v>0</v>
      </c>
      <c r="AJ52" s="9">
        <v>56.91</v>
      </c>
      <c r="AK52" s="9">
        <v>6050.66</v>
      </c>
      <c r="AL52" s="9">
        <v>23350.45</v>
      </c>
      <c r="AM52" s="9">
        <v>34243.69</v>
      </c>
      <c r="AN52" s="9">
        <v>1410.62</v>
      </c>
      <c r="AO52" s="9">
        <v>1919.8</v>
      </c>
      <c r="AP52" s="9">
        <v>14061.34</v>
      </c>
      <c r="AQ52" s="9">
        <v>3846.42</v>
      </c>
      <c r="AR52" s="9">
        <v>999.96</v>
      </c>
      <c r="AS52" s="9">
        <v>11218.22</v>
      </c>
      <c r="AT52" s="9">
        <v>98.63</v>
      </c>
      <c r="AU52" s="9">
        <v>356.06</v>
      </c>
      <c r="AV52" s="9">
        <v>0</v>
      </c>
      <c r="AW52" s="9">
        <v>52.73</v>
      </c>
      <c r="AX52" s="9">
        <v>0</v>
      </c>
      <c r="AY52" s="9">
        <v>293.33999999999997</v>
      </c>
      <c r="AZ52" s="9">
        <v>652.37</v>
      </c>
      <c r="BA52" s="9">
        <v>160491.01</v>
      </c>
      <c r="BB52" s="9"/>
      <c r="BC52" s="9">
        <v>311931.56</v>
      </c>
      <c r="BD52" s="9"/>
      <c r="BE52" s="9">
        <v>2623.59</v>
      </c>
      <c r="BF52" s="9"/>
      <c r="BG52" s="9">
        <v>12099.17</v>
      </c>
      <c r="BH52" s="9"/>
      <c r="BI52" s="9">
        <v>3302.31</v>
      </c>
      <c r="BJ52" s="9"/>
      <c r="BK52" s="9">
        <v>20048.13</v>
      </c>
      <c r="BL52" s="9"/>
      <c r="BM52" s="9">
        <v>292112.38</v>
      </c>
      <c r="BN52" s="9">
        <v>146707.68</v>
      </c>
      <c r="BO52" s="9"/>
      <c r="BP52" s="9">
        <v>145404.72</v>
      </c>
      <c r="BQ52" s="9"/>
      <c r="BR52" s="9">
        <v>10632.99</v>
      </c>
      <c r="BS52" s="9">
        <v>2435.9299999999998</v>
      </c>
      <c r="BT52" s="9"/>
      <c r="BU52" s="9">
        <v>8197.07</v>
      </c>
      <c r="BV52" s="9"/>
      <c r="BW52" s="9">
        <v>12450.25</v>
      </c>
      <c r="BX52" s="9">
        <v>3082.95</v>
      </c>
      <c r="BY52" s="9"/>
      <c r="BZ52" s="9">
        <v>9367.2999999999993</v>
      </c>
      <c r="CA52" s="9"/>
      <c r="CB52" s="9">
        <v>27261.279999999999</v>
      </c>
      <c r="CC52" s="9">
        <v>499563.61999999988</v>
      </c>
      <c r="CD52" s="9"/>
      <c r="CE52" s="9"/>
      <c r="CF52" s="9">
        <v>595873.16999999993</v>
      </c>
      <c r="CG52" s="9">
        <v>428281.95</v>
      </c>
      <c r="CH52" s="9">
        <v>167591.22</v>
      </c>
      <c r="CI52" s="9">
        <v>340707.43999999989</v>
      </c>
      <c r="CJ52" s="9">
        <v>266986.09000000003</v>
      </c>
      <c r="CK52" s="9">
        <v>73721.350000000006</v>
      </c>
      <c r="CL52" s="9">
        <v>255165.73</v>
      </c>
      <c r="CM52" s="9">
        <v>161295.85999999999</v>
      </c>
      <c r="CN52" s="9">
        <v>93869.87</v>
      </c>
      <c r="CO52" s="9">
        <v>170416.27</v>
      </c>
      <c r="CP52" s="9">
        <v>21090.36</v>
      </c>
      <c r="CQ52" s="9">
        <v>149325.91</v>
      </c>
      <c r="CR52" s="9">
        <v>68090.53</v>
      </c>
      <c r="CS52" s="9">
        <v>7206.12</v>
      </c>
      <c r="CT52" s="9">
        <v>60884.41</v>
      </c>
      <c r="CU52" s="9">
        <v>102325.74</v>
      </c>
      <c r="CV52" s="9">
        <v>13884.24</v>
      </c>
      <c r="CW52" s="9">
        <v>88441.5</v>
      </c>
      <c r="CX52" s="9">
        <v>425456.9</v>
      </c>
      <c r="CY52" s="9">
        <v>407191.59</v>
      </c>
      <c r="CZ52" s="9">
        <v>18265.310000000001</v>
      </c>
      <c r="DA52" s="9">
        <v>272616.90999999997</v>
      </c>
      <c r="DB52" s="9">
        <v>259779.97</v>
      </c>
      <c r="DC52" s="9">
        <v>12836.94</v>
      </c>
      <c r="DD52" s="9">
        <v>152839.99</v>
      </c>
      <c r="DE52" s="9">
        <v>147411.62</v>
      </c>
      <c r="DF52" s="9">
        <v>5428.37</v>
      </c>
      <c r="DG52" s="9">
        <v>629321.03000000014</v>
      </c>
      <c r="DH52" s="9">
        <v>33447.86</v>
      </c>
    </row>
    <row r="53" spans="1:112" x14ac:dyDescent="0.2">
      <c r="A53" s="8" t="s">
        <v>847</v>
      </c>
      <c r="B53" s="8" t="s">
        <v>239</v>
      </c>
      <c r="C53" s="8" t="s">
        <v>240</v>
      </c>
      <c r="D53" s="9">
        <v>508715.55</v>
      </c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>
        <v>18648.7</v>
      </c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>
        <v>26249.49</v>
      </c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>
        <v>172337.23</v>
      </c>
      <c r="BB53" s="9"/>
      <c r="BC53" s="9">
        <v>336662.62</v>
      </c>
      <c r="BD53" s="9"/>
      <c r="BE53" s="9">
        <v>3272.44</v>
      </c>
      <c r="BF53" s="9"/>
      <c r="BG53" s="9">
        <v>15376.26</v>
      </c>
      <c r="BH53" s="9"/>
      <c r="BI53" s="9">
        <v>4627.6099999999997</v>
      </c>
      <c r="BJ53" s="9"/>
      <c r="BK53" s="9">
        <v>21621.87</v>
      </c>
      <c r="BL53" s="9"/>
      <c r="BM53" s="9">
        <v>298454.07</v>
      </c>
      <c r="BN53" s="9">
        <v>153503.32</v>
      </c>
      <c r="BO53" s="9"/>
      <c r="BP53" s="9">
        <v>144950.75</v>
      </c>
      <c r="BQ53" s="9"/>
      <c r="BR53" s="9">
        <v>11328.43</v>
      </c>
      <c r="BS53" s="9">
        <v>2945.73</v>
      </c>
      <c r="BT53" s="9"/>
      <c r="BU53" s="9">
        <v>8382.7000000000007</v>
      </c>
      <c r="BV53" s="9"/>
      <c r="BW53" s="9">
        <v>15784.49</v>
      </c>
      <c r="BX53" s="9">
        <v>4341.88</v>
      </c>
      <c r="BY53" s="9"/>
      <c r="BZ53" s="9">
        <v>11442.61</v>
      </c>
      <c r="CA53" s="9"/>
      <c r="CB53" s="9">
        <v>31297.11</v>
      </c>
      <c r="CC53" s="9">
        <v>540012.66</v>
      </c>
      <c r="CD53" s="9"/>
      <c r="CE53" s="9"/>
      <c r="CF53" s="9">
        <v>611831.85999999987</v>
      </c>
      <c r="CG53" s="9">
        <v>430837.26</v>
      </c>
      <c r="CH53" s="9">
        <v>180994.6</v>
      </c>
      <c r="CI53" s="9">
        <v>337187.01</v>
      </c>
      <c r="CJ53" s="9">
        <v>267506.98</v>
      </c>
      <c r="CK53" s="9">
        <v>69680.03</v>
      </c>
      <c r="CL53" s="9">
        <v>274644.84999999998</v>
      </c>
      <c r="CM53" s="9">
        <v>163330.28</v>
      </c>
      <c r="CN53" s="9">
        <v>111314.57</v>
      </c>
      <c r="CO53" s="9">
        <v>187560.52</v>
      </c>
      <c r="CP53" s="9">
        <v>26053.18</v>
      </c>
      <c r="CQ53" s="9">
        <v>161507.34</v>
      </c>
      <c r="CR53" s="9">
        <v>64074.62</v>
      </c>
      <c r="CS53" s="9">
        <v>7868.25</v>
      </c>
      <c r="CT53" s="9">
        <v>56206.37</v>
      </c>
      <c r="CU53" s="9">
        <v>123485.9</v>
      </c>
      <c r="CV53" s="9">
        <v>18184.93</v>
      </c>
      <c r="CW53" s="9">
        <v>105300.97</v>
      </c>
      <c r="CX53" s="9">
        <v>424271.34</v>
      </c>
      <c r="CY53" s="9">
        <v>404784.08</v>
      </c>
      <c r="CZ53" s="9">
        <v>19487.259999999998</v>
      </c>
      <c r="DA53" s="9">
        <v>273112.39</v>
      </c>
      <c r="DB53" s="9">
        <v>259638.73</v>
      </c>
      <c r="DC53" s="9">
        <v>13473.66</v>
      </c>
      <c r="DD53" s="9">
        <v>151158.95000000001</v>
      </c>
      <c r="DE53" s="9">
        <v>145145.35</v>
      </c>
      <c r="DF53" s="9">
        <v>6013.6</v>
      </c>
      <c r="DG53" s="9">
        <v>648581.7300000001</v>
      </c>
      <c r="DH53" s="9">
        <v>36749.870000000003</v>
      </c>
    </row>
    <row r="54" spans="1:112" x14ac:dyDescent="0.2">
      <c r="A54" s="8" t="s">
        <v>847</v>
      </c>
      <c r="B54" s="8" t="s">
        <v>239</v>
      </c>
      <c r="C54" s="8" t="s">
        <v>241</v>
      </c>
      <c r="D54" s="9">
        <v>520138.29</v>
      </c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>
        <v>15676.26</v>
      </c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>
        <v>28120.81</v>
      </c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>
        <v>176091.77</v>
      </c>
      <c r="BB54" s="9"/>
      <c r="BC54" s="9">
        <v>344427.65</v>
      </c>
      <c r="BD54" s="9"/>
      <c r="BE54" s="9">
        <v>3622.69</v>
      </c>
      <c r="BF54" s="9"/>
      <c r="BG54" s="9">
        <v>12053.57</v>
      </c>
      <c r="BH54" s="9"/>
      <c r="BI54" s="9">
        <v>7207.22</v>
      </c>
      <c r="BJ54" s="9"/>
      <c r="BK54" s="9">
        <v>20913.59</v>
      </c>
      <c r="BL54" s="9"/>
      <c r="BM54" s="9">
        <v>305109.46999999997</v>
      </c>
      <c r="BN54" s="9">
        <v>157527.94</v>
      </c>
      <c r="BO54" s="9"/>
      <c r="BP54" s="9">
        <v>147581.53</v>
      </c>
      <c r="BQ54" s="9"/>
      <c r="BR54" s="9">
        <v>13159.69</v>
      </c>
      <c r="BS54" s="9">
        <v>3309.12</v>
      </c>
      <c r="BT54" s="9"/>
      <c r="BU54" s="9">
        <v>9850.57</v>
      </c>
      <c r="BV54" s="9"/>
      <c r="BW54" s="9">
        <v>18426.93</v>
      </c>
      <c r="BX54" s="9">
        <v>6950.32</v>
      </c>
      <c r="BY54" s="9"/>
      <c r="BZ54" s="9">
        <v>11476.61</v>
      </c>
      <c r="CA54" s="9"/>
      <c r="CB54" s="9">
        <v>30976.97</v>
      </c>
      <c r="CC54" s="9">
        <v>551115.26</v>
      </c>
      <c r="CD54" s="9"/>
      <c r="CE54" s="9"/>
      <c r="CF54" s="9">
        <v>616844.07000000007</v>
      </c>
      <c r="CG54" s="9">
        <v>439140.33000000007</v>
      </c>
      <c r="CH54" s="9">
        <v>177703.74</v>
      </c>
      <c r="CI54" s="9">
        <v>342226.8</v>
      </c>
      <c r="CJ54" s="9">
        <v>270577.08</v>
      </c>
      <c r="CK54" s="9">
        <v>71649.72</v>
      </c>
      <c r="CL54" s="9">
        <v>274617.27</v>
      </c>
      <c r="CM54" s="9">
        <v>168563.25</v>
      </c>
      <c r="CN54" s="9">
        <v>106054.02</v>
      </c>
      <c r="CO54" s="9">
        <v>182515.7</v>
      </c>
      <c r="CP54" s="9">
        <v>25917.41</v>
      </c>
      <c r="CQ54" s="9">
        <v>156598.29</v>
      </c>
      <c r="CR54" s="9">
        <v>66264.3</v>
      </c>
      <c r="CS54" s="9">
        <v>7979.57</v>
      </c>
      <c r="CT54" s="9">
        <v>58284.73</v>
      </c>
      <c r="CU54" s="9">
        <v>116251.4</v>
      </c>
      <c r="CV54" s="9">
        <v>17937.84</v>
      </c>
      <c r="CW54" s="9">
        <v>98313.56</v>
      </c>
      <c r="CX54" s="9">
        <v>434328.37</v>
      </c>
      <c r="CY54" s="9">
        <v>413222.92</v>
      </c>
      <c r="CZ54" s="9">
        <v>21105.45</v>
      </c>
      <c r="DA54" s="9">
        <v>275962.5</v>
      </c>
      <c r="DB54" s="9">
        <v>262597.51</v>
      </c>
      <c r="DC54" s="9">
        <v>13364.99</v>
      </c>
      <c r="DD54" s="9">
        <v>158365.87</v>
      </c>
      <c r="DE54" s="9">
        <v>150625.41</v>
      </c>
      <c r="DF54" s="9">
        <v>7740.46</v>
      </c>
      <c r="DG54" s="9">
        <v>658458.69000000006</v>
      </c>
      <c r="DH54" s="9">
        <v>41614.620000000003</v>
      </c>
    </row>
    <row r="55" spans="1:112" x14ac:dyDescent="0.2">
      <c r="A55" s="8" t="s">
        <v>847</v>
      </c>
      <c r="B55" s="8" t="s">
        <v>239</v>
      </c>
      <c r="C55" s="8" t="s">
        <v>242</v>
      </c>
      <c r="D55" s="9">
        <v>526855.93999999994</v>
      </c>
      <c r="E55" s="9">
        <v>525457.89</v>
      </c>
      <c r="F55" s="9">
        <v>23624.68</v>
      </c>
      <c r="G55" s="9">
        <v>42193.96</v>
      </c>
      <c r="H55" s="9">
        <v>105401.15</v>
      </c>
      <c r="I55" s="9">
        <v>9308.81</v>
      </c>
      <c r="J55" s="9">
        <v>41567.15</v>
      </c>
      <c r="K55" s="9">
        <v>190165.35</v>
      </c>
      <c r="L55" s="9">
        <v>16851.66</v>
      </c>
      <c r="M55" s="9">
        <v>8339.2999999999993</v>
      </c>
      <c r="N55" s="9">
        <v>0</v>
      </c>
      <c r="O55" s="9">
        <v>3978.24</v>
      </c>
      <c r="P55" s="9">
        <v>0</v>
      </c>
      <c r="Q55" s="9">
        <v>3289.32</v>
      </c>
      <c r="R55" s="9">
        <v>80738.289999999994</v>
      </c>
      <c r="S55" s="9">
        <v>0</v>
      </c>
      <c r="T55" s="9">
        <v>0</v>
      </c>
      <c r="U55" s="9">
        <v>0</v>
      </c>
      <c r="V55" s="9">
        <v>0</v>
      </c>
      <c r="W55" s="9">
        <v>13404.87</v>
      </c>
      <c r="X55" s="9">
        <v>12557.47</v>
      </c>
      <c r="Y55" s="9">
        <v>166.96</v>
      </c>
      <c r="Z55" s="9">
        <v>302.75</v>
      </c>
      <c r="AA55" s="9">
        <v>2749.44</v>
      </c>
      <c r="AB55" s="9">
        <v>0</v>
      </c>
      <c r="AC55" s="9">
        <v>3042.58</v>
      </c>
      <c r="AD55" s="9">
        <v>4020.73</v>
      </c>
      <c r="AE55" s="9">
        <v>681.31</v>
      </c>
      <c r="AF55" s="9">
        <v>106.38</v>
      </c>
      <c r="AG55" s="9">
        <v>0</v>
      </c>
      <c r="AH55" s="9">
        <v>0.6</v>
      </c>
      <c r="AI55" s="9">
        <v>0</v>
      </c>
      <c r="AJ55" s="9">
        <v>17.170000000000002</v>
      </c>
      <c r="AK55" s="9">
        <v>1469.55</v>
      </c>
      <c r="AL55" s="9">
        <v>30903.62</v>
      </c>
      <c r="AM55" s="9">
        <v>29595.46</v>
      </c>
      <c r="AN55" s="9">
        <v>1460.89</v>
      </c>
      <c r="AO55" s="9">
        <v>2839.95</v>
      </c>
      <c r="AP55" s="9">
        <v>15219.93</v>
      </c>
      <c r="AQ55" s="9">
        <v>119.49</v>
      </c>
      <c r="AR55" s="9">
        <v>519.02</v>
      </c>
      <c r="AS55" s="9">
        <v>6218.94</v>
      </c>
      <c r="AT55" s="9">
        <v>1292.4000000000001</v>
      </c>
      <c r="AU55" s="9">
        <v>365.69</v>
      </c>
      <c r="AV55" s="9">
        <v>0</v>
      </c>
      <c r="AW55" s="9">
        <v>52.43</v>
      </c>
      <c r="AX55" s="9">
        <v>0</v>
      </c>
      <c r="AY55" s="9">
        <v>198.81</v>
      </c>
      <c r="AZ55" s="9">
        <v>1307.9100000000001</v>
      </c>
      <c r="BA55" s="9">
        <v>181157.1</v>
      </c>
      <c r="BB55" s="9"/>
      <c r="BC55" s="9">
        <v>346211.68999999989</v>
      </c>
      <c r="BD55" s="9"/>
      <c r="BE55" s="9">
        <v>3593.16</v>
      </c>
      <c r="BF55" s="9"/>
      <c r="BG55" s="9">
        <v>9811.7199999999993</v>
      </c>
      <c r="BH55" s="9"/>
      <c r="BI55" s="9">
        <v>7643.74</v>
      </c>
      <c r="BJ55" s="9"/>
      <c r="BK55" s="9">
        <v>23259.9</v>
      </c>
      <c r="BL55" s="9"/>
      <c r="BM55" s="9">
        <v>309416.87999999989</v>
      </c>
      <c r="BN55" s="9">
        <v>162811.98000000001</v>
      </c>
      <c r="BO55" s="9"/>
      <c r="BP55" s="9">
        <v>146604.93</v>
      </c>
      <c r="BQ55" s="9"/>
      <c r="BR55" s="9">
        <v>12503.58</v>
      </c>
      <c r="BS55" s="9">
        <v>3275.9</v>
      </c>
      <c r="BT55" s="9"/>
      <c r="BU55" s="9">
        <v>9227.69</v>
      </c>
      <c r="BV55" s="9"/>
      <c r="BW55" s="9">
        <v>19340.41</v>
      </c>
      <c r="BX55" s="9">
        <v>7375.95</v>
      </c>
      <c r="BY55" s="9"/>
      <c r="BZ55" s="9">
        <v>11964.47</v>
      </c>
      <c r="CA55" s="9"/>
      <c r="CB55" s="9">
        <v>31374.75</v>
      </c>
      <c r="CC55" s="9">
        <v>558230.68999999994</v>
      </c>
      <c r="CD55" s="9"/>
      <c r="CE55" s="9"/>
      <c r="CF55" s="9">
        <v>638318.27</v>
      </c>
      <c r="CG55" s="9">
        <v>450420.39</v>
      </c>
      <c r="CH55" s="9">
        <v>187897.88</v>
      </c>
      <c r="CI55" s="9">
        <v>366768.01</v>
      </c>
      <c r="CJ55" s="9">
        <v>279079.24</v>
      </c>
      <c r="CK55" s="9">
        <v>87688.77</v>
      </c>
      <c r="CL55" s="9">
        <v>271550.26</v>
      </c>
      <c r="CM55" s="9">
        <v>171341.15</v>
      </c>
      <c r="CN55" s="9">
        <v>100209.11</v>
      </c>
      <c r="CO55" s="9">
        <v>193355.57</v>
      </c>
      <c r="CP55" s="9">
        <v>23078.2</v>
      </c>
      <c r="CQ55" s="9">
        <v>170277.37</v>
      </c>
      <c r="CR55" s="9">
        <v>82645.759999999995</v>
      </c>
      <c r="CS55" s="9">
        <v>8867.2800000000007</v>
      </c>
      <c r="CT55" s="9">
        <v>73778.48</v>
      </c>
      <c r="CU55" s="9">
        <v>110709.81</v>
      </c>
      <c r="CV55" s="9">
        <v>14210.92</v>
      </c>
      <c r="CW55" s="9">
        <v>96498.89</v>
      </c>
      <c r="CX55" s="9">
        <v>444962.70000000013</v>
      </c>
      <c r="CY55" s="9">
        <v>427342.19</v>
      </c>
      <c r="CZ55" s="9">
        <v>17620.509999999998</v>
      </c>
      <c r="DA55" s="9">
        <v>284122.25</v>
      </c>
      <c r="DB55" s="9">
        <v>270211.96000000002</v>
      </c>
      <c r="DC55" s="9">
        <v>13910.29</v>
      </c>
      <c r="DD55" s="9">
        <v>160840.45000000001</v>
      </c>
      <c r="DE55" s="9">
        <v>157130.23000000001</v>
      </c>
      <c r="DF55" s="9">
        <v>3710.22</v>
      </c>
      <c r="DG55" s="9">
        <v>676436.83</v>
      </c>
      <c r="DH55" s="9">
        <v>38118.559999999998</v>
      </c>
    </row>
    <row r="56" spans="1:112" x14ac:dyDescent="0.2">
      <c r="A56" s="8" t="s">
        <v>847</v>
      </c>
      <c r="B56" s="8" t="s">
        <v>243</v>
      </c>
      <c r="C56" s="8" t="s">
        <v>244</v>
      </c>
      <c r="D56" s="9">
        <v>540672.69999999995</v>
      </c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>
        <v>18757.849999999999</v>
      </c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>
        <v>29950.59</v>
      </c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>
        <v>184458.27</v>
      </c>
      <c r="BB56" s="9"/>
      <c r="BC56" s="9">
        <v>356591.05</v>
      </c>
      <c r="BD56" s="9"/>
      <c r="BE56" s="9">
        <v>5362.55</v>
      </c>
      <c r="BF56" s="9"/>
      <c r="BG56" s="9">
        <v>13395.3</v>
      </c>
      <c r="BH56" s="9"/>
      <c r="BI56" s="9">
        <v>8182.09</v>
      </c>
      <c r="BJ56" s="9"/>
      <c r="BK56" s="9">
        <v>21768.5</v>
      </c>
      <c r="BL56" s="9"/>
      <c r="BM56" s="9">
        <v>314549.8</v>
      </c>
      <c r="BN56" s="9">
        <v>165088.59</v>
      </c>
      <c r="BO56" s="9"/>
      <c r="BP56" s="9">
        <v>149461.22</v>
      </c>
      <c r="BQ56" s="9"/>
      <c r="BR56" s="9">
        <v>14495.44</v>
      </c>
      <c r="BS56" s="9">
        <v>4889.16</v>
      </c>
      <c r="BT56" s="9"/>
      <c r="BU56" s="9">
        <v>9606.2800000000007</v>
      </c>
      <c r="BV56" s="9"/>
      <c r="BW56" s="9">
        <v>18389.009999999998</v>
      </c>
      <c r="BX56" s="9">
        <v>7905.93</v>
      </c>
      <c r="BY56" s="9"/>
      <c r="BZ56" s="9">
        <v>10483.08</v>
      </c>
      <c r="CA56" s="9"/>
      <c r="CB56" s="9">
        <v>34632.019999999997</v>
      </c>
      <c r="CC56" s="9">
        <v>575304.72</v>
      </c>
      <c r="CD56" s="9"/>
      <c r="CE56" s="9"/>
      <c r="CF56" s="9">
        <v>636542.19999999995</v>
      </c>
      <c r="CG56" s="9">
        <v>463810.11</v>
      </c>
      <c r="CH56" s="9">
        <v>172732.09</v>
      </c>
      <c r="CI56" s="9">
        <v>361238.56</v>
      </c>
      <c r="CJ56" s="9">
        <v>282414.40000000002</v>
      </c>
      <c r="CK56" s="9">
        <v>78824.160000000003</v>
      </c>
      <c r="CL56" s="9">
        <v>275303.64</v>
      </c>
      <c r="CM56" s="9">
        <v>181395.71</v>
      </c>
      <c r="CN56" s="9">
        <v>93907.93</v>
      </c>
      <c r="CO56" s="9">
        <v>177096.34</v>
      </c>
      <c r="CP56" s="9">
        <v>25679.77</v>
      </c>
      <c r="CQ56" s="9">
        <v>151416.57</v>
      </c>
      <c r="CR56" s="9">
        <v>73966.100000000006</v>
      </c>
      <c r="CS56" s="9">
        <v>10362.33</v>
      </c>
      <c r="CT56" s="9">
        <v>63603.77</v>
      </c>
      <c r="CU56" s="9">
        <v>103130.24000000001</v>
      </c>
      <c r="CV56" s="9">
        <v>15317.44</v>
      </c>
      <c r="CW56" s="9">
        <v>87812.800000000003</v>
      </c>
      <c r="CX56" s="9">
        <v>459445.86</v>
      </c>
      <c r="CY56" s="9">
        <v>438130.34</v>
      </c>
      <c r="CZ56" s="9">
        <v>21315.52</v>
      </c>
      <c r="DA56" s="9">
        <v>287272.46000000002</v>
      </c>
      <c r="DB56" s="9">
        <v>272052.07</v>
      </c>
      <c r="DC56" s="9">
        <v>15220.39</v>
      </c>
      <c r="DD56" s="9">
        <v>172173.4</v>
      </c>
      <c r="DE56" s="9">
        <v>166078.26999999999</v>
      </c>
      <c r="DF56" s="9">
        <v>6095.13</v>
      </c>
      <c r="DG56" s="9">
        <v>676067.20000000007</v>
      </c>
      <c r="DH56" s="9">
        <v>39525</v>
      </c>
    </row>
    <row r="57" spans="1:112" x14ac:dyDescent="0.2">
      <c r="A57" s="8" t="s">
        <v>847</v>
      </c>
      <c r="B57" s="8" t="s">
        <v>243</v>
      </c>
      <c r="C57" s="8" t="s">
        <v>245</v>
      </c>
      <c r="D57" s="9">
        <v>560558.1</v>
      </c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>
        <v>21515.19</v>
      </c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>
        <v>33186.660000000003</v>
      </c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>
        <v>194508.22</v>
      </c>
      <c r="BB57" s="9"/>
      <c r="BC57" s="9">
        <v>366484.36</v>
      </c>
      <c r="BD57" s="9"/>
      <c r="BE57" s="9">
        <v>6900.77</v>
      </c>
      <c r="BF57" s="9"/>
      <c r="BG57" s="9">
        <v>14614.42</v>
      </c>
      <c r="BH57" s="9"/>
      <c r="BI57" s="9">
        <v>8684.26</v>
      </c>
      <c r="BJ57" s="9"/>
      <c r="BK57" s="9">
        <v>24502.400000000001</v>
      </c>
      <c r="BL57" s="9"/>
      <c r="BM57" s="9">
        <v>326792.8</v>
      </c>
      <c r="BN57" s="9">
        <v>175445.27</v>
      </c>
      <c r="BO57" s="9"/>
      <c r="BP57" s="9">
        <v>151347.53</v>
      </c>
      <c r="BQ57" s="9"/>
      <c r="BR57" s="9">
        <v>15286.86</v>
      </c>
      <c r="BS57" s="9">
        <v>5572.62</v>
      </c>
      <c r="BT57" s="9"/>
      <c r="BU57" s="9">
        <v>9714.24</v>
      </c>
      <c r="BV57" s="9"/>
      <c r="BW57" s="9">
        <v>20461.5</v>
      </c>
      <c r="BX57" s="9">
        <v>8397.24</v>
      </c>
      <c r="BY57" s="9"/>
      <c r="BZ57" s="9">
        <v>12064.25</v>
      </c>
      <c r="CA57" s="9"/>
      <c r="CB57" s="9">
        <v>33953.15</v>
      </c>
      <c r="CC57" s="9">
        <v>594511.25</v>
      </c>
      <c r="CD57" s="9"/>
      <c r="CE57" s="9"/>
      <c r="CF57" s="9">
        <v>664855.87999999989</v>
      </c>
      <c r="CG57" s="9">
        <v>473076.29</v>
      </c>
      <c r="CH57" s="9">
        <v>191779.59</v>
      </c>
      <c r="CI57" s="9">
        <v>366116.96</v>
      </c>
      <c r="CJ57" s="9">
        <v>283713.06</v>
      </c>
      <c r="CK57" s="9">
        <v>82403.899999999994</v>
      </c>
      <c r="CL57" s="9">
        <v>298738.92</v>
      </c>
      <c r="CM57" s="9">
        <v>189363.23</v>
      </c>
      <c r="CN57" s="9">
        <v>109375.69</v>
      </c>
      <c r="CO57" s="9">
        <v>200705.79</v>
      </c>
      <c r="CP57" s="9">
        <v>30658.639999999999</v>
      </c>
      <c r="CQ57" s="9">
        <v>170047.15</v>
      </c>
      <c r="CR57" s="9">
        <v>78864.479999999996</v>
      </c>
      <c r="CS57" s="9">
        <v>13386.88</v>
      </c>
      <c r="CT57" s="9">
        <v>65477.599999999999</v>
      </c>
      <c r="CU57" s="9">
        <v>121841.31</v>
      </c>
      <c r="CV57" s="9">
        <v>17271.759999999998</v>
      </c>
      <c r="CW57" s="9">
        <v>104569.55</v>
      </c>
      <c r="CX57" s="9">
        <v>464150.09</v>
      </c>
      <c r="CY57" s="9">
        <v>442417.65</v>
      </c>
      <c r="CZ57" s="9">
        <v>21732.44</v>
      </c>
      <c r="DA57" s="9">
        <v>287252.47999999998</v>
      </c>
      <c r="DB57" s="9">
        <v>270326.18</v>
      </c>
      <c r="DC57" s="9">
        <v>16926.3</v>
      </c>
      <c r="DD57" s="9">
        <v>176897.61</v>
      </c>
      <c r="DE57" s="9">
        <v>172091.47</v>
      </c>
      <c r="DF57" s="9">
        <v>4806.1400000000003</v>
      </c>
      <c r="DG57" s="9">
        <v>711424.77</v>
      </c>
      <c r="DH57" s="9">
        <v>46568.89</v>
      </c>
    </row>
    <row r="58" spans="1:112" x14ac:dyDescent="0.2">
      <c r="A58" s="8" t="s">
        <v>847</v>
      </c>
      <c r="B58" s="8" t="s">
        <v>243</v>
      </c>
      <c r="C58" s="8" t="s">
        <v>246</v>
      </c>
      <c r="D58" s="9">
        <v>567661.71</v>
      </c>
      <c r="E58" s="9">
        <v>565794</v>
      </c>
      <c r="F58" s="9">
        <v>30252.27</v>
      </c>
      <c r="G58" s="9">
        <v>40602.04</v>
      </c>
      <c r="H58" s="9">
        <v>112091.63</v>
      </c>
      <c r="I58" s="9">
        <v>12016.86</v>
      </c>
      <c r="J58" s="9">
        <v>90278.55</v>
      </c>
      <c r="K58" s="9">
        <v>167170.54</v>
      </c>
      <c r="L58" s="9">
        <v>14495.33</v>
      </c>
      <c r="M58" s="9">
        <v>12148.28</v>
      </c>
      <c r="N58" s="9">
        <v>0</v>
      </c>
      <c r="O58" s="9">
        <v>4596.5600000000004</v>
      </c>
      <c r="P58" s="9">
        <v>0</v>
      </c>
      <c r="Q58" s="9">
        <v>5176.37</v>
      </c>
      <c r="R58" s="9">
        <v>76965.55</v>
      </c>
      <c r="S58" s="9">
        <v>0</v>
      </c>
      <c r="T58" s="9">
        <v>0</v>
      </c>
      <c r="U58" s="9">
        <v>0</v>
      </c>
      <c r="V58" s="9">
        <v>0</v>
      </c>
      <c r="W58" s="9">
        <v>21185.19</v>
      </c>
      <c r="X58" s="9">
        <v>16880.97</v>
      </c>
      <c r="Y58" s="9">
        <v>594.79999999999995</v>
      </c>
      <c r="Z58" s="9">
        <v>1185.01</v>
      </c>
      <c r="AA58" s="9">
        <v>4256.22</v>
      </c>
      <c r="AB58" s="9">
        <v>0</v>
      </c>
      <c r="AC58" s="9">
        <v>2305</v>
      </c>
      <c r="AD58" s="9">
        <v>5264.16</v>
      </c>
      <c r="AE58" s="9">
        <v>1334.73</v>
      </c>
      <c r="AF58" s="9">
        <v>76.650000000000006</v>
      </c>
      <c r="AG58" s="9">
        <v>0</v>
      </c>
      <c r="AH58" s="9">
        <v>0</v>
      </c>
      <c r="AI58" s="9">
        <v>0</v>
      </c>
      <c r="AJ58" s="9">
        <v>27.22</v>
      </c>
      <c r="AK58" s="9">
        <v>1837.19</v>
      </c>
      <c r="AL58" s="9">
        <v>35806.21</v>
      </c>
      <c r="AM58" s="9">
        <v>33662.949999999997</v>
      </c>
      <c r="AN58" s="9">
        <v>1509.64</v>
      </c>
      <c r="AO58" s="9">
        <v>4280.5200000000004</v>
      </c>
      <c r="AP58" s="9">
        <v>15648.89</v>
      </c>
      <c r="AQ58" s="9">
        <v>149</v>
      </c>
      <c r="AR58" s="9">
        <v>1988.63</v>
      </c>
      <c r="AS58" s="9">
        <v>6370.64</v>
      </c>
      <c r="AT58" s="9">
        <v>1282.17</v>
      </c>
      <c r="AU58" s="9">
        <v>377.76</v>
      </c>
      <c r="AV58" s="9">
        <v>0</v>
      </c>
      <c r="AW58" s="9">
        <v>52.38</v>
      </c>
      <c r="AX58" s="9">
        <v>0</v>
      </c>
      <c r="AY58" s="9">
        <v>226.73</v>
      </c>
      <c r="AZ58" s="9">
        <v>1776.59</v>
      </c>
      <c r="BA58" s="9">
        <v>202156.65</v>
      </c>
      <c r="BB58" s="9"/>
      <c r="BC58" s="9">
        <v>365940.90000000008</v>
      </c>
      <c r="BD58" s="9"/>
      <c r="BE58" s="9">
        <v>6023.21</v>
      </c>
      <c r="BF58" s="9"/>
      <c r="BG58" s="9">
        <v>15161.98</v>
      </c>
      <c r="BH58" s="9"/>
      <c r="BI58" s="9">
        <v>9499.92</v>
      </c>
      <c r="BJ58" s="9"/>
      <c r="BK58" s="9">
        <v>26306.29</v>
      </c>
      <c r="BL58" s="9"/>
      <c r="BM58" s="9">
        <v>331582.93</v>
      </c>
      <c r="BN58" s="9">
        <v>181034.53</v>
      </c>
      <c r="BO58" s="9"/>
      <c r="BP58" s="9">
        <v>150548.39000000001</v>
      </c>
      <c r="BQ58" s="9"/>
      <c r="BR58" s="9">
        <v>13202.73</v>
      </c>
      <c r="BS58" s="9">
        <v>4766.97</v>
      </c>
      <c r="BT58" s="9"/>
      <c r="BU58" s="9">
        <v>8435.75</v>
      </c>
      <c r="BV58" s="9"/>
      <c r="BW58" s="9">
        <v>21101</v>
      </c>
      <c r="BX58" s="9">
        <v>9209.4</v>
      </c>
      <c r="BY58" s="9"/>
      <c r="BZ58" s="9">
        <v>11891.6</v>
      </c>
      <c r="CA58" s="9"/>
      <c r="CB58" s="9">
        <v>34406.28</v>
      </c>
      <c r="CC58" s="9">
        <v>602067.99</v>
      </c>
      <c r="CD58" s="9"/>
      <c r="CE58" s="9"/>
      <c r="CF58" s="9">
        <v>659245.97</v>
      </c>
      <c r="CG58" s="9">
        <v>482014.94</v>
      </c>
      <c r="CH58" s="9">
        <v>177231.03</v>
      </c>
      <c r="CI58" s="9">
        <v>363370.12</v>
      </c>
      <c r="CJ58" s="9">
        <v>284307.15000000002</v>
      </c>
      <c r="CK58" s="9">
        <v>79062.97</v>
      </c>
      <c r="CL58" s="9">
        <v>295875.84999999998</v>
      </c>
      <c r="CM58" s="9">
        <v>197707.79</v>
      </c>
      <c r="CN58" s="9">
        <v>98168.06</v>
      </c>
      <c r="CO58" s="9">
        <v>186847.5</v>
      </c>
      <c r="CP58" s="9">
        <v>30044.400000000001</v>
      </c>
      <c r="CQ58" s="9">
        <v>156803.1</v>
      </c>
      <c r="CR58" s="9">
        <v>76628.73</v>
      </c>
      <c r="CS58" s="9">
        <v>13796.3</v>
      </c>
      <c r="CT58" s="9">
        <v>62832.43</v>
      </c>
      <c r="CU58" s="9">
        <v>110218.77</v>
      </c>
      <c r="CV58" s="9">
        <v>16248.1</v>
      </c>
      <c r="CW58" s="9">
        <v>93970.67</v>
      </c>
      <c r="CX58" s="9">
        <v>472398.47</v>
      </c>
      <c r="CY58" s="9">
        <v>451970.54</v>
      </c>
      <c r="CZ58" s="9">
        <v>20427.93</v>
      </c>
      <c r="DA58" s="9">
        <v>286741.39</v>
      </c>
      <c r="DB58" s="9">
        <v>270510.84999999998</v>
      </c>
      <c r="DC58" s="9">
        <v>16230.54</v>
      </c>
      <c r="DD58" s="9">
        <v>185657.08</v>
      </c>
      <c r="DE58" s="9">
        <v>181459.69</v>
      </c>
      <c r="DF58" s="9">
        <v>4197.3900000000003</v>
      </c>
      <c r="DG58" s="9">
        <v>698282.43000000017</v>
      </c>
      <c r="DH58" s="9">
        <v>39036.46</v>
      </c>
    </row>
    <row r="59" spans="1:112" x14ac:dyDescent="0.2">
      <c r="A59" s="8" t="s">
        <v>847</v>
      </c>
      <c r="B59" s="8" t="s">
        <v>247</v>
      </c>
      <c r="C59" s="8" t="s">
        <v>248</v>
      </c>
      <c r="D59" s="9">
        <v>575364.64999999991</v>
      </c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>
        <v>22523.7</v>
      </c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>
        <v>35687.769999999997</v>
      </c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>
        <v>201734.43</v>
      </c>
      <c r="BB59" s="9"/>
      <c r="BC59" s="9">
        <v>374074.86</v>
      </c>
      <c r="BD59" s="9"/>
      <c r="BE59" s="9">
        <v>7246.08</v>
      </c>
      <c r="BF59" s="9"/>
      <c r="BG59" s="9">
        <v>15277.62</v>
      </c>
      <c r="BH59" s="9"/>
      <c r="BI59" s="9">
        <v>9161.2800000000007</v>
      </c>
      <c r="BJ59" s="9"/>
      <c r="BK59" s="9">
        <v>26526.49</v>
      </c>
      <c r="BL59" s="9"/>
      <c r="BM59" s="9">
        <v>336077.58</v>
      </c>
      <c r="BN59" s="9">
        <v>181739.36</v>
      </c>
      <c r="BO59" s="9"/>
      <c r="BP59" s="9">
        <v>154338.21</v>
      </c>
      <c r="BQ59" s="9"/>
      <c r="BR59" s="9">
        <v>14152.51</v>
      </c>
      <c r="BS59" s="9">
        <v>5179.6000000000004</v>
      </c>
      <c r="BT59" s="9"/>
      <c r="BU59" s="9">
        <v>8972.9</v>
      </c>
      <c r="BV59" s="9"/>
      <c r="BW59" s="9">
        <v>21496.22</v>
      </c>
      <c r="BX59" s="9">
        <v>8765.91</v>
      </c>
      <c r="BY59" s="9"/>
      <c r="BZ59" s="9">
        <v>12730.31</v>
      </c>
      <c r="CA59" s="9"/>
      <c r="CB59" s="9">
        <v>37298.769999999997</v>
      </c>
      <c r="CC59" s="9">
        <v>612663.41999999993</v>
      </c>
      <c r="CD59" s="9"/>
      <c r="CE59" s="9"/>
      <c r="CF59" s="9">
        <v>673504.28</v>
      </c>
      <c r="CG59" s="9">
        <v>494029.91</v>
      </c>
      <c r="CH59" s="9">
        <v>179474.37</v>
      </c>
      <c r="CI59" s="9">
        <v>363605.86</v>
      </c>
      <c r="CJ59" s="9">
        <v>285973.32</v>
      </c>
      <c r="CK59" s="9">
        <v>77632.539999999994</v>
      </c>
      <c r="CL59" s="9">
        <v>309898.42</v>
      </c>
      <c r="CM59" s="9">
        <v>208056.59</v>
      </c>
      <c r="CN59" s="9">
        <v>101841.83</v>
      </c>
      <c r="CO59" s="9">
        <v>184539.83</v>
      </c>
      <c r="CP59" s="9">
        <v>23375.919999999998</v>
      </c>
      <c r="CQ59" s="9">
        <v>161163.91</v>
      </c>
      <c r="CR59" s="9">
        <v>71233.740000000005</v>
      </c>
      <c r="CS59" s="9">
        <v>8823.98</v>
      </c>
      <c r="CT59" s="9">
        <v>62409.760000000002</v>
      </c>
      <c r="CU59" s="9">
        <v>113306.09</v>
      </c>
      <c r="CV59" s="9">
        <v>14551.94</v>
      </c>
      <c r="CW59" s="9">
        <v>98754.15</v>
      </c>
      <c r="CX59" s="9">
        <v>488964.45</v>
      </c>
      <c r="CY59" s="9">
        <v>470653.99</v>
      </c>
      <c r="CZ59" s="9">
        <v>18310.46</v>
      </c>
      <c r="DA59" s="9">
        <v>292372.12</v>
      </c>
      <c r="DB59" s="9">
        <v>277149.34000000003</v>
      </c>
      <c r="DC59" s="9">
        <v>15222.78</v>
      </c>
      <c r="DD59" s="9">
        <v>196592.33</v>
      </c>
      <c r="DE59" s="9">
        <v>193504.65</v>
      </c>
      <c r="DF59" s="9">
        <v>3087.68</v>
      </c>
      <c r="DG59" s="9">
        <v>714085.32999999984</v>
      </c>
      <c r="DH59" s="9">
        <v>40581.050000000003</v>
      </c>
    </row>
    <row r="60" spans="1:112" x14ac:dyDescent="0.2">
      <c r="A60" s="8" t="s">
        <v>847</v>
      </c>
      <c r="B60" s="8" t="s">
        <v>247</v>
      </c>
      <c r="C60" s="8" t="s">
        <v>249</v>
      </c>
      <c r="D60" s="9">
        <v>592040.75</v>
      </c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>
        <v>21456.34</v>
      </c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>
        <v>35167.800000000003</v>
      </c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>
        <v>204705.78</v>
      </c>
      <c r="BB60" s="9"/>
      <c r="BC60" s="9">
        <v>388217.19000000012</v>
      </c>
      <c r="BD60" s="9"/>
      <c r="BE60" s="9">
        <v>5886.17</v>
      </c>
      <c r="BF60" s="9"/>
      <c r="BG60" s="9">
        <v>15570.18</v>
      </c>
      <c r="BH60" s="9"/>
      <c r="BI60" s="9">
        <v>10676.57</v>
      </c>
      <c r="BJ60" s="9"/>
      <c r="BK60" s="9">
        <v>24491.24</v>
      </c>
      <c r="BL60" s="9"/>
      <c r="BM60" s="9">
        <v>340402.53</v>
      </c>
      <c r="BN60" s="9">
        <v>183859.72</v>
      </c>
      <c r="BO60" s="9"/>
      <c r="BP60" s="9">
        <v>156542.79999999999</v>
      </c>
      <c r="BQ60" s="9"/>
      <c r="BR60" s="9">
        <v>13505.87</v>
      </c>
      <c r="BS60" s="9">
        <v>4610.82</v>
      </c>
      <c r="BT60" s="9"/>
      <c r="BU60" s="9">
        <v>8895.0499999999993</v>
      </c>
      <c r="BV60" s="9"/>
      <c r="BW60" s="9">
        <v>21266.01</v>
      </c>
      <c r="BX60" s="9">
        <v>9683.6</v>
      </c>
      <c r="BY60" s="9"/>
      <c r="BZ60" s="9">
        <v>11582.41</v>
      </c>
      <c r="CA60" s="9"/>
      <c r="CB60" s="9">
        <v>33311.620000000003</v>
      </c>
      <c r="CC60" s="9">
        <v>625352.37</v>
      </c>
      <c r="CD60" s="9"/>
      <c r="CE60" s="9"/>
      <c r="CF60" s="9">
        <v>696998.40999999992</v>
      </c>
      <c r="CG60" s="9">
        <v>514577.12</v>
      </c>
      <c r="CH60" s="9">
        <v>182421.29</v>
      </c>
      <c r="CI60" s="9">
        <v>368650.29</v>
      </c>
      <c r="CJ60" s="9">
        <v>288867.92</v>
      </c>
      <c r="CK60" s="9">
        <v>79782.37</v>
      </c>
      <c r="CL60" s="9">
        <v>328348.12</v>
      </c>
      <c r="CM60" s="9">
        <v>225709.2</v>
      </c>
      <c r="CN60" s="9">
        <v>102638.92</v>
      </c>
      <c r="CO60" s="9">
        <v>193979.7</v>
      </c>
      <c r="CP60" s="9">
        <v>30783.119999999999</v>
      </c>
      <c r="CQ60" s="9">
        <v>163196.57999999999</v>
      </c>
      <c r="CR60" s="9">
        <v>73039.75</v>
      </c>
      <c r="CS60" s="9">
        <v>8154.7</v>
      </c>
      <c r="CT60" s="9">
        <v>64885.05</v>
      </c>
      <c r="CU60" s="9">
        <v>120939.95</v>
      </c>
      <c r="CV60" s="9">
        <v>22628.42</v>
      </c>
      <c r="CW60" s="9">
        <v>98311.53</v>
      </c>
      <c r="CX60" s="9">
        <v>503018.7099999999</v>
      </c>
      <c r="CY60" s="9">
        <v>483794</v>
      </c>
      <c r="CZ60" s="9">
        <v>19224.71</v>
      </c>
      <c r="DA60" s="9">
        <v>295610.53999999998</v>
      </c>
      <c r="DB60" s="9">
        <v>280713.21999999997</v>
      </c>
      <c r="DC60" s="9">
        <v>14897.32</v>
      </c>
      <c r="DD60" s="9">
        <v>207408.17</v>
      </c>
      <c r="DE60" s="9">
        <v>203080.78</v>
      </c>
      <c r="DF60" s="9">
        <v>4327.3900000000003</v>
      </c>
      <c r="DG60" s="9">
        <v>733875.33</v>
      </c>
      <c r="DH60" s="9">
        <v>36876.92</v>
      </c>
    </row>
    <row r="61" spans="1:112" x14ac:dyDescent="0.2">
      <c r="A61" s="8" t="s">
        <v>847</v>
      </c>
      <c r="B61" s="8" t="s">
        <v>247</v>
      </c>
      <c r="C61" s="8" t="s">
        <v>250</v>
      </c>
      <c r="D61" s="9">
        <v>606798.59000000008</v>
      </c>
      <c r="E61" s="9">
        <v>606178.12</v>
      </c>
      <c r="F61" s="9">
        <v>28373.48</v>
      </c>
      <c r="G61" s="9">
        <v>52058.09</v>
      </c>
      <c r="H61" s="9">
        <v>113306.03</v>
      </c>
      <c r="I61" s="9">
        <v>15117.09</v>
      </c>
      <c r="J61" s="9">
        <v>51908.94</v>
      </c>
      <c r="K61" s="9">
        <v>209893.42</v>
      </c>
      <c r="L61" s="9">
        <v>16731.86</v>
      </c>
      <c r="M61" s="9">
        <v>15562.17</v>
      </c>
      <c r="N61" s="9">
        <v>0</v>
      </c>
      <c r="O61" s="9">
        <v>5220.1099999999997</v>
      </c>
      <c r="P61" s="9">
        <v>0</v>
      </c>
      <c r="Q61" s="9">
        <v>6179.03</v>
      </c>
      <c r="R61" s="9">
        <v>91827.91</v>
      </c>
      <c r="S61" s="9">
        <v>0</v>
      </c>
      <c r="T61" s="9">
        <v>0</v>
      </c>
      <c r="U61" s="9">
        <v>0</v>
      </c>
      <c r="V61" s="9">
        <v>0</v>
      </c>
      <c r="W61" s="9">
        <v>21617.14</v>
      </c>
      <c r="X61" s="9">
        <v>19346.54</v>
      </c>
      <c r="Y61" s="9">
        <v>1456.77</v>
      </c>
      <c r="Z61" s="9">
        <v>3428.55</v>
      </c>
      <c r="AA61" s="9">
        <v>1673.72</v>
      </c>
      <c r="AB61" s="9">
        <v>999.02</v>
      </c>
      <c r="AC61" s="9">
        <v>3537.12</v>
      </c>
      <c r="AD61" s="9">
        <v>5278.83</v>
      </c>
      <c r="AE61" s="9">
        <v>1025.81</v>
      </c>
      <c r="AF61" s="9">
        <v>116.43</v>
      </c>
      <c r="AG61" s="9">
        <v>0</v>
      </c>
      <c r="AH61" s="9">
        <v>25</v>
      </c>
      <c r="AI61" s="9">
        <v>0</v>
      </c>
      <c r="AJ61" s="9">
        <v>221.94</v>
      </c>
      <c r="AK61" s="9">
        <v>1583.35</v>
      </c>
      <c r="AL61" s="9">
        <v>39118.03</v>
      </c>
      <c r="AM61" s="9">
        <v>39105.5</v>
      </c>
      <c r="AN61" s="9">
        <v>1863.39</v>
      </c>
      <c r="AO61" s="9">
        <v>3120.6</v>
      </c>
      <c r="AP61" s="9">
        <v>15080.36</v>
      </c>
      <c r="AQ61" s="9">
        <v>110.96</v>
      </c>
      <c r="AR61" s="9">
        <v>3528.33</v>
      </c>
      <c r="AS61" s="9">
        <v>9229.19</v>
      </c>
      <c r="AT61" s="9">
        <v>549.15</v>
      </c>
      <c r="AU61" s="9">
        <v>253.01</v>
      </c>
      <c r="AV61" s="9">
        <v>0</v>
      </c>
      <c r="AW61" s="9">
        <v>49.75</v>
      </c>
      <c r="AX61" s="9">
        <v>0</v>
      </c>
      <c r="AY61" s="9">
        <v>220.88</v>
      </c>
      <c r="AZ61" s="9">
        <v>5099.91</v>
      </c>
      <c r="BA61" s="9">
        <v>210931.1</v>
      </c>
      <c r="BB61" s="9"/>
      <c r="BC61" s="9">
        <v>396322.08</v>
      </c>
      <c r="BD61" s="9"/>
      <c r="BE61" s="9">
        <v>4709.3100000000004</v>
      </c>
      <c r="BF61" s="9"/>
      <c r="BG61" s="9">
        <v>16907.830000000002</v>
      </c>
      <c r="BH61" s="9"/>
      <c r="BI61" s="9">
        <v>10201.48</v>
      </c>
      <c r="BJ61" s="9"/>
      <c r="BK61" s="9">
        <v>28916.55</v>
      </c>
      <c r="BL61" s="9"/>
      <c r="BM61" s="9">
        <v>345778.44</v>
      </c>
      <c r="BN61" s="9">
        <v>189623.9</v>
      </c>
      <c r="BO61" s="9"/>
      <c r="BP61" s="9">
        <v>156154.54999999999</v>
      </c>
      <c r="BQ61" s="9"/>
      <c r="BR61" s="9">
        <v>13130.89</v>
      </c>
      <c r="BS61" s="9">
        <v>3630.82</v>
      </c>
      <c r="BT61" s="9"/>
      <c r="BU61" s="9">
        <v>9500.07</v>
      </c>
      <c r="BV61" s="9"/>
      <c r="BW61" s="9">
        <v>25869.66</v>
      </c>
      <c r="BX61" s="9">
        <v>9221.64</v>
      </c>
      <c r="BY61" s="9"/>
      <c r="BZ61" s="9">
        <v>16648.02</v>
      </c>
      <c r="CA61" s="9"/>
      <c r="CB61" s="9">
        <v>33087.97</v>
      </c>
      <c r="CC61" s="9">
        <v>639886.56000000006</v>
      </c>
      <c r="CD61" s="9"/>
      <c r="CE61" s="9"/>
      <c r="CF61" s="9">
        <v>697762.66999999993</v>
      </c>
      <c r="CG61" s="9">
        <v>524020.29</v>
      </c>
      <c r="CH61" s="9">
        <v>173742.38</v>
      </c>
      <c r="CI61" s="9">
        <v>376108.87</v>
      </c>
      <c r="CJ61" s="9">
        <v>297107.98</v>
      </c>
      <c r="CK61" s="9">
        <v>79000.89</v>
      </c>
      <c r="CL61" s="9">
        <v>321653.8</v>
      </c>
      <c r="CM61" s="9">
        <v>226912.31</v>
      </c>
      <c r="CN61" s="9">
        <v>94741.49</v>
      </c>
      <c r="CO61" s="9">
        <v>181274.12</v>
      </c>
      <c r="CP61" s="9">
        <v>26197.93</v>
      </c>
      <c r="CQ61" s="9">
        <v>155076.19</v>
      </c>
      <c r="CR61" s="9">
        <v>75327.899999999994</v>
      </c>
      <c r="CS61" s="9">
        <v>9336.07</v>
      </c>
      <c r="CT61" s="9">
        <v>65991.83</v>
      </c>
      <c r="CU61" s="9">
        <v>105946.22</v>
      </c>
      <c r="CV61" s="9">
        <v>16861.86</v>
      </c>
      <c r="CW61" s="9">
        <v>89084.36</v>
      </c>
      <c r="CX61" s="9">
        <v>516488.54999999987</v>
      </c>
      <c r="CY61" s="9">
        <v>497822.36</v>
      </c>
      <c r="CZ61" s="9">
        <v>18666.189999999999</v>
      </c>
      <c r="DA61" s="9">
        <v>300780.96999999997</v>
      </c>
      <c r="DB61" s="9">
        <v>287771.90999999997</v>
      </c>
      <c r="DC61" s="9">
        <v>13009.06</v>
      </c>
      <c r="DD61" s="9">
        <v>215707.58</v>
      </c>
      <c r="DE61" s="9">
        <v>210050.45</v>
      </c>
      <c r="DF61" s="9">
        <v>5657.13</v>
      </c>
      <c r="DG61" s="9">
        <v>753991.54</v>
      </c>
      <c r="DH61" s="9">
        <v>56228.87</v>
      </c>
    </row>
    <row r="62" spans="1:112" x14ac:dyDescent="0.2">
      <c r="A62" s="8" t="s">
        <v>848</v>
      </c>
      <c r="B62" s="8" t="s">
        <v>251</v>
      </c>
      <c r="C62" s="8" t="s">
        <v>252</v>
      </c>
      <c r="D62" s="9">
        <v>614298.49</v>
      </c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>
        <v>21832.94</v>
      </c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>
        <v>38038.239999999998</v>
      </c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>
        <v>224693.56</v>
      </c>
      <c r="BB62" s="9"/>
      <c r="BC62" s="9">
        <v>390450.31000000011</v>
      </c>
      <c r="BD62" s="9"/>
      <c r="BE62" s="9">
        <v>6031.79</v>
      </c>
      <c r="BF62" s="9"/>
      <c r="BG62" s="9">
        <v>15801.15</v>
      </c>
      <c r="BH62" s="9"/>
      <c r="BI62" s="9">
        <v>9551.5400000000009</v>
      </c>
      <c r="BJ62" s="9"/>
      <c r="BK62" s="9">
        <v>28486.7</v>
      </c>
      <c r="BL62" s="9"/>
      <c r="BM62" s="9">
        <v>354940.32</v>
      </c>
      <c r="BN62" s="9">
        <v>202558.17</v>
      </c>
      <c r="BO62" s="9"/>
      <c r="BP62" s="9">
        <v>152382.15</v>
      </c>
      <c r="BQ62" s="9"/>
      <c r="BR62" s="9">
        <v>14072.66</v>
      </c>
      <c r="BS62" s="9">
        <v>4713.2299999999996</v>
      </c>
      <c r="BT62" s="9"/>
      <c r="BU62" s="9">
        <v>9359.43</v>
      </c>
      <c r="BV62" s="9"/>
      <c r="BW62" s="9">
        <v>25994.12</v>
      </c>
      <c r="BX62" s="9">
        <v>8573.9599999999991</v>
      </c>
      <c r="BY62" s="9"/>
      <c r="BZ62" s="9">
        <v>17420.16</v>
      </c>
      <c r="CA62" s="9"/>
      <c r="CB62" s="9">
        <v>34218.26</v>
      </c>
      <c r="CC62" s="9">
        <v>648516.75</v>
      </c>
      <c r="CD62" s="9"/>
      <c r="CE62" s="9"/>
      <c r="CF62" s="9">
        <v>717770.62000000011</v>
      </c>
      <c r="CG62" s="9">
        <v>530515.26</v>
      </c>
      <c r="CH62" s="9">
        <v>187255.36</v>
      </c>
      <c r="CI62" s="9">
        <v>385282.31</v>
      </c>
      <c r="CJ62" s="9">
        <v>307032.92</v>
      </c>
      <c r="CK62" s="9">
        <v>78249.39</v>
      </c>
      <c r="CL62" s="9">
        <v>332488.31</v>
      </c>
      <c r="CM62" s="9">
        <v>223482.34</v>
      </c>
      <c r="CN62" s="9">
        <v>109005.97</v>
      </c>
      <c r="CO62" s="9">
        <v>189191.81</v>
      </c>
      <c r="CP62" s="9">
        <v>21576.35</v>
      </c>
      <c r="CQ62" s="9">
        <v>167615.46</v>
      </c>
      <c r="CR62" s="9">
        <v>73291.149999999994</v>
      </c>
      <c r="CS62" s="9">
        <v>8921.2999999999993</v>
      </c>
      <c r="CT62" s="9">
        <v>64369.85</v>
      </c>
      <c r="CU62" s="9">
        <v>115900.66</v>
      </c>
      <c r="CV62" s="9">
        <v>12655.05</v>
      </c>
      <c r="CW62" s="9">
        <v>103245.61</v>
      </c>
      <c r="CX62" s="9">
        <v>528578.81000000006</v>
      </c>
      <c r="CY62" s="9">
        <v>508938.91</v>
      </c>
      <c r="CZ62" s="9">
        <v>19639.900000000001</v>
      </c>
      <c r="DA62" s="9">
        <v>311991.15999999997</v>
      </c>
      <c r="DB62" s="9">
        <v>298111.62</v>
      </c>
      <c r="DC62" s="9">
        <v>13879.54</v>
      </c>
      <c r="DD62" s="9">
        <v>216587.65</v>
      </c>
      <c r="DE62" s="9">
        <v>210827.29</v>
      </c>
      <c r="DF62" s="9">
        <v>5760.36</v>
      </c>
      <c r="DG62" s="9">
        <v>768070.96</v>
      </c>
      <c r="DH62" s="9">
        <v>50300.34</v>
      </c>
    </row>
    <row r="63" spans="1:112" x14ac:dyDescent="0.2">
      <c r="A63" s="8" t="s">
        <v>848</v>
      </c>
      <c r="B63" s="8" t="s">
        <v>251</v>
      </c>
      <c r="C63" s="8" t="s">
        <v>253</v>
      </c>
      <c r="D63" s="9">
        <v>608285.34</v>
      </c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>
        <v>29881.54</v>
      </c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>
        <v>40836.35</v>
      </c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>
        <v>221895.07</v>
      </c>
      <c r="BB63" s="9"/>
      <c r="BC63" s="9">
        <v>387070.9</v>
      </c>
      <c r="BD63" s="9"/>
      <c r="BE63" s="9">
        <v>6339.13</v>
      </c>
      <c r="BF63" s="9"/>
      <c r="BG63" s="9">
        <v>23542.400000000001</v>
      </c>
      <c r="BH63" s="9"/>
      <c r="BI63" s="9">
        <v>10708.15</v>
      </c>
      <c r="BJ63" s="9"/>
      <c r="BK63" s="9">
        <v>30128.21</v>
      </c>
      <c r="BL63" s="9"/>
      <c r="BM63" s="9">
        <v>347773.47</v>
      </c>
      <c r="BN63" s="9">
        <v>200764.84</v>
      </c>
      <c r="BO63" s="9"/>
      <c r="BP63" s="9">
        <v>147008.65</v>
      </c>
      <c r="BQ63" s="9"/>
      <c r="BR63" s="9">
        <v>12549.57</v>
      </c>
      <c r="BS63" s="9">
        <v>4999.3999999999996</v>
      </c>
      <c r="BT63" s="9"/>
      <c r="BU63" s="9">
        <v>7550.16</v>
      </c>
      <c r="BV63" s="9"/>
      <c r="BW63" s="9">
        <v>26527.75</v>
      </c>
      <c r="BX63" s="9">
        <v>9743.52</v>
      </c>
      <c r="BY63" s="9"/>
      <c r="BZ63" s="9">
        <v>16784.240000000002</v>
      </c>
      <c r="CA63" s="9"/>
      <c r="CB63" s="9">
        <v>36599.769999999997</v>
      </c>
      <c r="CC63" s="9">
        <v>644885.11</v>
      </c>
      <c r="CD63" s="9"/>
      <c r="CE63" s="9"/>
      <c r="CF63" s="9">
        <v>739392.98</v>
      </c>
      <c r="CG63" s="9">
        <v>546525.61</v>
      </c>
      <c r="CH63" s="9">
        <v>192867.37</v>
      </c>
      <c r="CI63" s="9">
        <v>407613.55999999988</v>
      </c>
      <c r="CJ63" s="9">
        <v>317753.03999999998</v>
      </c>
      <c r="CK63" s="9">
        <v>89860.52</v>
      </c>
      <c r="CL63" s="9">
        <v>331779.42</v>
      </c>
      <c r="CM63" s="9">
        <v>228772.57</v>
      </c>
      <c r="CN63" s="9">
        <v>103006.85</v>
      </c>
      <c r="CO63" s="9">
        <v>190961</v>
      </c>
      <c r="CP63" s="9">
        <v>21809.74</v>
      </c>
      <c r="CQ63" s="9">
        <v>169151.26</v>
      </c>
      <c r="CR63" s="9">
        <v>79345.95</v>
      </c>
      <c r="CS63" s="9">
        <v>8651.17</v>
      </c>
      <c r="CT63" s="9">
        <v>70694.78</v>
      </c>
      <c r="CU63" s="9">
        <v>111615.05</v>
      </c>
      <c r="CV63" s="9">
        <v>13158.57</v>
      </c>
      <c r="CW63" s="9">
        <v>98456.48</v>
      </c>
      <c r="CX63" s="9">
        <v>548431.98</v>
      </c>
      <c r="CY63" s="9">
        <v>524715.87</v>
      </c>
      <c r="CZ63" s="9">
        <v>23716.11</v>
      </c>
      <c r="DA63" s="9">
        <v>328267.61</v>
      </c>
      <c r="DB63" s="9">
        <v>309101.87</v>
      </c>
      <c r="DC63" s="9">
        <v>19165.740000000002</v>
      </c>
      <c r="DD63" s="9">
        <v>220164.37</v>
      </c>
      <c r="DE63" s="9">
        <v>215614</v>
      </c>
      <c r="DF63" s="9">
        <v>4550.37</v>
      </c>
      <c r="DG63" s="9">
        <v>793654.87999999989</v>
      </c>
      <c r="DH63" s="9">
        <v>54261.9</v>
      </c>
    </row>
    <row r="64" spans="1:112" x14ac:dyDescent="0.2">
      <c r="A64" s="8" t="s">
        <v>848</v>
      </c>
      <c r="B64" s="8" t="s">
        <v>251</v>
      </c>
      <c r="C64" s="8" t="s">
        <v>254</v>
      </c>
      <c r="D64" s="9">
        <v>641073.57999999996</v>
      </c>
      <c r="E64" s="9">
        <v>640266.46</v>
      </c>
      <c r="F64" s="9">
        <v>28542.52</v>
      </c>
      <c r="G64" s="9">
        <v>57223.81</v>
      </c>
      <c r="H64" s="9">
        <v>114022.43</v>
      </c>
      <c r="I64" s="9">
        <v>9899.27</v>
      </c>
      <c r="J64" s="9">
        <v>58591.5</v>
      </c>
      <c r="K64" s="9">
        <v>223160.98</v>
      </c>
      <c r="L64" s="9">
        <v>22233.08</v>
      </c>
      <c r="M64" s="9">
        <v>15365.48</v>
      </c>
      <c r="N64" s="9">
        <v>0</v>
      </c>
      <c r="O64" s="9">
        <v>6357.87</v>
      </c>
      <c r="P64" s="9">
        <v>0</v>
      </c>
      <c r="Q64" s="9">
        <v>6106.85</v>
      </c>
      <c r="R64" s="9">
        <v>98762.66</v>
      </c>
      <c r="S64" s="9">
        <v>0</v>
      </c>
      <c r="T64" s="9">
        <v>0</v>
      </c>
      <c r="U64" s="9">
        <v>0</v>
      </c>
      <c r="V64" s="9">
        <v>0</v>
      </c>
      <c r="W64" s="9">
        <v>26245.67</v>
      </c>
      <c r="X64" s="9">
        <v>18344.07</v>
      </c>
      <c r="Y64" s="9">
        <v>3517.94</v>
      </c>
      <c r="Z64" s="9">
        <v>1760.21</v>
      </c>
      <c r="AA64" s="9">
        <v>2004.15</v>
      </c>
      <c r="AB64" s="9">
        <v>931.36</v>
      </c>
      <c r="AC64" s="9">
        <v>1391.38</v>
      </c>
      <c r="AD64" s="9">
        <v>5471.39</v>
      </c>
      <c r="AE64" s="9">
        <v>593.07000000000005</v>
      </c>
      <c r="AF64" s="9">
        <v>117.94</v>
      </c>
      <c r="AG64" s="9">
        <v>0</v>
      </c>
      <c r="AH64" s="9">
        <v>1.2</v>
      </c>
      <c r="AI64" s="9">
        <v>0</v>
      </c>
      <c r="AJ64" s="9">
        <v>223.14</v>
      </c>
      <c r="AK64" s="9">
        <v>2332.29</v>
      </c>
      <c r="AL64" s="9">
        <v>40358.11</v>
      </c>
      <c r="AM64" s="9">
        <v>40358.11</v>
      </c>
      <c r="AN64" s="9">
        <v>3085.08</v>
      </c>
      <c r="AO64" s="9">
        <v>658.41</v>
      </c>
      <c r="AP64" s="9">
        <v>16857.939999999999</v>
      </c>
      <c r="AQ64" s="9">
        <v>116.74</v>
      </c>
      <c r="AR64" s="9">
        <v>3511.33</v>
      </c>
      <c r="AS64" s="9">
        <v>10650.44</v>
      </c>
      <c r="AT64" s="9">
        <v>670.31</v>
      </c>
      <c r="AU64" s="9">
        <v>273.79000000000002</v>
      </c>
      <c r="AV64" s="9">
        <v>0</v>
      </c>
      <c r="AW64" s="9">
        <v>49.75</v>
      </c>
      <c r="AX64" s="9">
        <v>0</v>
      </c>
      <c r="AY64" s="9">
        <v>220</v>
      </c>
      <c r="AZ64" s="9">
        <v>4264.33</v>
      </c>
      <c r="BA64" s="9">
        <v>233706.19</v>
      </c>
      <c r="BB64" s="9"/>
      <c r="BC64" s="9">
        <v>407858.31</v>
      </c>
      <c r="BD64" s="9"/>
      <c r="BE64" s="9">
        <v>5754.72</v>
      </c>
      <c r="BF64" s="9"/>
      <c r="BG64" s="9">
        <v>20490.96</v>
      </c>
      <c r="BH64" s="9"/>
      <c r="BI64" s="9">
        <v>10526.58</v>
      </c>
      <c r="BJ64" s="9"/>
      <c r="BK64" s="9">
        <v>29831.53</v>
      </c>
      <c r="BL64" s="9"/>
      <c r="BM64" s="9">
        <v>361502.27</v>
      </c>
      <c r="BN64" s="9">
        <v>209808.87</v>
      </c>
      <c r="BO64" s="9"/>
      <c r="BP64" s="9">
        <v>151693.41</v>
      </c>
      <c r="BQ64" s="9"/>
      <c r="BR64" s="9">
        <v>10983.03</v>
      </c>
      <c r="BS64" s="9">
        <v>4388.42</v>
      </c>
      <c r="BT64" s="9"/>
      <c r="BU64" s="9">
        <v>6594.61</v>
      </c>
      <c r="BV64" s="9"/>
      <c r="BW64" s="9">
        <v>24670.47</v>
      </c>
      <c r="BX64" s="9">
        <v>9224.9</v>
      </c>
      <c r="BY64" s="9"/>
      <c r="BZ64" s="9">
        <v>15445.57</v>
      </c>
      <c r="CA64" s="9"/>
      <c r="CB64" s="9">
        <v>37273.68</v>
      </c>
      <c r="CC64" s="9">
        <v>678347.26</v>
      </c>
      <c r="CD64" s="9"/>
      <c r="CE64" s="9"/>
      <c r="CF64" s="9">
        <v>755913.48</v>
      </c>
      <c r="CG64" s="9">
        <v>557902.92999999993</v>
      </c>
      <c r="CH64" s="9">
        <v>198010.55</v>
      </c>
      <c r="CI64" s="9">
        <v>426221.36</v>
      </c>
      <c r="CJ64" s="9">
        <v>334945.87</v>
      </c>
      <c r="CK64" s="9">
        <v>91275.49</v>
      </c>
      <c r="CL64" s="9">
        <v>329692.12</v>
      </c>
      <c r="CM64" s="9">
        <v>222957.06</v>
      </c>
      <c r="CN64" s="9">
        <v>106735.06</v>
      </c>
      <c r="CO64" s="9">
        <v>194093.99</v>
      </c>
      <c r="CP64" s="9">
        <v>21170.74</v>
      </c>
      <c r="CQ64" s="9">
        <v>172923.25</v>
      </c>
      <c r="CR64" s="9">
        <v>79020.539999999994</v>
      </c>
      <c r="CS64" s="9">
        <v>9840.99</v>
      </c>
      <c r="CT64" s="9">
        <v>69179.55</v>
      </c>
      <c r="CU64" s="9">
        <v>115073.45</v>
      </c>
      <c r="CV64" s="9">
        <v>11329.75</v>
      </c>
      <c r="CW64" s="9">
        <v>103743.7</v>
      </c>
      <c r="CX64" s="9">
        <v>561819.49</v>
      </c>
      <c r="CY64" s="9">
        <v>536732.18999999994</v>
      </c>
      <c r="CZ64" s="9">
        <v>25087.3</v>
      </c>
      <c r="DA64" s="9">
        <v>347200.82</v>
      </c>
      <c r="DB64" s="9">
        <v>325104.88</v>
      </c>
      <c r="DC64" s="9">
        <v>22095.94</v>
      </c>
      <c r="DD64" s="9">
        <v>214618.67</v>
      </c>
      <c r="DE64" s="9">
        <v>211627.31</v>
      </c>
      <c r="DF64" s="9">
        <v>2991.36</v>
      </c>
      <c r="DG64" s="9">
        <v>813657.65999999992</v>
      </c>
      <c r="DH64" s="9">
        <v>57744.18</v>
      </c>
    </row>
    <row r="65" spans="1:112" x14ac:dyDescent="0.2">
      <c r="A65" s="8" t="s">
        <v>848</v>
      </c>
      <c r="B65" s="8" t="s">
        <v>255</v>
      </c>
      <c r="C65" s="8" t="s">
        <v>256</v>
      </c>
      <c r="D65" s="9">
        <v>660337.28</v>
      </c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>
        <v>26923.19</v>
      </c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>
        <v>40785.980000000003</v>
      </c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>
        <v>239204.2699999999</v>
      </c>
      <c r="BB65" s="9"/>
      <c r="BC65" s="9">
        <v>421876.43999999989</v>
      </c>
      <c r="BD65" s="9"/>
      <c r="BE65" s="9">
        <v>6168.88</v>
      </c>
      <c r="BF65" s="9"/>
      <c r="BG65" s="9">
        <v>20754.32</v>
      </c>
      <c r="BH65" s="9"/>
      <c r="BI65" s="9">
        <v>10937.35</v>
      </c>
      <c r="BJ65" s="9"/>
      <c r="BK65" s="9">
        <v>29848.63</v>
      </c>
      <c r="BL65" s="9"/>
      <c r="BM65" s="9">
        <v>368181.27</v>
      </c>
      <c r="BN65" s="9">
        <v>214606.66</v>
      </c>
      <c r="BO65" s="9"/>
      <c r="BP65" s="9">
        <v>153574.60999999999</v>
      </c>
      <c r="BQ65" s="9"/>
      <c r="BR65" s="9">
        <v>10940.6</v>
      </c>
      <c r="BS65" s="9">
        <v>4839.2700000000004</v>
      </c>
      <c r="BT65" s="9"/>
      <c r="BU65" s="9">
        <v>6101.33</v>
      </c>
      <c r="BV65" s="9"/>
      <c r="BW65" s="9">
        <v>25400.85</v>
      </c>
      <c r="BX65" s="9">
        <v>9630.02</v>
      </c>
      <c r="BY65" s="9"/>
      <c r="BZ65" s="9">
        <v>15770.83</v>
      </c>
      <c r="CA65" s="9"/>
      <c r="CB65" s="9">
        <v>38289.97</v>
      </c>
      <c r="CC65" s="9">
        <v>698627.25</v>
      </c>
      <c r="CD65" s="9"/>
      <c r="CE65" s="9"/>
      <c r="CF65" s="9">
        <v>764027.54</v>
      </c>
      <c r="CG65" s="9">
        <v>558502.72000000009</v>
      </c>
      <c r="CH65" s="9">
        <v>205524.82</v>
      </c>
      <c r="CI65" s="9">
        <v>422424.42</v>
      </c>
      <c r="CJ65" s="9">
        <v>329503.05</v>
      </c>
      <c r="CK65" s="9">
        <v>92921.37</v>
      </c>
      <c r="CL65" s="9">
        <v>341603.12</v>
      </c>
      <c r="CM65" s="9">
        <v>228999.67</v>
      </c>
      <c r="CN65" s="9">
        <v>112603.45</v>
      </c>
      <c r="CO65" s="9">
        <v>205363.12</v>
      </c>
      <c r="CP65" s="9">
        <v>23665.05</v>
      </c>
      <c r="CQ65" s="9">
        <v>181698.07</v>
      </c>
      <c r="CR65" s="9">
        <v>82415.86</v>
      </c>
      <c r="CS65" s="9">
        <v>9950.89</v>
      </c>
      <c r="CT65" s="9">
        <v>72464.97</v>
      </c>
      <c r="CU65" s="9">
        <v>122947.26</v>
      </c>
      <c r="CV65" s="9">
        <v>13714.16</v>
      </c>
      <c r="CW65" s="9">
        <v>109233.1</v>
      </c>
      <c r="CX65" s="9">
        <v>558664.42000000004</v>
      </c>
      <c r="CY65" s="9">
        <v>534837.67000000004</v>
      </c>
      <c r="CZ65" s="9">
        <v>23826.75</v>
      </c>
      <c r="DA65" s="9">
        <v>340008.56</v>
      </c>
      <c r="DB65" s="9">
        <v>319552.15999999997</v>
      </c>
      <c r="DC65" s="9">
        <v>20456.400000000001</v>
      </c>
      <c r="DD65" s="9">
        <v>218655.86</v>
      </c>
      <c r="DE65" s="9">
        <v>215285.51</v>
      </c>
      <c r="DF65" s="9">
        <v>3370.35</v>
      </c>
      <c r="DG65" s="9">
        <v>825370.99000000011</v>
      </c>
      <c r="DH65" s="9">
        <v>61343.45</v>
      </c>
    </row>
    <row r="66" spans="1:112" x14ac:dyDescent="0.2">
      <c r="A66" s="8" t="s">
        <v>848</v>
      </c>
      <c r="B66" s="8" t="s">
        <v>255</v>
      </c>
      <c r="C66" s="8" t="s">
        <v>257</v>
      </c>
      <c r="D66" s="9">
        <v>685784.06</v>
      </c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>
        <v>25192.85</v>
      </c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>
        <v>45523.18</v>
      </c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>
        <v>250603.39</v>
      </c>
      <c r="BB66" s="9"/>
      <c r="BC66" s="9">
        <v>435924.18999999989</v>
      </c>
      <c r="BD66" s="9"/>
      <c r="BE66" s="9">
        <v>5721.79</v>
      </c>
      <c r="BF66" s="9"/>
      <c r="BG66" s="9">
        <v>19471.07</v>
      </c>
      <c r="BH66" s="9"/>
      <c r="BI66" s="9">
        <v>11544.35</v>
      </c>
      <c r="BJ66" s="9"/>
      <c r="BK66" s="9">
        <v>33978.839999999997</v>
      </c>
      <c r="BL66" s="9"/>
      <c r="BM66" s="9">
        <v>372272.35</v>
      </c>
      <c r="BN66" s="9">
        <v>221819.62</v>
      </c>
      <c r="BO66" s="9"/>
      <c r="BP66" s="9">
        <v>150452.74</v>
      </c>
      <c r="BQ66" s="9"/>
      <c r="BR66" s="9">
        <v>11981.77</v>
      </c>
      <c r="BS66" s="9">
        <v>4330.22</v>
      </c>
      <c r="BT66" s="9"/>
      <c r="BU66" s="9">
        <v>7651.55</v>
      </c>
      <c r="BV66" s="9"/>
      <c r="BW66" s="9">
        <v>26014.94</v>
      </c>
      <c r="BX66" s="9">
        <v>10177.42</v>
      </c>
      <c r="BY66" s="9"/>
      <c r="BZ66" s="9">
        <v>15837.53</v>
      </c>
      <c r="CA66" s="9"/>
      <c r="CB66" s="9">
        <v>40677.94</v>
      </c>
      <c r="CC66" s="9">
        <v>726462.00000000012</v>
      </c>
      <c r="CD66" s="9"/>
      <c r="CE66" s="9"/>
      <c r="CF66" s="9">
        <v>800755.05</v>
      </c>
      <c r="CG66" s="9">
        <v>580700.5</v>
      </c>
      <c r="CH66" s="9">
        <v>220054.55</v>
      </c>
      <c r="CI66" s="9">
        <v>424678.45</v>
      </c>
      <c r="CJ66" s="9">
        <v>326303.59999999998</v>
      </c>
      <c r="CK66" s="9">
        <v>98374.85</v>
      </c>
      <c r="CL66" s="9">
        <v>376076.6</v>
      </c>
      <c r="CM66" s="9">
        <v>254396.9</v>
      </c>
      <c r="CN66" s="9">
        <v>121679.7</v>
      </c>
      <c r="CO66" s="9">
        <v>226165.52</v>
      </c>
      <c r="CP66" s="9">
        <v>31782.1</v>
      </c>
      <c r="CQ66" s="9">
        <v>194383.42</v>
      </c>
      <c r="CR66" s="9">
        <v>86887.07</v>
      </c>
      <c r="CS66" s="9">
        <v>10879.26</v>
      </c>
      <c r="CT66" s="9">
        <v>76007.81</v>
      </c>
      <c r="CU66" s="9">
        <v>139278.45000000001</v>
      </c>
      <c r="CV66" s="9">
        <v>20902.84</v>
      </c>
      <c r="CW66" s="9">
        <v>118375.61</v>
      </c>
      <c r="CX66" s="9">
        <v>574589.52999999991</v>
      </c>
      <c r="CY66" s="9">
        <v>548918.4</v>
      </c>
      <c r="CZ66" s="9">
        <v>25671.13</v>
      </c>
      <c r="DA66" s="9">
        <v>337791.38</v>
      </c>
      <c r="DB66" s="9">
        <v>315424.34000000003</v>
      </c>
      <c r="DC66" s="9">
        <v>22367.040000000001</v>
      </c>
      <c r="DD66" s="9">
        <v>236798.15</v>
      </c>
      <c r="DE66" s="9">
        <v>233494.06</v>
      </c>
      <c r="DF66" s="9">
        <v>3304.09</v>
      </c>
      <c r="DG66" s="9">
        <v>863242.98</v>
      </c>
      <c r="DH66" s="9">
        <v>62487.93</v>
      </c>
    </row>
    <row r="67" spans="1:112" x14ac:dyDescent="0.2">
      <c r="A67" s="8" t="s">
        <v>848</v>
      </c>
      <c r="B67" s="8" t="s">
        <v>255</v>
      </c>
      <c r="C67" s="8" t="s">
        <v>258</v>
      </c>
      <c r="D67" s="9">
        <v>720674.27</v>
      </c>
      <c r="E67" s="9">
        <v>719741.7</v>
      </c>
      <c r="F67" s="9">
        <v>30651.46</v>
      </c>
      <c r="G67" s="9">
        <v>60488.13</v>
      </c>
      <c r="H67" s="9">
        <v>131367.04999999999</v>
      </c>
      <c r="I67" s="9">
        <v>16320.17</v>
      </c>
      <c r="J67" s="9">
        <v>71492.14</v>
      </c>
      <c r="K67" s="9">
        <v>246761.66</v>
      </c>
      <c r="L67" s="9">
        <v>21694.7</v>
      </c>
      <c r="M67" s="9">
        <v>17773.84</v>
      </c>
      <c r="N67" s="9">
        <v>0</v>
      </c>
      <c r="O67" s="9">
        <v>7963.72</v>
      </c>
      <c r="P67" s="9">
        <v>0</v>
      </c>
      <c r="Q67" s="9">
        <v>6561.08</v>
      </c>
      <c r="R67" s="9">
        <v>108667.75</v>
      </c>
      <c r="S67" s="9">
        <v>0</v>
      </c>
      <c r="T67" s="9">
        <v>0</v>
      </c>
      <c r="U67" s="9">
        <v>0</v>
      </c>
      <c r="V67" s="9">
        <v>0</v>
      </c>
      <c r="W67" s="9">
        <v>22533.35</v>
      </c>
      <c r="X67" s="9">
        <v>16506.72</v>
      </c>
      <c r="Y67" s="9">
        <v>263.04000000000002</v>
      </c>
      <c r="Z67" s="9">
        <v>813.52</v>
      </c>
      <c r="AA67" s="9">
        <v>2045.13</v>
      </c>
      <c r="AB67" s="9">
        <v>154.12</v>
      </c>
      <c r="AC67" s="9">
        <v>2090.11</v>
      </c>
      <c r="AD67" s="9">
        <v>7832.66</v>
      </c>
      <c r="AE67" s="9">
        <v>884.46</v>
      </c>
      <c r="AF67" s="9">
        <v>394.22</v>
      </c>
      <c r="AG67" s="9">
        <v>0</v>
      </c>
      <c r="AH67" s="9">
        <v>0</v>
      </c>
      <c r="AI67" s="9">
        <v>0</v>
      </c>
      <c r="AJ67" s="9">
        <v>62.17</v>
      </c>
      <c r="AK67" s="9">
        <v>1967.28</v>
      </c>
      <c r="AL67" s="9">
        <v>46632.04</v>
      </c>
      <c r="AM67" s="9">
        <v>44282.31</v>
      </c>
      <c r="AN67" s="9">
        <v>6495.48</v>
      </c>
      <c r="AO67" s="9">
        <v>864.53</v>
      </c>
      <c r="AP67" s="9">
        <v>15609.2</v>
      </c>
      <c r="AQ67" s="9">
        <v>113.24</v>
      </c>
      <c r="AR67" s="9">
        <v>4915.91</v>
      </c>
      <c r="AS67" s="9">
        <v>11288.75</v>
      </c>
      <c r="AT67" s="9">
        <v>816.97</v>
      </c>
      <c r="AU67" s="9">
        <v>161.03</v>
      </c>
      <c r="AV67" s="9">
        <v>0</v>
      </c>
      <c r="AW67" s="9">
        <v>50.94</v>
      </c>
      <c r="AX67" s="9">
        <v>0</v>
      </c>
      <c r="AY67" s="9">
        <v>230.15</v>
      </c>
      <c r="AZ67" s="9">
        <v>3736.11</v>
      </c>
      <c r="BA67" s="9">
        <v>262711.17</v>
      </c>
      <c r="BB67" s="9"/>
      <c r="BC67" s="9">
        <v>459549.59</v>
      </c>
      <c r="BD67" s="9"/>
      <c r="BE67" s="9">
        <v>5483.32</v>
      </c>
      <c r="BF67" s="9"/>
      <c r="BG67" s="9">
        <v>17050.03</v>
      </c>
      <c r="BH67" s="9"/>
      <c r="BI67" s="9">
        <v>11050.17</v>
      </c>
      <c r="BJ67" s="9"/>
      <c r="BK67" s="9">
        <v>35581.879999999997</v>
      </c>
      <c r="BL67" s="9"/>
      <c r="BM67" s="9">
        <v>392541.99</v>
      </c>
      <c r="BN67" s="9">
        <v>230297.57</v>
      </c>
      <c r="BO67" s="9"/>
      <c r="BP67" s="9">
        <v>162244.43</v>
      </c>
      <c r="BQ67" s="9"/>
      <c r="BR67" s="9">
        <v>10337.969999999999</v>
      </c>
      <c r="BS67" s="9">
        <v>3957.96</v>
      </c>
      <c r="BT67" s="9"/>
      <c r="BU67" s="9">
        <v>6380.01</v>
      </c>
      <c r="BV67" s="9"/>
      <c r="BW67" s="9">
        <v>24792.37</v>
      </c>
      <c r="BX67" s="9">
        <v>9698.57</v>
      </c>
      <c r="BY67" s="9"/>
      <c r="BZ67" s="9">
        <v>15093.81</v>
      </c>
      <c r="CA67" s="9"/>
      <c r="CB67" s="9">
        <v>36205.279999999999</v>
      </c>
      <c r="CC67" s="9">
        <v>756879.55</v>
      </c>
      <c r="CD67" s="9"/>
      <c r="CE67" s="9"/>
      <c r="CF67" s="9">
        <v>823934.14</v>
      </c>
      <c r="CG67" s="9">
        <v>596281.06000000006</v>
      </c>
      <c r="CH67" s="9">
        <v>227653.08</v>
      </c>
      <c r="CI67" s="9">
        <v>465305.53</v>
      </c>
      <c r="CJ67" s="9">
        <v>360069.39</v>
      </c>
      <c r="CK67" s="9">
        <v>105236.14</v>
      </c>
      <c r="CL67" s="9">
        <v>358628.61</v>
      </c>
      <c r="CM67" s="9">
        <v>236211.67</v>
      </c>
      <c r="CN67" s="9">
        <v>122416.94</v>
      </c>
      <c r="CO67" s="9">
        <v>236534.89</v>
      </c>
      <c r="CP67" s="9">
        <v>34681.53</v>
      </c>
      <c r="CQ67" s="9">
        <v>201853.36</v>
      </c>
      <c r="CR67" s="9">
        <v>96392.33</v>
      </c>
      <c r="CS67" s="9">
        <v>13502.81</v>
      </c>
      <c r="CT67" s="9">
        <v>82889.52</v>
      </c>
      <c r="CU67" s="9">
        <v>140142.56</v>
      </c>
      <c r="CV67" s="9">
        <v>21178.720000000001</v>
      </c>
      <c r="CW67" s="9">
        <v>118963.84</v>
      </c>
      <c r="CX67" s="9">
        <v>587399.25</v>
      </c>
      <c r="CY67" s="9">
        <v>561599.53</v>
      </c>
      <c r="CZ67" s="9">
        <v>25799.72</v>
      </c>
      <c r="DA67" s="9">
        <v>368913.20000000013</v>
      </c>
      <c r="DB67" s="9">
        <v>346566.58</v>
      </c>
      <c r="DC67" s="9">
        <v>22346.62</v>
      </c>
      <c r="DD67" s="9">
        <v>218486.05</v>
      </c>
      <c r="DE67" s="9">
        <v>215032.95</v>
      </c>
      <c r="DF67" s="9">
        <v>3453.1</v>
      </c>
      <c r="DG67" s="9">
        <v>890830.4</v>
      </c>
      <c r="DH67" s="9">
        <v>66896.259999999995</v>
      </c>
    </row>
    <row r="68" spans="1:112" x14ac:dyDescent="0.2">
      <c r="A68" s="8" t="s">
        <v>848</v>
      </c>
      <c r="B68" s="8" t="s">
        <v>259</v>
      </c>
      <c r="C68" s="8" t="s">
        <v>260</v>
      </c>
      <c r="D68" s="9">
        <v>734810.86</v>
      </c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>
        <v>23256.76</v>
      </c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>
        <v>47681.77</v>
      </c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>
        <v>262584.53999999998</v>
      </c>
      <c r="BB68" s="9"/>
      <c r="BC68" s="9">
        <v>473274.75000000012</v>
      </c>
      <c r="BD68" s="9"/>
      <c r="BE68" s="9">
        <v>5665.39</v>
      </c>
      <c r="BF68" s="9"/>
      <c r="BG68" s="9">
        <v>17591.36</v>
      </c>
      <c r="BH68" s="9"/>
      <c r="BI68" s="9">
        <v>11564.79</v>
      </c>
      <c r="BJ68" s="9"/>
      <c r="BK68" s="9">
        <v>36116.980000000003</v>
      </c>
      <c r="BL68" s="9"/>
      <c r="BM68" s="9">
        <v>398381.8</v>
      </c>
      <c r="BN68" s="9">
        <v>231051.36</v>
      </c>
      <c r="BO68" s="9"/>
      <c r="BP68" s="9">
        <v>167330.43</v>
      </c>
      <c r="BQ68" s="9"/>
      <c r="BR68" s="9">
        <v>10877.1</v>
      </c>
      <c r="BS68" s="9">
        <v>4198.37</v>
      </c>
      <c r="BT68" s="9"/>
      <c r="BU68" s="9">
        <v>6678.72</v>
      </c>
      <c r="BV68" s="9"/>
      <c r="BW68" s="9">
        <v>25635.94</v>
      </c>
      <c r="BX68" s="9">
        <v>10216.06</v>
      </c>
      <c r="BY68" s="9"/>
      <c r="BZ68" s="9">
        <v>15419.89</v>
      </c>
      <c r="CA68" s="9"/>
      <c r="CB68" s="9">
        <v>37346.339999999997</v>
      </c>
      <c r="CC68" s="9">
        <v>772157.2</v>
      </c>
      <c r="CD68" s="9"/>
      <c r="CE68" s="9"/>
      <c r="CF68" s="9">
        <v>853489.58999999985</v>
      </c>
      <c r="CG68" s="9">
        <v>615488</v>
      </c>
      <c r="CH68" s="9">
        <v>238001.59</v>
      </c>
      <c r="CI68" s="9">
        <v>478591.66</v>
      </c>
      <c r="CJ68" s="9">
        <v>374900.09</v>
      </c>
      <c r="CK68" s="9">
        <v>103691.57</v>
      </c>
      <c r="CL68" s="9">
        <v>374897.93</v>
      </c>
      <c r="CM68" s="9">
        <v>240587.91</v>
      </c>
      <c r="CN68" s="9">
        <v>134310.01999999999</v>
      </c>
      <c r="CO68" s="9">
        <v>244736.54</v>
      </c>
      <c r="CP68" s="9">
        <v>33241.160000000003</v>
      </c>
      <c r="CQ68" s="9">
        <v>211495.38</v>
      </c>
      <c r="CR68" s="9">
        <v>94591.47</v>
      </c>
      <c r="CS68" s="9">
        <v>13928.7</v>
      </c>
      <c r="CT68" s="9">
        <v>80662.77</v>
      </c>
      <c r="CU68" s="9">
        <v>150145.07</v>
      </c>
      <c r="CV68" s="9">
        <v>19312.46</v>
      </c>
      <c r="CW68" s="9">
        <v>130832.61</v>
      </c>
      <c r="CX68" s="9">
        <v>608753.05000000005</v>
      </c>
      <c r="CY68" s="9">
        <v>582246.84</v>
      </c>
      <c r="CZ68" s="9">
        <v>26506.21</v>
      </c>
      <c r="DA68" s="9">
        <v>384000.19</v>
      </c>
      <c r="DB68" s="9">
        <v>360971.39</v>
      </c>
      <c r="DC68" s="9">
        <v>23028.799999999999</v>
      </c>
      <c r="DD68" s="9">
        <v>224752.86</v>
      </c>
      <c r="DE68" s="9">
        <v>221275.45</v>
      </c>
      <c r="DF68" s="9">
        <v>3477.41</v>
      </c>
      <c r="DG68" s="9">
        <v>917417.7</v>
      </c>
      <c r="DH68" s="9">
        <v>63928.11</v>
      </c>
    </row>
    <row r="69" spans="1:112" x14ac:dyDescent="0.2">
      <c r="A69" s="8" t="s">
        <v>848</v>
      </c>
      <c r="B69" s="8" t="s">
        <v>259</v>
      </c>
      <c r="C69" s="8" t="s">
        <v>261</v>
      </c>
      <c r="D69" s="9">
        <v>752367.56</v>
      </c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>
        <v>24532.76</v>
      </c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>
        <v>49634.13</v>
      </c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>
        <v>282681.24</v>
      </c>
      <c r="BB69" s="9"/>
      <c r="BC69" s="9">
        <v>470770.39</v>
      </c>
      <c r="BD69" s="9"/>
      <c r="BE69" s="9">
        <v>4903.83</v>
      </c>
      <c r="BF69" s="9"/>
      <c r="BG69" s="9">
        <v>19628.93</v>
      </c>
      <c r="BH69" s="9"/>
      <c r="BI69" s="9">
        <v>12598.66</v>
      </c>
      <c r="BJ69" s="9"/>
      <c r="BK69" s="9">
        <v>37035.47</v>
      </c>
      <c r="BL69" s="9"/>
      <c r="BM69" s="9">
        <v>417464.08</v>
      </c>
      <c r="BN69" s="9">
        <v>249588.18</v>
      </c>
      <c r="BO69" s="9"/>
      <c r="BP69" s="9">
        <v>167875.9</v>
      </c>
      <c r="BQ69" s="9"/>
      <c r="BR69" s="9">
        <v>10397.450000000001</v>
      </c>
      <c r="BS69" s="9">
        <v>4156.58</v>
      </c>
      <c r="BT69" s="9"/>
      <c r="BU69" s="9">
        <v>6240.87</v>
      </c>
      <c r="BV69" s="9"/>
      <c r="BW69" s="9">
        <v>26081.43</v>
      </c>
      <c r="BX69" s="9">
        <v>10450.35</v>
      </c>
      <c r="BY69" s="9"/>
      <c r="BZ69" s="9">
        <v>15631.08</v>
      </c>
      <c r="CA69" s="9"/>
      <c r="CB69" s="9">
        <v>41295.39</v>
      </c>
      <c r="CC69" s="9">
        <v>793662.95000000007</v>
      </c>
      <c r="CD69" s="9"/>
      <c r="CE69" s="9"/>
      <c r="CF69" s="9">
        <v>885569.02</v>
      </c>
      <c r="CG69" s="9">
        <v>633669.62</v>
      </c>
      <c r="CH69" s="9">
        <v>251899.4</v>
      </c>
      <c r="CI69" s="9">
        <v>484827.81</v>
      </c>
      <c r="CJ69" s="9">
        <v>377787.19</v>
      </c>
      <c r="CK69" s="9">
        <v>107040.62</v>
      </c>
      <c r="CL69" s="9">
        <v>400741.21</v>
      </c>
      <c r="CM69" s="9">
        <v>255882.43</v>
      </c>
      <c r="CN69" s="9">
        <v>144858.78</v>
      </c>
      <c r="CO69" s="9">
        <v>266654.34999999998</v>
      </c>
      <c r="CP69" s="9">
        <v>39555.69</v>
      </c>
      <c r="CQ69" s="9">
        <v>227098.66</v>
      </c>
      <c r="CR69" s="9">
        <v>100707.08</v>
      </c>
      <c r="CS69" s="9">
        <v>14884.47</v>
      </c>
      <c r="CT69" s="9">
        <v>85822.61</v>
      </c>
      <c r="CU69" s="9">
        <v>165947.26999999999</v>
      </c>
      <c r="CV69" s="9">
        <v>24671.22</v>
      </c>
      <c r="CW69" s="9">
        <v>141276.04999999999</v>
      </c>
      <c r="CX69" s="9">
        <v>618914.66999999993</v>
      </c>
      <c r="CY69" s="9">
        <v>594113.92999999993</v>
      </c>
      <c r="CZ69" s="9">
        <v>24800.74</v>
      </c>
      <c r="DA69" s="9">
        <v>384120.73</v>
      </c>
      <c r="DB69" s="9">
        <v>362902.72</v>
      </c>
      <c r="DC69" s="9">
        <v>21218.01</v>
      </c>
      <c r="DD69" s="9">
        <v>234793.94</v>
      </c>
      <c r="DE69" s="9">
        <v>231211.21</v>
      </c>
      <c r="DF69" s="9">
        <v>3582.73</v>
      </c>
      <c r="DG69" s="9">
        <v>951673.44</v>
      </c>
      <c r="DH69" s="9">
        <v>66104.42</v>
      </c>
    </row>
    <row r="70" spans="1:112" x14ac:dyDescent="0.2">
      <c r="A70" s="8" t="s">
        <v>848</v>
      </c>
      <c r="B70" s="8" t="s">
        <v>259</v>
      </c>
      <c r="C70" s="8" t="s">
        <v>262</v>
      </c>
      <c r="D70" s="9">
        <v>775069.88</v>
      </c>
      <c r="E70" s="9">
        <v>774237.7</v>
      </c>
      <c r="F70" s="9">
        <v>53910.23</v>
      </c>
      <c r="G70" s="9">
        <v>53807.08</v>
      </c>
      <c r="H70" s="9">
        <v>135261.06</v>
      </c>
      <c r="I70" s="9">
        <v>15767.25</v>
      </c>
      <c r="J70" s="9">
        <v>74834.22</v>
      </c>
      <c r="K70" s="9">
        <v>266536.68</v>
      </c>
      <c r="L70" s="9">
        <v>24553.09</v>
      </c>
      <c r="M70" s="9">
        <v>19283.87</v>
      </c>
      <c r="N70" s="9">
        <v>0</v>
      </c>
      <c r="O70" s="9">
        <v>10256.19</v>
      </c>
      <c r="P70" s="9">
        <v>0</v>
      </c>
      <c r="Q70" s="9">
        <v>7323.24</v>
      </c>
      <c r="R70" s="9">
        <v>112704.78</v>
      </c>
      <c r="S70" s="9">
        <v>0</v>
      </c>
      <c r="T70" s="9">
        <v>0</v>
      </c>
      <c r="U70" s="9">
        <v>0</v>
      </c>
      <c r="V70" s="9">
        <v>0</v>
      </c>
      <c r="W70" s="9">
        <v>22390.93</v>
      </c>
      <c r="X70" s="9">
        <v>17086.150000000001</v>
      </c>
      <c r="Y70" s="9">
        <v>300.5</v>
      </c>
      <c r="Z70" s="9">
        <v>2448.19</v>
      </c>
      <c r="AA70" s="9">
        <v>1521.75</v>
      </c>
      <c r="AB70" s="9">
        <v>47.65</v>
      </c>
      <c r="AC70" s="9">
        <v>2485.04</v>
      </c>
      <c r="AD70" s="9">
        <v>8093.69</v>
      </c>
      <c r="AE70" s="9">
        <v>96.8</v>
      </c>
      <c r="AF70" s="9">
        <v>448.05</v>
      </c>
      <c r="AG70" s="9">
        <v>0</v>
      </c>
      <c r="AH70" s="9">
        <v>16.670000000000002</v>
      </c>
      <c r="AI70" s="9">
        <v>0</v>
      </c>
      <c r="AJ70" s="9">
        <v>266.12</v>
      </c>
      <c r="AK70" s="9">
        <v>1361.7</v>
      </c>
      <c r="AL70" s="9">
        <v>52654.47</v>
      </c>
      <c r="AM70" s="9">
        <v>47890.82</v>
      </c>
      <c r="AN70" s="9">
        <v>7067.34</v>
      </c>
      <c r="AO70" s="9">
        <v>2035.28</v>
      </c>
      <c r="AP70" s="9">
        <v>16830.39</v>
      </c>
      <c r="AQ70" s="9">
        <v>113.46</v>
      </c>
      <c r="AR70" s="9">
        <v>3386.58</v>
      </c>
      <c r="AS70" s="9">
        <v>14400.02</v>
      </c>
      <c r="AT70" s="9">
        <v>751.58</v>
      </c>
      <c r="AU70" s="9">
        <v>332.44</v>
      </c>
      <c r="AV70" s="9">
        <v>0</v>
      </c>
      <c r="AW70" s="9">
        <v>49.94</v>
      </c>
      <c r="AX70" s="9">
        <v>0</v>
      </c>
      <c r="AY70" s="9">
        <v>252.12</v>
      </c>
      <c r="AZ70" s="9">
        <v>2671.66</v>
      </c>
      <c r="BA70" s="9">
        <v>294561.95000000013</v>
      </c>
      <c r="BB70" s="9"/>
      <c r="BC70" s="9">
        <v>481314.58</v>
      </c>
      <c r="BD70" s="9"/>
      <c r="BE70" s="9">
        <v>4723.54</v>
      </c>
      <c r="BF70" s="9"/>
      <c r="BG70" s="9">
        <v>17667.38</v>
      </c>
      <c r="BH70" s="9"/>
      <c r="BI70" s="9">
        <v>12359.9</v>
      </c>
      <c r="BJ70" s="9"/>
      <c r="BK70" s="9">
        <v>40294.57</v>
      </c>
      <c r="BL70" s="9"/>
      <c r="BM70" s="9">
        <v>441056.53</v>
      </c>
      <c r="BN70" s="9">
        <v>258201.11</v>
      </c>
      <c r="BO70" s="9"/>
      <c r="BP70" s="9">
        <v>182855.43</v>
      </c>
      <c r="BQ70" s="9"/>
      <c r="BR70" s="9">
        <v>10100.15</v>
      </c>
      <c r="BS70" s="9">
        <v>3946.15</v>
      </c>
      <c r="BT70" s="9"/>
      <c r="BU70" s="9">
        <v>6154</v>
      </c>
      <c r="BV70" s="9"/>
      <c r="BW70" s="9">
        <v>25632.42</v>
      </c>
      <c r="BX70" s="9">
        <v>9545.15</v>
      </c>
      <c r="BY70" s="9"/>
      <c r="BZ70" s="9">
        <v>16087.27</v>
      </c>
      <c r="CA70" s="9"/>
      <c r="CB70" s="9">
        <v>46464.07</v>
      </c>
      <c r="CC70" s="9">
        <v>821533.95</v>
      </c>
      <c r="CD70" s="9"/>
      <c r="CE70" s="9"/>
      <c r="CF70" s="9">
        <v>932454.44</v>
      </c>
      <c r="CG70" s="9">
        <v>647670.09000000008</v>
      </c>
      <c r="CH70" s="9">
        <v>284784.34999999998</v>
      </c>
      <c r="CI70" s="9">
        <v>498381.09</v>
      </c>
      <c r="CJ70" s="9">
        <v>383684.45</v>
      </c>
      <c r="CK70" s="9">
        <v>114696.64</v>
      </c>
      <c r="CL70" s="9">
        <v>434073.35</v>
      </c>
      <c r="CM70" s="9">
        <v>263985.64</v>
      </c>
      <c r="CN70" s="9">
        <v>170087.71</v>
      </c>
      <c r="CO70" s="9">
        <v>286570.36</v>
      </c>
      <c r="CP70" s="9">
        <v>40860.959999999999</v>
      </c>
      <c r="CQ70" s="9">
        <v>245709.4</v>
      </c>
      <c r="CR70" s="9">
        <v>96338.45</v>
      </c>
      <c r="CS70" s="9">
        <v>15915.87</v>
      </c>
      <c r="CT70" s="9">
        <v>80422.58</v>
      </c>
      <c r="CU70" s="9">
        <v>190231.91</v>
      </c>
      <c r="CV70" s="9">
        <v>24945.09</v>
      </c>
      <c r="CW70" s="9">
        <v>165286.82</v>
      </c>
      <c r="CX70" s="9">
        <v>645884.07999999996</v>
      </c>
      <c r="CY70" s="9">
        <v>606809.13</v>
      </c>
      <c r="CZ70" s="9">
        <v>39074.949999999997</v>
      </c>
      <c r="DA70" s="9">
        <v>402042.64</v>
      </c>
      <c r="DB70" s="9">
        <v>367768.58</v>
      </c>
      <c r="DC70" s="9">
        <v>34274.06</v>
      </c>
      <c r="DD70" s="9">
        <v>243841.44</v>
      </c>
      <c r="DE70" s="9">
        <v>239040.55</v>
      </c>
      <c r="DF70" s="9">
        <v>4800.8900000000003</v>
      </c>
      <c r="DG70" s="9">
        <v>990140.72</v>
      </c>
      <c r="DH70" s="9">
        <v>57686.28</v>
      </c>
    </row>
    <row r="71" spans="1:112" x14ac:dyDescent="0.2">
      <c r="A71" s="8" t="s">
        <v>848</v>
      </c>
      <c r="B71" s="8" t="s">
        <v>263</v>
      </c>
      <c r="C71" s="8" t="s">
        <v>264</v>
      </c>
      <c r="D71" s="9">
        <v>781246.76</v>
      </c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>
        <v>21745.71</v>
      </c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>
        <v>55360.2</v>
      </c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>
        <v>300194.66999999993</v>
      </c>
      <c r="BB71" s="9"/>
      <c r="BC71" s="9">
        <v>481981.34000000008</v>
      </c>
      <c r="BD71" s="9"/>
      <c r="BE71" s="9">
        <v>4869.33</v>
      </c>
      <c r="BF71" s="9"/>
      <c r="BG71" s="9">
        <v>16876.37</v>
      </c>
      <c r="BH71" s="9"/>
      <c r="BI71" s="9">
        <v>12930.53</v>
      </c>
      <c r="BJ71" s="9"/>
      <c r="BK71" s="9">
        <v>42429.68</v>
      </c>
      <c r="BL71" s="9"/>
      <c r="BM71" s="9">
        <v>447437.2099999999</v>
      </c>
      <c r="BN71" s="9">
        <v>264155.03000000003</v>
      </c>
      <c r="BO71" s="9"/>
      <c r="BP71" s="9">
        <v>183282.16</v>
      </c>
      <c r="BQ71" s="9"/>
      <c r="BR71" s="9">
        <v>9108.42</v>
      </c>
      <c r="BS71" s="9">
        <v>4126.6000000000004</v>
      </c>
      <c r="BT71" s="9"/>
      <c r="BU71" s="9">
        <v>4981.8100000000004</v>
      </c>
      <c r="BV71" s="9"/>
      <c r="BW71" s="9">
        <v>27381.9</v>
      </c>
      <c r="BX71" s="9">
        <v>10052.969999999999</v>
      </c>
      <c r="BY71" s="9"/>
      <c r="BZ71" s="9">
        <v>17328.93</v>
      </c>
      <c r="CA71" s="9"/>
      <c r="CB71" s="9">
        <v>48179.61</v>
      </c>
      <c r="CC71" s="9">
        <v>829426.37</v>
      </c>
      <c r="CD71" s="9"/>
      <c r="CE71" s="9"/>
      <c r="CF71" s="9">
        <v>942514.7</v>
      </c>
      <c r="CG71" s="9">
        <v>650898.41</v>
      </c>
      <c r="CH71" s="9">
        <v>291616.28999999998</v>
      </c>
      <c r="CI71" s="9">
        <v>519344.55</v>
      </c>
      <c r="CJ71" s="9">
        <v>390087.13</v>
      </c>
      <c r="CK71" s="9">
        <v>129257.42</v>
      </c>
      <c r="CL71" s="9">
        <v>423170.15</v>
      </c>
      <c r="CM71" s="9">
        <v>260811.28</v>
      </c>
      <c r="CN71" s="9">
        <v>162358.87</v>
      </c>
      <c r="CO71" s="9">
        <v>276966.12</v>
      </c>
      <c r="CP71" s="9">
        <v>38604.14</v>
      </c>
      <c r="CQ71" s="9">
        <v>238361.98</v>
      </c>
      <c r="CR71" s="9">
        <v>97168.69</v>
      </c>
      <c r="CS71" s="9">
        <v>15365.44</v>
      </c>
      <c r="CT71" s="9">
        <v>81803.25</v>
      </c>
      <c r="CU71" s="9">
        <v>179797.43</v>
      </c>
      <c r="CV71" s="9">
        <v>23238.7</v>
      </c>
      <c r="CW71" s="9">
        <v>156558.73000000001</v>
      </c>
      <c r="CX71" s="9">
        <v>665548.58000000007</v>
      </c>
      <c r="CY71" s="9">
        <v>612294.27</v>
      </c>
      <c r="CZ71" s="9">
        <v>53254.31</v>
      </c>
      <c r="DA71" s="9">
        <v>422175.86</v>
      </c>
      <c r="DB71" s="9">
        <v>374721.69</v>
      </c>
      <c r="DC71" s="9">
        <v>47454.17</v>
      </c>
      <c r="DD71" s="9">
        <v>243372.72</v>
      </c>
      <c r="DE71" s="9">
        <v>237572.58</v>
      </c>
      <c r="DF71" s="9">
        <v>5800.14</v>
      </c>
      <c r="DG71" s="9">
        <v>1003733.24</v>
      </c>
      <c r="DH71" s="9">
        <v>61218.54</v>
      </c>
    </row>
    <row r="72" spans="1:112" x14ac:dyDescent="0.2">
      <c r="A72" s="8" t="s">
        <v>848</v>
      </c>
      <c r="B72" s="8" t="s">
        <v>263</v>
      </c>
      <c r="C72" s="8" t="s">
        <v>265</v>
      </c>
      <c r="D72" s="9">
        <v>823931.38</v>
      </c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>
        <v>24185.91</v>
      </c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>
        <v>55263.23</v>
      </c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>
        <v>314154.33000000007</v>
      </c>
      <c r="BB72" s="9"/>
      <c r="BC72" s="9">
        <v>510618.7</v>
      </c>
      <c r="BD72" s="9"/>
      <c r="BE72" s="9">
        <v>4669.47</v>
      </c>
      <c r="BF72" s="9"/>
      <c r="BG72" s="9">
        <v>19516.43</v>
      </c>
      <c r="BH72" s="9"/>
      <c r="BI72" s="9">
        <v>12899.3</v>
      </c>
      <c r="BJ72" s="9"/>
      <c r="BK72" s="9">
        <v>42363.93</v>
      </c>
      <c r="BL72" s="9"/>
      <c r="BM72" s="9">
        <v>451254.15</v>
      </c>
      <c r="BN72" s="9">
        <v>272378.63</v>
      </c>
      <c r="BO72" s="9"/>
      <c r="BP72" s="9">
        <v>178875.51</v>
      </c>
      <c r="BQ72" s="9"/>
      <c r="BR72" s="9">
        <v>12569.02</v>
      </c>
      <c r="BS72" s="9">
        <v>3785.7</v>
      </c>
      <c r="BT72" s="9"/>
      <c r="BU72" s="9">
        <v>8783.32</v>
      </c>
      <c r="BV72" s="9"/>
      <c r="BW72" s="9">
        <v>27727.42</v>
      </c>
      <c r="BX72" s="9">
        <v>10549.77</v>
      </c>
      <c r="BY72" s="9"/>
      <c r="BZ72" s="9">
        <v>17177.650000000001</v>
      </c>
      <c r="CA72" s="9"/>
      <c r="CB72" s="9">
        <v>50509.09</v>
      </c>
      <c r="CC72" s="9">
        <v>874440.47</v>
      </c>
      <c r="CD72" s="9"/>
      <c r="CE72" s="9"/>
      <c r="CF72" s="9">
        <v>945426.75</v>
      </c>
      <c r="CG72" s="9">
        <v>662263.74</v>
      </c>
      <c r="CH72" s="9">
        <v>283163.01</v>
      </c>
      <c r="CI72" s="9">
        <v>525747.21</v>
      </c>
      <c r="CJ72" s="9">
        <v>396359.55</v>
      </c>
      <c r="CK72" s="9">
        <v>129387.66</v>
      </c>
      <c r="CL72" s="9">
        <v>419679.54</v>
      </c>
      <c r="CM72" s="9">
        <v>265904.19</v>
      </c>
      <c r="CN72" s="9">
        <v>153775.35</v>
      </c>
      <c r="CO72" s="9">
        <v>265472.44</v>
      </c>
      <c r="CP72" s="9">
        <v>35719.53</v>
      </c>
      <c r="CQ72" s="9">
        <v>229752.91</v>
      </c>
      <c r="CR72" s="9">
        <v>96987.19</v>
      </c>
      <c r="CS72" s="9">
        <v>13280.78</v>
      </c>
      <c r="CT72" s="9">
        <v>83706.41</v>
      </c>
      <c r="CU72" s="9">
        <v>168485.25</v>
      </c>
      <c r="CV72" s="9">
        <v>22438.75</v>
      </c>
      <c r="CW72" s="9">
        <v>146046.5</v>
      </c>
      <c r="CX72" s="9">
        <v>679954.30999999994</v>
      </c>
      <c r="CY72" s="9">
        <v>626544.21</v>
      </c>
      <c r="CZ72" s="9">
        <v>53410.1</v>
      </c>
      <c r="DA72" s="9">
        <v>428760.02</v>
      </c>
      <c r="DB72" s="9">
        <v>383078.77</v>
      </c>
      <c r="DC72" s="9">
        <v>45681.25</v>
      </c>
      <c r="DD72" s="9">
        <v>251194.29</v>
      </c>
      <c r="DE72" s="9">
        <v>243465.44</v>
      </c>
      <c r="DF72" s="9">
        <v>7728.85</v>
      </c>
      <c r="DG72" s="9">
        <v>1018870.75</v>
      </c>
      <c r="DH72" s="9">
        <v>73444</v>
      </c>
    </row>
    <row r="73" spans="1:112" x14ac:dyDescent="0.2">
      <c r="A73" s="8" t="s">
        <v>848</v>
      </c>
      <c r="B73" s="8" t="s">
        <v>263</v>
      </c>
      <c r="C73" s="8" t="s">
        <v>266</v>
      </c>
      <c r="D73" s="9">
        <v>859851.82000000007</v>
      </c>
      <c r="E73" s="9">
        <v>859448.88</v>
      </c>
      <c r="F73" s="9">
        <v>57355.48</v>
      </c>
      <c r="G73" s="9">
        <v>77423.47</v>
      </c>
      <c r="H73" s="9">
        <v>139463.07</v>
      </c>
      <c r="I73" s="9">
        <v>19305.04</v>
      </c>
      <c r="J73" s="9">
        <v>76803.47</v>
      </c>
      <c r="K73" s="9">
        <v>285639.19</v>
      </c>
      <c r="L73" s="9">
        <v>36727.919999999998</v>
      </c>
      <c r="M73" s="9">
        <v>20562.77</v>
      </c>
      <c r="N73" s="9">
        <v>0</v>
      </c>
      <c r="O73" s="9">
        <v>8689.8700000000008</v>
      </c>
      <c r="P73" s="9">
        <v>0</v>
      </c>
      <c r="Q73" s="9">
        <v>6162.09</v>
      </c>
      <c r="R73" s="9">
        <v>131316.51999999999</v>
      </c>
      <c r="S73" s="9">
        <v>0</v>
      </c>
      <c r="T73" s="9">
        <v>0</v>
      </c>
      <c r="U73" s="9">
        <v>0</v>
      </c>
      <c r="V73" s="9">
        <v>0</v>
      </c>
      <c r="W73" s="9">
        <v>20929.59</v>
      </c>
      <c r="X73" s="9">
        <v>20765.5</v>
      </c>
      <c r="Y73" s="9">
        <v>1928.47</v>
      </c>
      <c r="Z73" s="9">
        <v>1871.79</v>
      </c>
      <c r="AA73" s="9">
        <v>4988.2299999999996</v>
      </c>
      <c r="AB73" s="9">
        <v>40.840000000000003</v>
      </c>
      <c r="AC73" s="9">
        <v>3238.99</v>
      </c>
      <c r="AD73" s="9">
        <v>7212.93</v>
      </c>
      <c r="AE73" s="9">
        <v>135.66999999999999</v>
      </c>
      <c r="AF73" s="9">
        <v>96.91</v>
      </c>
      <c r="AG73" s="9">
        <v>0</v>
      </c>
      <c r="AH73" s="9">
        <v>46.67</v>
      </c>
      <c r="AI73" s="9">
        <v>0</v>
      </c>
      <c r="AJ73" s="9">
        <v>156.34</v>
      </c>
      <c r="AK73" s="9">
        <v>1048.67</v>
      </c>
      <c r="AL73" s="9">
        <v>49471.02</v>
      </c>
      <c r="AM73" s="9">
        <v>49471.02</v>
      </c>
      <c r="AN73" s="9">
        <v>6875.6</v>
      </c>
      <c r="AO73" s="9">
        <v>2353.81</v>
      </c>
      <c r="AP73" s="9">
        <v>17154.34</v>
      </c>
      <c r="AQ73" s="9">
        <v>150.25</v>
      </c>
      <c r="AR73" s="9">
        <v>2722.55</v>
      </c>
      <c r="AS73" s="9">
        <v>16398.41</v>
      </c>
      <c r="AT73" s="9">
        <v>863.21</v>
      </c>
      <c r="AU73" s="9">
        <v>181.46</v>
      </c>
      <c r="AV73" s="9">
        <v>0</v>
      </c>
      <c r="AW73" s="9">
        <v>48.23</v>
      </c>
      <c r="AX73" s="9">
        <v>0</v>
      </c>
      <c r="AY73" s="9">
        <v>274.86</v>
      </c>
      <c r="AZ73" s="9">
        <v>2448.3000000000002</v>
      </c>
      <c r="BA73" s="9">
        <v>321606.76</v>
      </c>
      <c r="BB73" s="9"/>
      <c r="BC73" s="9">
        <v>538743.39</v>
      </c>
      <c r="BD73" s="9"/>
      <c r="BE73" s="9">
        <v>3899.41</v>
      </c>
      <c r="BF73" s="9"/>
      <c r="BG73" s="9">
        <v>17030.189999999999</v>
      </c>
      <c r="BH73" s="9"/>
      <c r="BI73" s="9">
        <v>12890.26</v>
      </c>
      <c r="BJ73" s="9"/>
      <c r="BK73" s="9">
        <v>36580.76</v>
      </c>
      <c r="BL73" s="9"/>
      <c r="BM73" s="9">
        <v>480419.45</v>
      </c>
      <c r="BN73" s="9">
        <v>285376.23</v>
      </c>
      <c r="BO73" s="9"/>
      <c r="BP73" s="9">
        <v>195043.24</v>
      </c>
      <c r="BQ73" s="9"/>
      <c r="BR73" s="9">
        <v>10876.08</v>
      </c>
      <c r="BS73" s="9">
        <v>3069.52</v>
      </c>
      <c r="BT73" s="9"/>
      <c r="BU73" s="9">
        <v>7806.57</v>
      </c>
      <c r="BV73" s="9"/>
      <c r="BW73" s="9">
        <v>28205.72</v>
      </c>
      <c r="BX73" s="9">
        <v>10663.47</v>
      </c>
      <c r="BY73" s="9"/>
      <c r="BZ73" s="9">
        <v>17542.259999999998</v>
      </c>
      <c r="CA73" s="9"/>
      <c r="CB73" s="9">
        <v>51408.03</v>
      </c>
      <c r="CC73" s="9">
        <v>911259.85</v>
      </c>
      <c r="CD73" s="9"/>
      <c r="CE73" s="9"/>
      <c r="CF73" s="9">
        <v>1004996.3</v>
      </c>
      <c r="CG73" s="9">
        <v>674688.8600000001</v>
      </c>
      <c r="CH73" s="9">
        <v>330307.44</v>
      </c>
      <c r="CI73" s="9">
        <v>562212.20000000007</v>
      </c>
      <c r="CJ73" s="9">
        <v>409597.55</v>
      </c>
      <c r="CK73" s="9">
        <v>152614.65</v>
      </c>
      <c r="CL73" s="9">
        <v>442784.1</v>
      </c>
      <c r="CM73" s="9">
        <v>265091.31</v>
      </c>
      <c r="CN73" s="9">
        <v>177692.79</v>
      </c>
      <c r="CO73" s="9">
        <v>312197.28999999998</v>
      </c>
      <c r="CP73" s="9">
        <v>42153.37</v>
      </c>
      <c r="CQ73" s="9">
        <v>270043.92</v>
      </c>
      <c r="CR73" s="9">
        <v>114600.53</v>
      </c>
      <c r="CS73" s="9">
        <v>15401.3</v>
      </c>
      <c r="CT73" s="9">
        <v>99199.23</v>
      </c>
      <c r="CU73" s="9">
        <v>197596.76</v>
      </c>
      <c r="CV73" s="9">
        <v>26752.07</v>
      </c>
      <c r="CW73" s="9">
        <v>170844.69</v>
      </c>
      <c r="CX73" s="9">
        <v>692799.01</v>
      </c>
      <c r="CY73" s="9">
        <v>632535.49</v>
      </c>
      <c r="CZ73" s="9">
        <v>60263.519999999997</v>
      </c>
      <c r="DA73" s="9">
        <v>447611.67</v>
      </c>
      <c r="DB73" s="9">
        <v>394196.25</v>
      </c>
      <c r="DC73" s="9">
        <v>53415.42</v>
      </c>
      <c r="DD73" s="9">
        <v>245187.34</v>
      </c>
      <c r="DE73" s="9">
        <v>238339.24</v>
      </c>
      <c r="DF73" s="9">
        <v>6848.1</v>
      </c>
      <c r="DG73" s="9">
        <v>1078019.23</v>
      </c>
      <c r="DH73" s="9">
        <v>73022.929999999993</v>
      </c>
    </row>
    <row r="74" spans="1:112" x14ac:dyDescent="0.2">
      <c r="A74" s="8" t="s">
        <v>849</v>
      </c>
      <c r="B74" s="8" t="s">
        <v>267</v>
      </c>
      <c r="C74" s="8" t="s">
        <v>268</v>
      </c>
      <c r="D74" s="9">
        <v>885357.28</v>
      </c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>
        <v>25302.63</v>
      </c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>
        <v>50988.02</v>
      </c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>
        <v>337689.33</v>
      </c>
      <c r="BB74" s="9"/>
      <c r="BC74" s="9">
        <v>548239.21000000008</v>
      </c>
      <c r="BD74" s="9"/>
      <c r="BE74" s="9">
        <v>4897.47</v>
      </c>
      <c r="BF74" s="9"/>
      <c r="BG74" s="9">
        <v>20405.16</v>
      </c>
      <c r="BH74" s="9"/>
      <c r="BI74" s="9">
        <v>13551.54</v>
      </c>
      <c r="BJ74" s="9"/>
      <c r="BK74" s="9">
        <v>37436.480000000003</v>
      </c>
      <c r="BL74" s="9"/>
      <c r="BM74" s="9">
        <v>500122.58</v>
      </c>
      <c r="BN74" s="9">
        <v>300222.32</v>
      </c>
      <c r="BO74" s="9"/>
      <c r="BP74" s="9">
        <v>199900.25</v>
      </c>
      <c r="BQ74" s="9"/>
      <c r="BR74" s="9">
        <v>10928.87</v>
      </c>
      <c r="BS74" s="9">
        <v>3866.08</v>
      </c>
      <c r="BT74" s="9"/>
      <c r="BU74" s="9">
        <v>7062.79</v>
      </c>
      <c r="BV74" s="9"/>
      <c r="BW74" s="9">
        <v>30433.57</v>
      </c>
      <c r="BX74" s="9">
        <v>11198.17</v>
      </c>
      <c r="BY74" s="9"/>
      <c r="BZ74" s="9">
        <v>19235.400000000001</v>
      </c>
      <c r="CA74" s="9"/>
      <c r="CB74" s="9">
        <v>52752.42</v>
      </c>
      <c r="CC74" s="9">
        <v>938109.7</v>
      </c>
      <c r="CD74" s="9"/>
      <c r="CE74" s="9"/>
      <c r="CF74" s="9">
        <v>1001316.18</v>
      </c>
      <c r="CG74" s="9">
        <v>687296.07000000007</v>
      </c>
      <c r="CH74" s="9">
        <v>314020.11</v>
      </c>
      <c r="CI74" s="9">
        <v>571134.67000000004</v>
      </c>
      <c r="CJ74" s="9">
        <v>421435.46</v>
      </c>
      <c r="CK74" s="9">
        <v>149699.21</v>
      </c>
      <c r="CL74" s="9">
        <v>430181.51000000013</v>
      </c>
      <c r="CM74" s="9">
        <v>265860.61</v>
      </c>
      <c r="CN74" s="9">
        <v>164320.9</v>
      </c>
      <c r="CO74" s="9">
        <v>287244.40999999997</v>
      </c>
      <c r="CP74" s="9">
        <v>36947.800000000003</v>
      </c>
      <c r="CQ74" s="9">
        <v>250296.61</v>
      </c>
      <c r="CR74" s="9">
        <v>111319.25</v>
      </c>
      <c r="CS74" s="9">
        <v>16637.66</v>
      </c>
      <c r="CT74" s="9">
        <v>94681.59</v>
      </c>
      <c r="CU74" s="9">
        <v>175925.16</v>
      </c>
      <c r="CV74" s="9">
        <v>20310.14</v>
      </c>
      <c r="CW74" s="9">
        <v>155615.01999999999</v>
      </c>
      <c r="CX74" s="9">
        <v>714071.77</v>
      </c>
      <c r="CY74" s="9">
        <v>650348.27</v>
      </c>
      <c r="CZ74" s="9">
        <v>63723.5</v>
      </c>
      <c r="DA74" s="9">
        <v>459815.42</v>
      </c>
      <c r="DB74" s="9">
        <v>404797.8</v>
      </c>
      <c r="DC74" s="9">
        <v>55017.62</v>
      </c>
      <c r="DD74" s="9">
        <v>254256.35</v>
      </c>
      <c r="DE74" s="9">
        <v>245550.47</v>
      </c>
      <c r="DF74" s="9">
        <v>8705.8799999999992</v>
      </c>
      <c r="DG74" s="9">
        <v>1070113.8899999999</v>
      </c>
      <c r="DH74" s="9">
        <v>68797.710000000006</v>
      </c>
    </row>
    <row r="75" spans="1:112" x14ac:dyDescent="0.2">
      <c r="A75" s="8" t="s">
        <v>849</v>
      </c>
      <c r="B75" s="8" t="s">
        <v>267</v>
      </c>
      <c r="C75" s="8" t="s">
        <v>269</v>
      </c>
      <c r="D75" s="9">
        <v>904630.84</v>
      </c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>
        <v>25208.94</v>
      </c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>
        <v>51839.7</v>
      </c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>
        <v>346792.33</v>
      </c>
      <c r="BB75" s="9"/>
      <c r="BC75" s="9">
        <v>558618.30000000005</v>
      </c>
      <c r="BD75" s="9"/>
      <c r="BE75" s="9">
        <v>4075.4</v>
      </c>
      <c r="BF75" s="9"/>
      <c r="BG75" s="9">
        <v>21133.53</v>
      </c>
      <c r="BH75" s="9"/>
      <c r="BI75" s="9">
        <v>14580.36</v>
      </c>
      <c r="BJ75" s="9"/>
      <c r="BK75" s="9">
        <v>37259.35</v>
      </c>
      <c r="BL75" s="9"/>
      <c r="BM75" s="9">
        <v>508437.13</v>
      </c>
      <c r="BN75" s="9">
        <v>305297.86</v>
      </c>
      <c r="BO75" s="9"/>
      <c r="BP75" s="9">
        <v>203139.26</v>
      </c>
      <c r="BQ75" s="9"/>
      <c r="BR75" s="9">
        <v>11501.59</v>
      </c>
      <c r="BS75" s="9">
        <v>3026.98</v>
      </c>
      <c r="BT75" s="9"/>
      <c r="BU75" s="9">
        <v>8474.6</v>
      </c>
      <c r="BV75" s="9"/>
      <c r="BW75" s="9">
        <v>31683.9</v>
      </c>
      <c r="BX75" s="9">
        <v>12028.55</v>
      </c>
      <c r="BY75" s="9"/>
      <c r="BZ75" s="9">
        <v>19655.36</v>
      </c>
      <c r="CA75" s="9"/>
      <c r="CB75" s="9">
        <v>50757.26</v>
      </c>
      <c r="CC75" s="9">
        <v>955388.1</v>
      </c>
      <c r="CD75" s="9"/>
      <c r="CE75" s="9"/>
      <c r="CF75" s="9">
        <v>1023633.93</v>
      </c>
      <c r="CG75" s="9">
        <v>698918.79999999993</v>
      </c>
      <c r="CH75" s="9">
        <v>324715.13000000012</v>
      </c>
      <c r="CI75" s="9">
        <v>602869.91</v>
      </c>
      <c r="CJ75" s="9">
        <v>437943.59</v>
      </c>
      <c r="CK75" s="9">
        <v>164926.32</v>
      </c>
      <c r="CL75" s="9">
        <v>420764.02</v>
      </c>
      <c r="CM75" s="9">
        <v>260975.21</v>
      </c>
      <c r="CN75" s="9">
        <v>159788.81</v>
      </c>
      <c r="CO75" s="9">
        <v>304190.56</v>
      </c>
      <c r="CP75" s="9">
        <v>37750.86</v>
      </c>
      <c r="CQ75" s="9">
        <v>266439.7</v>
      </c>
      <c r="CR75" s="9">
        <v>129505.22</v>
      </c>
      <c r="CS75" s="9">
        <v>15570.51</v>
      </c>
      <c r="CT75" s="9">
        <v>113934.71</v>
      </c>
      <c r="CU75" s="9">
        <v>174685.34</v>
      </c>
      <c r="CV75" s="9">
        <v>22180.35</v>
      </c>
      <c r="CW75" s="9">
        <v>152504.99</v>
      </c>
      <c r="CX75" s="9">
        <v>719443.36999999988</v>
      </c>
      <c r="CY75" s="9">
        <v>661167.93999999994</v>
      </c>
      <c r="CZ75" s="9">
        <v>58275.43</v>
      </c>
      <c r="DA75" s="9">
        <v>473364.68999999989</v>
      </c>
      <c r="DB75" s="9">
        <v>422373.08</v>
      </c>
      <c r="DC75" s="9">
        <v>50991.61</v>
      </c>
      <c r="DD75" s="9">
        <v>246078.68</v>
      </c>
      <c r="DE75" s="9">
        <v>238794.86</v>
      </c>
      <c r="DF75" s="9">
        <v>7283.82</v>
      </c>
      <c r="DG75" s="9">
        <v>1094329.23</v>
      </c>
      <c r="DH75" s="9">
        <v>70695.3</v>
      </c>
    </row>
    <row r="76" spans="1:112" x14ac:dyDescent="0.2">
      <c r="A76" s="8" t="s">
        <v>849</v>
      </c>
      <c r="B76" s="8" t="s">
        <v>267</v>
      </c>
      <c r="C76" s="8" t="s">
        <v>270</v>
      </c>
      <c r="D76" s="9">
        <v>951677.38</v>
      </c>
      <c r="E76" s="9">
        <v>955111.99</v>
      </c>
      <c r="F76" s="9">
        <v>69552.210000000006</v>
      </c>
      <c r="G76" s="9">
        <v>86022.45</v>
      </c>
      <c r="H76" s="9">
        <v>150814.1</v>
      </c>
      <c r="I76" s="9">
        <v>17792.66</v>
      </c>
      <c r="J76" s="9">
        <v>77159.89</v>
      </c>
      <c r="K76" s="9">
        <v>307758.59999999998</v>
      </c>
      <c r="L76" s="9">
        <v>46676.01</v>
      </c>
      <c r="M76" s="9">
        <v>24480.35</v>
      </c>
      <c r="N76" s="9">
        <v>0</v>
      </c>
      <c r="O76" s="9">
        <v>8113.42</v>
      </c>
      <c r="P76" s="9">
        <v>0</v>
      </c>
      <c r="Q76" s="9">
        <v>7504.29</v>
      </c>
      <c r="R76" s="9">
        <v>159238</v>
      </c>
      <c r="S76" s="9">
        <v>0</v>
      </c>
      <c r="T76" s="9">
        <v>0</v>
      </c>
      <c r="U76" s="9">
        <v>0</v>
      </c>
      <c r="V76" s="9">
        <v>0</v>
      </c>
      <c r="W76" s="9">
        <v>26436.21</v>
      </c>
      <c r="X76" s="9">
        <v>27672.63</v>
      </c>
      <c r="Y76" s="9">
        <v>1897.72</v>
      </c>
      <c r="Z76" s="9">
        <v>1305.8</v>
      </c>
      <c r="AA76" s="9">
        <v>8467.2999999999993</v>
      </c>
      <c r="AB76" s="9">
        <v>20.420000000000002</v>
      </c>
      <c r="AC76" s="9">
        <v>2914.35</v>
      </c>
      <c r="AD76" s="9">
        <v>8900.18</v>
      </c>
      <c r="AE76" s="9">
        <v>157.44</v>
      </c>
      <c r="AF76" s="9">
        <v>133.07</v>
      </c>
      <c r="AG76" s="9">
        <v>0</v>
      </c>
      <c r="AH76" s="9">
        <v>0</v>
      </c>
      <c r="AI76" s="9">
        <v>0</v>
      </c>
      <c r="AJ76" s="9">
        <v>55.08</v>
      </c>
      <c r="AK76" s="9">
        <v>3821.27</v>
      </c>
      <c r="AL76" s="9">
        <v>54385.62</v>
      </c>
      <c r="AM76" s="9">
        <v>55467.89</v>
      </c>
      <c r="AN76" s="9">
        <v>7476.55</v>
      </c>
      <c r="AO76" s="9">
        <v>2875.39</v>
      </c>
      <c r="AP76" s="9">
        <v>17270.419999999998</v>
      </c>
      <c r="AQ76" s="9">
        <v>144.36000000000001</v>
      </c>
      <c r="AR76" s="9">
        <v>2985.68</v>
      </c>
      <c r="AS76" s="9">
        <v>19097.060000000001</v>
      </c>
      <c r="AT76" s="9">
        <v>765.45</v>
      </c>
      <c r="AU76" s="9">
        <v>196.47</v>
      </c>
      <c r="AV76" s="9">
        <v>0</v>
      </c>
      <c r="AW76" s="9">
        <v>94.9</v>
      </c>
      <c r="AX76" s="9">
        <v>0</v>
      </c>
      <c r="AY76" s="9">
        <v>539.42999999999995</v>
      </c>
      <c r="AZ76" s="9">
        <v>4022.2</v>
      </c>
      <c r="BA76" s="9">
        <v>363810.98</v>
      </c>
      <c r="BB76" s="9"/>
      <c r="BC76" s="9">
        <v>588812.21000000008</v>
      </c>
      <c r="BD76" s="9"/>
      <c r="BE76" s="9">
        <v>4683.67</v>
      </c>
      <c r="BF76" s="9"/>
      <c r="BG76" s="9">
        <v>21752.54</v>
      </c>
      <c r="BH76" s="9"/>
      <c r="BI76" s="9">
        <v>14230.4</v>
      </c>
      <c r="BJ76" s="9"/>
      <c r="BK76" s="9">
        <v>40155.230000000003</v>
      </c>
      <c r="BL76" s="9"/>
      <c r="BM76" s="9">
        <v>535630.28</v>
      </c>
      <c r="BN76" s="9">
        <v>320695.71000000002</v>
      </c>
      <c r="BO76" s="9"/>
      <c r="BP76" s="9">
        <v>214934.58</v>
      </c>
      <c r="BQ76" s="9"/>
      <c r="BR76" s="9">
        <v>12020.61</v>
      </c>
      <c r="BS76" s="9">
        <v>3863.61</v>
      </c>
      <c r="BT76" s="9"/>
      <c r="BU76" s="9">
        <v>8157</v>
      </c>
      <c r="BV76" s="9"/>
      <c r="BW76" s="9">
        <v>33004.699999999997</v>
      </c>
      <c r="BX76" s="9">
        <v>11575.58</v>
      </c>
      <c r="BY76" s="9"/>
      <c r="BZ76" s="9">
        <v>21429.13</v>
      </c>
      <c r="CA76" s="9"/>
      <c r="CB76" s="9">
        <v>53475.42</v>
      </c>
      <c r="CC76" s="9">
        <v>1005152.8</v>
      </c>
      <c r="CD76" s="9"/>
      <c r="CE76" s="9"/>
      <c r="CF76" s="9">
        <v>1054687.8999999999</v>
      </c>
      <c r="CG76" s="9">
        <v>717277.25</v>
      </c>
      <c r="CH76" s="9">
        <v>337410.65</v>
      </c>
      <c r="CI76" s="9">
        <v>617908.96</v>
      </c>
      <c r="CJ76" s="9">
        <v>455495.93</v>
      </c>
      <c r="CK76" s="9">
        <v>162413.03</v>
      </c>
      <c r="CL76" s="9">
        <v>436778.93999999989</v>
      </c>
      <c r="CM76" s="9">
        <v>261781.32</v>
      </c>
      <c r="CN76" s="9">
        <v>174997.62</v>
      </c>
      <c r="CO76" s="9">
        <v>316389.09999999998</v>
      </c>
      <c r="CP76" s="9">
        <v>38959.18</v>
      </c>
      <c r="CQ76" s="9">
        <v>277429.92</v>
      </c>
      <c r="CR76" s="9">
        <v>126804.94</v>
      </c>
      <c r="CS76" s="9">
        <v>17784.509999999998</v>
      </c>
      <c r="CT76" s="9">
        <v>109020.43</v>
      </c>
      <c r="CU76" s="9">
        <v>189584.16</v>
      </c>
      <c r="CV76" s="9">
        <v>21174.67</v>
      </c>
      <c r="CW76" s="9">
        <v>168409.49</v>
      </c>
      <c r="CX76" s="9">
        <v>738298.79999999993</v>
      </c>
      <c r="CY76" s="9">
        <v>678318.07</v>
      </c>
      <c r="CZ76" s="9">
        <v>59980.73</v>
      </c>
      <c r="DA76" s="9">
        <v>491104.02</v>
      </c>
      <c r="DB76" s="9">
        <v>437711.42</v>
      </c>
      <c r="DC76" s="9">
        <v>53392.6</v>
      </c>
      <c r="DD76" s="9">
        <v>247194.78</v>
      </c>
      <c r="DE76" s="9">
        <v>240606.65</v>
      </c>
      <c r="DF76" s="9">
        <v>6588.13</v>
      </c>
      <c r="DG76" s="9">
        <v>1135450.3799999999</v>
      </c>
      <c r="DH76" s="9">
        <v>80762.48</v>
      </c>
    </row>
    <row r="77" spans="1:112" x14ac:dyDescent="0.2">
      <c r="A77" s="8" t="s">
        <v>849</v>
      </c>
      <c r="B77" s="8" t="s">
        <v>271</v>
      </c>
      <c r="C77" s="8" t="s">
        <v>272</v>
      </c>
      <c r="D77" s="9">
        <v>981785.83</v>
      </c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>
        <v>26126.23</v>
      </c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>
        <v>55438.5</v>
      </c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>
        <v>377125.76</v>
      </c>
      <c r="BB77" s="9"/>
      <c r="BC77" s="9">
        <v>605801.8899999999</v>
      </c>
      <c r="BD77" s="9"/>
      <c r="BE77" s="9">
        <v>5356.71</v>
      </c>
      <c r="BF77" s="9"/>
      <c r="BG77" s="9">
        <v>20769.52</v>
      </c>
      <c r="BH77" s="9"/>
      <c r="BI77" s="9">
        <v>15072.87</v>
      </c>
      <c r="BJ77" s="9"/>
      <c r="BK77" s="9">
        <v>40365.629999999997</v>
      </c>
      <c r="BL77" s="9"/>
      <c r="BM77" s="9">
        <v>541806.00999999989</v>
      </c>
      <c r="BN77" s="9">
        <v>329585.49</v>
      </c>
      <c r="BO77" s="9"/>
      <c r="BP77" s="9">
        <v>212220.51</v>
      </c>
      <c r="BQ77" s="9"/>
      <c r="BR77" s="9">
        <v>11953.98</v>
      </c>
      <c r="BS77" s="9">
        <v>4146.09</v>
      </c>
      <c r="BT77" s="9"/>
      <c r="BU77" s="9">
        <v>7807.88</v>
      </c>
      <c r="BV77" s="9"/>
      <c r="BW77" s="9">
        <v>34390.870000000003</v>
      </c>
      <c r="BX77" s="9">
        <v>12223.85</v>
      </c>
      <c r="BY77" s="9"/>
      <c r="BZ77" s="9">
        <v>22167.02</v>
      </c>
      <c r="CA77" s="9"/>
      <c r="CB77" s="9">
        <v>56664.05</v>
      </c>
      <c r="CC77" s="9">
        <v>1038449.88</v>
      </c>
      <c r="CD77" s="9"/>
      <c r="CE77" s="9"/>
      <c r="CF77" s="9">
        <v>1084145.1100000001</v>
      </c>
      <c r="CG77" s="9">
        <v>735793.03999999992</v>
      </c>
      <c r="CH77" s="9">
        <v>348352.07</v>
      </c>
      <c r="CI77" s="9">
        <v>615229.1100000001</v>
      </c>
      <c r="CJ77" s="9">
        <v>454576.69</v>
      </c>
      <c r="CK77" s="9">
        <v>160652.42000000001</v>
      </c>
      <c r="CL77" s="9">
        <v>468916</v>
      </c>
      <c r="CM77" s="9">
        <v>281216.34999999998</v>
      </c>
      <c r="CN77" s="9">
        <v>187699.65</v>
      </c>
      <c r="CO77" s="9">
        <v>322108.68999999989</v>
      </c>
      <c r="CP77" s="9">
        <v>42957.31</v>
      </c>
      <c r="CQ77" s="9">
        <v>279151.38</v>
      </c>
      <c r="CR77" s="9">
        <v>116700.77</v>
      </c>
      <c r="CS77" s="9">
        <v>15993.59</v>
      </c>
      <c r="CT77" s="9">
        <v>100707.18</v>
      </c>
      <c r="CU77" s="9">
        <v>205407.92</v>
      </c>
      <c r="CV77" s="9">
        <v>26963.72</v>
      </c>
      <c r="CW77" s="9">
        <v>178444.2</v>
      </c>
      <c r="CX77" s="9">
        <v>762036.42</v>
      </c>
      <c r="CY77" s="9">
        <v>692835.73</v>
      </c>
      <c r="CZ77" s="9">
        <v>69200.69</v>
      </c>
      <c r="DA77" s="9">
        <v>498528.34</v>
      </c>
      <c r="DB77" s="9">
        <v>438583.1</v>
      </c>
      <c r="DC77" s="9">
        <v>59945.24</v>
      </c>
      <c r="DD77" s="9">
        <v>263508.08</v>
      </c>
      <c r="DE77" s="9">
        <v>254252.63</v>
      </c>
      <c r="DF77" s="9">
        <v>9255.4500000000007</v>
      </c>
      <c r="DG77" s="9">
        <v>1166278.68</v>
      </c>
      <c r="DH77" s="9">
        <v>82133.570000000007</v>
      </c>
    </row>
    <row r="78" spans="1:112" x14ac:dyDescent="0.2">
      <c r="A78" s="8" t="s">
        <v>849</v>
      </c>
      <c r="B78" s="8" t="s">
        <v>271</v>
      </c>
      <c r="C78" s="8" t="s">
        <v>273</v>
      </c>
      <c r="D78" s="9">
        <v>1003032.81</v>
      </c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>
        <v>25398.05</v>
      </c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>
        <v>56343.56</v>
      </c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>
        <v>393537.34</v>
      </c>
      <c r="BB78" s="9"/>
      <c r="BC78" s="9">
        <v>610796.47000000009</v>
      </c>
      <c r="BD78" s="9"/>
      <c r="BE78" s="9">
        <v>5118.6000000000004</v>
      </c>
      <c r="BF78" s="9"/>
      <c r="BG78" s="9">
        <v>20279.45</v>
      </c>
      <c r="BH78" s="9"/>
      <c r="BI78" s="9">
        <v>16191.51</v>
      </c>
      <c r="BJ78" s="9"/>
      <c r="BK78" s="9">
        <v>40152.04</v>
      </c>
      <c r="BL78" s="9"/>
      <c r="BM78" s="9">
        <v>554044.85</v>
      </c>
      <c r="BN78" s="9">
        <v>339964.68</v>
      </c>
      <c r="BO78" s="9"/>
      <c r="BP78" s="9">
        <v>214080.17</v>
      </c>
      <c r="BQ78" s="9"/>
      <c r="BR78" s="9">
        <v>12309.96</v>
      </c>
      <c r="BS78" s="9">
        <v>4430.84</v>
      </c>
      <c r="BT78" s="9"/>
      <c r="BU78" s="9">
        <v>7879.12</v>
      </c>
      <c r="BV78" s="9"/>
      <c r="BW78" s="9">
        <v>36506.620000000003</v>
      </c>
      <c r="BX78" s="9">
        <v>12816.6</v>
      </c>
      <c r="BY78" s="9"/>
      <c r="BZ78" s="9">
        <v>23690.01</v>
      </c>
      <c r="CA78" s="9"/>
      <c r="CB78" s="9">
        <v>60711.35</v>
      </c>
      <c r="CC78" s="9">
        <v>1063744.1599999999</v>
      </c>
      <c r="CD78" s="9"/>
      <c r="CE78" s="9"/>
      <c r="CF78" s="9">
        <v>1212736.3500000001</v>
      </c>
      <c r="CG78" s="9">
        <v>764468.5</v>
      </c>
      <c r="CH78" s="9">
        <v>448267.85</v>
      </c>
      <c r="CI78" s="9">
        <v>651431.71000000008</v>
      </c>
      <c r="CJ78" s="9">
        <v>484242.31000000011</v>
      </c>
      <c r="CK78" s="9">
        <v>167189.4</v>
      </c>
      <c r="CL78" s="9">
        <v>561304.64</v>
      </c>
      <c r="CM78" s="9">
        <v>280226.19</v>
      </c>
      <c r="CN78" s="9">
        <v>281078.45</v>
      </c>
      <c r="CO78" s="9">
        <v>331707.26</v>
      </c>
      <c r="CP78" s="9">
        <v>42902.25</v>
      </c>
      <c r="CQ78" s="9">
        <v>288805.01</v>
      </c>
      <c r="CR78" s="9">
        <v>127902.7</v>
      </c>
      <c r="CS78" s="9">
        <v>16969.05</v>
      </c>
      <c r="CT78" s="9">
        <v>110933.65</v>
      </c>
      <c r="CU78" s="9">
        <v>203804.56</v>
      </c>
      <c r="CV78" s="9">
        <v>25933.200000000001</v>
      </c>
      <c r="CW78" s="9">
        <v>177871.35999999999</v>
      </c>
      <c r="CX78" s="9">
        <v>881029.09000000008</v>
      </c>
      <c r="CY78" s="9">
        <v>721566.25000000012</v>
      </c>
      <c r="CZ78" s="9">
        <v>159462.84</v>
      </c>
      <c r="DA78" s="9">
        <v>523529.01</v>
      </c>
      <c r="DB78" s="9">
        <v>467273.26</v>
      </c>
      <c r="DC78" s="9">
        <v>56255.75</v>
      </c>
      <c r="DD78" s="9">
        <v>357500.08</v>
      </c>
      <c r="DE78" s="9">
        <v>254292.99</v>
      </c>
      <c r="DF78" s="9">
        <v>103207.09</v>
      </c>
      <c r="DG78" s="9">
        <v>1299685.4800000002</v>
      </c>
      <c r="DH78" s="9">
        <v>86949.13</v>
      </c>
    </row>
    <row r="79" spans="1:112" x14ac:dyDescent="0.2">
      <c r="A79" s="8" t="s">
        <v>849</v>
      </c>
      <c r="B79" s="8" t="s">
        <v>271</v>
      </c>
      <c r="C79" s="8" t="s">
        <v>274</v>
      </c>
      <c r="D79" s="9">
        <v>1050909.5699999998</v>
      </c>
      <c r="E79" s="9">
        <v>1051061.83</v>
      </c>
      <c r="F79" s="9">
        <v>75785.460000000006</v>
      </c>
      <c r="G79" s="9">
        <v>77949.08</v>
      </c>
      <c r="H79" s="9">
        <v>157191.48000000001</v>
      </c>
      <c r="I79" s="9">
        <v>15815.84</v>
      </c>
      <c r="J79" s="9">
        <v>88314.92</v>
      </c>
      <c r="K79" s="9">
        <v>352992.06</v>
      </c>
      <c r="L79" s="9">
        <v>52722.41</v>
      </c>
      <c r="M79" s="9">
        <v>25053.61</v>
      </c>
      <c r="N79" s="9">
        <v>0</v>
      </c>
      <c r="O79" s="9">
        <v>11766.06</v>
      </c>
      <c r="P79" s="9">
        <v>0</v>
      </c>
      <c r="Q79" s="9">
        <v>9332.26</v>
      </c>
      <c r="R79" s="9">
        <v>184138.64</v>
      </c>
      <c r="S79" s="9">
        <v>0</v>
      </c>
      <c r="T79" s="9">
        <v>0</v>
      </c>
      <c r="U79" s="9">
        <v>0</v>
      </c>
      <c r="V79" s="9">
        <v>0</v>
      </c>
      <c r="W79" s="9">
        <v>25156.65</v>
      </c>
      <c r="X79" s="9">
        <v>24474.2</v>
      </c>
      <c r="Y79" s="9">
        <v>1739.69</v>
      </c>
      <c r="Z79" s="9">
        <v>1265.55</v>
      </c>
      <c r="AA79" s="9">
        <v>4085.3</v>
      </c>
      <c r="AB79" s="9">
        <v>25.49</v>
      </c>
      <c r="AC79" s="9">
        <v>4823.8999999999996</v>
      </c>
      <c r="AD79" s="9">
        <v>6697.11</v>
      </c>
      <c r="AE79" s="9">
        <v>13.59</v>
      </c>
      <c r="AF79" s="9">
        <v>597.15</v>
      </c>
      <c r="AG79" s="9">
        <v>0</v>
      </c>
      <c r="AH79" s="9">
        <v>929.45</v>
      </c>
      <c r="AI79" s="9">
        <v>0</v>
      </c>
      <c r="AJ79" s="9">
        <v>376.18</v>
      </c>
      <c r="AK79" s="9">
        <v>3920.79</v>
      </c>
      <c r="AL79" s="9">
        <v>60351.31</v>
      </c>
      <c r="AM79" s="9">
        <v>60381.9</v>
      </c>
      <c r="AN79" s="9">
        <v>7350.39</v>
      </c>
      <c r="AO79" s="9">
        <v>3122.93</v>
      </c>
      <c r="AP79" s="9">
        <v>19604.22</v>
      </c>
      <c r="AQ79" s="9">
        <v>198.76</v>
      </c>
      <c r="AR79" s="9">
        <v>2792.24</v>
      </c>
      <c r="AS79" s="9">
        <v>19644.07</v>
      </c>
      <c r="AT79" s="9">
        <v>636.12</v>
      </c>
      <c r="AU79" s="9">
        <v>578.92999999999995</v>
      </c>
      <c r="AV79" s="9">
        <v>0</v>
      </c>
      <c r="AW79" s="9">
        <v>67.400000000000006</v>
      </c>
      <c r="AX79" s="9">
        <v>0</v>
      </c>
      <c r="AY79" s="9">
        <v>569.95000000000005</v>
      </c>
      <c r="AZ79" s="9">
        <v>5816.88</v>
      </c>
      <c r="BA79" s="9">
        <v>413244.06999999989</v>
      </c>
      <c r="BB79" s="9"/>
      <c r="BC79" s="9">
        <v>638886.91</v>
      </c>
      <c r="BD79" s="9"/>
      <c r="BE79" s="9">
        <v>5974.53</v>
      </c>
      <c r="BF79" s="9"/>
      <c r="BG79" s="9">
        <v>19182.12</v>
      </c>
      <c r="BH79" s="9"/>
      <c r="BI79" s="9">
        <v>16592.830000000002</v>
      </c>
      <c r="BJ79" s="9"/>
      <c r="BK79" s="9">
        <v>43758.48</v>
      </c>
      <c r="BL79" s="9"/>
      <c r="BM79" s="9">
        <v>580818.62999999989</v>
      </c>
      <c r="BN79" s="9">
        <v>353420.34</v>
      </c>
      <c r="BO79" s="9"/>
      <c r="BP79" s="9">
        <v>227398.27</v>
      </c>
      <c r="BQ79" s="9"/>
      <c r="BR79" s="9">
        <v>12229.35</v>
      </c>
      <c r="BS79" s="9">
        <v>4364.3100000000004</v>
      </c>
      <c r="BT79" s="9"/>
      <c r="BU79" s="9">
        <v>7865.04</v>
      </c>
      <c r="BV79" s="9"/>
      <c r="BW79" s="9">
        <v>36912.44</v>
      </c>
      <c r="BX79" s="9">
        <v>13241.6</v>
      </c>
      <c r="BY79" s="9"/>
      <c r="BZ79" s="9">
        <v>23670.83</v>
      </c>
      <c r="CA79" s="9"/>
      <c r="CB79" s="9">
        <v>65291.88</v>
      </c>
      <c r="CC79" s="9">
        <v>1116201.4499999995</v>
      </c>
      <c r="CD79" s="9"/>
      <c r="CE79" s="9"/>
      <c r="CF79" s="9">
        <v>1256470.58</v>
      </c>
      <c r="CG79" s="9">
        <v>799776.1</v>
      </c>
      <c r="CH79" s="9">
        <v>456694.48</v>
      </c>
      <c r="CI79" s="9">
        <v>667657.88</v>
      </c>
      <c r="CJ79" s="9">
        <v>510413.87</v>
      </c>
      <c r="CK79" s="9">
        <v>157244.01</v>
      </c>
      <c r="CL79" s="9">
        <v>588812.70000000007</v>
      </c>
      <c r="CM79" s="9">
        <v>289362.23</v>
      </c>
      <c r="CN79" s="9">
        <v>299450.46999999997</v>
      </c>
      <c r="CO79" s="9">
        <v>334906.75</v>
      </c>
      <c r="CP79" s="9">
        <v>51956.05</v>
      </c>
      <c r="CQ79" s="9">
        <v>282950.7</v>
      </c>
      <c r="CR79" s="9">
        <v>128365.44</v>
      </c>
      <c r="CS79" s="9">
        <v>21698.59</v>
      </c>
      <c r="CT79" s="9">
        <v>106666.85</v>
      </c>
      <c r="CU79" s="9">
        <v>206541.31</v>
      </c>
      <c r="CV79" s="9">
        <v>30257.46</v>
      </c>
      <c r="CW79" s="9">
        <v>176283.85</v>
      </c>
      <c r="CX79" s="9">
        <v>921563.83</v>
      </c>
      <c r="CY79" s="9">
        <v>747820.04999999993</v>
      </c>
      <c r="CZ79" s="9">
        <v>173743.78</v>
      </c>
      <c r="DA79" s="9">
        <v>539292.43999999994</v>
      </c>
      <c r="DB79" s="9">
        <v>488715.28</v>
      </c>
      <c r="DC79" s="9">
        <v>50577.16</v>
      </c>
      <c r="DD79" s="9">
        <v>382271.39</v>
      </c>
      <c r="DE79" s="9">
        <v>259104.77</v>
      </c>
      <c r="DF79" s="9">
        <v>123166.62</v>
      </c>
      <c r="DG79" s="9">
        <v>1342034.0900000001</v>
      </c>
      <c r="DH79" s="9">
        <v>85563.51</v>
      </c>
    </row>
    <row r="80" spans="1:112" x14ac:dyDescent="0.2">
      <c r="A80" s="8" t="s">
        <v>849</v>
      </c>
      <c r="B80" s="8" t="s">
        <v>275</v>
      </c>
      <c r="C80" s="8" t="s">
        <v>276</v>
      </c>
      <c r="D80" s="9">
        <v>1086171.5399999998</v>
      </c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>
        <v>25749.18</v>
      </c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>
        <v>67980.22</v>
      </c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>
        <v>417405.25</v>
      </c>
      <c r="BB80" s="9"/>
      <c r="BC80" s="9">
        <v>670316.21</v>
      </c>
      <c r="BD80" s="9"/>
      <c r="BE80" s="9">
        <v>6954.97</v>
      </c>
      <c r="BF80" s="9"/>
      <c r="BG80" s="9">
        <v>18794.21</v>
      </c>
      <c r="BH80" s="9"/>
      <c r="BI80" s="9">
        <v>14878.36</v>
      </c>
      <c r="BJ80" s="9"/>
      <c r="BK80" s="9">
        <v>53101.86</v>
      </c>
      <c r="BL80" s="9"/>
      <c r="BM80" s="9">
        <v>594871.58000000007</v>
      </c>
      <c r="BN80" s="9">
        <v>357125.42</v>
      </c>
      <c r="BO80" s="9"/>
      <c r="BP80" s="9">
        <v>237746.14</v>
      </c>
      <c r="BQ80" s="9"/>
      <c r="BR80" s="9">
        <v>12660.91</v>
      </c>
      <c r="BS80" s="9">
        <v>5407.23</v>
      </c>
      <c r="BT80" s="9"/>
      <c r="BU80" s="9">
        <v>7253.67</v>
      </c>
      <c r="BV80" s="9"/>
      <c r="BW80" s="9">
        <v>40822</v>
      </c>
      <c r="BX80" s="9">
        <v>11543.24</v>
      </c>
      <c r="BY80" s="9"/>
      <c r="BZ80" s="9">
        <v>29278.75</v>
      </c>
      <c r="CA80" s="9"/>
      <c r="CB80" s="9">
        <v>63584.95</v>
      </c>
      <c r="CC80" s="9">
        <v>1149756.4899999998</v>
      </c>
      <c r="CD80" s="9"/>
      <c r="CE80" s="9"/>
      <c r="CF80" s="9">
        <v>1286201.2599999998</v>
      </c>
      <c r="CG80" s="9">
        <v>829021.59999999986</v>
      </c>
      <c r="CH80" s="9">
        <v>457179.66</v>
      </c>
      <c r="CI80" s="9">
        <v>688782.85</v>
      </c>
      <c r="CJ80" s="9">
        <v>526838.80999999994</v>
      </c>
      <c r="CK80" s="9">
        <v>161944.04</v>
      </c>
      <c r="CL80" s="9">
        <v>597418.40999999992</v>
      </c>
      <c r="CM80" s="9">
        <v>302182.78999999998</v>
      </c>
      <c r="CN80" s="9">
        <v>295235.62000000011</v>
      </c>
      <c r="CO80" s="9">
        <v>333075.36</v>
      </c>
      <c r="CP80" s="9">
        <v>48629.33</v>
      </c>
      <c r="CQ80" s="9">
        <v>284446.03000000003</v>
      </c>
      <c r="CR80" s="9">
        <v>130662.01</v>
      </c>
      <c r="CS80" s="9">
        <v>20063.810000000001</v>
      </c>
      <c r="CT80" s="9">
        <v>110598.2</v>
      </c>
      <c r="CU80" s="9">
        <v>202413.35</v>
      </c>
      <c r="CV80" s="9">
        <v>28565.52</v>
      </c>
      <c r="CW80" s="9">
        <v>173847.83</v>
      </c>
      <c r="CX80" s="9">
        <v>953125.9</v>
      </c>
      <c r="CY80" s="9">
        <v>780392.27</v>
      </c>
      <c r="CZ80" s="9">
        <v>172733.63</v>
      </c>
      <c r="DA80" s="9">
        <v>558120.84000000008</v>
      </c>
      <c r="DB80" s="9">
        <v>506775</v>
      </c>
      <c r="DC80" s="9">
        <v>51345.84</v>
      </c>
      <c r="DD80" s="9">
        <v>395005.06</v>
      </c>
      <c r="DE80" s="9">
        <v>273617.27</v>
      </c>
      <c r="DF80" s="9">
        <v>121387.79</v>
      </c>
      <c r="DG80" s="9">
        <v>1375617.2600000002</v>
      </c>
      <c r="DH80" s="9">
        <v>89416</v>
      </c>
    </row>
    <row r="81" spans="1:112" x14ac:dyDescent="0.2">
      <c r="A81" s="8" t="s">
        <v>849</v>
      </c>
      <c r="B81" s="8" t="s">
        <v>275</v>
      </c>
      <c r="C81" s="8" t="s">
        <v>277</v>
      </c>
      <c r="D81" s="9">
        <v>1104061.1599999999</v>
      </c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>
        <v>29928.2</v>
      </c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>
        <v>67405.38</v>
      </c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>
        <v>445154.11999999988</v>
      </c>
      <c r="BB81" s="9"/>
      <c r="BC81" s="9">
        <v>660639.61999999988</v>
      </c>
      <c r="BD81" s="9"/>
      <c r="BE81" s="9">
        <v>7172.22</v>
      </c>
      <c r="BF81" s="9"/>
      <c r="BG81" s="9">
        <v>22755.98</v>
      </c>
      <c r="BH81" s="9"/>
      <c r="BI81" s="9">
        <v>15510.59</v>
      </c>
      <c r="BJ81" s="9"/>
      <c r="BK81" s="9">
        <v>51894.79</v>
      </c>
      <c r="BL81" s="9"/>
      <c r="BM81" s="9">
        <v>618531.74999999988</v>
      </c>
      <c r="BN81" s="9">
        <v>384392.03</v>
      </c>
      <c r="BO81" s="9"/>
      <c r="BP81" s="9">
        <v>234139.71</v>
      </c>
      <c r="BQ81" s="9"/>
      <c r="BR81" s="9">
        <v>12011.95</v>
      </c>
      <c r="BS81" s="9">
        <v>5276.36</v>
      </c>
      <c r="BT81" s="9"/>
      <c r="BU81" s="9">
        <v>6735.59</v>
      </c>
      <c r="BV81" s="9"/>
      <c r="BW81" s="9">
        <v>40337.589999999997</v>
      </c>
      <c r="BX81" s="9">
        <v>12211.47</v>
      </c>
      <c r="BY81" s="9"/>
      <c r="BZ81" s="9">
        <v>28126.11</v>
      </c>
      <c r="CA81" s="9"/>
      <c r="CB81" s="9">
        <v>67065.440000000002</v>
      </c>
      <c r="CC81" s="9">
        <v>1171126.6000000001</v>
      </c>
      <c r="CD81" s="9"/>
      <c r="CE81" s="9"/>
      <c r="CF81" s="9">
        <v>1292556.06</v>
      </c>
      <c r="CG81" s="9">
        <v>843760.4</v>
      </c>
      <c r="CH81" s="9">
        <v>448795.66000000009</v>
      </c>
      <c r="CI81" s="9">
        <v>707771.26000000013</v>
      </c>
      <c r="CJ81" s="9">
        <v>541317.08000000007</v>
      </c>
      <c r="CK81" s="9">
        <v>166454.18</v>
      </c>
      <c r="CL81" s="9">
        <v>584784.80000000005</v>
      </c>
      <c r="CM81" s="9">
        <v>302443.32</v>
      </c>
      <c r="CN81" s="9">
        <v>282341.48</v>
      </c>
      <c r="CO81" s="9">
        <v>325848.01</v>
      </c>
      <c r="CP81" s="9">
        <v>49459.5</v>
      </c>
      <c r="CQ81" s="9">
        <v>276388.51</v>
      </c>
      <c r="CR81" s="9">
        <v>136918.97</v>
      </c>
      <c r="CS81" s="9">
        <v>19872.28</v>
      </c>
      <c r="CT81" s="9">
        <v>117046.69</v>
      </c>
      <c r="CU81" s="9">
        <v>188929.04</v>
      </c>
      <c r="CV81" s="9">
        <v>29587.22</v>
      </c>
      <c r="CW81" s="9">
        <v>159341.82</v>
      </c>
      <c r="CX81" s="9">
        <v>966708.05</v>
      </c>
      <c r="CY81" s="9">
        <v>794300.9</v>
      </c>
      <c r="CZ81" s="9">
        <v>172407.15</v>
      </c>
      <c r="DA81" s="9">
        <v>570852.29</v>
      </c>
      <c r="DB81" s="9">
        <v>521444.8</v>
      </c>
      <c r="DC81" s="9">
        <v>49407.49</v>
      </c>
      <c r="DD81" s="9">
        <v>395855.76</v>
      </c>
      <c r="DE81" s="9">
        <v>272856.09999999998</v>
      </c>
      <c r="DF81" s="9">
        <v>122999.66</v>
      </c>
      <c r="DG81" s="9">
        <v>1380874.4400000002</v>
      </c>
      <c r="DH81" s="9">
        <v>88318.38</v>
      </c>
    </row>
    <row r="82" spans="1:112" x14ac:dyDescent="0.2">
      <c r="A82" s="8" t="s">
        <v>849</v>
      </c>
      <c r="B82" s="8" t="s">
        <v>275</v>
      </c>
      <c r="C82" s="8" t="s">
        <v>278</v>
      </c>
      <c r="D82" s="9">
        <v>1120909.5399999998</v>
      </c>
      <c r="E82" s="9">
        <v>1113506.29</v>
      </c>
      <c r="F82" s="9">
        <v>91167.21</v>
      </c>
      <c r="G82" s="9">
        <v>91215.51</v>
      </c>
      <c r="H82" s="9">
        <v>158335.37</v>
      </c>
      <c r="I82" s="9">
        <v>14422.52</v>
      </c>
      <c r="J82" s="9">
        <v>100745.39</v>
      </c>
      <c r="K82" s="9">
        <v>341056.98</v>
      </c>
      <c r="L82" s="9">
        <v>47611.360000000001</v>
      </c>
      <c r="M82" s="9">
        <v>31227.55</v>
      </c>
      <c r="N82" s="9">
        <v>0</v>
      </c>
      <c r="O82" s="9">
        <v>8931.34</v>
      </c>
      <c r="P82" s="9">
        <v>0</v>
      </c>
      <c r="Q82" s="9">
        <v>11713.74</v>
      </c>
      <c r="R82" s="9">
        <v>217079.32</v>
      </c>
      <c r="S82" s="9">
        <v>0</v>
      </c>
      <c r="T82" s="9">
        <v>0</v>
      </c>
      <c r="U82" s="9">
        <v>0</v>
      </c>
      <c r="V82" s="9">
        <v>0</v>
      </c>
      <c r="W82" s="9">
        <v>34868.400000000001</v>
      </c>
      <c r="X82" s="9">
        <v>33919.75</v>
      </c>
      <c r="Y82" s="9">
        <v>539.33000000000004</v>
      </c>
      <c r="Z82" s="9">
        <v>3991.24</v>
      </c>
      <c r="AA82" s="9">
        <v>4696.34</v>
      </c>
      <c r="AB82" s="9">
        <v>0.05</v>
      </c>
      <c r="AC82" s="9">
        <v>7964.09</v>
      </c>
      <c r="AD82" s="9">
        <v>7880.77</v>
      </c>
      <c r="AE82" s="9">
        <v>1245.5999999999999</v>
      </c>
      <c r="AF82" s="9">
        <v>1564.28</v>
      </c>
      <c r="AG82" s="9">
        <v>0</v>
      </c>
      <c r="AH82" s="9">
        <v>803.51</v>
      </c>
      <c r="AI82" s="9">
        <v>0</v>
      </c>
      <c r="AJ82" s="9">
        <v>489.96</v>
      </c>
      <c r="AK82" s="9">
        <v>4744.5600000000004</v>
      </c>
      <c r="AL82" s="9">
        <v>67526.02</v>
      </c>
      <c r="AM82" s="9">
        <v>67620.86</v>
      </c>
      <c r="AN82" s="9">
        <v>8258.57</v>
      </c>
      <c r="AO82" s="9">
        <v>1864.97</v>
      </c>
      <c r="AP82" s="9">
        <v>24339.17</v>
      </c>
      <c r="AQ82" s="9">
        <v>146.06</v>
      </c>
      <c r="AR82" s="9">
        <v>5121.3999999999996</v>
      </c>
      <c r="AS82" s="9">
        <v>19077.02</v>
      </c>
      <c r="AT82" s="9">
        <v>684.29</v>
      </c>
      <c r="AU82" s="9">
        <v>755.26</v>
      </c>
      <c r="AV82" s="9">
        <v>0</v>
      </c>
      <c r="AW82" s="9">
        <v>70.59</v>
      </c>
      <c r="AX82" s="9">
        <v>0</v>
      </c>
      <c r="AY82" s="9">
        <v>676.43</v>
      </c>
      <c r="AZ82" s="9">
        <v>6627.1</v>
      </c>
      <c r="BA82" s="9">
        <v>461241.73999999987</v>
      </c>
      <c r="BB82" s="9"/>
      <c r="BC82" s="9">
        <v>661184.97</v>
      </c>
      <c r="BD82" s="9"/>
      <c r="BE82" s="9">
        <v>7714.41</v>
      </c>
      <c r="BF82" s="9"/>
      <c r="BG82" s="9">
        <v>27153.99</v>
      </c>
      <c r="BH82" s="9"/>
      <c r="BI82" s="9">
        <v>15830.16</v>
      </c>
      <c r="BJ82" s="9"/>
      <c r="BK82" s="9">
        <v>51695.85</v>
      </c>
      <c r="BL82" s="9"/>
      <c r="BM82" s="9">
        <v>632575.74999999988</v>
      </c>
      <c r="BN82" s="9">
        <v>398663.61</v>
      </c>
      <c r="BO82" s="9"/>
      <c r="BP82" s="9">
        <v>233912.13</v>
      </c>
      <c r="BQ82" s="9"/>
      <c r="BR82" s="9">
        <v>13081.69</v>
      </c>
      <c r="BS82" s="9">
        <v>5309.19</v>
      </c>
      <c r="BT82" s="9"/>
      <c r="BU82" s="9">
        <v>7772.5</v>
      </c>
      <c r="BV82" s="9"/>
      <c r="BW82" s="9">
        <v>39623.050000000003</v>
      </c>
      <c r="BX82" s="9">
        <v>12767.11</v>
      </c>
      <c r="BY82" s="9"/>
      <c r="BZ82" s="9">
        <v>26855.93</v>
      </c>
      <c r="CA82" s="9"/>
      <c r="CB82" s="9">
        <v>65812.81</v>
      </c>
      <c r="CC82" s="9">
        <v>1186722.3500000001</v>
      </c>
      <c r="CD82" s="9"/>
      <c r="CE82" s="9"/>
      <c r="CF82" s="9">
        <v>1330235.6700000002</v>
      </c>
      <c r="CG82" s="9">
        <v>861341.89</v>
      </c>
      <c r="CH82" s="9">
        <v>468893.78</v>
      </c>
      <c r="CI82" s="9">
        <v>712009.95000000007</v>
      </c>
      <c r="CJ82" s="9">
        <v>563024.69000000006</v>
      </c>
      <c r="CK82" s="9">
        <v>148985.26</v>
      </c>
      <c r="CL82" s="9">
        <v>618225.72</v>
      </c>
      <c r="CM82" s="9">
        <v>298317.2</v>
      </c>
      <c r="CN82" s="9">
        <v>319908.52</v>
      </c>
      <c r="CO82" s="9">
        <v>361772.68000000011</v>
      </c>
      <c r="CP82" s="9">
        <v>47545.17</v>
      </c>
      <c r="CQ82" s="9">
        <v>314227.51</v>
      </c>
      <c r="CR82" s="9">
        <v>139948.46</v>
      </c>
      <c r="CS82" s="9">
        <v>22308.92</v>
      </c>
      <c r="CT82" s="9">
        <v>117639.54</v>
      </c>
      <c r="CU82" s="9">
        <v>221824.22</v>
      </c>
      <c r="CV82" s="9">
        <v>25236.25</v>
      </c>
      <c r="CW82" s="9">
        <v>196587.97</v>
      </c>
      <c r="CX82" s="9">
        <v>968462.99</v>
      </c>
      <c r="CY82" s="9">
        <v>813796.72</v>
      </c>
      <c r="CZ82" s="9">
        <v>154666.26999999999</v>
      </c>
      <c r="DA82" s="9">
        <v>572061.49</v>
      </c>
      <c r="DB82" s="9">
        <v>540715.77</v>
      </c>
      <c r="DC82" s="9">
        <v>31345.72</v>
      </c>
      <c r="DD82" s="9">
        <v>396401.5</v>
      </c>
      <c r="DE82" s="9">
        <v>273080.95</v>
      </c>
      <c r="DF82" s="9">
        <v>123320.55</v>
      </c>
      <c r="DG82" s="9">
        <v>1445430.74</v>
      </c>
      <c r="DH82" s="9">
        <v>115195.07</v>
      </c>
    </row>
    <row r="83" spans="1:112" x14ac:dyDescent="0.2">
      <c r="A83" s="8" t="s">
        <v>849</v>
      </c>
      <c r="B83" s="8" t="s">
        <v>279</v>
      </c>
      <c r="C83" s="8" t="s">
        <v>280</v>
      </c>
      <c r="D83" s="9">
        <v>1129289.56</v>
      </c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>
        <v>29855.52</v>
      </c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>
        <v>66081.429999999993</v>
      </c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>
        <v>470830.65</v>
      </c>
      <c r="BB83" s="9"/>
      <c r="BC83" s="9">
        <v>660963.53999999992</v>
      </c>
      <c r="BD83" s="9"/>
      <c r="BE83" s="9">
        <v>7648.02</v>
      </c>
      <c r="BF83" s="9"/>
      <c r="BG83" s="9">
        <v>22207.51</v>
      </c>
      <c r="BH83" s="9"/>
      <c r="BI83" s="9">
        <v>15761.09</v>
      </c>
      <c r="BJ83" s="9"/>
      <c r="BK83" s="9">
        <v>50320.33</v>
      </c>
      <c r="BL83" s="9"/>
      <c r="BM83" s="9">
        <v>635717.91999999993</v>
      </c>
      <c r="BN83" s="9">
        <v>405562.33</v>
      </c>
      <c r="BO83" s="9"/>
      <c r="BP83" s="9">
        <v>230155.59</v>
      </c>
      <c r="BQ83" s="9"/>
      <c r="BR83" s="9">
        <v>12661.88</v>
      </c>
      <c r="BS83" s="9">
        <v>5241.92</v>
      </c>
      <c r="BT83" s="9"/>
      <c r="BU83" s="9">
        <v>7419.96</v>
      </c>
      <c r="BV83" s="9"/>
      <c r="BW83" s="9">
        <v>38366.160000000003</v>
      </c>
      <c r="BX83" s="9">
        <v>12774.09</v>
      </c>
      <c r="BY83" s="9"/>
      <c r="BZ83" s="9">
        <v>25592.07</v>
      </c>
      <c r="CA83" s="9"/>
      <c r="CB83" s="9">
        <v>66177</v>
      </c>
      <c r="CC83" s="9">
        <v>1195466.56</v>
      </c>
      <c r="CD83" s="9"/>
      <c r="CE83" s="9"/>
      <c r="CF83" s="9">
        <v>1345356.05</v>
      </c>
      <c r="CG83" s="9">
        <v>898316.64</v>
      </c>
      <c r="CH83" s="9">
        <v>447039.41</v>
      </c>
      <c r="CI83" s="9">
        <v>737463.61999999988</v>
      </c>
      <c r="CJ83" s="9">
        <v>588650.76</v>
      </c>
      <c r="CK83" s="9">
        <v>148812.85999999999</v>
      </c>
      <c r="CL83" s="9">
        <v>607892.42999999993</v>
      </c>
      <c r="CM83" s="9">
        <v>309665.88</v>
      </c>
      <c r="CN83" s="9">
        <v>298226.55</v>
      </c>
      <c r="CO83" s="9">
        <v>333575.21000000002</v>
      </c>
      <c r="CP83" s="9">
        <v>45691.93</v>
      </c>
      <c r="CQ83" s="9">
        <v>287883.28000000003</v>
      </c>
      <c r="CR83" s="9">
        <v>137373.75</v>
      </c>
      <c r="CS83" s="9">
        <v>20944.830000000002</v>
      </c>
      <c r="CT83" s="9">
        <v>116428.92</v>
      </c>
      <c r="CU83" s="9">
        <v>196201.46</v>
      </c>
      <c r="CV83" s="9">
        <v>24747.1</v>
      </c>
      <c r="CW83" s="9">
        <v>171454.36</v>
      </c>
      <c r="CX83" s="9">
        <v>1011780.84</v>
      </c>
      <c r="CY83" s="9">
        <v>852624.71</v>
      </c>
      <c r="CZ83" s="9">
        <v>159156.13</v>
      </c>
      <c r="DA83" s="9">
        <v>600089.87</v>
      </c>
      <c r="DB83" s="9">
        <v>567705.92999999993</v>
      </c>
      <c r="DC83" s="9">
        <v>32383.94</v>
      </c>
      <c r="DD83" s="9">
        <v>411690.97</v>
      </c>
      <c r="DE83" s="9">
        <v>284918.78000000003</v>
      </c>
      <c r="DF83" s="9">
        <v>126772.19</v>
      </c>
      <c r="DG83" s="9">
        <v>1464634.99</v>
      </c>
      <c r="DH83" s="9">
        <v>119278.94</v>
      </c>
    </row>
    <row r="84" spans="1:112" x14ac:dyDescent="0.2">
      <c r="A84" s="8" t="s">
        <v>849</v>
      </c>
      <c r="B84" s="8" t="s">
        <v>279</v>
      </c>
      <c r="C84" s="8" t="s">
        <v>281</v>
      </c>
      <c r="D84" s="9">
        <v>1181397.48</v>
      </c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>
        <v>31456.12</v>
      </c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>
        <v>66269.19</v>
      </c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>
        <v>491852.46</v>
      </c>
      <c r="BB84" s="9"/>
      <c r="BC84" s="9">
        <v>691029.55</v>
      </c>
      <c r="BD84" s="9"/>
      <c r="BE84" s="9">
        <v>8450.0499999999993</v>
      </c>
      <c r="BF84" s="9"/>
      <c r="BG84" s="9">
        <v>23006.06</v>
      </c>
      <c r="BH84" s="9"/>
      <c r="BI84" s="9">
        <v>16344.05</v>
      </c>
      <c r="BJ84" s="9"/>
      <c r="BK84" s="9">
        <v>49925.15</v>
      </c>
      <c r="BL84" s="9"/>
      <c r="BM84" s="9">
        <v>651931.91999999993</v>
      </c>
      <c r="BN84" s="9">
        <v>418461.59</v>
      </c>
      <c r="BO84" s="9"/>
      <c r="BP84" s="9">
        <v>233470.33</v>
      </c>
      <c r="BQ84" s="9"/>
      <c r="BR84" s="9">
        <v>15213.19</v>
      </c>
      <c r="BS84" s="9">
        <v>5876.27</v>
      </c>
      <c r="BT84" s="9"/>
      <c r="BU84" s="9">
        <v>9336.92</v>
      </c>
      <c r="BV84" s="9"/>
      <c r="BW84" s="9">
        <v>39908.730000000003</v>
      </c>
      <c r="BX84" s="9">
        <v>13236.08</v>
      </c>
      <c r="BY84" s="9"/>
      <c r="BZ84" s="9">
        <v>26672.65</v>
      </c>
      <c r="CA84" s="9"/>
      <c r="CB84" s="9">
        <v>65075.59</v>
      </c>
      <c r="CC84" s="9">
        <v>1246473.07</v>
      </c>
      <c r="CD84" s="9"/>
      <c r="CE84" s="9"/>
      <c r="CF84" s="9">
        <v>1380719.24</v>
      </c>
      <c r="CG84" s="9">
        <v>913429.3</v>
      </c>
      <c r="CH84" s="9">
        <v>467289.94</v>
      </c>
      <c r="CI84" s="9">
        <v>764530.71000000008</v>
      </c>
      <c r="CJ84" s="9">
        <v>609556.74</v>
      </c>
      <c r="CK84" s="9">
        <v>154973.97</v>
      </c>
      <c r="CL84" s="9">
        <v>616188.52999999991</v>
      </c>
      <c r="CM84" s="9">
        <v>303872.56</v>
      </c>
      <c r="CN84" s="9">
        <v>312315.96999999997</v>
      </c>
      <c r="CO84" s="9">
        <v>350933.56000000011</v>
      </c>
      <c r="CP84" s="9">
        <v>44590.66</v>
      </c>
      <c r="CQ84" s="9">
        <v>306342.90000000002</v>
      </c>
      <c r="CR84" s="9">
        <v>142921.23000000001</v>
      </c>
      <c r="CS84" s="9">
        <v>20941.919999999998</v>
      </c>
      <c r="CT84" s="9">
        <v>121979.31</v>
      </c>
      <c r="CU84" s="9">
        <v>208012.33</v>
      </c>
      <c r="CV84" s="9">
        <v>23648.74</v>
      </c>
      <c r="CW84" s="9">
        <v>184363.59</v>
      </c>
      <c r="CX84" s="9">
        <v>1029785.68</v>
      </c>
      <c r="CY84" s="9">
        <v>868838.64</v>
      </c>
      <c r="CZ84" s="9">
        <v>160947.04</v>
      </c>
      <c r="DA84" s="9">
        <v>621609.48</v>
      </c>
      <c r="DB84" s="9">
        <v>588614.81999999995</v>
      </c>
      <c r="DC84" s="9">
        <v>32994.660000000003</v>
      </c>
      <c r="DD84" s="9">
        <v>408176.2</v>
      </c>
      <c r="DE84" s="9">
        <v>280223.82</v>
      </c>
      <c r="DF84" s="9">
        <v>127952.38</v>
      </c>
      <c r="DG84" s="9">
        <v>1503291.96</v>
      </c>
      <c r="DH84" s="9">
        <v>122572.72</v>
      </c>
    </row>
    <row r="85" spans="1:112" x14ac:dyDescent="0.2">
      <c r="A85" s="8" t="s">
        <v>849</v>
      </c>
      <c r="B85" s="8" t="s">
        <v>279</v>
      </c>
      <c r="C85" s="8" t="s">
        <v>282</v>
      </c>
      <c r="D85" s="9">
        <v>1223287.33</v>
      </c>
      <c r="E85" s="9">
        <v>1222341.58</v>
      </c>
      <c r="F85" s="9">
        <v>100128.19</v>
      </c>
      <c r="G85" s="9">
        <v>92268.6</v>
      </c>
      <c r="H85" s="9">
        <v>156509.32999999999</v>
      </c>
      <c r="I85" s="9">
        <v>14160.19</v>
      </c>
      <c r="J85" s="9">
        <v>111065.5</v>
      </c>
      <c r="K85" s="9">
        <v>384848.13</v>
      </c>
      <c r="L85" s="9">
        <v>52018.14</v>
      </c>
      <c r="M85" s="9">
        <v>36555.370000000003</v>
      </c>
      <c r="N85" s="9">
        <v>0</v>
      </c>
      <c r="O85" s="9">
        <v>14276.03</v>
      </c>
      <c r="P85" s="9">
        <v>0</v>
      </c>
      <c r="Q85" s="9">
        <v>11927.11</v>
      </c>
      <c r="R85" s="9">
        <v>248584.97</v>
      </c>
      <c r="S85" s="9">
        <v>0</v>
      </c>
      <c r="T85" s="9">
        <v>0</v>
      </c>
      <c r="U85" s="9">
        <v>0</v>
      </c>
      <c r="V85" s="9">
        <v>0</v>
      </c>
      <c r="W85" s="9">
        <v>33320.42</v>
      </c>
      <c r="X85" s="9">
        <v>33271.300000000003</v>
      </c>
      <c r="Y85" s="9">
        <v>318.87</v>
      </c>
      <c r="Z85" s="9">
        <v>6185.39</v>
      </c>
      <c r="AA85" s="9">
        <v>3725.54</v>
      </c>
      <c r="AB85" s="9">
        <v>0.44</v>
      </c>
      <c r="AC85" s="9">
        <v>6448.15</v>
      </c>
      <c r="AD85" s="9">
        <v>7706.57</v>
      </c>
      <c r="AE85" s="9">
        <v>1205.52</v>
      </c>
      <c r="AF85" s="9">
        <v>1380.61</v>
      </c>
      <c r="AG85" s="9">
        <v>0</v>
      </c>
      <c r="AH85" s="9">
        <v>531.86</v>
      </c>
      <c r="AI85" s="9">
        <v>0</v>
      </c>
      <c r="AJ85" s="9">
        <v>357.4</v>
      </c>
      <c r="AK85" s="9">
        <v>5410.93</v>
      </c>
      <c r="AL85" s="9">
        <v>60021.56</v>
      </c>
      <c r="AM85" s="9">
        <v>60314.29</v>
      </c>
      <c r="AN85" s="9">
        <v>6362.84</v>
      </c>
      <c r="AO85" s="9">
        <v>2072.5100000000002</v>
      </c>
      <c r="AP85" s="9">
        <v>19952.259999999998</v>
      </c>
      <c r="AQ85" s="9">
        <v>87.82</v>
      </c>
      <c r="AR85" s="9">
        <v>6741.29</v>
      </c>
      <c r="AS85" s="9">
        <v>16504.82</v>
      </c>
      <c r="AT85" s="9">
        <v>744.01</v>
      </c>
      <c r="AU85" s="9">
        <v>654.24</v>
      </c>
      <c r="AV85" s="9">
        <v>0</v>
      </c>
      <c r="AW85" s="9">
        <v>59.83</v>
      </c>
      <c r="AX85" s="9">
        <v>0</v>
      </c>
      <c r="AY85" s="9">
        <v>375.81</v>
      </c>
      <c r="AZ85" s="9">
        <v>6758.86</v>
      </c>
      <c r="BA85" s="9">
        <v>507569.96</v>
      </c>
      <c r="BB85" s="9"/>
      <c r="BC85" s="9">
        <v>717313.9099999998</v>
      </c>
      <c r="BD85" s="9"/>
      <c r="BE85" s="9">
        <v>8674.6200000000008</v>
      </c>
      <c r="BF85" s="9"/>
      <c r="BG85" s="9">
        <v>24645.8</v>
      </c>
      <c r="BH85" s="9"/>
      <c r="BI85" s="9">
        <v>15682.74</v>
      </c>
      <c r="BJ85" s="9"/>
      <c r="BK85" s="9">
        <v>44338.81</v>
      </c>
      <c r="BL85" s="9"/>
      <c r="BM85" s="9">
        <v>697461.85</v>
      </c>
      <c r="BN85" s="9">
        <v>433390.49</v>
      </c>
      <c r="BO85" s="9"/>
      <c r="BP85" s="9">
        <v>264071.36</v>
      </c>
      <c r="BQ85" s="9"/>
      <c r="BR85" s="9">
        <v>15267.48</v>
      </c>
      <c r="BS85" s="9">
        <v>6297.43</v>
      </c>
      <c r="BT85" s="9"/>
      <c r="BU85" s="9">
        <v>8970.0499999999993</v>
      </c>
      <c r="BV85" s="9"/>
      <c r="BW85" s="9">
        <v>37940.92</v>
      </c>
      <c r="BX85" s="9">
        <v>12858.46</v>
      </c>
      <c r="BY85" s="9"/>
      <c r="BZ85" s="9">
        <v>25082.46</v>
      </c>
      <c r="CA85" s="9"/>
      <c r="CB85" s="9">
        <v>63789.34</v>
      </c>
      <c r="CC85" s="9">
        <v>1287076.6700000002</v>
      </c>
      <c r="CD85" s="9"/>
      <c r="CE85" s="9"/>
      <c r="CF85" s="9">
        <v>1320495.32</v>
      </c>
      <c r="CG85" s="9">
        <v>957243.74</v>
      </c>
      <c r="CH85" s="9">
        <v>363251.58</v>
      </c>
      <c r="CI85" s="9">
        <v>811943.95</v>
      </c>
      <c r="CJ85" s="9">
        <v>654197.51</v>
      </c>
      <c r="CK85" s="9">
        <v>157746.44</v>
      </c>
      <c r="CL85" s="9">
        <v>508551.37000000011</v>
      </c>
      <c r="CM85" s="9">
        <v>303046.23</v>
      </c>
      <c r="CN85" s="9">
        <v>205505.14</v>
      </c>
      <c r="CO85" s="9">
        <v>349897.38</v>
      </c>
      <c r="CP85" s="9">
        <v>48375.75</v>
      </c>
      <c r="CQ85" s="9">
        <v>301521.62999999989</v>
      </c>
      <c r="CR85" s="9">
        <v>143362.25</v>
      </c>
      <c r="CS85" s="9">
        <v>20521.32</v>
      </c>
      <c r="CT85" s="9">
        <v>122840.93</v>
      </c>
      <c r="CU85" s="9">
        <v>206535.13</v>
      </c>
      <c r="CV85" s="9">
        <v>27854.43</v>
      </c>
      <c r="CW85" s="9">
        <v>178680.7</v>
      </c>
      <c r="CX85" s="9">
        <v>970597.94</v>
      </c>
      <c r="CY85" s="9">
        <v>908867.99</v>
      </c>
      <c r="CZ85" s="9">
        <v>61729.95</v>
      </c>
      <c r="DA85" s="9">
        <v>668581.70000000007</v>
      </c>
      <c r="DB85" s="9">
        <v>633676.19000000006</v>
      </c>
      <c r="DC85" s="9">
        <v>34905.51</v>
      </c>
      <c r="DD85" s="9">
        <v>302016.24</v>
      </c>
      <c r="DE85" s="9">
        <v>275191.8</v>
      </c>
      <c r="DF85" s="9">
        <v>26824.44</v>
      </c>
      <c r="DG85" s="9">
        <v>1472089.26</v>
      </c>
      <c r="DH85" s="9">
        <v>151593.94</v>
      </c>
    </row>
    <row r="86" spans="1:112" x14ac:dyDescent="0.2">
      <c r="A86" s="8" t="s">
        <v>850</v>
      </c>
      <c r="B86" s="8" t="s">
        <v>283</v>
      </c>
      <c r="C86" s="8" t="s">
        <v>284</v>
      </c>
      <c r="D86" s="9">
        <v>1280164.4099999999</v>
      </c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>
        <v>35068.06</v>
      </c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>
        <v>62242.95</v>
      </c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>
        <v>530832.82999999996</v>
      </c>
      <c r="BB86" s="9"/>
      <c r="BC86" s="9">
        <v>750862.3600000001</v>
      </c>
      <c r="BD86" s="9"/>
      <c r="BE86" s="9">
        <v>9523.4</v>
      </c>
      <c r="BF86" s="9"/>
      <c r="BG86" s="9">
        <v>25544.67</v>
      </c>
      <c r="BH86" s="9"/>
      <c r="BI86" s="9">
        <v>16609.7</v>
      </c>
      <c r="BJ86" s="9"/>
      <c r="BK86" s="9">
        <v>45633.24</v>
      </c>
      <c r="BL86" s="9"/>
      <c r="BM86" s="9">
        <v>752564.46</v>
      </c>
      <c r="BN86" s="9">
        <v>457232.29</v>
      </c>
      <c r="BO86" s="9"/>
      <c r="BP86" s="9">
        <v>295332.15999999997</v>
      </c>
      <c r="BQ86" s="9"/>
      <c r="BR86" s="9">
        <v>18366.259999999998</v>
      </c>
      <c r="BS86" s="9">
        <v>7169.98</v>
      </c>
      <c r="BT86" s="9"/>
      <c r="BU86" s="9">
        <v>11196.28</v>
      </c>
      <c r="BV86" s="9"/>
      <c r="BW86" s="9">
        <v>38800.94</v>
      </c>
      <c r="BX86" s="9">
        <v>13523.84</v>
      </c>
      <c r="BY86" s="9"/>
      <c r="BZ86" s="9">
        <v>25277.09</v>
      </c>
      <c r="CA86" s="9"/>
      <c r="CB86" s="9">
        <v>63279.17</v>
      </c>
      <c r="CC86" s="9">
        <v>1343443.5799999998</v>
      </c>
      <c r="CD86" s="9"/>
      <c r="CE86" s="9"/>
      <c r="CF86" s="9">
        <v>1345961.63</v>
      </c>
      <c r="CG86" s="9">
        <v>995324.12</v>
      </c>
      <c r="CH86" s="9">
        <v>350637.51</v>
      </c>
      <c r="CI86" s="9">
        <v>863702.71000000008</v>
      </c>
      <c r="CJ86" s="9">
        <v>694257.89</v>
      </c>
      <c r="CK86" s="9">
        <v>169444.82</v>
      </c>
      <c r="CL86" s="9">
        <v>482258.92</v>
      </c>
      <c r="CM86" s="9">
        <v>301066.23</v>
      </c>
      <c r="CN86" s="9">
        <v>181192.69</v>
      </c>
      <c r="CO86" s="9">
        <v>362656.28</v>
      </c>
      <c r="CP86" s="9">
        <v>57260.33</v>
      </c>
      <c r="CQ86" s="9">
        <v>305395.95</v>
      </c>
      <c r="CR86" s="9">
        <v>157023.23000000001</v>
      </c>
      <c r="CS86" s="9">
        <v>21760.2</v>
      </c>
      <c r="CT86" s="9">
        <v>135263.03</v>
      </c>
      <c r="CU86" s="9">
        <v>205633.05</v>
      </c>
      <c r="CV86" s="9">
        <v>35500.129999999997</v>
      </c>
      <c r="CW86" s="9">
        <v>170132.92</v>
      </c>
      <c r="CX86" s="9">
        <v>983305.35</v>
      </c>
      <c r="CY86" s="9">
        <v>938063.79</v>
      </c>
      <c r="CZ86" s="9">
        <v>45241.56</v>
      </c>
      <c r="DA86" s="9">
        <v>706679.48</v>
      </c>
      <c r="DB86" s="9">
        <v>672497.69</v>
      </c>
      <c r="DC86" s="9">
        <v>34181.79</v>
      </c>
      <c r="DD86" s="9">
        <v>276625.87</v>
      </c>
      <c r="DE86" s="9">
        <v>265566.09999999998</v>
      </c>
      <c r="DF86" s="9">
        <v>11059.77</v>
      </c>
      <c r="DG86" s="9">
        <v>1576848.2000000002</v>
      </c>
      <c r="DH86" s="9">
        <v>230886.57</v>
      </c>
    </row>
    <row r="87" spans="1:112" x14ac:dyDescent="0.2">
      <c r="A87" s="8" t="s">
        <v>850</v>
      </c>
      <c r="B87" s="8" t="s">
        <v>283</v>
      </c>
      <c r="C87" s="8" t="s">
        <v>285</v>
      </c>
      <c r="D87" s="9">
        <v>1334083.0900000001</v>
      </c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>
        <v>41380.400000000001</v>
      </c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>
        <v>64024.12</v>
      </c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>
        <v>543075.07000000007</v>
      </c>
      <c r="BB87" s="9"/>
      <c r="BC87" s="9">
        <v>793294.06000000017</v>
      </c>
      <c r="BD87" s="9"/>
      <c r="BE87" s="9">
        <v>9342.36</v>
      </c>
      <c r="BF87" s="9"/>
      <c r="BG87" s="9">
        <v>32038.04</v>
      </c>
      <c r="BH87" s="9"/>
      <c r="BI87" s="9">
        <v>17511.93</v>
      </c>
      <c r="BJ87" s="9"/>
      <c r="BK87" s="9">
        <v>46512.18</v>
      </c>
      <c r="BL87" s="9"/>
      <c r="BM87" s="9">
        <v>788877.16</v>
      </c>
      <c r="BN87" s="9">
        <v>469183.07</v>
      </c>
      <c r="BO87" s="9"/>
      <c r="BP87" s="9">
        <v>319694.08000000002</v>
      </c>
      <c r="BQ87" s="9"/>
      <c r="BR87" s="9">
        <v>22564.49</v>
      </c>
      <c r="BS87" s="9">
        <v>7301.19</v>
      </c>
      <c r="BT87" s="9"/>
      <c r="BU87" s="9">
        <v>15263.3</v>
      </c>
      <c r="BV87" s="9"/>
      <c r="BW87" s="9">
        <v>40687.620000000003</v>
      </c>
      <c r="BX87" s="9">
        <v>14345.5</v>
      </c>
      <c r="BY87" s="9"/>
      <c r="BZ87" s="9">
        <v>26342.11</v>
      </c>
      <c r="CA87" s="9"/>
      <c r="CB87" s="9">
        <v>62748.13</v>
      </c>
      <c r="CC87" s="9">
        <v>1396831.2199999995</v>
      </c>
      <c r="CD87" s="9"/>
      <c r="CE87" s="9"/>
      <c r="CF87" s="9">
        <v>1427148.1900000002</v>
      </c>
      <c r="CG87" s="9">
        <v>1060284.56</v>
      </c>
      <c r="CH87" s="9">
        <v>366863.63000000012</v>
      </c>
      <c r="CI87" s="9">
        <v>947789.88</v>
      </c>
      <c r="CJ87" s="9">
        <v>761733.91</v>
      </c>
      <c r="CK87" s="9">
        <v>186055.97</v>
      </c>
      <c r="CL87" s="9">
        <v>479358.31000000011</v>
      </c>
      <c r="CM87" s="9">
        <v>298550.65000000002</v>
      </c>
      <c r="CN87" s="9">
        <v>180807.66</v>
      </c>
      <c r="CO87" s="9">
        <v>371836.13</v>
      </c>
      <c r="CP87" s="9">
        <v>58007.66</v>
      </c>
      <c r="CQ87" s="9">
        <v>313828.46999999997</v>
      </c>
      <c r="CR87" s="9">
        <v>171442.74</v>
      </c>
      <c r="CS87" s="9">
        <v>23595</v>
      </c>
      <c r="CT87" s="9">
        <v>147847.74</v>
      </c>
      <c r="CU87" s="9">
        <v>200393.39</v>
      </c>
      <c r="CV87" s="9">
        <v>34412.660000000003</v>
      </c>
      <c r="CW87" s="9">
        <v>165980.73000000001</v>
      </c>
      <c r="CX87" s="9">
        <v>1055312.06</v>
      </c>
      <c r="CY87" s="9">
        <v>1002276.9</v>
      </c>
      <c r="CZ87" s="9">
        <v>53035.16</v>
      </c>
      <c r="DA87" s="9">
        <v>776347.14</v>
      </c>
      <c r="DB87" s="9">
        <v>738138.91</v>
      </c>
      <c r="DC87" s="9">
        <v>38208.230000000003</v>
      </c>
      <c r="DD87" s="9">
        <v>278964.92</v>
      </c>
      <c r="DE87" s="9">
        <v>264137.99</v>
      </c>
      <c r="DF87" s="9">
        <v>14826.93</v>
      </c>
      <c r="DG87" s="9">
        <v>1637595.92</v>
      </c>
      <c r="DH87" s="9">
        <v>210447.73</v>
      </c>
    </row>
    <row r="88" spans="1:112" x14ac:dyDescent="0.2">
      <c r="A88" s="8" t="s">
        <v>850</v>
      </c>
      <c r="B88" s="8" t="s">
        <v>283</v>
      </c>
      <c r="C88" s="8" t="s">
        <v>286</v>
      </c>
      <c r="D88" s="9">
        <v>1404573.1700000002</v>
      </c>
      <c r="E88" s="9">
        <v>1403761.71</v>
      </c>
      <c r="F88" s="9">
        <v>123648.19</v>
      </c>
      <c r="G88" s="9">
        <v>116167.1</v>
      </c>
      <c r="H88" s="9">
        <v>177812.17</v>
      </c>
      <c r="I88" s="9">
        <v>19065</v>
      </c>
      <c r="J88" s="9">
        <v>141449.71</v>
      </c>
      <c r="K88" s="9">
        <v>422511.38</v>
      </c>
      <c r="L88" s="9">
        <v>58510.2</v>
      </c>
      <c r="M88" s="9">
        <v>29883.759999999998</v>
      </c>
      <c r="N88" s="9">
        <v>0</v>
      </c>
      <c r="O88" s="9">
        <v>8623.5499999999993</v>
      </c>
      <c r="P88" s="9">
        <v>0</v>
      </c>
      <c r="Q88" s="9">
        <v>12955.61</v>
      </c>
      <c r="R88" s="9">
        <v>293135.05</v>
      </c>
      <c r="S88" s="9">
        <v>0</v>
      </c>
      <c r="T88" s="9">
        <v>0</v>
      </c>
      <c r="U88" s="9">
        <v>0</v>
      </c>
      <c r="V88" s="9">
        <v>0</v>
      </c>
      <c r="W88" s="9">
        <v>37639.85</v>
      </c>
      <c r="X88" s="9">
        <v>37715.47</v>
      </c>
      <c r="Y88" s="9">
        <v>729.56</v>
      </c>
      <c r="Z88" s="9">
        <v>6572.24</v>
      </c>
      <c r="AA88" s="9">
        <v>4389.7299999999996</v>
      </c>
      <c r="AB88" s="9">
        <v>1.1599999999999999</v>
      </c>
      <c r="AC88" s="9">
        <v>7845.25</v>
      </c>
      <c r="AD88" s="9">
        <v>6684.23</v>
      </c>
      <c r="AE88" s="9">
        <v>22.36</v>
      </c>
      <c r="AF88" s="9">
        <v>2770.84</v>
      </c>
      <c r="AG88" s="9">
        <v>0</v>
      </c>
      <c r="AH88" s="9">
        <v>278.49</v>
      </c>
      <c r="AI88" s="9">
        <v>0</v>
      </c>
      <c r="AJ88" s="9">
        <v>251.28</v>
      </c>
      <c r="AK88" s="9">
        <v>8170.32</v>
      </c>
      <c r="AL88" s="9">
        <v>61032.24</v>
      </c>
      <c r="AM88" s="9">
        <v>61315.24</v>
      </c>
      <c r="AN88" s="9">
        <v>5737.74</v>
      </c>
      <c r="AO88" s="9">
        <v>2203.0100000000002</v>
      </c>
      <c r="AP88" s="9">
        <v>19528.060000000001</v>
      </c>
      <c r="AQ88" s="9">
        <v>15.26</v>
      </c>
      <c r="AR88" s="9">
        <v>6803.8</v>
      </c>
      <c r="AS88" s="9">
        <v>15672.88</v>
      </c>
      <c r="AT88" s="9">
        <v>435.7</v>
      </c>
      <c r="AU88" s="9">
        <v>925.1</v>
      </c>
      <c r="AV88" s="9">
        <v>0</v>
      </c>
      <c r="AW88" s="9">
        <v>615.84</v>
      </c>
      <c r="AX88" s="9">
        <v>0</v>
      </c>
      <c r="AY88" s="9">
        <v>533.5</v>
      </c>
      <c r="AZ88" s="9">
        <v>8844.32</v>
      </c>
      <c r="BA88" s="9">
        <v>566658.6</v>
      </c>
      <c r="BB88" s="9"/>
      <c r="BC88" s="9">
        <v>840217.24000000011</v>
      </c>
      <c r="BD88" s="9"/>
      <c r="BE88" s="9">
        <v>9908.92</v>
      </c>
      <c r="BF88" s="9"/>
      <c r="BG88" s="9">
        <v>27730.94</v>
      </c>
      <c r="BH88" s="9"/>
      <c r="BI88" s="9">
        <v>17607.88</v>
      </c>
      <c r="BJ88" s="9"/>
      <c r="BK88" s="9">
        <v>43424.36</v>
      </c>
      <c r="BL88" s="9"/>
      <c r="BM88" s="9">
        <v>828236.6</v>
      </c>
      <c r="BN88" s="9">
        <v>490635.41</v>
      </c>
      <c r="BO88" s="9"/>
      <c r="BP88" s="9">
        <v>337601.2</v>
      </c>
      <c r="BQ88" s="9"/>
      <c r="BR88" s="9">
        <v>19379.25</v>
      </c>
      <c r="BS88" s="9">
        <v>6851.84</v>
      </c>
      <c r="BT88" s="9"/>
      <c r="BU88" s="9">
        <v>12527.41</v>
      </c>
      <c r="BV88" s="9"/>
      <c r="BW88" s="9">
        <v>38370.5</v>
      </c>
      <c r="BX88" s="9">
        <v>14551.01</v>
      </c>
      <c r="BY88" s="9"/>
      <c r="BZ88" s="9">
        <v>23819.5</v>
      </c>
      <c r="CA88" s="9"/>
      <c r="CB88" s="9">
        <v>60359.72</v>
      </c>
      <c r="CC88" s="9">
        <v>1464932.89</v>
      </c>
      <c r="CD88" s="9"/>
      <c r="CE88" s="9"/>
      <c r="CF88" s="9">
        <v>1496767.52</v>
      </c>
      <c r="CG88" s="9">
        <v>1080201.48</v>
      </c>
      <c r="CH88" s="9">
        <v>416566.04</v>
      </c>
      <c r="CI88" s="9">
        <v>989130.33</v>
      </c>
      <c r="CJ88" s="9">
        <v>793797.39</v>
      </c>
      <c r="CK88" s="9">
        <v>195332.94</v>
      </c>
      <c r="CL88" s="9">
        <v>507637.19</v>
      </c>
      <c r="CM88" s="9">
        <v>286404.09000000003</v>
      </c>
      <c r="CN88" s="9">
        <v>221233.1</v>
      </c>
      <c r="CO88" s="9">
        <v>403943.4</v>
      </c>
      <c r="CP88" s="9">
        <v>63426.82</v>
      </c>
      <c r="CQ88" s="9">
        <v>340516.58</v>
      </c>
      <c r="CR88" s="9">
        <v>182863.54</v>
      </c>
      <c r="CS88" s="9">
        <v>25933.85</v>
      </c>
      <c r="CT88" s="9">
        <v>156929.69</v>
      </c>
      <c r="CU88" s="9">
        <v>221079.86</v>
      </c>
      <c r="CV88" s="9">
        <v>37492.97</v>
      </c>
      <c r="CW88" s="9">
        <v>183586.89</v>
      </c>
      <c r="CX88" s="9">
        <v>1092824.1200000001</v>
      </c>
      <c r="CY88" s="9">
        <v>1016774.66</v>
      </c>
      <c r="CZ88" s="9">
        <v>76049.460000000006</v>
      </c>
      <c r="DA88" s="9">
        <v>806266.79</v>
      </c>
      <c r="DB88" s="9">
        <v>767863.54</v>
      </c>
      <c r="DC88" s="9">
        <v>38403.25</v>
      </c>
      <c r="DD88" s="9">
        <v>286557.33</v>
      </c>
      <c r="DE88" s="9">
        <v>248911.12</v>
      </c>
      <c r="DF88" s="9">
        <v>37646.21</v>
      </c>
      <c r="DG88" s="9">
        <v>1708589.5199999998</v>
      </c>
      <c r="DH88" s="9">
        <v>211822</v>
      </c>
    </row>
    <row r="89" spans="1:112" x14ac:dyDescent="0.2">
      <c r="A89" s="8" t="s">
        <v>850</v>
      </c>
      <c r="B89" s="8" t="s">
        <v>287</v>
      </c>
      <c r="C89" s="8" t="s">
        <v>288</v>
      </c>
      <c r="D89" s="9">
        <v>1477606.96</v>
      </c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>
        <v>41109.75</v>
      </c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>
        <v>60437.53</v>
      </c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>
        <v>581557.90000000014</v>
      </c>
      <c r="BB89" s="9"/>
      <c r="BC89" s="9">
        <v>898580.19000000006</v>
      </c>
      <c r="BD89" s="9"/>
      <c r="BE89" s="9">
        <v>10709.53</v>
      </c>
      <c r="BF89" s="9"/>
      <c r="BG89" s="9">
        <v>30400.23</v>
      </c>
      <c r="BH89" s="9"/>
      <c r="BI89" s="9">
        <v>18161.71</v>
      </c>
      <c r="BJ89" s="9"/>
      <c r="BK89" s="9">
        <v>42275.82</v>
      </c>
      <c r="BL89" s="9"/>
      <c r="BM89" s="9">
        <v>888046.66</v>
      </c>
      <c r="BN89" s="9">
        <v>505076.79</v>
      </c>
      <c r="BO89" s="9"/>
      <c r="BP89" s="9">
        <v>382969.86</v>
      </c>
      <c r="BQ89" s="9"/>
      <c r="BR89" s="9">
        <v>19889.439999999999</v>
      </c>
      <c r="BS89" s="9">
        <v>7539.11</v>
      </c>
      <c r="BT89" s="9"/>
      <c r="BU89" s="9">
        <v>12350.33</v>
      </c>
      <c r="BV89" s="9"/>
      <c r="BW89" s="9">
        <v>39974</v>
      </c>
      <c r="BX89" s="9">
        <v>15527.92</v>
      </c>
      <c r="BY89" s="9"/>
      <c r="BZ89" s="9">
        <v>24446.080000000002</v>
      </c>
      <c r="CA89" s="9"/>
      <c r="CB89" s="9">
        <v>64223.22</v>
      </c>
      <c r="CC89" s="9">
        <v>1541830.18</v>
      </c>
      <c r="CD89" s="9"/>
      <c r="CE89" s="9"/>
      <c r="CF89" s="9">
        <v>1595044.84</v>
      </c>
      <c r="CG89" s="9">
        <v>1105777.44</v>
      </c>
      <c r="CH89" s="9">
        <v>489267.4</v>
      </c>
      <c r="CI89" s="9">
        <v>1025310.45</v>
      </c>
      <c r="CJ89" s="9">
        <v>808880.16999999993</v>
      </c>
      <c r="CK89" s="9">
        <v>216430.28</v>
      </c>
      <c r="CL89" s="9">
        <v>569734.39</v>
      </c>
      <c r="CM89" s="9">
        <v>296897.27</v>
      </c>
      <c r="CN89" s="9">
        <v>272837.12</v>
      </c>
      <c r="CO89" s="9">
        <v>467249.43999999989</v>
      </c>
      <c r="CP89" s="9">
        <v>70244.87</v>
      </c>
      <c r="CQ89" s="9">
        <v>397004.56999999989</v>
      </c>
      <c r="CR89" s="9">
        <v>200039.84</v>
      </c>
      <c r="CS89" s="9">
        <v>27557.42</v>
      </c>
      <c r="CT89" s="9">
        <v>172482.42</v>
      </c>
      <c r="CU89" s="9">
        <v>267209.59999999998</v>
      </c>
      <c r="CV89" s="9">
        <v>42687.45</v>
      </c>
      <c r="CW89" s="9">
        <v>224522.15</v>
      </c>
      <c r="CX89" s="9">
        <v>1127795.3999999999</v>
      </c>
      <c r="CY89" s="9">
        <v>1035532.57</v>
      </c>
      <c r="CZ89" s="9">
        <v>92262.83</v>
      </c>
      <c r="DA89" s="9">
        <v>825270.61</v>
      </c>
      <c r="DB89" s="9">
        <v>781322.75</v>
      </c>
      <c r="DC89" s="9">
        <v>43947.86</v>
      </c>
      <c r="DD89" s="9">
        <v>302524.78999999998</v>
      </c>
      <c r="DE89" s="9">
        <v>254209.82</v>
      </c>
      <c r="DF89" s="9">
        <v>48314.97</v>
      </c>
      <c r="DG89" s="9">
        <v>1831199.29</v>
      </c>
      <c r="DH89" s="9">
        <v>236154.45</v>
      </c>
    </row>
    <row r="90" spans="1:112" x14ac:dyDescent="0.2">
      <c r="A90" s="8" t="s">
        <v>850</v>
      </c>
      <c r="B90" s="8" t="s">
        <v>287</v>
      </c>
      <c r="C90" s="8" t="s">
        <v>289</v>
      </c>
      <c r="D90" s="9">
        <v>1509738.42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>
        <v>53035.34</v>
      </c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>
        <v>63970</v>
      </c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>
        <v>590818.01</v>
      </c>
      <c r="BB90" s="9"/>
      <c r="BC90" s="9">
        <v>921067.31</v>
      </c>
      <c r="BD90" s="9"/>
      <c r="BE90" s="9">
        <v>11549.88</v>
      </c>
      <c r="BF90" s="9"/>
      <c r="BG90" s="9">
        <v>41485.47</v>
      </c>
      <c r="BH90" s="9"/>
      <c r="BI90" s="9">
        <v>20171.259999999998</v>
      </c>
      <c r="BJ90" s="9"/>
      <c r="BK90" s="9">
        <v>43798.73</v>
      </c>
      <c r="BL90" s="9"/>
      <c r="BM90" s="9">
        <v>905032.6</v>
      </c>
      <c r="BN90" s="9">
        <v>514552.14</v>
      </c>
      <c r="BO90" s="9"/>
      <c r="BP90" s="9">
        <v>390480.48</v>
      </c>
      <c r="BQ90" s="9"/>
      <c r="BR90" s="9">
        <v>28781.26</v>
      </c>
      <c r="BS90" s="9">
        <v>8023.81</v>
      </c>
      <c r="BT90" s="9"/>
      <c r="BU90" s="9">
        <v>20757.46</v>
      </c>
      <c r="BV90" s="9"/>
      <c r="BW90" s="9">
        <v>42469.43</v>
      </c>
      <c r="BX90" s="9">
        <v>16955.400000000001</v>
      </c>
      <c r="BY90" s="9"/>
      <c r="BZ90" s="9">
        <v>25514.03</v>
      </c>
      <c r="CA90" s="9"/>
      <c r="CB90" s="9">
        <v>64773.38</v>
      </c>
      <c r="CC90" s="9">
        <v>1574511.7999999998</v>
      </c>
      <c r="CD90" s="9"/>
      <c r="CE90" s="9"/>
      <c r="CF90" s="9">
        <v>1663469.64</v>
      </c>
      <c r="CG90" s="9">
        <v>1150684.5</v>
      </c>
      <c r="CH90" s="9">
        <v>512785.14</v>
      </c>
      <c r="CI90" s="9">
        <v>1087425.9099999999</v>
      </c>
      <c r="CJ90" s="9">
        <v>850544.49</v>
      </c>
      <c r="CK90" s="9">
        <v>236881.42</v>
      </c>
      <c r="CL90" s="9">
        <v>576043.72999999986</v>
      </c>
      <c r="CM90" s="9">
        <v>300140.01</v>
      </c>
      <c r="CN90" s="9">
        <v>275903.71999999997</v>
      </c>
      <c r="CO90" s="9">
        <v>486478.46</v>
      </c>
      <c r="CP90" s="9">
        <v>69629.289999999994</v>
      </c>
      <c r="CQ90" s="9">
        <v>416849.17</v>
      </c>
      <c r="CR90" s="9">
        <v>218955.16</v>
      </c>
      <c r="CS90" s="9">
        <v>30178.07</v>
      </c>
      <c r="CT90" s="9">
        <v>188777.09</v>
      </c>
      <c r="CU90" s="9">
        <v>267523.3</v>
      </c>
      <c r="CV90" s="9">
        <v>39451.22</v>
      </c>
      <c r="CW90" s="9">
        <v>228072.08</v>
      </c>
      <c r="CX90" s="9">
        <v>1176991.18</v>
      </c>
      <c r="CY90" s="9">
        <v>1081055.21</v>
      </c>
      <c r="CZ90" s="9">
        <v>95935.97</v>
      </c>
      <c r="DA90" s="9">
        <v>868470.75</v>
      </c>
      <c r="DB90" s="9">
        <v>820366.41999999993</v>
      </c>
      <c r="DC90" s="9">
        <v>48104.33</v>
      </c>
      <c r="DD90" s="9">
        <v>308520.43000000011</v>
      </c>
      <c r="DE90" s="9">
        <v>260688.79</v>
      </c>
      <c r="DF90" s="9">
        <v>47831.64</v>
      </c>
      <c r="DG90" s="9">
        <v>1906583.82</v>
      </c>
      <c r="DH90" s="9">
        <v>243114.18</v>
      </c>
    </row>
    <row r="91" spans="1:112" x14ac:dyDescent="0.2">
      <c r="A91" s="8" t="s">
        <v>850</v>
      </c>
      <c r="B91" s="8" t="s">
        <v>287</v>
      </c>
      <c r="C91" s="8" t="s">
        <v>290</v>
      </c>
      <c r="D91" s="9">
        <v>1600220.65</v>
      </c>
      <c r="E91" s="9">
        <v>1599162.25</v>
      </c>
      <c r="F91" s="9">
        <v>126456.54</v>
      </c>
      <c r="G91" s="9">
        <v>144765.35999999999</v>
      </c>
      <c r="H91" s="9">
        <v>210484.82</v>
      </c>
      <c r="I91" s="9">
        <v>20932.45</v>
      </c>
      <c r="J91" s="9">
        <v>225547.98</v>
      </c>
      <c r="K91" s="9">
        <v>462616.1</v>
      </c>
      <c r="L91" s="9">
        <v>33066.9</v>
      </c>
      <c r="M91" s="9">
        <v>36224.839999999997</v>
      </c>
      <c r="N91" s="9">
        <v>0</v>
      </c>
      <c r="O91" s="9">
        <v>19796.669999999998</v>
      </c>
      <c r="P91" s="9">
        <v>0</v>
      </c>
      <c r="Q91" s="9">
        <v>12089.12</v>
      </c>
      <c r="R91" s="9">
        <v>307181.45</v>
      </c>
      <c r="S91" s="9">
        <v>0</v>
      </c>
      <c r="T91" s="9">
        <v>0</v>
      </c>
      <c r="U91" s="9">
        <v>0</v>
      </c>
      <c r="V91" s="9">
        <v>0</v>
      </c>
      <c r="W91" s="9">
        <v>44728.77</v>
      </c>
      <c r="X91" s="9">
        <v>44787.86</v>
      </c>
      <c r="Y91" s="9">
        <v>825.53</v>
      </c>
      <c r="Z91" s="9">
        <v>5457.06</v>
      </c>
      <c r="AA91" s="9">
        <v>5376.84</v>
      </c>
      <c r="AB91" s="9">
        <v>623.07000000000005</v>
      </c>
      <c r="AC91" s="9">
        <v>5598.31</v>
      </c>
      <c r="AD91" s="9">
        <v>11324.8</v>
      </c>
      <c r="AE91" s="9">
        <v>109.12</v>
      </c>
      <c r="AF91" s="9">
        <v>6554.44</v>
      </c>
      <c r="AG91" s="9">
        <v>0</v>
      </c>
      <c r="AH91" s="9">
        <v>204.59</v>
      </c>
      <c r="AI91" s="9">
        <v>0</v>
      </c>
      <c r="AJ91" s="9">
        <v>473.28</v>
      </c>
      <c r="AK91" s="9">
        <v>8240.81</v>
      </c>
      <c r="AL91" s="9">
        <v>61861.23</v>
      </c>
      <c r="AM91" s="9">
        <v>61760.78</v>
      </c>
      <c r="AN91" s="9">
        <v>4342.6400000000003</v>
      </c>
      <c r="AO91" s="9">
        <v>1904.29</v>
      </c>
      <c r="AP91" s="9">
        <v>17684.23</v>
      </c>
      <c r="AQ91" s="9">
        <v>58.92</v>
      </c>
      <c r="AR91" s="9">
        <v>8773.42</v>
      </c>
      <c r="AS91" s="9">
        <v>16941.759999999998</v>
      </c>
      <c r="AT91" s="9">
        <v>688.65</v>
      </c>
      <c r="AU91" s="9">
        <v>1864.71</v>
      </c>
      <c r="AV91" s="9">
        <v>0</v>
      </c>
      <c r="AW91" s="9">
        <v>365.38</v>
      </c>
      <c r="AX91" s="9">
        <v>0</v>
      </c>
      <c r="AY91" s="9">
        <v>430.88</v>
      </c>
      <c r="AZ91" s="9">
        <v>8705.89</v>
      </c>
      <c r="BA91" s="9">
        <v>616179.46999999986</v>
      </c>
      <c r="BB91" s="9"/>
      <c r="BC91" s="9">
        <v>986174.07</v>
      </c>
      <c r="BD91" s="9"/>
      <c r="BE91" s="9">
        <v>11363.05</v>
      </c>
      <c r="BF91" s="9"/>
      <c r="BG91" s="9">
        <v>33365.72</v>
      </c>
      <c r="BH91" s="9"/>
      <c r="BI91" s="9">
        <v>19453.07</v>
      </c>
      <c r="BJ91" s="9"/>
      <c r="BK91" s="9">
        <v>42408.160000000003</v>
      </c>
      <c r="BL91" s="9"/>
      <c r="BM91" s="9">
        <v>1000083.59</v>
      </c>
      <c r="BN91" s="9">
        <v>535601.86</v>
      </c>
      <c r="BO91" s="9"/>
      <c r="BP91" s="9">
        <v>464481.71</v>
      </c>
      <c r="BQ91" s="9"/>
      <c r="BR91" s="9">
        <v>23380.54</v>
      </c>
      <c r="BS91" s="9">
        <v>7755.45</v>
      </c>
      <c r="BT91" s="9"/>
      <c r="BU91" s="9">
        <v>15625.08</v>
      </c>
      <c r="BV91" s="9"/>
      <c r="BW91" s="9">
        <v>41709.58</v>
      </c>
      <c r="BX91" s="9">
        <v>16397.87</v>
      </c>
      <c r="BY91" s="9"/>
      <c r="BZ91" s="9">
        <v>25311.71</v>
      </c>
      <c r="CA91" s="9"/>
      <c r="CB91" s="9">
        <v>65470.78</v>
      </c>
      <c r="CC91" s="9">
        <v>1665691.4300000002</v>
      </c>
      <c r="CD91" s="9"/>
      <c r="CE91" s="9"/>
      <c r="CF91" s="9">
        <v>1719350.6800000002</v>
      </c>
      <c r="CG91" s="9">
        <v>1192872.5900000001</v>
      </c>
      <c r="CH91" s="9">
        <v>526478.09000000008</v>
      </c>
      <c r="CI91" s="9">
        <v>1152302.25</v>
      </c>
      <c r="CJ91" s="9">
        <v>891693.72</v>
      </c>
      <c r="CK91" s="9">
        <v>260608.53</v>
      </c>
      <c r="CL91" s="9">
        <v>567048.43000000005</v>
      </c>
      <c r="CM91" s="9">
        <v>301178.87</v>
      </c>
      <c r="CN91" s="9">
        <v>265869.56</v>
      </c>
      <c r="CO91" s="9">
        <v>486790.31</v>
      </c>
      <c r="CP91" s="9">
        <v>73531.44</v>
      </c>
      <c r="CQ91" s="9">
        <v>413258.87</v>
      </c>
      <c r="CR91" s="9">
        <v>236077.35</v>
      </c>
      <c r="CS91" s="9">
        <v>34487.58</v>
      </c>
      <c r="CT91" s="9">
        <v>201589.77</v>
      </c>
      <c r="CU91" s="9">
        <v>250712.95999999999</v>
      </c>
      <c r="CV91" s="9">
        <v>39043.86</v>
      </c>
      <c r="CW91" s="9">
        <v>211669.1</v>
      </c>
      <c r="CX91" s="9">
        <v>1232560.3700000001</v>
      </c>
      <c r="CY91" s="9">
        <v>1119341.1499999999</v>
      </c>
      <c r="CZ91" s="9">
        <v>113219.22</v>
      </c>
      <c r="DA91" s="9">
        <v>916224.9</v>
      </c>
      <c r="DB91" s="9">
        <v>857206.14</v>
      </c>
      <c r="DC91" s="9">
        <v>59018.76</v>
      </c>
      <c r="DD91" s="9">
        <v>316335.46999999997</v>
      </c>
      <c r="DE91" s="9">
        <v>262135.01</v>
      </c>
      <c r="DF91" s="9">
        <v>54200.46</v>
      </c>
      <c r="DG91" s="9">
        <v>1952496.03</v>
      </c>
      <c r="DH91" s="9">
        <v>233145.35</v>
      </c>
    </row>
    <row r="92" spans="1:112" x14ac:dyDescent="0.2">
      <c r="A92" s="8" t="s">
        <v>850</v>
      </c>
      <c r="B92" s="8" t="s">
        <v>291</v>
      </c>
      <c r="C92" s="8" t="s">
        <v>292</v>
      </c>
      <c r="D92" s="9">
        <v>1640370.47</v>
      </c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>
        <v>46345.47</v>
      </c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>
        <v>65697.240000000005</v>
      </c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>
        <v>643527.86</v>
      </c>
      <c r="BB92" s="9"/>
      <c r="BC92" s="9">
        <v>997889.48000000021</v>
      </c>
      <c r="BD92" s="9"/>
      <c r="BE92" s="9">
        <v>11859.63</v>
      </c>
      <c r="BF92" s="9"/>
      <c r="BG92" s="9">
        <v>34485.83</v>
      </c>
      <c r="BH92" s="9"/>
      <c r="BI92" s="9">
        <v>19544.12</v>
      </c>
      <c r="BJ92" s="9"/>
      <c r="BK92" s="9">
        <v>46153.120000000003</v>
      </c>
      <c r="BL92" s="9"/>
      <c r="BM92" s="9">
        <v>1055637.1599999999</v>
      </c>
      <c r="BN92" s="9">
        <v>558011.03</v>
      </c>
      <c r="BO92" s="9"/>
      <c r="BP92" s="9">
        <v>497626.13</v>
      </c>
      <c r="BQ92" s="9"/>
      <c r="BR92" s="9">
        <v>27000.75</v>
      </c>
      <c r="BS92" s="9">
        <v>8202.66</v>
      </c>
      <c r="BT92" s="9"/>
      <c r="BU92" s="9">
        <v>18798.09</v>
      </c>
      <c r="BV92" s="9"/>
      <c r="BW92" s="9">
        <v>42189.01</v>
      </c>
      <c r="BX92" s="9">
        <v>16592.38</v>
      </c>
      <c r="BY92" s="9"/>
      <c r="BZ92" s="9">
        <v>25596.63</v>
      </c>
      <c r="CA92" s="9"/>
      <c r="CB92" s="9">
        <v>63684.57</v>
      </c>
      <c r="CC92" s="9">
        <v>1704055.04</v>
      </c>
      <c r="CD92" s="9"/>
      <c r="CE92" s="9"/>
      <c r="CF92" s="9">
        <v>1790860.11</v>
      </c>
      <c r="CG92" s="9">
        <v>1236524.73</v>
      </c>
      <c r="CH92" s="9">
        <v>554335.38</v>
      </c>
      <c r="CI92" s="9">
        <v>1195784.8799999999</v>
      </c>
      <c r="CJ92" s="9">
        <v>932458.1</v>
      </c>
      <c r="CK92" s="9">
        <v>263326.78000000003</v>
      </c>
      <c r="CL92" s="9">
        <v>595075.23</v>
      </c>
      <c r="CM92" s="9">
        <v>304066.63</v>
      </c>
      <c r="CN92" s="9">
        <v>291008.59999999998</v>
      </c>
      <c r="CO92" s="9">
        <v>498691.9</v>
      </c>
      <c r="CP92" s="9">
        <v>73941.56</v>
      </c>
      <c r="CQ92" s="9">
        <v>424750.34</v>
      </c>
      <c r="CR92" s="9">
        <v>226296.71</v>
      </c>
      <c r="CS92" s="9">
        <v>35541.89</v>
      </c>
      <c r="CT92" s="9">
        <v>190754.82</v>
      </c>
      <c r="CU92" s="9">
        <v>272395.19</v>
      </c>
      <c r="CV92" s="9">
        <v>38399.67</v>
      </c>
      <c r="CW92" s="9">
        <v>233995.51999999999</v>
      </c>
      <c r="CX92" s="9">
        <v>1292168.21</v>
      </c>
      <c r="CY92" s="9">
        <v>1162583.17</v>
      </c>
      <c r="CZ92" s="9">
        <v>129585.04</v>
      </c>
      <c r="DA92" s="9">
        <v>969488.17</v>
      </c>
      <c r="DB92" s="9">
        <v>896916.21</v>
      </c>
      <c r="DC92" s="9">
        <v>72571.960000000006</v>
      </c>
      <c r="DD92" s="9">
        <v>322680.03999999998</v>
      </c>
      <c r="DE92" s="9">
        <v>265666.96000000002</v>
      </c>
      <c r="DF92" s="9">
        <v>57013.08</v>
      </c>
      <c r="DG92" s="9">
        <v>2026743.1</v>
      </c>
      <c r="DH92" s="9">
        <v>235882.99</v>
      </c>
    </row>
    <row r="93" spans="1:112" x14ac:dyDescent="0.2">
      <c r="A93" s="8" t="s">
        <v>850</v>
      </c>
      <c r="B93" s="8" t="s">
        <v>291</v>
      </c>
      <c r="C93" s="8" t="s">
        <v>293</v>
      </c>
      <c r="D93" s="9">
        <v>1808108.92</v>
      </c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>
        <v>45029.33</v>
      </c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>
        <v>64112.32</v>
      </c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>
        <v>701676.47</v>
      </c>
      <c r="BB93" s="9"/>
      <c r="BC93" s="9">
        <v>1108014.6000000001</v>
      </c>
      <c r="BD93" s="9"/>
      <c r="BE93" s="9">
        <v>12127.51</v>
      </c>
      <c r="BF93" s="9"/>
      <c r="BG93" s="9">
        <v>32901.83</v>
      </c>
      <c r="BH93" s="9"/>
      <c r="BI93" s="9">
        <v>19956.689999999999</v>
      </c>
      <c r="BJ93" s="9"/>
      <c r="BK93" s="9">
        <v>44155.63</v>
      </c>
      <c r="BL93" s="9"/>
      <c r="BM93" s="9">
        <v>1175686.9300000002</v>
      </c>
      <c r="BN93" s="9">
        <v>615333.4</v>
      </c>
      <c r="BO93" s="9"/>
      <c r="BP93" s="9">
        <v>560353.53999999992</v>
      </c>
      <c r="BQ93" s="9"/>
      <c r="BR93" s="9">
        <v>23785.5</v>
      </c>
      <c r="BS93" s="9">
        <v>8387.06</v>
      </c>
      <c r="BT93" s="9"/>
      <c r="BU93" s="9">
        <v>15398.45</v>
      </c>
      <c r="BV93" s="9"/>
      <c r="BW93" s="9">
        <v>42598.19</v>
      </c>
      <c r="BX93" s="9">
        <v>16945.98</v>
      </c>
      <c r="BY93" s="9"/>
      <c r="BZ93" s="9">
        <v>25652.2</v>
      </c>
      <c r="CA93" s="9"/>
      <c r="CB93" s="9">
        <v>58762.11</v>
      </c>
      <c r="CC93" s="9">
        <v>1866871.0300000005</v>
      </c>
      <c r="CD93" s="9"/>
      <c r="CE93" s="9"/>
      <c r="CF93" s="9">
        <v>1874451.5300000005</v>
      </c>
      <c r="CG93" s="9">
        <v>1282710.73</v>
      </c>
      <c r="CH93" s="9">
        <v>591740.79999999993</v>
      </c>
      <c r="CI93" s="9">
        <v>1237341.8899999999</v>
      </c>
      <c r="CJ93" s="9">
        <v>956942.38</v>
      </c>
      <c r="CK93" s="9">
        <v>280399.51</v>
      </c>
      <c r="CL93" s="9">
        <v>637109.64</v>
      </c>
      <c r="CM93" s="9">
        <v>325768.34999999998</v>
      </c>
      <c r="CN93" s="9">
        <v>311341.28999999998</v>
      </c>
      <c r="CO93" s="9">
        <v>524046.36</v>
      </c>
      <c r="CP93" s="9">
        <v>74503.89</v>
      </c>
      <c r="CQ93" s="9">
        <v>449542.47</v>
      </c>
      <c r="CR93" s="9">
        <v>241607.85</v>
      </c>
      <c r="CS93" s="9">
        <v>38509.9</v>
      </c>
      <c r="CT93" s="9">
        <v>203097.95</v>
      </c>
      <c r="CU93" s="9">
        <v>282438.51</v>
      </c>
      <c r="CV93" s="9">
        <v>35993.99</v>
      </c>
      <c r="CW93" s="9">
        <v>246444.52</v>
      </c>
      <c r="CX93" s="9">
        <v>1350405.17</v>
      </c>
      <c r="CY93" s="9">
        <v>1208206.8400000001</v>
      </c>
      <c r="CZ93" s="9">
        <v>142198.32999999999</v>
      </c>
      <c r="DA93" s="9">
        <v>995734.04</v>
      </c>
      <c r="DB93" s="9">
        <v>918432.48</v>
      </c>
      <c r="DC93" s="9">
        <v>77301.56</v>
      </c>
      <c r="DD93" s="9">
        <v>354671.13</v>
      </c>
      <c r="DE93" s="9">
        <v>289774.36</v>
      </c>
      <c r="DF93" s="9">
        <v>64896.77</v>
      </c>
      <c r="DG93" s="9">
        <v>2035946.76</v>
      </c>
      <c r="DH93" s="9">
        <v>161495.23000000001</v>
      </c>
    </row>
    <row r="94" spans="1:112" x14ac:dyDescent="0.2">
      <c r="A94" s="8" t="s">
        <v>850</v>
      </c>
      <c r="B94" s="8" t="s">
        <v>291</v>
      </c>
      <c r="C94" s="8" t="s">
        <v>294</v>
      </c>
      <c r="D94" s="9">
        <v>1859120.88</v>
      </c>
      <c r="E94" s="9">
        <v>1861356.42</v>
      </c>
      <c r="F94" s="9">
        <v>153064.99</v>
      </c>
      <c r="G94" s="9">
        <v>188040.34</v>
      </c>
      <c r="H94" s="9">
        <v>241535.7</v>
      </c>
      <c r="I94" s="9">
        <v>30271.18</v>
      </c>
      <c r="J94" s="9">
        <v>276766.40000000002</v>
      </c>
      <c r="K94" s="9">
        <v>498606.3</v>
      </c>
      <c r="L94" s="9">
        <v>31066.34</v>
      </c>
      <c r="M94" s="9">
        <v>41235.39</v>
      </c>
      <c r="N94" s="9">
        <v>0</v>
      </c>
      <c r="O94" s="9">
        <v>22336.36</v>
      </c>
      <c r="P94" s="9">
        <v>0</v>
      </c>
      <c r="Q94" s="9">
        <v>13420.87</v>
      </c>
      <c r="R94" s="9">
        <v>365012.56</v>
      </c>
      <c r="S94" s="9">
        <v>0</v>
      </c>
      <c r="T94" s="9">
        <v>0</v>
      </c>
      <c r="U94" s="9">
        <v>0</v>
      </c>
      <c r="V94" s="9">
        <v>0</v>
      </c>
      <c r="W94" s="9">
        <v>50142.32</v>
      </c>
      <c r="X94" s="9">
        <v>50194.09</v>
      </c>
      <c r="Y94" s="9">
        <v>745.92</v>
      </c>
      <c r="Z94" s="9">
        <v>7984.14</v>
      </c>
      <c r="AA94" s="9">
        <v>14791.64</v>
      </c>
      <c r="AB94" s="9">
        <v>613.97</v>
      </c>
      <c r="AC94" s="9">
        <v>4406.29</v>
      </c>
      <c r="AD94" s="9">
        <v>8670.43</v>
      </c>
      <c r="AE94" s="9">
        <v>380.25</v>
      </c>
      <c r="AF94" s="9">
        <v>2320.04</v>
      </c>
      <c r="AG94" s="9">
        <v>0</v>
      </c>
      <c r="AH94" s="9">
        <v>14.39</v>
      </c>
      <c r="AI94" s="9">
        <v>0</v>
      </c>
      <c r="AJ94" s="9">
        <v>211.34</v>
      </c>
      <c r="AK94" s="9">
        <v>10055.700000000001</v>
      </c>
      <c r="AL94" s="9">
        <v>69059.02</v>
      </c>
      <c r="AM94" s="9">
        <v>68926.09</v>
      </c>
      <c r="AN94" s="9">
        <v>4753.97</v>
      </c>
      <c r="AO94" s="9">
        <v>3868.93</v>
      </c>
      <c r="AP94" s="9">
        <v>16204.2</v>
      </c>
      <c r="AQ94" s="9">
        <v>8.75</v>
      </c>
      <c r="AR94" s="9">
        <v>6511.67</v>
      </c>
      <c r="AS94" s="9">
        <v>24701.57</v>
      </c>
      <c r="AT94" s="9">
        <v>438.11</v>
      </c>
      <c r="AU94" s="9">
        <v>1857.38</v>
      </c>
      <c r="AV94" s="9">
        <v>0</v>
      </c>
      <c r="AW94" s="9">
        <v>48.51</v>
      </c>
      <c r="AX94" s="9">
        <v>0</v>
      </c>
      <c r="AY94" s="9">
        <v>1500.14</v>
      </c>
      <c r="AZ94" s="9">
        <v>9032.86</v>
      </c>
      <c r="BA94" s="9">
        <v>733341.05000000028</v>
      </c>
      <c r="BB94" s="9"/>
      <c r="BC94" s="9">
        <v>1127497.3400000001</v>
      </c>
      <c r="BD94" s="9"/>
      <c r="BE94" s="9">
        <v>11802.61</v>
      </c>
      <c r="BF94" s="9"/>
      <c r="BG94" s="9">
        <v>38339.71</v>
      </c>
      <c r="BH94" s="9"/>
      <c r="BI94" s="9">
        <v>21410.58</v>
      </c>
      <c r="BJ94" s="9"/>
      <c r="BK94" s="9">
        <v>47648.44</v>
      </c>
      <c r="BL94" s="9"/>
      <c r="BM94" s="9">
        <v>1234339.8000000005</v>
      </c>
      <c r="BN94" s="9">
        <v>649169.63000000012</v>
      </c>
      <c r="BO94" s="9"/>
      <c r="BP94" s="9">
        <v>585170.16999999993</v>
      </c>
      <c r="BQ94" s="9"/>
      <c r="BR94" s="9">
        <v>33585.839999999997</v>
      </c>
      <c r="BS94" s="9">
        <v>7307.93</v>
      </c>
      <c r="BT94" s="9"/>
      <c r="BU94" s="9">
        <v>26277.91</v>
      </c>
      <c r="BV94" s="9"/>
      <c r="BW94" s="9">
        <v>45504.28</v>
      </c>
      <c r="BX94" s="9">
        <v>18024.650000000001</v>
      </c>
      <c r="BY94" s="9"/>
      <c r="BZ94" s="9">
        <v>27479.63</v>
      </c>
      <c r="CA94" s="9"/>
      <c r="CB94" s="9">
        <v>54763.16</v>
      </c>
      <c r="CC94" s="9">
        <v>1913884.04</v>
      </c>
      <c r="CD94" s="9"/>
      <c r="CE94" s="9"/>
      <c r="CF94" s="9">
        <v>1893970.31</v>
      </c>
      <c r="CG94" s="9">
        <v>1307635.02</v>
      </c>
      <c r="CH94" s="9">
        <v>586335.28999999992</v>
      </c>
      <c r="CI94" s="9">
        <v>1252183.74</v>
      </c>
      <c r="CJ94" s="9">
        <v>963436.51</v>
      </c>
      <c r="CK94" s="9">
        <v>288747.23</v>
      </c>
      <c r="CL94" s="9">
        <v>641786.56999999995</v>
      </c>
      <c r="CM94" s="9">
        <v>344198.51</v>
      </c>
      <c r="CN94" s="9">
        <v>297588.05999999988</v>
      </c>
      <c r="CO94" s="9">
        <v>535781.98</v>
      </c>
      <c r="CP94" s="9">
        <v>76485.8</v>
      </c>
      <c r="CQ94" s="9">
        <v>459296.18</v>
      </c>
      <c r="CR94" s="9">
        <v>244103.97</v>
      </c>
      <c r="CS94" s="9">
        <v>42009.66</v>
      </c>
      <c r="CT94" s="9">
        <v>202094.31</v>
      </c>
      <c r="CU94" s="9">
        <v>291678.01</v>
      </c>
      <c r="CV94" s="9">
        <v>34476.14</v>
      </c>
      <c r="CW94" s="9">
        <v>257201.87</v>
      </c>
      <c r="CX94" s="9">
        <v>1358188.3299999998</v>
      </c>
      <c r="CY94" s="9">
        <v>1231149.22</v>
      </c>
      <c r="CZ94" s="9">
        <v>127039.11</v>
      </c>
      <c r="DA94" s="9">
        <v>1008079.77</v>
      </c>
      <c r="DB94" s="9">
        <v>921426.85</v>
      </c>
      <c r="DC94" s="9">
        <v>86652.92</v>
      </c>
      <c r="DD94" s="9">
        <v>350108.55999999988</v>
      </c>
      <c r="DE94" s="9">
        <v>309722.37</v>
      </c>
      <c r="DF94" s="9">
        <v>40386.19</v>
      </c>
      <c r="DG94" s="9">
        <v>2068345.26</v>
      </c>
      <c r="DH94" s="9">
        <v>174374.95</v>
      </c>
    </row>
    <row r="95" spans="1:112" x14ac:dyDescent="0.2">
      <c r="A95" s="8" t="s">
        <v>850</v>
      </c>
      <c r="B95" s="8" t="s">
        <v>295</v>
      </c>
      <c r="C95" s="8" t="s">
        <v>296</v>
      </c>
      <c r="D95" s="9">
        <v>1929678.83</v>
      </c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>
        <v>50420.83</v>
      </c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>
        <v>66450.52</v>
      </c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>
        <v>772387.79</v>
      </c>
      <c r="BB95" s="9"/>
      <c r="BC95" s="9">
        <v>1159834.8500000003</v>
      </c>
      <c r="BD95" s="9"/>
      <c r="BE95" s="9">
        <v>10363.35</v>
      </c>
      <c r="BF95" s="9"/>
      <c r="BG95" s="9">
        <v>40057.480000000003</v>
      </c>
      <c r="BH95" s="9"/>
      <c r="BI95" s="9">
        <v>21640.35</v>
      </c>
      <c r="BJ95" s="9"/>
      <c r="BK95" s="9">
        <v>44810.16</v>
      </c>
      <c r="BL95" s="9"/>
      <c r="BM95" s="9">
        <v>1315581.74</v>
      </c>
      <c r="BN95" s="9">
        <v>687645.39</v>
      </c>
      <c r="BO95" s="9"/>
      <c r="BP95" s="9">
        <v>627936.35000000021</v>
      </c>
      <c r="BQ95" s="9"/>
      <c r="BR95" s="9">
        <v>34101.82</v>
      </c>
      <c r="BS95" s="9">
        <v>6465.75</v>
      </c>
      <c r="BT95" s="9"/>
      <c r="BU95" s="9">
        <v>27636.07</v>
      </c>
      <c r="BV95" s="9"/>
      <c r="BW95" s="9">
        <v>45471.46</v>
      </c>
      <c r="BX95" s="9">
        <v>18099.97</v>
      </c>
      <c r="BY95" s="9"/>
      <c r="BZ95" s="9">
        <v>27371.49</v>
      </c>
      <c r="CA95" s="9"/>
      <c r="CB95" s="9">
        <v>49167.38</v>
      </c>
      <c r="CC95" s="9">
        <v>1978846.21</v>
      </c>
      <c r="CD95" s="9"/>
      <c r="CE95" s="9"/>
      <c r="CF95" s="9">
        <v>1970179.69</v>
      </c>
      <c r="CG95" s="9">
        <v>1347531.46</v>
      </c>
      <c r="CH95" s="9">
        <v>622648.23</v>
      </c>
      <c r="CI95" s="9">
        <v>1291237.3500000001</v>
      </c>
      <c r="CJ95" s="9">
        <v>984151.27</v>
      </c>
      <c r="CK95" s="9">
        <v>307086.08000000002</v>
      </c>
      <c r="CL95" s="9">
        <v>678942.34</v>
      </c>
      <c r="CM95" s="9">
        <v>363380.19</v>
      </c>
      <c r="CN95" s="9">
        <v>315562.15000000002</v>
      </c>
      <c r="CO95" s="9">
        <v>571356.15999999992</v>
      </c>
      <c r="CP95" s="9">
        <v>81868.320000000007</v>
      </c>
      <c r="CQ95" s="9">
        <v>489487.84</v>
      </c>
      <c r="CR95" s="9">
        <v>255183.1</v>
      </c>
      <c r="CS95" s="9">
        <v>42434.99</v>
      </c>
      <c r="CT95" s="9">
        <v>212748.11</v>
      </c>
      <c r="CU95" s="9">
        <v>316173.06</v>
      </c>
      <c r="CV95" s="9">
        <v>39433.33</v>
      </c>
      <c r="CW95" s="9">
        <v>276739.73</v>
      </c>
      <c r="CX95" s="9">
        <v>1398823.53</v>
      </c>
      <c r="CY95" s="9">
        <v>1265663.1399999999</v>
      </c>
      <c r="CZ95" s="9">
        <v>133160.39000000001</v>
      </c>
      <c r="DA95" s="9">
        <v>1036054.25</v>
      </c>
      <c r="DB95" s="9">
        <v>941716.28</v>
      </c>
      <c r="DC95" s="9">
        <v>94337.97</v>
      </c>
      <c r="DD95" s="9">
        <v>362769.28</v>
      </c>
      <c r="DE95" s="9">
        <v>323946.86</v>
      </c>
      <c r="DF95" s="9">
        <v>38822.42</v>
      </c>
      <c r="DG95" s="9">
        <v>2150639.88</v>
      </c>
      <c r="DH95" s="9">
        <v>180460.19</v>
      </c>
    </row>
    <row r="96" spans="1:112" x14ac:dyDescent="0.2">
      <c r="A96" s="8" t="s">
        <v>850</v>
      </c>
      <c r="B96" s="8" t="s">
        <v>295</v>
      </c>
      <c r="C96" s="8" t="s">
        <v>297</v>
      </c>
      <c r="D96" s="9">
        <v>1961078.67</v>
      </c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>
        <v>44600.62</v>
      </c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>
        <v>65554.570000000007</v>
      </c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>
        <v>798409.32000000007</v>
      </c>
      <c r="BB96" s="9"/>
      <c r="BC96" s="9">
        <v>1165114</v>
      </c>
      <c r="BD96" s="9"/>
      <c r="BE96" s="9">
        <v>8864.5300000000007</v>
      </c>
      <c r="BF96" s="9"/>
      <c r="BG96" s="9">
        <v>35736.080000000002</v>
      </c>
      <c r="BH96" s="9"/>
      <c r="BI96" s="9">
        <v>21775.39</v>
      </c>
      <c r="BJ96" s="9"/>
      <c r="BK96" s="9">
        <v>43779.19</v>
      </c>
      <c r="BL96" s="9"/>
      <c r="BM96" s="9">
        <v>1354980.81</v>
      </c>
      <c r="BN96" s="9">
        <v>717494.57</v>
      </c>
      <c r="BO96" s="9"/>
      <c r="BP96" s="9">
        <v>637486.25000000012</v>
      </c>
      <c r="BQ96" s="9"/>
      <c r="BR96" s="9">
        <v>28612.31</v>
      </c>
      <c r="BS96" s="9">
        <v>6378.38</v>
      </c>
      <c r="BT96" s="9"/>
      <c r="BU96" s="9">
        <v>22233.93</v>
      </c>
      <c r="BV96" s="9"/>
      <c r="BW96" s="9">
        <v>44363.86</v>
      </c>
      <c r="BX96" s="9">
        <v>17945.21</v>
      </c>
      <c r="BY96" s="9"/>
      <c r="BZ96" s="9">
        <v>26418.66</v>
      </c>
      <c r="CA96" s="9"/>
      <c r="CB96" s="9">
        <v>44203.519999999997</v>
      </c>
      <c r="CC96" s="9">
        <v>2005282.19</v>
      </c>
      <c r="CD96" s="9"/>
      <c r="CE96" s="9"/>
      <c r="CF96" s="9">
        <v>1943696.67</v>
      </c>
      <c r="CG96" s="9">
        <v>1359589.87</v>
      </c>
      <c r="CH96" s="9">
        <v>584106.79999999993</v>
      </c>
      <c r="CI96" s="9">
        <v>1311181.76</v>
      </c>
      <c r="CJ96" s="9">
        <v>1001750.59</v>
      </c>
      <c r="CK96" s="9">
        <v>309431.17</v>
      </c>
      <c r="CL96" s="9">
        <v>632514.91</v>
      </c>
      <c r="CM96" s="9">
        <v>357839.28</v>
      </c>
      <c r="CN96" s="9">
        <v>274675.63</v>
      </c>
      <c r="CO96" s="9">
        <v>534479.87</v>
      </c>
      <c r="CP96" s="9">
        <v>75393.97</v>
      </c>
      <c r="CQ96" s="9">
        <v>459085.9</v>
      </c>
      <c r="CR96" s="9">
        <v>254019.98</v>
      </c>
      <c r="CS96" s="9">
        <v>39457.120000000003</v>
      </c>
      <c r="CT96" s="9">
        <v>214562.86</v>
      </c>
      <c r="CU96" s="9">
        <v>280459.89</v>
      </c>
      <c r="CV96" s="9">
        <v>35936.85</v>
      </c>
      <c r="CW96" s="9">
        <v>244523.04</v>
      </c>
      <c r="CX96" s="9">
        <v>1409216.8</v>
      </c>
      <c r="CY96" s="9">
        <v>1284195.8999999999</v>
      </c>
      <c r="CZ96" s="9">
        <v>125020.9</v>
      </c>
      <c r="DA96" s="9">
        <v>1057161.78</v>
      </c>
      <c r="DB96" s="9">
        <v>962293.47</v>
      </c>
      <c r="DC96" s="9">
        <v>94868.31</v>
      </c>
      <c r="DD96" s="9">
        <v>352055.02</v>
      </c>
      <c r="DE96" s="9">
        <v>321902.43</v>
      </c>
      <c r="DF96" s="9">
        <v>30152.59</v>
      </c>
      <c r="DG96" s="9">
        <v>2215639.3199999998</v>
      </c>
      <c r="DH96" s="9">
        <v>271942.65000000002</v>
      </c>
    </row>
    <row r="97" spans="1:112" x14ac:dyDescent="0.2">
      <c r="A97" s="8" t="s">
        <v>850</v>
      </c>
      <c r="B97" s="8" t="s">
        <v>295</v>
      </c>
      <c r="C97" s="8" t="s">
        <v>298</v>
      </c>
      <c r="D97" s="9">
        <v>2056060.84</v>
      </c>
      <c r="E97" s="9">
        <v>2055278.18</v>
      </c>
      <c r="F97" s="9">
        <v>156128.41</v>
      </c>
      <c r="G97" s="9">
        <v>129973.08</v>
      </c>
      <c r="H97" s="9">
        <v>267257.31</v>
      </c>
      <c r="I97" s="9">
        <v>31724.02</v>
      </c>
      <c r="J97" s="9">
        <v>321597.64</v>
      </c>
      <c r="K97" s="9">
        <v>600497.49</v>
      </c>
      <c r="L97" s="9">
        <v>34846.480000000003</v>
      </c>
      <c r="M97" s="9">
        <v>50648.5</v>
      </c>
      <c r="N97" s="9">
        <v>0</v>
      </c>
      <c r="O97" s="9">
        <v>14505.71</v>
      </c>
      <c r="P97" s="9">
        <v>0</v>
      </c>
      <c r="Q97" s="9">
        <v>13823.86</v>
      </c>
      <c r="R97" s="9">
        <v>434275.68</v>
      </c>
      <c r="S97" s="9">
        <v>0</v>
      </c>
      <c r="T97" s="9">
        <v>0</v>
      </c>
      <c r="U97" s="9">
        <v>0</v>
      </c>
      <c r="V97" s="9">
        <v>0</v>
      </c>
      <c r="W97" s="9">
        <v>40320.04</v>
      </c>
      <c r="X97" s="9">
        <v>42369.96</v>
      </c>
      <c r="Y97" s="9">
        <v>268.88</v>
      </c>
      <c r="Z97" s="9">
        <v>2093.3200000000002</v>
      </c>
      <c r="AA97" s="9">
        <v>13723.58</v>
      </c>
      <c r="AB97" s="9">
        <v>605.89</v>
      </c>
      <c r="AC97" s="9">
        <v>2724.32</v>
      </c>
      <c r="AD97" s="9">
        <v>7650.06</v>
      </c>
      <c r="AE97" s="9">
        <v>22.46</v>
      </c>
      <c r="AF97" s="9">
        <v>8970.92</v>
      </c>
      <c r="AG97" s="9">
        <v>0</v>
      </c>
      <c r="AH97" s="9">
        <v>5.96</v>
      </c>
      <c r="AI97" s="9">
        <v>0</v>
      </c>
      <c r="AJ97" s="9">
        <v>280.2</v>
      </c>
      <c r="AK97" s="9">
        <v>6024.36</v>
      </c>
      <c r="AL97" s="9">
        <v>68071.3</v>
      </c>
      <c r="AM97" s="9">
        <v>68022.009999999995</v>
      </c>
      <c r="AN97" s="9">
        <v>4312.66</v>
      </c>
      <c r="AO97" s="9">
        <v>4638.47</v>
      </c>
      <c r="AP97" s="9">
        <v>15792.12</v>
      </c>
      <c r="AQ97" s="9">
        <v>27.78</v>
      </c>
      <c r="AR97" s="9">
        <v>5310.79</v>
      </c>
      <c r="AS97" s="9">
        <v>23538.53</v>
      </c>
      <c r="AT97" s="9">
        <v>483.39</v>
      </c>
      <c r="AU97" s="9">
        <v>2273.7800000000002</v>
      </c>
      <c r="AV97" s="9">
        <v>0</v>
      </c>
      <c r="AW97" s="9">
        <v>845.85</v>
      </c>
      <c r="AX97" s="9">
        <v>0</v>
      </c>
      <c r="AY97" s="9">
        <v>1758.67</v>
      </c>
      <c r="AZ97" s="9">
        <v>9039.98</v>
      </c>
      <c r="BA97" s="9">
        <v>838778.51</v>
      </c>
      <c r="BB97" s="9"/>
      <c r="BC97" s="9">
        <v>1219807.92</v>
      </c>
      <c r="BD97" s="9"/>
      <c r="BE97" s="9">
        <v>7134.86</v>
      </c>
      <c r="BF97" s="9"/>
      <c r="BG97" s="9">
        <v>33185.17</v>
      </c>
      <c r="BH97" s="9"/>
      <c r="BI97" s="9">
        <v>21021.19</v>
      </c>
      <c r="BJ97" s="9"/>
      <c r="BK97" s="9">
        <v>47050.1</v>
      </c>
      <c r="BL97" s="9"/>
      <c r="BM97" s="9">
        <v>1418935.17</v>
      </c>
      <c r="BN97" s="9">
        <v>755207.28</v>
      </c>
      <c r="BO97" s="9"/>
      <c r="BP97" s="9">
        <v>663727.87</v>
      </c>
      <c r="BQ97" s="9"/>
      <c r="BR97" s="9">
        <v>29150.76</v>
      </c>
      <c r="BS97" s="9">
        <v>5107.3500000000004</v>
      </c>
      <c r="BT97" s="9"/>
      <c r="BU97" s="9">
        <v>24043.4</v>
      </c>
      <c r="BV97" s="9"/>
      <c r="BW97" s="9">
        <v>47934.09</v>
      </c>
      <c r="BX97" s="9">
        <v>17383.37</v>
      </c>
      <c r="BY97" s="9"/>
      <c r="BZ97" s="9">
        <v>30550.720000000001</v>
      </c>
      <c r="CA97" s="9"/>
      <c r="CB97" s="9">
        <v>46987.71</v>
      </c>
      <c r="CC97" s="9">
        <v>2103048.5500000003</v>
      </c>
      <c r="CD97" s="9"/>
      <c r="CE97" s="9"/>
      <c r="CF97" s="9">
        <v>2082582.51</v>
      </c>
      <c r="CG97" s="9">
        <v>1447297.64</v>
      </c>
      <c r="CH97" s="9">
        <v>635284.86999999988</v>
      </c>
      <c r="CI97" s="9">
        <v>1389118.09</v>
      </c>
      <c r="CJ97" s="9">
        <v>1056293.6299999999</v>
      </c>
      <c r="CK97" s="9">
        <v>332824.46000000002</v>
      </c>
      <c r="CL97" s="9">
        <v>693464.41999999993</v>
      </c>
      <c r="CM97" s="9">
        <v>391004.01</v>
      </c>
      <c r="CN97" s="9">
        <v>302460.40999999997</v>
      </c>
      <c r="CO97" s="9">
        <v>617708.11</v>
      </c>
      <c r="CP97" s="9">
        <v>88894.47</v>
      </c>
      <c r="CQ97" s="9">
        <v>528813.64</v>
      </c>
      <c r="CR97" s="9">
        <v>299886.03000000003</v>
      </c>
      <c r="CS97" s="9">
        <v>49660.58</v>
      </c>
      <c r="CT97" s="9">
        <v>250225.45</v>
      </c>
      <c r="CU97" s="9">
        <v>317822.08000000002</v>
      </c>
      <c r="CV97" s="9">
        <v>39233.89</v>
      </c>
      <c r="CW97" s="9">
        <v>278588.19</v>
      </c>
      <c r="CX97" s="9">
        <v>1464874.4</v>
      </c>
      <c r="CY97" s="9">
        <v>1358403.17</v>
      </c>
      <c r="CZ97" s="9">
        <v>106471.23</v>
      </c>
      <c r="DA97" s="9">
        <v>1089232.06</v>
      </c>
      <c r="DB97" s="9">
        <v>1006633.05</v>
      </c>
      <c r="DC97" s="9">
        <v>82599.009999999995</v>
      </c>
      <c r="DD97" s="9">
        <v>375642.34</v>
      </c>
      <c r="DE97" s="9">
        <v>351770.12</v>
      </c>
      <c r="DF97" s="9">
        <v>23872.22</v>
      </c>
      <c r="DG97" s="9">
        <v>2374141.1500000004</v>
      </c>
      <c r="DH97" s="9">
        <v>291558.64</v>
      </c>
    </row>
    <row r="98" spans="1:112" x14ac:dyDescent="0.2">
      <c r="A98" s="8" t="s">
        <v>851</v>
      </c>
      <c r="B98" s="8" t="s">
        <v>299</v>
      </c>
      <c r="C98" s="8" t="s">
        <v>300</v>
      </c>
      <c r="D98" s="9">
        <v>2133446.67</v>
      </c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>
        <v>45518.42</v>
      </c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>
        <v>67624.149999999994</v>
      </c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>
        <v>893461.59</v>
      </c>
      <c r="BB98" s="9"/>
      <c r="BC98" s="9">
        <v>1243251.1000000001</v>
      </c>
      <c r="BD98" s="9"/>
      <c r="BE98" s="9">
        <v>7584.56</v>
      </c>
      <c r="BF98" s="9"/>
      <c r="BG98" s="9">
        <v>37933.870000000003</v>
      </c>
      <c r="BH98" s="9"/>
      <c r="BI98" s="9">
        <v>21397.75</v>
      </c>
      <c r="BJ98" s="9"/>
      <c r="BK98" s="9">
        <v>46226.400000000001</v>
      </c>
      <c r="BL98" s="9"/>
      <c r="BM98" s="9">
        <v>1485845.91</v>
      </c>
      <c r="BN98" s="9">
        <v>811121.44</v>
      </c>
      <c r="BO98" s="9"/>
      <c r="BP98" s="9">
        <v>674724.48</v>
      </c>
      <c r="BQ98" s="9"/>
      <c r="BR98" s="9">
        <v>32669.85</v>
      </c>
      <c r="BS98" s="9">
        <v>5841.9</v>
      </c>
      <c r="BT98" s="9"/>
      <c r="BU98" s="9">
        <v>26827.96</v>
      </c>
      <c r="BV98" s="9"/>
      <c r="BW98" s="9">
        <v>47491.92</v>
      </c>
      <c r="BX98" s="9">
        <v>18088.09</v>
      </c>
      <c r="BY98" s="9"/>
      <c r="BZ98" s="9">
        <v>29403.83</v>
      </c>
      <c r="CA98" s="9"/>
      <c r="CB98" s="9">
        <v>47864.28</v>
      </c>
      <c r="CC98" s="9">
        <v>2181310.9499999997</v>
      </c>
      <c r="CD98" s="9"/>
      <c r="CE98" s="9"/>
      <c r="CF98" s="9">
        <v>2004567.69</v>
      </c>
      <c r="CG98" s="9">
        <v>1461586.86</v>
      </c>
      <c r="CH98" s="9">
        <v>542980.83000000007</v>
      </c>
      <c r="CI98" s="9">
        <v>1374847.58</v>
      </c>
      <c r="CJ98" s="9">
        <v>1070955.8199999998</v>
      </c>
      <c r="CK98" s="9">
        <v>303891.76</v>
      </c>
      <c r="CL98" s="9">
        <v>629720.11</v>
      </c>
      <c r="CM98" s="9">
        <v>390631.04</v>
      </c>
      <c r="CN98" s="9">
        <v>239089.06999999989</v>
      </c>
      <c r="CO98" s="9">
        <v>530576.29</v>
      </c>
      <c r="CP98" s="9">
        <v>87480.77</v>
      </c>
      <c r="CQ98" s="9">
        <v>443095.52</v>
      </c>
      <c r="CR98" s="9">
        <v>280389.25</v>
      </c>
      <c r="CS98" s="9">
        <v>45918.09</v>
      </c>
      <c r="CT98" s="9">
        <v>234471.16</v>
      </c>
      <c r="CU98" s="9">
        <v>250187.04</v>
      </c>
      <c r="CV98" s="9">
        <v>41562.68</v>
      </c>
      <c r="CW98" s="9">
        <v>208624.36</v>
      </c>
      <c r="CX98" s="9">
        <v>1473991.4</v>
      </c>
      <c r="CY98" s="9">
        <v>1374106.09</v>
      </c>
      <c r="CZ98" s="9">
        <v>99885.31</v>
      </c>
      <c r="DA98" s="9">
        <v>1094458.33</v>
      </c>
      <c r="DB98" s="9">
        <v>1025037.73</v>
      </c>
      <c r="DC98" s="9">
        <v>69420.600000000006</v>
      </c>
      <c r="DD98" s="9">
        <v>379533.06999999989</v>
      </c>
      <c r="DE98" s="9">
        <v>349068.36</v>
      </c>
      <c r="DF98" s="9">
        <v>30464.71</v>
      </c>
      <c r="DG98" s="9">
        <v>2235813.69</v>
      </c>
      <c r="DH98" s="9">
        <v>231246</v>
      </c>
    </row>
    <row r="99" spans="1:112" x14ac:dyDescent="0.2">
      <c r="A99" s="8" t="s">
        <v>851</v>
      </c>
      <c r="B99" s="8" t="s">
        <v>299</v>
      </c>
      <c r="C99" s="8" t="s">
        <v>301</v>
      </c>
      <c r="D99" s="9">
        <v>2230514.0099999998</v>
      </c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>
        <v>48386.41</v>
      </c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>
        <v>68337.990000000005</v>
      </c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>
        <v>912735.61</v>
      </c>
      <c r="BB99" s="9"/>
      <c r="BC99" s="9">
        <v>1321436.29</v>
      </c>
      <c r="BD99" s="9"/>
      <c r="BE99" s="9">
        <v>7760.43</v>
      </c>
      <c r="BF99" s="9"/>
      <c r="BG99" s="9">
        <v>40625.980000000003</v>
      </c>
      <c r="BH99" s="9"/>
      <c r="BI99" s="9">
        <v>22400.03</v>
      </c>
      <c r="BJ99" s="9"/>
      <c r="BK99" s="9">
        <v>45937.94</v>
      </c>
      <c r="BL99" s="9"/>
      <c r="BM99" s="9">
        <v>1547834.44</v>
      </c>
      <c r="BN99" s="9">
        <v>830424.38</v>
      </c>
      <c r="BO99" s="9"/>
      <c r="BP99" s="9">
        <v>717410.07000000018</v>
      </c>
      <c r="BQ99" s="9"/>
      <c r="BR99" s="9">
        <v>35356.01</v>
      </c>
      <c r="BS99" s="9">
        <v>6291.35</v>
      </c>
      <c r="BT99" s="9"/>
      <c r="BU99" s="9">
        <v>29064.66</v>
      </c>
      <c r="BV99" s="9"/>
      <c r="BW99" s="9">
        <v>48067.63</v>
      </c>
      <c r="BX99" s="9">
        <v>19042.75</v>
      </c>
      <c r="BY99" s="9"/>
      <c r="BZ99" s="9">
        <v>29024.880000000001</v>
      </c>
      <c r="CA99" s="9"/>
      <c r="CB99" s="9">
        <v>45408.57</v>
      </c>
      <c r="CC99" s="9">
        <v>2275922.5799999996</v>
      </c>
      <c r="CD99" s="9"/>
      <c r="CE99" s="9"/>
      <c r="CF99" s="9">
        <v>2129004.96</v>
      </c>
      <c r="CG99" s="9">
        <v>1543108.58</v>
      </c>
      <c r="CH99" s="9">
        <v>585896.37999999989</v>
      </c>
      <c r="CI99" s="9">
        <v>1413326.41</v>
      </c>
      <c r="CJ99" s="9">
        <v>1102574.6000000001</v>
      </c>
      <c r="CK99" s="9">
        <v>310751.81</v>
      </c>
      <c r="CL99" s="9">
        <v>715678.55</v>
      </c>
      <c r="CM99" s="9">
        <v>440533.98</v>
      </c>
      <c r="CN99" s="9">
        <v>275144.57</v>
      </c>
      <c r="CO99" s="9">
        <v>599337.53</v>
      </c>
      <c r="CP99" s="9">
        <v>115872.23</v>
      </c>
      <c r="CQ99" s="9">
        <v>483465.3</v>
      </c>
      <c r="CR99" s="9">
        <v>298579.26</v>
      </c>
      <c r="CS99" s="9">
        <v>52803.1</v>
      </c>
      <c r="CT99" s="9">
        <v>245776.16</v>
      </c>
      <c r="CU99" s="9">
        <v>300758.27</v>
      </c>
      <c r="CV99" s="9">
        <v>63069.13</v>
      </c>
      <c r="CW99" s="9">
        <v>237689.14</v>
      </c>
      <c r="CX99" s="9">
        <v>1529667.43</v>
      </c>
      <c r="CY99" s="9">
        <v>1427236.35</v>
      </c>
      <c r="CZ99" s="9">
        <v>102431.08</v>
      </c>
      <c r="DA99" s="9">
        <v>1114747.1499999999</v>
      </c>
      <c r="DB99" s="9">
        <v>1049771.5</v>
      </c>
      <c r="DC99" s="9">
        <v>64975.65</v>
      </c>
      <c r="DD99" s="9">
        <v>414920.28</v>
      </c>
      <c r="DE99" s="9">
        <v>377464.85</v>
      </c>
      <c r="DF99" s="9">
        <v>37455.43</v>
      </c>
      <c r="DG99" s="9">
        <v>2358616.92</v>
      </c>
      <c r="DH99" s="9">
        <v>229611.96</v>
      </c>
    </row>
    <row r="100" spans="1:112" x14ac:dyDescent="0.2">
      <c r="A100" s="8" t="s">
        <v>851</v>
      </c>
      <c r="B100" s="8" t="s">
        <v>299</v>
      </c>
      <c r="C100" s="8" t="s">
        <v>302</v>
      </c>
      <c r="D100" s="9">
        <v>2335928.8699999996</v>
      </c>
      <c r="E100" s="9">
        <v>2335622.06</v>
      </c>
      <c r="F100" s="9">
        <v>177389.5</v>
      </c>
      <c r="G100" s="9">
        <v>163145.1</v>
      </c>
      <c r="H100" s="9">
        <v>338176.4</v>
      </c>
      <c r="I100" s="9">
        <v>38661.17</v>
      </c>
      <c r="J100" s="9">
        <v>294144.28999999998</v>
      </c>
      <c r="K100" s="9">
        <v>631762.62</v>
      </c>
      <c r="L100" s="9">
        <v>44787.199999999997</v>
      </c>
      <c r="M100" s="9">
        <v>80606.05</v>
      </c>
      <c r="N100" s="9">
        <v>0</v>
      </c>
      <c r="O100" s="9">
        <v>21756.05</v>
      </c>
      <c r="P100" s="9">
        <v>0</v>
      </c>
      <c r="Q100" s="9">
        <v>17941.82</v>
      </c>
      <c r="R100" s="9">
        <v>527251.87</v>
      </c>
      <c r="S100" s="9">
        <v>0</v>
      </c>
      <c r="T100" s="9">
        <v>0</v>
      </c>
      <c r="U100" s="9">
        <v>0</v>
      </c>
      <c r="V100" s="9">
        <v>0</v>
      </c>
      <c r="W100" s="9">
        <v>46461.01</v>
      </c>
      <c r="X100" s="9">
        <v>42236.03</v>
      </c>
      <c r="Y100" s="9">
        <v>366.2</v>
      </c>
      <c r="Z100" s="9">
        <v>6057.31</v>
      </c>
      <c r="AA100" s="9">
        <v>13331.74</v>
      </c>
      <c r="AB100" s="9">
        <v>1188.9000000000001</v>
      </c>
      <c r="AC100" s="9">
        <v>1746.02</v>
      </c>
      <c r="AD100" s="9">
        <v>4858.99</v>
      </c>
      <c r="AE100" s="9">
        <v>274.05</v>
      </c>
      <c r="AF100" s="9">
        <v>8523.0499999999993</v>
      </c>
      <c r="AG100" s="9">
        <v>0</v>
      </c>
      <c r="AH100" s="9">
        <v>2.31</v>
      </c>
      <c r="AI100" s="9">
        <v>0</v>
      </c>
      <c r="AJ100" s="9">
        <v>237.36</v>
      </c>
      <c r="AK100" s="9">
        <v>5650.1</v>
      </c>
      <c r="AL100" s="9">
        <v>68224.41</v>
      </c>
      <c r="AM100" s="9">
        <v>65952.39</v>
      </c>
      <c r="AN100" s="9">
        <v>4411.3</v>
      </c>
      <c r="AO100" s="9">
        <v>4276.1400000000003</v>
      </c>
      <c r="AP100" s="9">
        <v>16584.95</v>
      </c>
      <c r="AQ100" s="9">
        <v>227.29</v>
      </c>
      <c r="AR100" s="9">
        <v>2919.88</v>
      </c>
      <c r="AS100" s="9">
        <v>21523.03</v>
      </c>
      <c r="AT100" s="9">
        <v>631.6</v>
      </c>
      <c r="AU100" s="9">
        <v>1907.16</v>
      </c>
      <c r="AV100" s="9">
        <v>0</v>
      </c>
      <c r="AW100" s="9">
        <v>844.49</v>
      </c>
      <c r="AX100" s="9">
        <v>0</v>
      </c>
      <c r="AY100" s="9">
        <v>2786.63</v>
      </c>
      <c r="AZ100" s="9">
        <v>9839.91</v>
      </c>
      <c r="BA100" s="9">
        <v>987330.73</v>
      </c>
      <c r="BB100" s="9"/>
      <c r="BC100" s="9">
        <v>1353989.05</v>
      </c>
      <c r="BD100" s="9"/>
      <c r="BE100" s="9">
        <v>7892.74</v>
      </c>
      <c r="BF100" s="9"/>
      <c r="BG100" s="9">
        <v>38568.269999999997</v>
      </c>
      <c r="BH100" s="9"/>
      <c r="BI100" s="9">
        <v>21892.13</v>
      </c>
      <c r="BJ100" s="9"/>
      <c r="BK100" s="9">
        <v>46332.28</v>
      </c>
      <c r="BL100" s="9"/>
      <c r="BM100" s="9">
        <v>1648291.53</v>
      </c>
      <c r="BN100" s="9">
        <v>896391.7300000001</v>
      </c>
      <c r="BO100" s="9"/>
      <c r="BP100" s="9">
        <v>751899.8</v>
      </c>
      <c r="BQ100" s="9"/>
      <c r="BR100" s="9">
        <v>35333.1</v>
      </c>
      <c r="BS100" s="9">
        <v>5762.54</v>
      </c>
      <c r="BT100" s="9"/>
      <c r="BU100" s="9">
        <v>29570.560000000001</v>
      </c>
      <c r="BV100" s="9"/>
      <c r="BW100" s="9">
        <v>46615.19</v>
      </c>
      <c r="BX100" s="9">
        <v>18663.04</v>
      </c>
      <c r="BY100" s="9"/>
      <c r="BZ100" s="9">
        <v>27952.15</v>
      </c>
      <c r="CA100" s="9"/>
      <c r="CB100" s="9">
        <v>43228.78</v>
      </c>
      <c r="CC100" s="9">
        <v>2379157.649999999</v>
      </c>
      <c r="CD100" s="9"/>
      <c r="CE100" s="9"/>
      <c r="CF100" s="9">
        <v>2152511.36</v>
      </c>
      <c r="CG100" s="9">
        <v>1547508.99</v>
      </c>
      <c r="CH100" s="9">
        <v>605002.37</v>
      </c>
      <c r="CI100" s="9">
        <v>1428574.64</v>
      </c>
      <c r="CJ100" s="9">
        <v>1104354.69</v>
      </c>
      <c r="CK100" s="9">
        <v>324219.95</v>
      </c>
      <c r="CL100" s="9">
        <v>723936.72000000009</v>
      </c>
      <c r="CM100" s="9">
        <v>443154.3</v>
      </c>
      <c r="CN100" s="9">
        <v>280782.42</v>
      </c>
      <c r="CO100" s="9">
        <v>618641.05000000005</v>
      </c>
      <c r="CP100" s="9">
        <v>113857.83</v>
      </c>
      <c r="CQ100" s="9">
        <v>504783.22</v>
      </c>
      <c r="CR100" s="9">
        <v>316235.53999999998</v>
      </c>
      <c r="CS100" s="9">
        <v>54072.2</v>
      </c>
      <c r="CT100" s="9">
        <v>262163.34000000003</v>
      </c>
      <c r="CU100" s="9">
        <v>302405.51</v>
      </c>
      <c r="CV100" s="9">
        <v>59785.63</v>
      </c>
      <c r="CW100" s="9">
        <v>242619.88</v>
      </c>
      <c r="CX100" s="9">
        <v>1533870.31</v>
      </c>
      <c r="CY100" s="9">
        <v>1433651.16</v>
      </c>
      <c r="CZ100" s="9">
        <v>100219.15</v>
      </c>
      <c r="DA100" s="9">
        <v>1112339.1000000001</v>
      </c>
      <c r="DB100" s="9">
        <v>1050282.49</v>
      </c>
      <c r="DC100" s="9">
        <v>62056.61</v>
      </c>
      <c r="DD100" s="9">
        <v>421531.21</v>
      </c>
      <c r="DE100" s="9">
        <v>383368.67</v>
      </c>
      <c r="DF100" s="9">
        <v>38162.54</v>
      </c>
      <c r="DG100" s="9">
        <v>2398805.7599999998</v>
      </c>
      <c r="DH100" s="9">
        <v>246294.39999999999</v>
      </c>
    </row>
    <row r="101" spans="1:112" x14ac:dyDescent="0.2">
      <c r="A101" s="8" t="s">
        <v>851</v>
      </c>
      <c r="B101" s="8" t="s">
        <v>303</v>
      </c>
      <c r="C101" s="8" t="s">
        <v>304</v>
      </c>
      <c r="D101" s="9">
        <v>2436530.46</v>
      </c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>
        <v>50833.84</v>
      </c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>
        <v>67092.3</v>
      </c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>
        <v>1032513.87</v>
      </c>
      <c r="BB101" s="9"/>
      <c r="BC101" s="9">
        <v>1413176.4500000002</v>
      </c>
      <c r="BD101" s="9"/>
      <c r="BE101" s="9">
        <v>8941.8700000000008</v>
      </c>
      <c r="BF101" s="9"/>
      <c r="BG101" s="9">
        <v>41891.97</v>
      </c>
      <c r="BH101" s="9"/>
      <c r="BI101" s="9">
        <v>21647.69</v>
      </c>
      <c r="BJ101" s="9"/>
      <c r="BK101" s="9">
        <v>45444.62</v>
      </c>
      <c r="BL101" s="9"/>
      <c r="BM101" s="9">
        <v>1711909.47</v>
      </c>
      <c r="BN101" s="9">
        <v>933243.16</v>
      </c>
      <c r="BO101" s="9"/>
      <c r="BP101" s="9">
        <v>778666.30999999982</v>
      </c>
      <c r="BQ101" s="9"/>
      <c r="BR101" s="9">
        <v>36069.19</v>
      </c>
      <c r="BS101" s="9">
        <v>6641.93</v>
      </c>
      <c r="BT101" s="9"/>
      <c r="BU101" s="9">
        <v>29427.26</v>
      </c>
      <c r="BV101" s="9"/>
      <c r="BW101" s="9">
        <v>45766.45</v>
      </c>
      <c r="BX101" s="9">
        <v>18575.72</v>
      </c>
      <c r="BY101" s="9"/>
      <c r="BZ101" s="9">
        <v>27190.73</v>
      </c>
      <c r="CA101" s="9"/>
      <c r="CB101" s="9">
        <v>46585.71</v>
      </c>
      <c r="CC101" s="9">
        <v>2483116.17</v>
      </c>
      <c r="CD101" s="9"/>
      <c r="CE101" s="9"/>
      <c r="CF101" s="9">
        <v>2144623.58</v>
      </c>
      <c r="CG101" s="9">
        <v>1510094.97</v>
      </c>
      <c r="CH101" s="9">
        <v>634528.6100000001</v>
      </c>
      <c r="CI101" s="9">
        <v>1357046.88</v>
      </c>
      <c r="CJ101" s="9">
        <v>1044763.25</v>
      </c>
      <c r="CK101" s="9">
        <v>312283.62999999989</v>
      </c>
      <c r="CL101" s="9">
        <v>787576.7</v>
      </c>
      <c r="CM101" s="9">
        <v>465331.72</v>
      </c>
      <c r="CN101" s="9">
        <v>322244.98</v>
      </c>
      <c r="CO101" s="9">
        <v>662330.94999999995</v>
      </c>
      <c r="CP101" s="9">
        <v>123642.62</v>
      </c>
      <c r="CQ101" s="9">
        <v>538688.32999999996</v>
      </c>
      <c r="CR101" s="9">
        <v>304575.58</v>
      </c>
      <c r="CS101" s="9">
        <v>55743.89</v>
      </c>
      <c r="CT101" s="9">
        <v>248831.69</v>
      </c>
      <c r="CU101" s="9">
        <v>357755.37</v>
      </c>
      <c r="CV101" s="9">
        <v>67898.73</v>
      </c>
      <c r="CW101" s="9">
        <v>289856.64000000001</v>
      </c>
      <c r="CX101" s="9">
        <v>1482292.63</v>
      </c>
      <c r="CY101" s="9">
        <v>1386452.35</v>
      </c>
      <c r="CZ101" s="9">
        <v>95840.28</v>
      </c>
      <c r="DA101" s="9">
        <v>1052471.2999999998</v>
      </c>
      <c r="DB101" s="9">
        <v>989019.36</v>
      </c>
      <c r="DC101" s="9">
        <v>63451.94</v>
      </c>
      <c r="DD101" s="9">
        <v>429821.33</v>
      </c>
      <c r="DE101" s="9">
        <v>397432.99</v>
      </c>
      <c r="DF101" s="9">
        <v>32388.34</v>
      </c>
      <c r="DG101" s="9">
        <v>2450144.0900000003</v>
      </c>
      <c r="DH101" s="9">
        <v>305520.51</v>
      </c>
    </row>
    <row r="102" spans="1:112" x14ac:dyDescent="0.2">
      <c r="A102" s="8" t="s">
        <v>851</v>
      </c>
      <c r="B102" s="8" t="s">
        <v>303</v>
      </c>
      <c r="C102" s="8" t="s">
        <v>305</v>
      </c>
      <c r="D102" s="9">
        <v>2487594.79</v>
      </c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>
        <v>56855.99</v>
      </c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>
        <v>69519.33</v>
      </c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>
        <v>1022715.51</v>
      </c>
      <c r="BB102" s="9"/>
      <c r="BC102" s="9">
        <v>1472275.9800000002</v>
      </c>
      <c r="BD102" s="9"/>
      <c r="BE102" s="9">
        <v>10610.58</v>
      </c>
      <c r="BF102" s="9"/>
      <c r="BG102" s="9">
        <v>46245.41</v>
      </c>
      <c r="BH102" s="9"/>
      <c r="BI102" s="9">
        <v>23465.759999999998</v>
      </c>
      <c r="BJ102" s="9"/>
      <c r="BK102" s="9">
        <v>46053.58</v>
      </c>
      <c r="BL102" s="9"/>
      <c r="BM102" s="9">
        <v>1706956.13</v>
      </c>
      <c r="BN102" s="9">
        <v>921528.9</v>
      </c>
      <c r="BO102" s="9"/>
      <c r="BP102" s="9">
        <v>785427.24000000011</v>
      </c>
      <c r="BQ102" s="9"/>
      <c r="BR102" s="9">
        <v>41860.879999999997</v>
      </c>
      <c r="BS102" s="9">
        <v>8734.75</v>
      </c>
      <c r="BT102" s="9"/>
      <c r="BU102" s="9">
        <v>33126.14</v>
      </c>
      <c r="BV102" s="9"/>
      <c r="BW102" s="9">
        <v>46723.56</v>
      </c>
      <c r="BX102" s="9">
        <v>19469.3</v>
      </c>
      <c r="BY102" s="9"/>
      <c r="BZ102" s="9">
        <v>27254.26</v>
      </c>
      <c r="CA102" s="9"/>
      <c r="CB102" s="9">
        <v>44104.27</v>
      </c>
      <c r="CC102" s="9">
        <v>2531699.06</v>
      </c>
      <c r="CD102" s="9"/>
      <c r="CE102" s="9"/>
      <c r="CF102" s="9">
        <v>2156377.2000000002</v>
      </c>
      <c r="CG102" s="9">
        <v>1490214.49</v>
      </c>
      <c r="CH102" s="9">
        <v>666162.71000000008</v>
      </c>
      <c r="CI102" s="9">
        <v>1341945.7899999998</v>
      </c>
      <c r="CJ102" s="9">
        <v>1026106.94</v>
      </c>
      <c r="CK102" s="9">
        <v>315838.84999999998</v>
      </c>
      <c r="CL102" s="9">
        <v>814431.40999999992</v>
      </c>
      <c r="CM102" s="9">
        <v>464107.55</v>
      </c>
      <c r="CN102" s="9">
        <v>350323.85999999993</v>
      </c>
      <c r="CO102" s="9">
        <v>671524.92999999993</v>
      </c>
      <c r="CP102" s="9">
        <v>126542.81</v>
      </c>
      <c r="CQ102" s="9">
        <v>544982.11999999988</v>
      </c>
      <c r="CR102" s="9">
        <v>310594.59999999998</v>
      </c>
      <c r="CS102" s="9">
        <v>59919.13</v>
      </c>
      <c r="CT102" s="9">
        <v>250675.47</v>
      </c>
      <c r="CU102" s="9">
        <v>360930.33</v>
      </c>
      <c r="CV102" s="9">
        <v>66623.679999999993</v>
      </c>
      <c r="CW102" s="9">
        <v>294306.65000000002</v>
      </c>
      <c r="CX102" s="9">
        <v>1484852.27</v>
      </c>
      <c r="CY102" s="9">
        <v>1363671.68</v>
      </c>
      <c r="CZ102" s="9">
        <v>121180.59</v>
      </c>
      <c r="DA102" s="9">
        <v>1031351.19</v>
      </c>
      <c r="DB102" s="9">
        <v>966187.81</v>
      </c>
      <c r="DC102" s="9">
        <v>65163.38</v>
      </c>
      <c r="DD102" s="9">
        <v>453501.08</v>
      </c>
      <c r="DE102" s="9">
        <v>397483.87</v>
      </c>
      <c r="DF102" s="9">
        <v>56017.21</v>
      </c>
      <c r="DG102" s="9">
        <v>2512804.1800000002</v>
      </c>
      <c r="DH102" s="9">
        <v>356426.98</v>
      </c>
    </row>
    <row r="103" spans="1:112" x14ac:dyDescent="0.2">
      <c r="A103" s="8" t="s">
        <v>851</v>
      </c>
      <c r="B103" s="8" t="s">
        <v>303</v>
      </c>
      <c r="C103" s="8" t="s">
        <v>306</v>
      </c>
      <c r="D103" s="9">
        <v>2559432.9600000004</v>
      </c>
      <c r="E103" s="9">
        <v>2558879.12</v>
      </c>
      <c r="F103" s="9">
        <v>155993.99</v>
      </c>
      <c r="G103" s="9">
        <v>157076.62</v>
      </c>
      <c r="H103" s="9">
        <v>371264.77</v>
      </c>
      <c r="I103" s="9">
        <v>36448.120000000003</v>
      </c>
      <c r="J103" s="9">
        <v>349029.07</v>
      </c>
      <c r="K103" s="9">
        <v>689704.71</v>
      </c>
      <c r="L103" s="9">
        <v>64357.02</v>
      </c>
      <c r="M103" s="9">
        <v>106810.76</v>
      </c>
      <c r="N103" s="9">
        <v>0</v>
      </c>
      <c r="O103" s="9">
        <v>18175.59</v>
      </c>
      <c r="P103" s="9">
        <v>0</v>
      </c>
      <c r="Q103" s="9">
        <v>21274.86</v>
      </c>
      <c r="R103" s="9">
        <v>588743.6</v>
      </c>
      <c r="S103" s="9">
        <v>0</v>
      </c>
      <c r="T103" s="9">
        <v>0</v>
      </c>
      <c r="U103" s="9">
        <v>0</v>
      </c>
      <c r="V103" s="9">
        <v>0</v>
      </c>
      <c r="W103" s="9">
        <v>54623.51</v>
      </c>
      <c r="X103" s="9">
        <v>49851.9</v>
      </c>
      <c r="Y103" s="9">
        <v>836.14</v>
      </c>
      <c r="Z103" s="9">
        <v>7056.99</v>
      </c>
      <c r="AA103" s="9">
        <v>15159.09</v>
      </c>
      <c r="AB103" s="9">
        <v>1184.3499999999999</v>
      </c>
      <c r="AC103" s="9">
        <v>5246.07</v>
      </c>
      <c r="AD103" s="9">
        <v>12631.6</v>
      </c>
      <c r="AE103" s="9">
        <v>171.41</v>
      </c>
      <c r="AF103" s="9">
        <v>1569.92</v>
      </c>
      <c r="AG103" s="9">
        <v>0</v>
      </c>
      <c r="AH103" s="9">
        <v>148.13</v>
      </c>
      <c r="AI103" s="9">
        <v>0</v>
      </c>
      <c r="AJ103" s="9">
        <v>258.66000000000003</v>
      </c>
      <c r="AK103" s="9">
        <v>5589.56</v>
      </c>
      <c r="AL103" s="9">
        <v>73058.429999999993</v>
      </c>
      <c r="AM103" s="9">
        <v>69942.59</v>
      </c>
      <c r="AN103" s="9">
        <v>5217.83</v>
      </c>
      <c r="AO103" s="9">
        <v>4369.72</v>
      </c>
      <c r="AP103" s="9">
        <v>18654.93</v>
      </c>
      <c r="AQ103" s="9">
        <v>213.24</v>
      </c>
      <c r="AR103" s="9">
        <v>2139.67</v>
      </c>
      <c r="AS103" s="9">
        <v>23196.73</v>
      </c>
      <c r="AT103" s="9">
        <v>520.20000000000005</v>
      </c>
      <c r="AU103" s="9">
        <v>1585.26</v>
      </c>
      <c r="AV103" s="9">
        <v>0</v>
      </c>
      <c r="AW103" s="9">
        <v>1014.15</v>
      </c>
      <c r="AX103" s="9">
        <v>0</v>
      </c>
      <c r="AY103" s="9">
        <v>2388.1799999999998</v>
      </c>
      <c r="AZ103" s="9">
        <v>10642.67</v>
      </c>
      <c r="BA103" s="9">
        <v>1031501.55</v>
      </c>
      <c r="BB103" s="9"/>
      <c r="BC103" s="9">
        <v>1536118.9999999998</v>
      </c>
      <c r="BD103" s="9"/>
      <c r="BE103" s="9">
        <v>11265.2</v>
      </c>
      <c r="BF103" s="9"/>
      <c r="BG103" s="9">
        <v>43358.32</v>
      </c>
      <c r="BH103" s="9"/>
      <c r="BI103" s="9">
        <v>25850.37</v>
      </c>
      <c r="BJ103" s="9"/>
      <c r="BK103" s="9">
        <v>47208.06</v>
      </c>
      <c r="BL103" s="9"/>
      <c r="BM103" s="9">
        <v>1749195.0799999998</v>
      </c>
      <c r="BN103" s="9">
        <v>923046.92</v>
      </c>
      <c r="BO103" s="9"/>
      <c r="BP103" s="9">
        <v>826148.17</v>
      </c>
      <c r="BQ103" s="9"/>
      <c r="BR103" s="9">
        <v>38952.230000000003</v>
      </c>
      <c r="BS103" s="9">
        <v>9261.16</v>
      </c>
      <c r="BT103" s="9"/>
      <c r="BU103" s="9">
        <v>29691.07</v>
      </c>
      <c r="BV103" s="9"/>
      <c r="BW103" s="9">
        <v>48822.41</v>
      </c>
      <c r="BX103" s="9">
        <v>21989.72</v>
      </c>
      <c r="BY103" s="9"/>
      <c r="BZ103" s="9">
        <v>26832.69</v>
      </c>
      <c r="CA103" s="9"/>
      <c r="CB103" s="9">
        <v>38081.120000000003</v>
      </c>
      <c r="CC103" s="9">
        <v>2597514.0800000005</v>
      </c>
      <c r="CD103" s="9"/>
      <c r="CE103" s="9"/>
      <c r="CF103" s="9">
        <v>2190148.41</v>
      </c>
      <c r="CG103" s="9">
        <v>1489273.7800000005</v>
      </c>
      <c r="CH103" s="9">
        <v>700874.63</v>
      </c>
      <c r="CI103" s="9">
        <v>1347485.7400000002</v>
      </c>
      <c r="CJ103" s="9">
        <v>1021257.1</v>
      </c>
      <c r="CK103" s="9">
        <v>326228.64</v>
      </c>
      <c r="CL103" s="9">
        <v>842662.67</v>
      </c>
      <c r="CM103" s="9">
        <v>468016.68</v>
      </c>
      <c r="CN103" s="9">
        <v>374645.99</v>
      </c>
      <c r="CO103" s="9">
        <v>695781.53</v>
      </c>
      <c r="CP103" s="9">
        <v>127123.95</v>
      </c>
      <c r="CQ103" s="9">
        <v>568657.58000000007</v>
      </c>
      <c r="CR103" s="9">
        <v>309108.32000000012</v>
      </c>
      <c r="CS103" s="9">
        <v>64029.02</v>
      </c>
      <c r="CT103" s="9">
        <v>245079.3</v>
      </c>
      <c r="CU103" s="9">
        <v>386673.21</v>
      </c>
      <c r="CV103" s="9">
        <v>63094.93</v>
      </c>
      <c r="CW103" s="9">
        <v>323578.28000000003</v>
      </c>
      <c r="CX103" s="9">
        <v>1494366.88</v>
      </c>
      <c r="CY103" s="9">
        <v>1362149.83</v>
      </c>
      <c r="CZ103" s="9">
        <v>132217.04999999999</v>
      </c>
      <c r="DA103" s="9">
        <v>1038377.42</v>
      </c>
      <c r="DB103" s="9">
        <v>957228.08</v>
      </c>
      <c r="DC103" s="9">
        <v>81149.34</v>
      </c>
      <c r="DD103" s="9">
        <v>455989.46</v>
      </c>
      <c r="DE103" s="9">
        <v>404921.75</v>
      </c>
      <c r="DF103" s="9">
        <v>51067.71</v>
      </c>
      <c r="DG103" s="9">
        <v>2601481.4</v>
      </c>
      <c r="DH103" s="9">
        <v>411332.99</v>
      </c>
    </row>
    <row r="104" spans="1:112" x14ac:dyDescent="0.2">
      <c r="A104" s="8" t="s">
        <v>851</v>
      </c>
      <c r="B104" s="8" t="s">
        <v>307</v>
      </c>
      <c r="C104" s="8" t="s">
        <v>308</v>
      </c>
      <c r="D104" s="9">
        <v>2593526.89</v>
      </c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>
        <v>50253.81</v>
      </c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>
        <v>74503.259999999995</v>
      </c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>
        <v>1042917.5</v>
      </c>
      <c r="BB104" s="9"/>
      <c r="BC104" s="9">
        <v>1557735.45</v>
      </c>
      <c r="BD104" s="9"/>
      <c r="BE104" s="9">
        <v>12499.32</v>
      </c>
      <c r="BF104" s="9"/>
      <c r="BG104" s="9">
        <v>37754.5</v>
      </c>
      <c r="BH104" s="9"/>
      <c r="BI104" s="9">
        <v>27823.37</v>
      </c>
      <c r="BJ104" s="9"/>
      <c r="BK104" s="9">
        <v>46679.89</v>
      </c>
      <c r="BL104" s="9"/>
      <c r="BM104" s="9">
        <v>1748444.1</v>
      </c>
      <c r="BN104" s="9">
        <v>930755.18</v>
      </c>
      <c r="BO104" s="9"/>
      <c r="BP104" s="9">
        <v>817688.91999999993</v>
      </c>
      <c r="BQ104" s="9"/>
      <c r="BR104" s="9">
        <v>39999.03</v>
      </c>
      <c r="BS104" s="9">
        <v>11527.82</v>
      </c>
      <c r="BT104" s="9"/>
      <c r="BU104" s="9">
        <v>28471.21</v>
      </c>
      <c r="BV104" s="9"/>
      <c r="BW104" s="9">
        <v>51175.73</v>
      </c>
      <c r="BX104" s="9">
        <v>23355.97</v>
      </c>
      <c r="BY104" s="9"/>
      <c r="BZ104" s="9">
        <v>27819.759999999998</v>
      </c>
      <c r="CA104" s="9"/>
      <c r="CB104" s="9">
        <v>39690</v>
      </c>
      <c r="CC104" s="9">
        <v>2633216.89</v>
      </c>
      <c r="CD104" s="9"/>
      <c r="CE104" s="9"/>
      <c r="CF104" s="9">
        <v>2225456.1399999997</v>
      </c>
      <c r="CG104" s="9">
        <v>1503198.56</v>
      </c>
      <c r="CH104" s="9">
        <v>722257.58000000007</v>
      </c>
      <c r="CI104" s="9">
        <v>1354254.4500000002</v>
      </c>
      <c r="CJ104" s="9">
        <v>1017708.89</v>
      </c>
      <c r="CK104" s="9">
        <v>336545.56</v>
      </c>
      <c r="CL104" s="9">
        <v>871201.69</v>
      </c>
      <c r="CM104" s="9">
        <v>485489.67</v>
      </c>
      <c r="CN104" s="9">
        <v>385712.02</v>
      </c>
      <c r="CO104" s="9">
        <v>716736.04</v>
      </c>
      <c r="CP104" s="9">
        <v>135729.73000000001</v>
      </c>
      <c r="CQ104" s="9">
        <v>581006.31000000006</v>
      </c>
      <c r="CR104" s="9">
        <v>315866.05999999988</v>
      </c>
      <c r="CS104" s="9">
        <v>67594.61</v>
      </c>
      <c r="CT104" s="9">
        <v>248271.45</v>
      </c>
      <c r="CU104" s="9">
        <v>400869.98</v>
      </c>
      <c r="CV104" s="9">
        <v>68135.12</v>
      </c>
      <c r="CW104" s="9">
        <v>332734.86</v>
      </c>
      <c r="CX104" s="9">
        <v>1508720.1</v>
      </c>
      <c r="CY104" s="9">
        <v>1367468.83</v>
      </c>
      <c r="CZ104" s="9">
        <v>141251.26999999999</v>
      </c>
      <c r="DA104" s="9">
        <v>1038388.39</v>
      </c>
      <c r="DB104" s="9">
        <v>950114.28</v>
      </c>
      <c r="DC104" s="9">
        <v>88274.11</v>
      </c>
      <c r="DD104" s="9">
        <v>470331.71</v>
      </c>
      <c r="DE104" s="9">
        <v>417354.55</v>
      </c>
      <c r="DF104" s="9">
        <v>52977.16</v>
      </c>
      <c r="DG104" s="9">
        <v>2653391.6100000003</v>
      </c>
      <c r="DH104" s="9">
        <v>427935.47</v>
      </c>
    </row>
    <row r="105" spans="1:112" x14ac:dyDescent="0.2">
      <c r="A105" s="8" t="s">
        <v>851</v>
      </c>
      <c r="B105" s="8" t="s">
        <v>307</v>
      </c>
      <c r="C105" s="8" t="s">
        <v>309</v>
      </c>
      <c r="D105" s="9">
        <v>2685275.81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>
        <v>51888.93</v>
      </c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>
        <v>74273.69</v>
      </c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>
        <v>1086846.1900000002</v>
      </c>
      <c r="BB105" s="9"/>
      <c r="BC105" s="9">
        <v>1603160.9400000002</v>
      </c>
      <c r="BD105" s="9"/>
      <c r="BE105" s="9">
        <v>12819.96</v>
      </c>
      <c r="BF105" s="9"/>
      <c r="BG105" s="9">
        <v>39068.980000000003</v>
      </c>
      <c r="BH105" s="9"/>
      <c r="BI105" s="9">
        <v>28866.799999999999</v>
      </c>
      <c r="BJ105" s="9"/>
      <c r="BK105" s="9">
        <v>45406.879999999997</v>
      </c>
      <c r="BL105" s="9"/>
      <c r="BM105" s="9">
        <v>1815036.25</v>
      </c>
      <c r="BN105" s="9">
        <v>972195.45</v>
      </c>
      <c r="BO105" s="9"/>
      <c r="BP105" s="9">
        <v>842840.8</v>
      </c>
      <c r="BQ105" s="9"/>
      <c r="BR105" s="9">
        <v>41534.85</v>
      </c>
      <c r="BS105" s="9">
        <v>11793.17</v>
      </c>
      <c r="BT105" s="9"/>
      <c r="BU105" s="9">
        <v>29741.68</v>
      </c>
      <c r="BV105" s="9"/>
      <c r="BW105" s="9">
        <v>53898.91</v>
      </c>
      <c r="BX105" s="9">
        <v>24311.759999999998</v>
      </c>
      <c r="BY105" s="9"/>
      <c r="BZ105" s="9">
        <v>29587.15</v>
      </c>
      <c r="CA105" s="9"/>
      <c r="CB105" s="9">
        <v>35513.1</v>
      </c>
      <c r="CC105" s="9">
        <v>2720788.91</v>
      </c>
      <c r="CD105" s="9"/>
      <c r="CE105" s="9"/>
      <c r="CF105" s="9">
        <v>2167649.54</v>
      </c>
      <c r="CG105" s="9">
        <v>1475600.81</v>
      </c>
      <c r="CH105" s="9">
        <v>692048.73</v>
      </c>
      <c r="CI105" s="9">
        <v>1341108.5299999998</v>
      </c>
      <c r="CJ105" s="9">
        <v>1012722.75</v>
      </c>
      <c r="CK105" s="9">
        <v>328385.78000000003</v>
      </c>
      <c r="CL105" s="9">
        <v>826541.00999999989</v>
      </c>
      <c r="CM105" s="9">
        <v>462878.06</v>
      </c>
      <c r="CN105" s="9">
        <v>363662.95</v>
      </c>
      <c r="CO105" s="9">
        <v>685272.76</v>
      </c>
      <c r="CP105" s="9">
        <v>135426.29</v>
      </c>
      <c r="CQ105" s="9">
        <v>549846.47</v>
      </c>
      <c r="CR105" s="9">
        <v>309424.13</v>
      </c>
      <c r="CS105" s="9">
        <v>66127.23</v>
      </c>
      <c r="CT105" s="9">
        <v>243296.9</v>
      </c>
      <c r="CU105" s="9">
        <v>375848.63</v>
      </c>
      <c r="CV105" s="9">
        <v>69299.06</v>
      </c>
      <c r="CW105" s="9">
        <v>306549.57</v>
      </c>
      <c r="CX105" s="9">
        <v>1482376.7799999998</v>
      </c>
      <c r="CY105" s="9">
        <v>1340174.52</v>
      </c>
      <c r="CZ105" s="9">
        <v>142202.26</v>
      </c>
      <c r="DA105" s="9">
        <v>1031684.4</v>
      </c>
      <c r="DB105" s="9">
        <v>946595.52</v>
      </c>
      <c r="DC105" s="9">
        <v>85088.88</v>
      </c>
      <c r="DD105" s="9">
        <v>450692.38</v>
      </c>
      <c r="DE105" s="9">
        <v>393579</v>
      </c>
      <c r="DF105" s="9">
        <v>57113.38</v>
      </c>
      <c r="DG105" s="9">
        <v>2554400.2199999997</v>
      </c>
      <c r="DH105" s="9">
        <v>386750.68</v>
      </c>
    </row>
    <row r="106" spans="1:112" x14ac:dyDescent="0.2">
      <c r="A106" s="8" t="s">
        <v>851</v>
      </c>
      <c r="B106" s="8" t="s">
        <v>307</v>
      </c>
      <c r="C106" s="8" t="s">
        <v>310</v>
      </c>
      <c r="D106" s="9">
        <v>2716858.59</v>
      </c>
      <c r="E106" s="9">
        <v>2714568.54</v>
      </c>
      <c r="F106" s="9">
        <v>91505.17</v>
      </c>
      <c r="G106" s="9">
        <v>160654.49</v>
      </c>
      <c r="H106" s="9">
        <v>367152.79</v>
      </c>
      <c r="I106" s="9">
        <v>33918.28</v>
      </c>
      <c r="J106" s="9">
        <v>400857.94</v>
      </c>
      <c r="K106" s="9">
        <v>627215.64</v>
      </c>
      <c r="L106" s="9">
        <v>52075.1</v>
      </c>
      <c r="M106" s="9">
        <v>163280.64000000001</v>
      </c>
      <c r="N106" s="9">
        <v>15411.96</v>
      </c>
      <c r="O106" s="9">
        <v>45147.76</v>
      </c>
      <c r="P106" s="9">
        <v>17229.3</v>
      </c>
      <c r="Q106" s="9">
        <v>19485.099999999999</v>
      </c>
      <c r="R106" s="9">
        <v>720634.4</v>
      </c>
      <c r="S106" s="9">
        <v>0</v>
      </c>
      <c r="T106" s="9">
        <v>0</v>
      </c>
      <c r="U106" s="9">
        <v>0</v>
      </c>
      <c r="V106" s="9">
        <v>0</v>
      </c>
      <c r="W106" s="9">
        <v>54807.61</v>
      </c>
      <c r="X106" s="9">
        <v>56440.18</v>
      </c>
      <c r="Y106" s="9">
        <v>1082.82</v>
      </c>
      <c r="Z106" s="9">
        <v>7891.1</v>
      </c>
      <c r="AA106" s="9">
        <v>16215.7</v>
      </c>
      <c r="AB106" s="9">
        <v>1876.49</v>
      </c>
      <c r="AC106" s="9">
        <v>6337.26</v>
      </c>
      <c r="AD106" s="9">
        <v>8515.7800000000007</v>
      </c>
      <c r="AE106" s="9">
        <v>408.41</v>
      </c>
      <c r="AF106" s="9">
        <v>5576.64</v>
      </c>
      <c r="AG106" s="9">
        <v>9.11</v>
      </c>
      <c r="AH106" s="9">
        <v>89.22</v>
      </c>
      <c r="AI106" s="9">
        <v>218.12</v>
      </c>
      <c r="AJ106" s="9">
        <v>233.86</v>
      </c>
      <c r="AK106" s="9">
        <v>7985.67</v>
      </c>
      <c r="AL106" s="9">
        <v>75143.45</v>
      </c>
      <c r="AM106" s="9">
        <v>74929.61</v>
      </c>
      <c r="AN106" s="9">
        <v>4372.33</v>
      </c>
      <c r="AO106" s="9">
        <v>4507.1899999999996</v>
      </c>
      <c r="AP106" s="9">
        <v>19503.63</v>
      </c>
      <c r="AQ106" s="9">
        <v>235.47</v>
      </c>
      <c r="AR106" s="9">
        <v>1808.01</v>
      </c>
      <c r="AS106" s="9">
        <v>20617.740000000002</v>
      </c>
      <c r="AT106" s="9">
        <v>622.67999999999995</v>
      </c>
      <c r="AU106" s="9">
        <v>3545.05</v>
      </c>
      <c r="AV106" s="9">
        <v>96.72</v>
      </c>
      <c r="AW106" s="9">
        <v>1023.44</v>
      </c>
      <c r="AX106" s="9">
        <v>3182.5</v>
      </c>
      <c r="AY106" s="9">
        <v>768.04</v>
      </c>
      <c r="AZ106" s="9">
        <v>14646.82</v>
      </c>
      <c r="BA106" s="9">
        <v>1090062.8400000001</v>
      </c>
      <c r="BB106" s="9"/>
      <c r="BC106" s="9">
        <v>1631207.9299999997</v>
      </c>
      <c r="BD106" s="9"/>
      <c r="BE106" s="9">
        <v>12634.86</v>
      </c>
      <c r="BF106" s="9"/>
      <c r="BG106" s="9">
        <v>42172.75</v>
      </c>
      <c r="BH106" s="9"/>
      <c r="BI106" s="9">
        <v>29524.73</v>
      </c>
      <c r="BJ106" s="9"/>
      <c r="BK106" s="9">
        <v>45618.720000000001</v>
      </c>
      <c r="BL106" s="9"/>
      <c r="BM106" s="9">
        <v>1837524.38</v>
      </c>
      <c r="BN106" s="9">
        <v>973491.87</v>
      </c>
      <c r="BO106" s="9"/>
      <c r="BP106" s="9">
        <v>864032.5</v>
      </c>
      <c r="BQ106" s="9"/>
      <c r="BR106" s="9">
        <v>42521.37</v>
      </c>
      <c r="BS106" s="9">
        <v>11535.73</v>
      </c>
      <c r="BT106" s="9"/>
      <c r="BU106" s="9">
        <v>30985.64</v>
      </c>
      <c r="BV106" s="9"/>
      <c r="BW106" s="9">
        <v>54533.51</v>
      </c>
      <c r="BX106" s="9">
        <v>24842.75</v>
      </c>
      <c r="BY106" s="9"/>
      <c r="BZ106" s="9">
        <v>29690.76</v>
      </c>
      <c r="CA106" s="9"/>
      <c r="CB106" s="9">
        <v>35880.5</v>
      </c>
      <c r="CC106" s="9">
        <v>2752739.09</v>
      </c>
      <c r="CD106" s="9"/>
      <c r="CE106" s="9"/>
      <c r="CF106" s="9">
        <v>2149680.4800000004</v>
      </c>
      <c r="CG106" s="9">
        <v>1462809.74</v>
      </c>
      <c r="CH106" s="9">
        <v>686870.74</v>
      </c>
      <c r="CI106" s="9">
        <v>1347462.6799999997</v>
      </c>
      <c r="CJ106" s="9">
        <v>1005190.23</v>
      </c>
      <c r="CK106" s="9">
        <v>342272.45</v>
      </c>
      <c r="CL106" s="9">
        <v>802217.79999999993</v>
      </c>
      <c r="CM106" s="9">
        <v>457619.51</v>
      </c>
      <c r="CN106" s="9">
        <v>344598.29</v>
      </c>
      <c r="CO106" s="9">
        <v>662767.59</v>
      </c>
      <c r="CP106" s="9">
        <v>132305.04</v>
      </c>
      <c r="CQ106" s="9">
        <v>530462.54999999993</v>
      </c>
      <c r="CR106" s="9">
        <v>309384.46000000002</v>
      </c>
      <c r="CS106" s="9">
        <v>63232.92</v>
      </c>
      <c r="CT106" s="9">
        <v>246151.54</v>
      </c>
      <c r="CU106" s="9">
        <v>353383.13</v>
      </c>
      <c r="CV106" s="9">
        <v>69072.12</v>
      </c>
      <c r="CW106" s="9">
        <v>284311.01</v>
      </c>
      <c r="CX106" s="9">
        <v>1486912.89</v>
      </c>
      <c r="CY106" s="9">
        <v>1330504.7</v>
      </c>
      <c r="CZ106" s="9">
        <v>156408.19</v>
      </c>
      <c r="DA106" s="9">
        <v>1038078.22</v>
      </c>
      <c r="DB106" s="9">
        <v>941957.31</v>
      </c>
      <c r="DC106" s="9">
        <v>96120.91</v>
      </c>
      <c r="DD106" s="9">
        <v>448834.66999999993</v>
      </c>
      <c r="DE106" s="9">
        <v>388547.39</v>
      </c>
      <c r="DF106" s="9">
        <v>60287.28</v>
      </c>
      <c r="DG106" s="9">
        <v>2576282.89</v>
      </c>
      <c r="DH106" s="9">
        <v>426602.41</v>
      </c>
    </row>
    <row r="107" spans="1:112" x14ac:dyDescent="0.2">
      <c r="A107" s="8" t="s">
        <v>851</v>
      </c>
      <c r="B107" s="8" t="s">
        <v>311</v>
      </c>
      <c r="C107" s="8" t="s">
        <v>312</v>
      </c>
      <c r="D107" s="9">
        <v>2691283.62</v>
      </c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>
        <v>58949.72</v>
      </c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>
        <v>83251.19</v>
      </c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>
        <v>1070006.23</v>
      </c>
      <c r="BB107" s="9"/>
      <c r="BC107" s="9">
        <v>1626474.55</v>
      </c>
      <c r="BD107" s="9"/>
      <c r="BE107" s="9">
        <v>14336.79</v>
      </c>
      <c r="BF107" s="9"/>
      <c r="BG107" s="9">
        <v>44612.92</v>
      </c>
      <c r="BH107" s="9"/>
      <c r="BI107" s="9">
        <v>30839.38</v>
      </c>
      <c r="BJ107" s="9"/>
      <c r="BK107" s="9">
        <v>52411.82</v>
      </c>
      <c r="BL107" s="9"/>
      <c r="BM107" s="9">
        <v>1813650.22</v>
      </c>
      <c r="BN107" s="9">
        <v>953966.06</v>
      </c>
      <c r="BO107" s="9"/>
      <c r="BP107" s="9">
        <v>859684.14999999991</v>
      </c>
      <c r="BQ107" s="9"/>
      <c r="BR107" s="9">
        <v>43025.06</v>
      </c>
      <c r="BS107" s="9">
        <v>13166.33</v>
      </c>
      <c r="BT107" s="9"/>
      <c r="BU107" s="9">
        <v>29858.720000000001</v>
      </c>
      <c r="BV107" s="9"/>
      <c r="BW107" s="9">
        <v>61358.01</v>
      </c>
      <c r="BX107" s="9">
        <v>26166.58</v>
      </c>
      <c r="BY107" s="9"/>
      <c r="BZ107" s="9">
        <v>35191.43</v>
      </c>
      <c r="CA107" s="9"/>
      <c r="CB107" s="9">
        <v>36620.14</v>
      </c>
      <c r="CC107" s="9">
        <v>2727903.76</v>
      </c>
      <c r="CD107" s="9"/>
      <c r="CE107" s="9"/>
      <c r="CF107" s="9">
        <v>2009761.86</v>
      </c>
      <c r="CG107" s="9">
        <v>1361771.65</v>
      </c>
      <c r="CH107" s="9">
        <v>647990.21000000008</v>
      </c>
      <c r="CI107" s="9">
        <v>1292027.3700000001</v>
      </c>
      <c r="CJ107" s="9">
        <v>965918.46</v>
      </c>
      <c r="CK107" s="9">
        <v>326108.90999999997</v>
      </c>
      <c r="CL107" s="9">
        <v>717734.49</v>
      </c>
      <c r="CM107" s="9">
        <v>395853.18999999989</v>
      </c>
      <c r="CN107" s="9">
        <v>321881.3</v>
      </c>
      <c r="CO107" s="9">
        <v>615196.40999999992</v>
      </c>
      <c r="CP107" s="9">
        <v>114756.18</v>
      </c>
      <c r="CQ107" s="9">
        <v>500440.23</v>
      </c>
      <c r="CR107" s="9">
        <v>291116.05</v>
      </c>
      <c r="CS107" s="9">
        <v>58375.06</v>
      </c>
      <c r="CT107" s="9">
        <v>232740.99</v>
      </c>
      <c r="CU107" s="9">
        <v>324080.36</v>
      </c>
      <c r="CV107" s="9">
        <v>56381.120000000003</v>
      </c>
      <c r="CW107" s="9">
        <v>267699.24</v>
      </c>
      <c r="CX107" s="9">
        <v>1394565.4500000002</v>
      </c>
      <c r="CY107" s="9">
        <v>1247015.47</v>
      </c>
      <c r="CZ107" s="9">
        <v>147549.98000000001</v>
      </c>
      <c r="DA107" s="9">
        <v>1000911.32</v>
      </c>
      <c r="DB107" s="9">
        <v>907543.4</v>
      </c>
      <c r="DC107" s="9">
        <v>93367.92</v>
      </c>
      <c r="DD107" s="9">
        <v>393654.13</v>
      </c>
      <c r="DE107" s="9">
        <v>339472.06999999989</v>
      </c>
      <c r="DF107" s="9">
        <v>54182.06</v>
      </c>
      <c r="DG107" s="9">
        <v>2445596.0199999996</v>
      </c>
      <c r="DH107" s="9">
        <v>435834.16</v>
      </c>
    </row>
    <row r="108" spans="1:112" x14ac:dyDescent="0.2">
      <c r="A108" s="8" t="s">
        <v>851</v>
      </c>
      <c r="B108" s="8" t="s">
        <v>311</v>
      </c>
      <c r="C108" s="8" t="s">
        <v>313</v>
      </c>
      <c r="D108" s="9">
        <v>2668119.2599999998</v>
      </c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>
        <v>55026.86</v>
      </c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>
        <v>87104.19</v>
      </c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>
        <v>1051091.3799999999</v>
      </c>
      <c r="BB108" s="9"/>
      <c r="BC108" s="9">
        <v>1621495.7</v>
      </c>
      <c r="BD108" s="9"/>
      <c r="BE108" s="9">
        <v>19804.12</v>
      </c>
      <c r="BF108" s="9"/>
      <c r="BG108" s="9">
        <v>35222.74</v>
      </c>
      <c r="BH108" s="9"/>
      <c r="BI108" s="9">
        <v>32876.199999999997</v>
      </c>
      <c r="BJ108" s="9"/>
      <c r="BK108" s="9">
        <v>54227.98</v>
      </c>
      <c r="BL108" s="9"/>
      <c r="BM108" s="9">
        <v>1813192.75</v>
      </c>
      <c r="BN108" s="9">
        <v>930062.41</v>
      </c>
      <c r="BO108" s="9"/>
      <c r="BP108" s="9">
        <v>883130.33</v>
      </c>
      <c r="BQ108" s="9"/>
      <c r="BR108" s="9">
        <v>33339.69</v>
      </c>
      <c r="BS108" s="9">
        <v>16093.84</v>
      </c>
      <c r="BT108" s="9"/>
      <c r="BU108" s="9">
        <v>17245.849999999999</v>
      </c>
      <c r="BV108" s="9"/>
      <c r="BW108" s="9">
        <v>65523.34</v>
      </c>
      <c r="BX108" s="9">
        <v>28052.12</v>
      </c>
      <c r="BY108" s="9"/>
      <c r="BZ108" s="9">
        <v>37471.21</v>
      </c>
      <c r="CA108" s="9"/>
      <c r="CB108" s="9">
        <v>37457.589999999997</v>
      </c>
      <c r="CC108" s="9">
        <v>2705576.85</v>
      </c>
      <c r="CD108" s="9"/>
      <c r="CE108" s="9"/>
      <c r="CF108" s="9">
        <v>1905084.68</v>
      </c>
      <c r="CG108" s="9">
        <v>1309221.94</v>
      </c>
      <c r="CH108" s="9">
        <v>595862.73999999987</v>
      </c>
      <c r="CI108" s="9">
        <v>1230477.24</v>
      </c>
      <c r="CJ108" s="9">
        <v>908664.41</v>
      </c>
      <c r="CK108" s="9">
        <v>321812.83</v>
      </c>
      <c r="CL108" s="9">
        <v>674607.44</v>
      </c>
      <c r="CM108" s="9">
        <v>400557.53</v>
      </c>
      <c r="CN108" s="9">
        <v>274049.90999999997</v>
      </c>
      <c r="CO108" s="9">
        <v>554493.65</v>
      </c>
      <c r="CP108" s="9">
        <v>108841.11</v>
      </c>
      <c r="CQ108" s="9">
        <v>445652.54</v>
      </c>
      <c r="CR108" s="9">
        <v>279136.61</v>
      </c>
      <c r="CS108" s="9">
        <v>52576.42</v>
      </c>
      <c r="CT108" s="9">
        <v>226560.19</v>
      </c>
      <c r="CU108" s="9">
        <v>275357.03999999998</v>
      </c>
      <c r="CV108" s="9">
        <v>56264.69</v>
      </c>
      <c r="CW108" s="9">
        <v>219092.35</v>
      </c>
      <c r="CX108" s="9">
        <v>1350591.03</v>
      </c>
      <c r="CY108" s="9">
        <v>1200380.83</v>
      </c>
      <c r="CZ108" s="9">
        <v>150210.20000000001</v>
      </c>
      <c r="DA108" s="9">
        <v>951340.63</v>
      </c>
      <c r="DB108" s="9">
        <v>856087.99</v>
      </c>
      <c r="DC108" s="9">
        <v>95252.64</v>
      </c>
      <c r="DD108" s="9">
        <v>399250.4</v>
      </c>
      <c r="DE108" s="9">
        <v>344292.84</v>
      </c>
      <c r="DF108" s="9">
        <v>54957.56</v>
      </c>
      <c r="DG108" s="9">
        <v>2316421.73</v>
      </c>
      <c r="DH108" s="9">
        <v>411337.05</v>
      </c>
    </row>
    <row r="109" spans="1:112" x14ac:dyDescent="0.2">
      <c r="A109" s="8" t="s">
        <v>851</v>
      </c>
      <c r="B109" s="8" t="s">
        <v>311</v>
      </c>
      <c r="C109" s="8" t="s">
        <v>314</v>
      </c>
      <c r="D109" s="9">
        <v>2635551.56</v>
      </c>
      <c r="E109" s="9">
        <v>2635127.75</v>
      </c>
      <c r="F109" s="9">
        <v>67682.929999999993</v>
      </c>
      <c r="G109" s="9">
        <v>169771.67</v>
      </c>
      <c r="H109" s="9">
        <v>381790.38</v>
      </c>
      <c r="I109" s="9">
        <v>28306.09</v>
      </c>
      <c r="J109" s="9">
        <v>383234.86</v>
      </c>
      <c r="K109" s="9">
        <v>598598.22</v>
      </c>
      <c r="L109" s="9">
        <v>60532.62</v>
      </c>
      <c r="M109" s="9">
        <v>191041.22</v>
      </c>
      <c r="N109" s="9">
        <v>9542.56</v>
      </c>
      <c r="O109" s="9">
        <v>30869.72</v>
      </c>
      <c r="P109" s="9">
        <v>14662.19</v>
      </c>
      <c r="Q109" s="9">
        <v>22930.11</v>
      </c>
      <c r="R109" s="9">
        <v>676165.19000000006</v>
      </c>
      <c r="S109" s="9">
        <v>0</v>
      </c>
      <c r="T109" s="9">
        <v>0</v>
      </c>
      <c r="U109" s="9">
        <v>0</v>
      </c>
      <c r="V109" s="9">
        <v>0</v>
      </c>
      <c r="W109" s="9">
        <v>93323.15</v>
      </c>
      <c r="X109" s="9">
        <v>93601.69</v>
      </c>
      <c r="Y109" s="9">
        <v>2860.12</v>
      </c>
      <c r="Z109" s="9">
        <v>16215.79</v>
      </c>
      <c r="AA109" s="9">
        <v>13263.87</v>
      </c>
      <c r="AB109" s="9">
        <v>2993.51</v>
      </c>
      <c r="AC109" s="9">
        <v>23183.200000000001</v>
      </c>
      <c r="AD109" s="9">
        <v>13107.15</v>
      </c>
      <c r="AE109" s="9">
        <v>656.14</v>
      </c>
      <c r="AF109" s="9">
        <v>2965.14</v>
      </c>
      <c r="AG109" s="9">
        <v>821.24</v>
      </c>
      <c r="AH109" s="9">
        <v>26.62</v>
      </c>
      <c r="AI109" s="9">
        <v>252.14</v>
      </c>
      <c r="AJ109" s="9">
        <v>378.9</v>
      </c>
      <c r="AK109" s="9">
        <v>16877.87</v>
      </c>
      <c r="AL109" s="9">
        <v>188667.18</v>
      </c>
      <c r="AM109" s="9">
        <v>187520.89</v>
      </c>
      <c r="AN109" s="9">
        <v>7519.75</v>
      </c>
      <c r="AO109" s="9">
        <v>27601.21</v>
      </c>
      <c r="AP109" s="9">
        <v>21567.01</v>
      </c>
      <c r="AQ109" s="9">
        <v>183.98</v>
      </c>
      <c r="AR109" s="9">
        <v>40288.14</v>
      </c>
      <c r="AS109" s="9">
        <v>34467.83</v>
      </c>
      <c r="AT109" s="9">
        <v>10427.540000000001</v>
      </c>
      <c r="AU109" s="9">
        <v>10031.799999999999</v>
      </c>
      <c r="AV109" s="9">
        <v>813.99</v>
      </c>
      <c r="AW109" s="9">
        <v>1679.85</v>
      </c>
      <c r="AX109" s="9">
        <v>3740.81</v>
      </c>
      <c r="AY109" s="9">
        <v>824.52</v>
      </c>
      <c r="AZ109" s="9">
        <v>28374.46</v>
      </c>
      <c r="BA109" s="9">
        <v>1013694.14</v>
      </c>
      <c r="BB109" s="9"/>
      <c r="BC109" s="9">
        <v>1625216.17</v>
      </c>
      <c r="BD109" s="9"/>
      <c r="BE109" s="9">
        <v>17278.099999999999</v>
      </c>
      <c r="BF109" s="9"/>
      <c r="BG109" s="9">
        <v>76045.05</v>
      </c>
      <c r="BH109" s="9"/>
      <c r="BI109" s="9">
        <v>41378.400000000001</v>
      </c>
      <c r="BJ109" s="9"/>
      <c r="BK109" s="9">
        <v>147288.76999999999</v>
      </c>
      <c r="BL109" s="9"/>
      <c r="BM109" s="9">
        <v>1785545.79</v>
      </c>
      <c r="BN109" s="9">
        <v>884673.09</v>
      </c>
      <c r="BO109" s="9"/>
      <c r="BP109" s="9">
        <v>900872.69</v>
      </c>
      <c r="BQ109" s="9"/>
      <c r="BR109" s="9">
        <v>50068.59</v>
      </c>
      <c r="BS109" s="9">
        <v>14254.22</v>
      </c>
      <c r="BT109" s="9"/>
      <c r="BU109" s="9">
        <v>35814.370000000003</v>
      </c>
      <c r="BV109" s="9"/>
      <c r="BW109" s="9">
        <v>144389.29999999999</v>
      </c>
      <c r="BX109" s="9">
        <v>33552.28</v>
      </c>
      <c r="BY109" s="9"/>
      <c r="BZ109" s="9">
        <v>110837.01</v>
      </c>
      <c r="CA109" s="9"/>
      <c r="CB109" s="9">
        <v>41976.58</v>
      </c>
      <c r="CC109" s="9">
        <v>2677528.14</v>
      </c>
      <c r="CD109" s="9"/>
      <c r="CE109" s="9"/>
      <c r="CF109" s="9">
        <v>1867146.02</v>
      </c>
      <c r="CG109" s="9">
        <v>1296919.9099999999</v>
      </c>
      <c r="CH109" s="9">
        <v>570226.11</v>
      </c>
      <c r="CI109" s="9">
        <v>1152772.7300000002</v>
      </c>
      <c r="CJ109" s="9">
        <v>842819.22</v>
      </c>
      <c r="CK109" s="9">
        <v>309953.51</v>
      </c>
      <c r="CL109" s="9">
        <v>714373.28999999992</v>
      </c>
      <c r="CM109" s="9">
        <v>454100.69</v>
      </c>
      <c r="CN109" s="9">
        <v>260272.6</v>
      </c>
      <c r="CO109" s="9">
        <v>587516.84000000008</v>
      </c>
      <c r="CP109" s="9">
        <v>105878.02</v>
      </c>
      <c r="CQ109" s="9">
        <v>481638.82000000012</v>
      </c>
      <c r="CR109" s="9">
        <v>308949.93000000011</v>
      </c>
      <c r="CS109" s="9">
        <v>51766.7</v>
      </c>
      <c r="CT109" s="9">
        <v>257183.23</v>
      </c>
      <c r="CU109" s="9">
        <v>278566.90999999997</v>
      </c>
      <c r="CV109" s="9">
        <v>54111.32</v>
      </c>
      <c r="CW109" s="9">
        <v>224455.59</v>
      </c>
      <c r="CX109" s="9">
        <v>1279629.1800000002</v>
      </c>
      <c r="CY109" s="9">
        <v>1191041.8899999999</v>
      </c>
      <c r="CZ109" s="9">
        <v>88587.29</v>
      </c>
      <c r="DA109" s="9">
        <v>843822.8</v>
      </c>
      <c r="DB109" s="9">
        <v>791052.52</v>
      </c>
      <c r="DC109" s="9">
        <v>52770.28</v>
      </c>
      <c r="DD109" s="9">
        <v>435806.38</v>
      </c>
      <c r="DE109" s="9">
        <v>399989.37</v>
      </c>
      <c r="DF109" s="9">
        <v>35817.01</v>
      </c>
      <c r="DG109" s="9">
        <v>2400802.9299999997</v>
      </c>
      <c r="DH109" s="9">
        <v>533656.90999999992</v>
      </c>
    </row>
    <row r="110" spans="1:112" x14ac:dyDescent="0.2">
      <c r="A110" s="8" t="s">
        <v>852</v>
      </c>
      <c r="B110" s="8" t="s">
        <v>315</v>
      </c>
      <c r="C110" s="8" t="s">
        <v>316</v>
      </c>
      <c r="D110" s="9">
        <v>2671994.3000000003</v>
      </c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>
        <v>124743.48</v>
      </c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>
        <v>196211.36</v>
      </c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>
        <v>995905.06</v>
      </c>
      <c r="BB110" s="9"/>
      <c r="BC110" s="9">
        <v>1679993.5900000003</v>
      </c>
      <c r="BD110" s="9"/>
      <c r="BE110" s="9">
        <v>24737.83</v>
      </c>
      <c r="BF110" s="9"/>
      <c r="BG110" s="9">
        <v>100005.65</v>
      </c>
      <c r="BH110" s="9"/>
      <c r="BI110" s="9">
        <v>45696.13</v>
      </c>
      <c r="BJ110" s="9"/>
      <c r="BK110" s="9">
        <v>150515.23000000001</v>
      </c>
      <c r="BL110" s="9"/>
      <c r="BM110" s="9">
        <v>1773062.69</v>
      </c>
      <c r="BN110" s="9">
        <v>861875.66</v>
      </c>
      <c r="BO110" s="9"/>
      <c r="BP110" s="9">
        <v>911187.03</v>
      </c>
      <c r="BQ110" s="9"/>
      <c r="BR110" s="9">
        <v>62956.43</v>
      </c>
      <c r="BS110" s="9">
        <v>20844.39</v>
      </c>
      <c r="BT110" s="9"/>
      <c r="BU110" s="9">
        <v>42112.04</v>
      </c>
      <c r="BV110" s="9"/>
      <c r="BW110" s="9">
        <v>147413.26</v>
      </c>
      <c r="BX110" s="9">
        <v>36700.28</v>
      </c>
      <c r="BY110" s="9"/>
      <c r="BZ110" s="9">
        <v>110712.98</v>
      </c>
      <c r="CA110" s="9"/>
      <c r="CB110" s="9">
        <v>43951.81</v>
      </c>
      <c r="CC110" s="9">
        <v>2715946.1100000003</v>
      </c>
      <c r="CD110" s="9"/>
      <c r="CE110" s="9"/>
      <c r="CF110" s="9">
        <v>1849498.46</v>
      </c>
      <c r="CG110" s="9">
        <v>1336030.7600000002</v>
      </c>
      <c r="CH110" s="9">
        <v>513467.7</v>
      </c>
      <c r="CI110" s="9">
        <v>1085107.4500000002</v>
      </c>
      <c r="CJ110" s="9">
        <v>824272.99</v>
      </c>
      <c r="CK110" s="9">
        <v>260834.46</v>
      </c>
      <c r="CL110" s="9">
        <v>764391.01</v>
      </c>
      <c r="CM110" s="9">
        <v>511757.77</v>
      </c>
      <c r="CN110" s="9">
        <v>252633.24</v>
      </c>
      <c r="CO110" s="9">
        <v>527588.82000000007</v>
      </c>
      <c r="CP110" s="9">
        <v>109709.04</v>
      </c>
      <c r="CQ110" s="9">
        <v>417879.78</v>
      </c>
      <c r="CR110" s="9">
        <v>253076.36</v>
      </c>
      <c r="CS110" s="9">
        <v>50086.85</v>
      </c>
      <c r="CT110" s="9">
        <v>202989.51</v>
      </c>
      <c r="CU110" s="9">
        <v>274512.46000000002</v>
      </c>
      <c r="CV110" s="9">
        <v>59622.19</v>
      </c>
      <c r="CW110" s="9">
        <v>214890.27</v>
      </c>
      <c r="CX110" s="9">
        <v>1321909.6399999999</v>
      </c>
      <c r="CY110" s="9">
        <v>1226321.72</v>
      </c>
      <c r="CZ110" s="9">
        <v>95587.92</v>
      </c>
      <c r="DA110" s="9">
        <v>832031.09000000008</v>
      </c>
      <c r="DB110" s="9">
        <v>774186.14</v>
      </c>
      <c r="DC110" s="9">
        <v>57844.95</v>
      </c>
      <c r="DD110" s="9">
        <v>489878.55</v>
      </c>
      <c r="DE110" s="9">
        <v>452135.58</v>
      </c>
      <c r="DF110" s="9">
        <v>37742.97</v>
      </c>
      <c r="DG110" s="9">
        <v>2367566.63</v>
      </c>
      <c r="DH110" s="9">
        <v>518068.17</v>
      </c>
    </row>
    <row r="111" spans="1:112" x14ac:dyDescent="0.2">
      <c r="A111" s="8" t="s">
        <v>852</v>
      </c>
      <c r="B111" s="8" t="s">
        <v>315</v>
      </c>
      <c r="C111" s="8" t="s">
        <v>317</v>
      </c>
      <c r="D111" s="9">
        <v>2685301.5500000003</v>
      </c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>
        <v>142584.99</v>
      </c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>
        <v>198617.23</v>
      </c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>
        <v>989544.22</v>
      </c>
      <c r="BB111" s="9"/>
      <c r="BC111" s="9">
        <v>1698998.0300000005</v>
      </c>
      <c r="BD111" s="9"/>
      <c r="BE111" s="9">
        <v>29677.83</v>
      </c>
      <c r="BF111" s="9"/>
      <c r="BG111" s="9">
        <v>112907.17</v>
      </c>
      <c r="BH111" s="9"/>
      <c r="BI111" s="9">
        <v>50625.37</v>
      </c>
      <c r="BJ111" s="9"/>
      <c r="BK111" s="9">
        <v>147991.87</v>
      </c>
      <c r="BL111" s="9"/>
      <c r="BM111" s="9">
        <v>1747451.54</v>
      </c>
      <c r="BN111" s="9">
        <v>851596.17</v>
      </c>
      <c r="BO111" s="9"/>
      <c r="BP111" s="9">
        <v>895855.36999999988</v>
      </c>
      <c r="BQ111" s="9"/>
      <c r="BR111" s="9">
        <v>72719.69</v>
      </c>
      <c r="BS111" s="9">
        <v>24207.42</v>
      </c>
      <c r="BT111" s="9"/>
      <c r="BU111" s="9">
        <v>48512.28</v>
      </c>
      <c r="BV111" s="9"/>
      <c r="BW111" s="9">
        <v>153188.85</v>
      </c>
      <c r="BX111" s="9">
        <v>40904.269999999997</v>
      </c>
      <c r="BY111" s="9"/>
      <c r="BZ111" s="9">
        <v>112284.58</v>
      </c>
      <c r="CA111" s="9"/>
      <c r="CB111" s="9">
        <v>46731.98</v>
      </c>
      <c r="CC111" s="9">
        <v>2732033.5300000003</v>
      </c>
      <c r="CD111" s="9"/>
      <c r="CE111" s="9"/>
      <c r="CF111" s="9">
        <v>1940479.16</v>
      </c>
      <c r="CG111" s="9">
        <v>1397979.1800000002</v>
      </c>
      <c r="CH111" s="9">
        <v>542499.98</v>
      </c>
      <c r="CI111" s="9">
        <v>1095058.2</v>
      </c>
      <c r="CJ111" s="9">
        <v>845969.64</v>
      </c>
      <c r="CK111" s="9">
        <v>249088.56</v>
      </c>
      <c r="CL111" s="9">
        <v>845420.96</v>
      </c>
      <c r="CM111" s="9">
        <v>552009.54</v>
      </c>
      <c r="CN111" s="9">
        <v>293411.42</v>
      </c>
      <c r="CO111" s="9">
        <v>547088.99</v>
      </c>
      <c r="CP111" s="9">
        <v>114561.28</v>
      </c>
      <c r="CQ111" s="9">
        <v>432527.71</v>
      </c>
      <c r="CR111" s="9">
        <v>239619.67</v>
      </c>
      <c r="CS111" s="9">
        <v>48405.16</v>
      </c>
      <c r="CT111" s="9">
        <v>191214.51</v>
      </c>
      <c r="CU111" s="9">
        <v>307469.32</v>
      </c>
      <c r="CV111" s="9">
        <v>66156.12</v>
      </c>
      <c r="CW111" s="9">
        <v>241313.2</v>
      </c>
      <c r="CX111" s="9">
        <v>1393390.17</v>
      </c>
      <c r="CY111" s="9">
        <v>1283417.8999999999</v>
      </c>
      <c r="CZ111" s="9">
        <v>109972.27</v>
      </c>
      <c r="DA111" s="9">
        <v>855438.53</v>
      </c>
      <c r="DB111" s="9">
        <v>797564.48</v>
      </c>
      <c r="DC111" s="9">
        <v>57874.05</v>
      </c>
      <c r="DD111" s="9">
        <v>537951.64</v>
      </c>
      <c r="DE111" s="9">
        <v>485853.42</v>
      </c>
      <c r="DF111" s="9">
        <v>52098.22</v>
      </c>
      <c r="DG111" s="9">
        <v>2482221.2300000004</v>
      </c>
      <c r="DH111" s="9">
        <v>541742.07000000007</v>
      </c>
    </row>
    <row r="112" spans="1:112" x14ac:dyDescent="0.2">
      <c r="A112" s="8" t="s">
        <v>852</v>
      </c>
      <c r="B112" s="8" t="s">
        <v>315</v>
      </c>
      <c r="C112" s="8" t="s">
        <v>318</v>
      </c>
      <c r="D112" s="9">
        <v>2671726.5900000003</v>
      </c>
      <c r="E112" s="9">
        <v>2670871.91</v>
      </c>
      <c r="F112" s="9">
        <v>166994.41</v>
      </c>
      <c r="G112" s="9">
        <v>191163.88</v>
      </c>
      <c r="H112" s="9">
        <v>431819.1</v>
      </c>
      <c r="I112" s="9">
        <v>22428.44</v>
      </c>
      <c r="J112" s="9">
        <v>419638.74</v>
      </c>
      <c r="K112" s="9">
        <v>596241.59</v>
      </c>
      <c r="L112" s="9">
        <v>63250.11</v>
      </c>
      <c r="M112" s="9">
        <v>217224.13</v>
      </c>
      <c r="N112" s="9">
        <v>8336.5300000000007</v>
      </c>
      <c r="O112" s="9">
        <v>33714.44</v>
      </c>
      <c r="P112" s="9">
        <v>14477.01</v>
      </c>
      <c r="Q112" s="9">
        <v>22822.58</v>
      </c>
      <c r="R112" s="9">
        <v>482760.92</v>
      </c>
      <c r="S112" s="9">
        <v>0</v>
      </c>
      <c r="T112" s="9">
        <v>0</v>
      </c>
      <c r="U112" s="9">
        <v>0</v>
      </c>
      <c r="V112" s="9">
        <v>0</v>
      </c>
      <c r="W112" s="9">
        <v>132172.95000000001</v>
      </c>
      <c r="X112" s="9">
        <v>131408.35999999999</v>
      </c>
      <c r="Y112" s="9">
        <v>2706.42</v>
      </c>
      <c r="Z112" s="9">
        <v>18042.82</v>
      </c>
      <c r="AA112" s="9">
        <v>21555.06</v>
      </c>
      <c r="AB112" s="9">
        <v>127.86</v>
      </c>
      <c r="AC112" s="9">
        <v>33727.24</v>
      </c>
      <c r="AD112" s="9">
        <v>21425.09</v>
      </c>
      <c r="AE112" s="9">
        <v>2738.94</v>
      </c>
      <c r="AF112" s="9">
        <v>6498.98</v>
      </c>
      <c r="AG112" s="9">
        <v>25.91</v>
      </c>
      <c r="AH112" s="9">
        <v>3094.04</v>
      </c>
      <c r="AI112" s="9">
        <v>539.38</v>
      </c>
      <c r="AJ112" s="9">
        <v>445.74</v>
      </c>
      <c r="AK112" s="9">
        <v>20480.89</v>
      </c>
      <c r="AL112" s="9">
        <v>265684.93</v>
      </c>
      <c r="AM112" s="9">
        <v>264914.27</v>
      </c>
      <c r="AN112" s="9">
        <v>14862.43</v>
      </c>
      <c r="AO112" s="9">
        <v>27377.98</v>
      </c>
      <c r="AP112" s="9">
        <v>49464.06</v>
      </c>
      <c r="AQ112" s="9">
        <v>2466.2800000000002</v>
      </c>
      <c r="AR112" s="9">
        <v>58322.23</v>
      </c>
      <c r="AS112" s="9">
        <v>53555.9</v>
      </c>
      <c r="AT112" s="9">
        <v>11913.39</v>
      </c>
      <c r="AU112" s="9">
        <v>13623.97</v>
      </c>
      <c r="AV112" s="9">
        <v>1386.33</v>
      </c>
      <c r="AW112" s="9">
        <v>2821.31</v>
      </c>
      <c r="AX112" s="9">
        <v>2744.47</v>
      </c>
      <c r="AY112" s="9">
        <v>1172.67</v>
      </c>
      <c r="AZ112" s="9">
        <v>25203.26</v>
      </c>
      <c r="BA112" s="9">
        <v>963525.96</v>
      </c>
      <c r="BB112" s="9"/>
      <c r="BC112" s="9">
        <v>1712202.7799999998</v>
      </c>
      <c r="BD112" s="9"/>
      <c r="BE112" s="9">
        <v>29742.82</v>
      </c>
      <c r="BF112" s="9"/>
      <c r="BG112" s="9">
        <v>102430.13</v>
      </c>
      <c r="BH112" s="9"/>
      <c r="BI112" s="9">
        <v>58024.53</v>
      </c>
      <c r="BJ112" s="9"/>
      <c r="BK112" s="9">
        <v>207660.41</v>
      </c>
      <c r="BL112" s="9"/>
      <c r="BM112" s="9">
        <v>1744991.51</v>
      </c>
      <c r="BN112" s="9">
        <v>822993.89999999991</v>
      </c>
      <c r="BO112" s="9"/>
      <c r="BP112" s="9">
        <v>921997.62</v>
      </c>
      <c r="BQ112" s="9"/>
      <c r="BR112" s="9">
        <v>71408.800000000003</v>
      </c>
      <c r="BS112" s="9">
        <v>24547.22</v>
      </c>
      <c r="BT112" s="9"/>
      <c r="BU112" s="9">
        <v>46861.58</v>
      </c>
      <c r="BV112" s="9"/>
      <c r="BW112" s="9">
        <v>195021.78</v>
      </c>
      <c r="BX112" s="9">
        <v>44355.23</v>
      </c>
      <c r="BY112" s="9"/>
      <c r="BZ112" s="9">
        <v>150666.56</v>
      </c>
      <c r="CA112" s="9"/>
      <c r="CB112" s="9">
        <v>42042.34</v>
      </c>
      <c r="CC112" s="9">
        <v>2713768.93</v>
      </c>
      <c r="CD112" s="9"/>
      <c r="CE112" s="9"/>
      <c r="CF112" s="9">
        <v>2011941.37</v>
      </c>
      <c r="CG112" s="9">
        <v>1428013.4</v>
      </c>
      <c r="CH112" s="9">
        <v>583927.97</v>
      </c>
      <c r="CI112" s="9">
        <v>1150871</v>
      </c>
      <c r="CJ112" s="9">
        <v>905173.1</v>
      </c>
      <c r="CK112" s="9">
        <v>245697.9</v>
      </c>
      <c r="CL112" s="9">
        <v>861070.37</v>
      </c>
      <c r="CM112" s="9">
        <v>522840.29999999987</v>
      </c>
      <c r="CN112" s="9">
        <v>338230.07</v>
      </c>
      <c r="CO112" s="9">
        <v>576888.17000000004</v>
      </c>
      <c r="CP112" s="9">
        <v>116490.65</v>
      </c>
      <c r="CQ112" s="9">
        <v>460397.52</v>
      </c>
      <c r="CR112" s="9">
        <v>234931.71</v>
      </c>
      <c r="CS112" s="9">
        <v>51484.19</v>
      </c>
      <c r="CT112" s="9">
        <v>183447.52</v>
      </c>
      <c r="CU112" s="9">
        <v>341956.46</v>
      </c>
      <c r="CV112" s="9">
        <v>65006.46</v>
      </c>
      <c r="CW112" s="9">
        <v>276950</v>
      </c>
      <c r="CX112" s="9">
        <v>1435053.2</v>
      </c>
      <c r="CY112" s="9">
        <v>1311522.75</v>
      </c>
      <c r="CZ112" s="9">
        <v>123530.45</v>
      </c>
      <c r="DA112" s="9">
        <v>915939.29</v>
      </c>
      <c r="DB112" s="9">
        <v>853688.91</v>
      </c>
      <c r="DC112" s="9">
        <v>62250.38</v>
      </c>
      <c r="DD112" s="9">
        <v>519113.91</v>
      </c>
      <c r="DE112" s="9">
        <v>457833.84</v>
      </c>
      <c r="DF112" s="9">
        <v>61280.07</v>
      </c>
      <c r="DG112" s="9">
        <v>2543556.44</v>
      </c>
      <c r="DH112" s="9">
        <v>531615.07000000007</v>
      </c>
    </row>
    <row r="113" spans="1:112" x14ac:dyDescent="0.2">
      <c r="A113" s="8" t="s">
        <v>852</v>
      </c>
      <c r="B113" s="8" t="s">
        <v>319</v>
      </c>
      <c r="C113" s="8" t="s">
        <v>320</v>
      </c>
      <c r="D113" s="9">
        <v>2580239.4</v>
      </c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>
        <v>154235.38</v>
      </c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>
        <v>273913.02</v>
      </c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>
        <v>930567.35</v>
      </c>
      <c r="BB113" s="9"/>
      <c r="BC113" s="9">
        <v>1653712.4299999997</v>
      </c>
      <c r="BD113" s="9"/>
      <c r="BE113" s="9">
        <v>30608.959999999999</v>
      </c>
      <c r="BF113" s="9"/>
      <c r="BG113" s="9">
        <v>123626.42</v>
      </c>
      <c r="BH113" s="9"/>
      <c r="BI113" s="9">
        <v>60361.72</v>
      </c>
      <c r="BJ113" s="9"/>
      <c r="BK113" s="9">
        <v>213551.28</v>
      </c>
      <c r="BL113" s="9"/>
      <c r="BM113" s="9">
        <v>1712868.35</v>
      </c>
      <c r="BN113" s="9">
        <v>806578.47000000009</v>
      </c>
      <c r="BO113" s="9"/>
      <c r="BP113" s="9">
        <v>906289.87</v>
      </c>
      <c r="BQ113" s="9"/>
      <c r="BR113" s="9">
        <v>80061.149999999994</v>
      </c>
      <c r="BS113" s="9">
        <v>25463.89</v>
      </c>
      <c r="BT113" s="9"/>
      <c r="BU113" s="9">
        <v>54597.26</v>
      </c>
      <c r="BV113" s="9"/>
      <c r="BW113" s="9">
        <v>201499.65</v>
      </c>
      <c r="BX113" s="9">
        <v>49603.3</v>
      </c>
      <c r="BY113" s="9"/>
      <c r="BZ113" s="9">
        <v>151896.34</v>
      </c>
      <c r="CA113" s="9"/>
      <c r="CB113" s="9">
        <v>38291.72</v>
      </c>
      <c r="CC113" s="9">
        <v>2618531.12</v>
      </c>
      <c r="CD113" s="9"/>
      <c r="CE113" s="9"/>
      <c r="CF113" s="9">
        <v>1984265.8200000003</v>
      </c>
      <c r="CG113" s="9">
        <v>1422786.53</v>
      </c>
      <c r="CH113" s="9">
        <v>561479.29</v>
      </c>
      <c r="CI113" s="9">
        <v>1171818.55</v>
      </c>
      <c r="CJ113" s="9">
        <v>929650.85</v>
      </c>
      <c r="CK113" s="9">
        <v>242167.7</v>
      </c>
      <c r="CL113" s="9">
        <v>812447.27</v>
      </c>
      <c r="CM113" s="9">
        <v>493135.68000000011</v>
      </c>
      <c r="CN113" s="9">
        <v>319311.59000000003</v>
      </c>
      <c r="CO113" s="9">
        <v>554793.13</v>
      </c>
      <c r="CP113" s="9">
        <v>115071</v>
      </c>
      <c r="CQ113" s="9">
        <v>439722.13</v>
      </c>
      <c r="CR113" s="9">
        <v>227091.89</v>
      </c>
      <c r="CS113" s="9">
        <v>54529.24</v>
      </c>
      <c r="CT113" s="9">
        <v>172562.65</v>
      </c>
      <c r="CU113" s="9">
        <v>327701.24</v>
      </c>
      <c r="CV113" s="9">
        <v>60541.760000000002</v>
      </c>
      <c r="CW113" s="9">
        <v>267159.48</v>
      </c>
      <c r="CX113" s="9">
        <v>1429472.6900000002</v>
      </c>
      <c r="CY113" s="9">
        <v>1307715.53</v>
      </c>
      <c r="CZ113" s="9">
        <v>121757.16</v>
      </c>
      <c r="DA113" s="9">
        <v>944726.66</v>
      </c>
      <c r="DB113" s="9">
        <v>875121.61</v>
      </c>
      <c r="DC113" s="9">
        <v>69605.05</v>
      </c>
      <c r="DD113" s="9">
        <v>484746.03</v>
      </c>
      <c r="DE113" s="9">
        <v>432593.91999999998</v>
      </c>
      <c r="DF113" s="9">
        <v>52152.11</v>
      </c>
      <c r="DG113" s="9">
        <v>2474240.4200000004</v>
      </c>
      <c r="DH113" s="9">
        <v>489974.6</v>
      </c>
    </row>
    <row r="114" spans="1:112" x14ac:dyDescent="0.2">
      <c r="A114" s="8" t="s">
        <v>852</v>
      </c>
      <c r="B114" s="8" t="s">
        <v>319</v>
      </c>
      <c r="C114" s="8" t="s">
        <v>321</v>
      </c>
      <c r="D114" s="9">
        <v>2534906.9699999997</v>
      </c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>
        <v>164724.35999999999</v>
      </c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>
        <v>294435.96999999997</v>
      </c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>
        <v>894662.22000000009</v>
      </c>
      <c r="BB114" s="9"/>
      <c r="BC114" s="9">
        <v>1644592.78</v>
      </c>
      <c r="BD114" s="9"/>
      <c r="BE114" s="9">
        <v>32859.449999999997</v>
      </c>
      <c r="BF114" s="9"/>
      <c r="BG114" s="9">
        <v>131864.91</v>
      </c>
      <c r="BH114" s="9"/>
      <c r="BI114" s="9">
        <v>64608.42</v>
      </c>
      <c r="BJ114" s="9"/>
      <c r="BK114" s="9">
        <v>229827.56</v>
      </c>
      <c r="BL114" s="9"/>
      <c r="BM114" s="9">
        <v>1667253.7399999998</v>
      </c>
      <c r="BN114" s="9">
        <v>776521.39</v>
      </c>
      <c r="BO114" s="9"/>
      <c r="BP114" s="9">
        <v>890732.3600000001</v>
      </c>
      <c r="BQ114" s="9"/>
      <c r="BR114" s="9">
        <v>73917.899999999994</v>
      </c>
      <c r="BS114" s="9">
        <v>24752.89</v>
      </c>
      <c r="BT114" s="9"/>
      <c r="BU114" s="9">
        <v>49165.01</v>
      </c>
      <c r="BV114" s="9"/>
      <c r="BW114" s="9">
        <v>210452.58</v>
      </c>
      <c r="BX114" s="9">
        <v>51236.59</v>
      </c>
      <c r="BY114" s="9"/>
      <c r="BZ114" s="9">
        <v>159215.99</v>
      </c>
      <c r="CA114" s="9"/>
      <c r="CB114" s="9">
        <v>38596.86</v>
      </c>
      <c r="CC114" s="9">
        <v>2573503.8299999996</v>
      </c>
      <c r="CD114" s="9"/>
      <c r="CE114" s="9"/>
      <c r="CF114" s="9">
        <v>2029014.48</v>
      </c>
      <c r="CG114" s="9">
        <v>1452881.37</v>
      </c>
      <c r="CH114" s="9">
        <v>576133.11</v>
      </c>
      <c r="CI114" s="9">
        <v>1160753.1399999999</v>
      </c>
      <c r="CJ114" s="9">
        <v>913296.73</v>
      </c>
      <c r="CK114" s="9">
        <v>247456.41</v>
      </c>
      <c r="CL114" s="9">
        <v>868261.34</v>
      </c>
      <c r="CM114" s="9">
        <v>539584.64</v>
      </c>
      <c r="CN114" s="9">
        <v>328676.7</v>
      </c>
      <c r="CO114" s="9">
        <v>576812.75</v>
      </c>
      <c r="CP114" s="9">
        <v>106491.92</v>
      </c>
      <c r="CQ114" s="9">
        <v>470320.83</v>
      </c>
      <c r="CR114" s="9">
        <v>247542.34</v>
      </c>
      <c r="CS114" s="9">
        <v>58716.639999999999</v>
      </c>
      <c r="CT114" s="9">
        <v>188825.7</v>
      </c>
      <c r="CU114" s="9">
        <v>329270.40999999997</v>
      </c>
      <c r="CV114" s="9">
        <v>47775.28</v>
      </c>
      <c r="CW114" s="9">
        <v>281495.13</v>
      </c>
      <c r="CX114" s="9">
        <v>1452201.73</v>
      </c>
      <c r="CY114" s="9">
        <v>1346389.45</v>
      </c>
      <c r="CZ114" s="9">
        <v>105812.28</v>
      </c>
      <c r="DA114" s="9">
        <v>913210.8</v>
      </c>
      <c r="DB114" s="9">
        <v>854580.09</v>
      </c>
      <c r="DC114" s="9">
        <v>58630.71</v>
      </c>
      <c r="DD114" s="9">
        <v>538990.92999999993</v>
      </c>
      <c r="DE114" s="9">
        <v>491809.36</v>
      </c>
      <c r="DF114" s="9">
        <v>47181.57</v>
      </c>
      <c r="DG114" s="9">
        <v>2528591.12</v>
      </c>
      <c r="DH114" s="9">
        <v>499576.64</v>
      </c>
    </row>
    <row r="115" spans="1:112" x14ac:dyDescent="0.2">
      <c r="A115" s="8" t="s">
        <v>852</v>
      </c>
      <c r="B115" s="8" t="s">
        <v>319</v>
      </c>
      <c r="C115" s="8" t="s">
        <v>322</v>
      </c>
      <c r="D115" s="9">
        <v>2558929.7400000002</v>
      </c>
      <c r="E115" s="9">
        <v>2557725.4700000002</v>
      </c>
      <c r="F115" s="9">
        <v>145202.95000000001</v>
      </c>
      <c r="G115" s="9">
        <v>205974.2</v>
      </c>
      <c r="H115" s="9">
        <v>419613</v>
      </c>
      <c r="I115" s="9">
        <v>19264.599999999999</v>
      </c>
      <c r="J115" s="9">
        <v>390374.66</v>
      </c>
      <c r="K115" s="9">
        <v>519733.3</v>
      </c>
      <c r="L115" s="9">
        <v>61655.39</v>
      </c>
      <c r="M115" s="9">
        <v>242439.74</v>
      </c>
      <c r="N115" s="9">
        <v>7804.77</v>
      </c>
      <c r="O115" s="9">
        <v>32872.980000000003</v>
      </c>
      <c r="P115" s="9">
        <v>12558</v>
      </c>
      <c r="Q115" s="9">
        <v>23766.01</v>
      </c>
      <c r="R115" s="9">
        <v>476465.87</v>
      </c>
      <c r="S115" s="9">
        <v>0</v>
      </c>
      <c r="T115" s="9">
        <v>0</v>
      </c>
      <c r="U115" s="9">
        <v>0</v>
      </c>
      <c r="V115" s="9">
        <v>0</v>
      </c>
      <c r="W115" s="9">
        <v>152115.42000000001</v>
      </c>
      <c r="X115" s="9">
        <v>149763.28</v>
      </c>
      <c r="Y115" s="9">
        <v>3997.79</v>
      </c>
      <c r="Z115" s="9">
        <v>15375.91</v>
      </c>
      <c r="AA115" s="9">
        <v>24743.1</v>
      </c>
      <c r="AB115" s="9">
        <v>697.05</v>
      </c>
      <c r="AC115" s="9">
        <v>44586.39</v>
      </c>
      <c r="AD115" s="9">
        <v>37811.64</v>
      </c>
      <c r="AE115" s="9">
        <v>948.98</v>
      </c>
      <c r="AF115" s="9">
        <v>5522.11</v>
      </c>
      <c r="AG115" s="9">
        <v>58.58</v>
      </c>
      <c r="AH115" s="9">
        <v>3037.41</v>
      </c>
      <c r="AI115" s="9">
        <v>506.63</v>
      </c>
      <c r="AJ115" s="9">
        <v>633.92999999999995</v>
      </c>
      <c r="AK115" s="9">
        <v>11843.76</v>
      </c>
      <c r="AL115" s="9">
        <v>297964.51</v>
      </c>
      <c r="AM115" s="9">
        <v>298386.84000000003</v>
      </c>
      <c r="AN115" s="9">
        <v>15028.28</v>
      </c>
      <c r="AO115" s="9">
        <v>40996.160000000003</v>
      </c>
      <c r="AP115" s="9">
        <v>52430.59</v>
      </c>
      <c r="AQ115" s="9">
        <v>2848.53</v>
      </c>
      <c r="AR115" s="9">
        <v>67507.490000000005</v>
      </c>
      <c r="AS115" s="9">
        <v>56602.23</v>
      </c>
      <c r="AT115" s="9">
        <v>13783.49</v>
      </c>
      <c r="AU115" s="9">
        <v>14327.26</v>
      </c>
      <c r="AV115" s="9">
        <v>1262.75</v>
      </c>
      <c r="AW115" s="9">
        <v>2832.2</v>
      </c>
      <c r="AX115" s="9">
        <v>2857.39</v>
      </c>
      <c r="AY115" s="9">
        <v>1527.73</v>
      </c>
      <c r="AZ115" s="9">
        <v>26382.73</v>
      </c>
      <c r="BA115" s="9">
        <v>875248.74000000011</v>
      </c>
      <c r="BB115" s="9"/>
      <c r="BC115" s="9">
        <v>1687412.0600000003</v>
      </c>
      <c r="BD115" s="9"/>
      <c r="BE115" s="9">
        <v>26761.39</v>
      </c>
      <c r="BF115" s="9"/>
      <c r="BG115" s="9">
        <v>125354.02</v>
      </c>
      <c r="BH115" s="9"/>
      <c r="BI115" s="9">
        <v>65575.27</v>
      </c>
      <c r="BJ115" s="9"/>
      <c r="BK115" s="9">
        <v>232389.23</v>
      </c>
      <c r="BL115" s="9"/>
      <c r="BM115" s="9">
        <v>1625126.45</v>
      </c>
      <c r="BN115" s="9">
        <v>756685.38000000012</v>
      </c>
      <c r="BO115" s="9"/>
      <c r="BP115" s="9">
        <v>868441.07</v>
      </c>
      <c r="BQ115" s="9"/>
      <c r="BR115" s="9">
        <v>53824.22</v>
      </c>
      <c r="BS115" s="9">
        <v>18843.77</v>
      </c>
      <c r="BT115" s="9"/>
      <c r="BU115" s="9">
        <v>34980.449999999997</v>
      </c>
      <c r="BV115" s="9"/>
      <c r="BW115" s="9">
        <v>209348.9</v>
      </c>
      <c r="BX115" s="9">
        <v>52960.94</v>
      </c>
      <c r="BY115" s="9"/>
      <c r="BZ115" s="9">
        <v>156387.96</v>
      </c>
      <c r="CA115" s="9"/>
      <c r="CB115" s="9">
        <v>38796.870000000003</v>
      </c>
      <c r="CC115" s="9">
        <v>2597726.6100000003</v>
      </c>
      <c r="CD115" s="9"/>
      <c r="CE115" s="9"/>
      <c r="CF115" s="9">
        <v>2087644.3</v>
      </c>
      <c r="CG115" s="9">
        <v>1517361.9</v>
      </c>
      <c r="CH115" s="9">
        <v>570282.4</v>
      </c>
      <c r="CI115" s="9">
        <v>1187121.2399999998</v>
      </c>
      <c r="CJ115" s="9">
        <v>953190.65</v>
      </c>
      <c r="CK115" s="9">
        <v>233930.59</v>
      </c>
      <c r="CL115" s="9">
        <v>900523.05999999994</v>
      </c>
      <c r="CM115" s="9">
        <v>564171.25</v>
      </c>
      <c r="CN115" s="9">
        <v>336351.81</v>
      </c>
      <c r="CO115" s="9">
        <v>594585.65</v>
      </c>
      <c r="CP115" s="9">
        <v>118224.54</v>
      </c>
      <c r="CQ115" s="9">
        <v>476361.11</v>
      </c>
      <c r="CR115" s="9">
        <v>254346.89</v>
      </c>
      <c r="CS115" s="9">
        <v>68139.81</v>
      </c>
      <c r="CT115" s="9">
        <v>186207.08</v>
      </c>
      <c r="CU115" s="9">
        <v>340238.76</v>
      </c>
      <c r="CV115" s="9">
        <v>50084.73</v>
      </c>
      <c r="CW115" s="9">
        <v>290154.03000000003</v>
      </c>
      <c r="CX115" s="9">
        <v>1493058.65</v>
      </c>
      <c r="CY115" s="9">
        <v>1399137.36</v>
      </c>
      <c r="CZ115" s="9">
        <v>93921.29</v>
      </c>
      <c r="DA115" s="9">
        <v>932774.35</v>
      </c>
      <c r="DB115" s="9">
        <v>885050.84</v>
      </c>
      <c r="DC115" s="9">
        <v>47723.51</v>
      </c>
      <c r="DD115" s="9">
        <v>560284.30000000005</v>
      </c>
      <c r="DE115" s="9">
        <v>514086.52</v>
      </c>
      <c r="DF115" s="9">
        <v>46197.78</v>
      </c>
      <c r="DG115" s="9">
        <v>2700802.2800000003</v>
      </c>
      <c r="DH115" s="9">
        <v>613157.98</v>
      </c>
    </row>
    <row r="116" spans="1:112" x14ac:dyDescent="0.2">
      <c r="A116" s="8" t="s">
        <v>852</v>
      </c>
      <c r="B116" s="8" t="s">
        <v>323</v>
      </c>
      <c r="C116" s="8" t="s">
        <v>324</v>
      </c>
      <c r="D116" s="9">
        <v>2580778.52</v>
      </c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>
        <v>143381.38</v>
      </c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>
        <v>352907.89</v>
      </c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>
        <v>880152.37000000011</v>
      </c>
      <c r="BB116" s="9"/>
      <c r="BC116" s="9">
        <v>1704610.58</v>
      </c>
      <c r="BD116" s="9"/>
      <c r="BE116" s="9">
        <v>27868.29</v>
      </c>
      <c r="BF116" s="9"/>
      <c r="BG116" s="9">
        <v>115513.09</v>
      </c>
      <c r="BH116" s="9"/>
      <c r="BI116" s="9">
        <v>68194.55</v>
      </c>
      <c r="BJ116" s="9"/>
      <c r="BK116" s="9">
        <v>284713.34000000003</v>
      </c>
      <c r="BL116" s="9"/>
      <c r="BM116" s="9">
        <v>1626355.2</v>
      </c>
      <c r="BN116" s="9">
        <v>762865.65</v>
      </c>
      <c r="BO116" s="9"/>
      <c r="BP116" s="9">
        <v>863489.55000000016</v>
      </c>
      <c r="BQ116" s="9"/>
      <c r="BR116" s="9">
        <v>62087.92</v>
      </c>
      <c r="BS116" s="9">
        <v>19831.419999999998</v>
      </c>
      <c r="BT116" s="9"/>
      <c r="BU116" s="9">
        <v>42256.49</v>
      </c>
      <c r="BV116" s="9"/>
      <c r="BW116" s="9">
        <v>234966.48</v>
      </c>
      <c r="BX116" s="9">
        <v>55170.239999999998</v>
      </c>
      <c r="BY116" s="9"/>
      <c r="BZ116" s="9">
        <v>179796.24</v>
      </c>
      <c r="CA116" s="9"/>
      <c r="CB116" s="9">
        <v>39088.46</v>
      </c>
      <c r="CC116" s="9">
        <v>2619866.98</v>
      </c>
      <c r="CD116" s="9"/>
      <c r="CE116" s="9"/>
      <c r="CF116" s="9">
        <v>2166954.0299999998</v>
      </c>
      <c r="CG116" s="9">
        <v>1566379.2999999998</v>
      </c>
      <c r="CH116" s="9">
        <v>600574.73</v>
      </c>
      <c r="CI116" s="9">
        <v>1179764.1200000001</v>
      </c>
      <c r="CJ116" s="9">
        <v>951862.01</v>
      </c>
      <c r="CK116" s="9">
        <v>227902.11</v>
      </c>
      <c r="CL116" s="9">
        <v>987189.91</v>
      </c>
      <c r="CM116" s="9">
        <v>614517.29</v>
      </c>
      <c r="CN116" s="9">
        <v>372672.62</v>
      </c>
      <c r="CO116" s="9">
        <v>624711.53</v>
      </c>
      <c r="CP116" s="9">
        <v>119975.31</v>
      </c>
      <c r="CQ116" s="9">
        <v>504736.22</v>
      </c>
      <c r="CR116" s="9">
        <v>244476.42</v>
      </c>
      <c r="CS116" s="9">
        <v>65400.84</v>
      </c>
      <c r="CT116" s="9">
        <v>179075.58</v>
      </c>
      <c r="CU116" s="9">
        <v>380235.11</v>
      </c>
      <c r="CV116" s="9">
        <v>54574.47</v>
      </c>
      <c r="CW116" s="9">
        <v>325660.64</v>
      </c>
      <c r="CX116" s="9">
        <v>1542242.5</v>
      </c>
      <c r="CY116" s="9">
        <v>1446403.99</v>
      </c>
      <c r="CZ116" s="9">
        <v>95838.51</v>
      </c>
      <c r="DA116" s="9">
        <v>935287.7</v>
      </c>
      <c r="DB116" s="9">
        <v>886461.16999999993</v>
      </c>
      <c r="DC116" s="9">
        <v>48826.53</v>
      </c>
      <c r="DD116" s="9">
        <v>606954.80000000005</v>
      </c>
      <c r="DE116" s="9">
        <v>559942.82000000007</v>
      </c>
      <c r="DF116" s="9">
        <v>47011.98</v>
      </c>
      <c r="DG116" s="9">
        <v>2795429.49</v>
      </c>
      <c r="DH116" s="9">
        <v>628475.46</v>
      </c>
    </row>
    <row r="117" spans="1:112" x14ac:dyDescent="0.2">
      <c r="A117" s="8" t="s">
        <v>852</v>
      </c>
      <c r="B117" s="8" t="s">
        <v>323</v>
      </c>
      <c r="C117" s="8" t="s">
        <v>325</v>
      </c>
      <c r="D117" s="9">
        <v>2588829.0699999998</v>
      </c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>
        <v>173480.59</v>
      </c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>
        <v>355097.85</v>
      </c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>
        <v>911531.92999999982</v>
      </c>
      <c r="BB117" s="9"/>
      <c r="BC117" s="9">
        <v>1682417.2200000002</v>
      </c>
      <c r="BD117" s="9"/>
      <c r="BE117" s="9">
        <v>35975.68</v>
      </c>
      <c r="BF117" s="9"/>
      <c r="BG117" s="9">
        <v>137504.9</v>
      </c>
      <c r="BH117" s="9"/>
      <c r="BI117" s="9">
        <v>70235.69</v>
      </c>
      <c r="BJ117" s="9"/>
      <c r="BK117" s="9">
        <v>284862.15000000002</v>
      </c>
      <c r="BL117" s="9"/>
      <c r="BM117" s="9">
        <v>1644975.19</v>
      </c>
      <c r="BN117" s="9">
        <v>799863.66999999993</v>
      </c>
      <c r="BO117" s="9"/>
      <c r="BP117" s="9">
        <v>845111.5</v>
      </c>
      <c r="BQ117" s="9"/>
      <c r="BR117" s="9">
        <v>83127.44</v>
      </c>
      <c r="BS117" s="9">
        <v>26471.11</v>
      </c>
      <c r="BT117" s="9"/>
      <c r="BU117" s="9">
        <v>56656.32</v>
      </c>
      <c r="BV117" s="9"/>
      <c r="BW117" s="9">
        <v>237846.47</v>
      </c>
      <c r="BX117" s="9">
        <v>58250.59</v>
      </c>
      <c r="BY117" s="9"/>
      <c r="BZ117" s="9">
        <v>179595.87</v>
      </c>
      <c r="CA117" s="9"/>
      <c r="CB117" s="9">
        <v>38097.589999999997</v>
      </c>
      <c r="CC117" s="9">
        <v>2626926.6599999997</v>
      </c>
      <c r="CD117" s="9"/>
      <c r="CE117" s="9"/>
      <c r="CF117" s="9">
        <v>2196785.0999999996</v>
      </c>
      <c r="CG117" s="9">
        <v>1585629.2699999998</v>
      </c>
      <c r="CH117" s="9">
        <v>611155.83000000007</v>
      </c>
      <c r="CI117" s="9">
        <v>1270682.95</v>
      </c>
      <c r="CJ117" s="9">
        <v>997453.56</v>
      </c>
      <c r="CK117" s="9">
        <v>273229.39000000007</v>
      </c>
      <c r="CL117" s="9">
        <v>926102.15</v>
      </c>
      <c r="CM117" s="9">
        <v>588175.71</v>
      </c>
      <c r="CN117" s="9">
        <v>337926.44</v>
      </c>
      <c r="CO117" s="9">
        <v>646699.53</v>
      </c>
      <c r="CP117" s="9">
        <v>121935.59</v>
      </c>
      <c r="CQ117" s="9">
        <v>524763.94000000006</v>
      </c>
      <c r="CR117" s="9">
        <v>291275.74</v>
      </c>
      <c r="CS117" s="9">
        <v>72138</v>
      </c>
      <c r="CT117" s="9">
        <v>219137.74</v>
      </c>
      <c r="CU117" s="9">
        <v>355423.79</v>
      </c>
      <c r="CV117" s="9">
        <v>49797.59</v>
      </c>
      <c r="CW117" s="9">
        <v>305626.2</v>
      </c>
      <c r="CX117" s="9">
        <v>1550085.5699999998</v>
      </c>
      <c r="CY117" s="9">
        <v>1463693.68</v>
      </c>
      <c r="CZ117" s="9">
        <v>86391.89</v>
      </c>
      <c r="DA117" s="9">
        <v>979407.20999999985</v>
      </c>
      <c r="DB117" s="9">
        <v>925315.56</v>
      </c>
      <c r="DC117" s="9">
        <v>54091.65</v>
      </c>
      <c r="DD117" s="9">
        <v>570678.36</v>
      </c>
      <c r="DE117" s="9">
        <v>538378.12</v>
      </c>
      <c r="DF117" s="9">
        <v>32300.240000000002</v>
      </c>
      <c r="DG117" s="9">
        <v>2806437.3899999997</v>
      </c>
      <c r="DH117" s="9">
        <v>609652.29</v>
      </c>
    </row>
    <row r="118" spans="1:112" x14ac:dyDescent="0.2">
      <c r="A118" s="8" t="s">
        <v>852</v>
      </c>
      <c r="B118" s="8" t="s">
        <v>323</v>
      </c>
      <c r="C118" s="8" t="s">
        <v>326</v>
      </c>
      <c r="D118" s="9">
        <v>2630934.67</v>
      </c>
      <c r="E118" s="9">
        <v>2630564.15</v>
      </c>
      <c r="F118" s="9">
        <v>174492.71</v>
      </c>
      <c r="G118" s="9">
        <v>287048.09000000003</v>
      </c>
      <c r="H118" s="9">
        <v>402510.01</v>
      </c>
      <c r="I118" s="9">
        <v>24615.42</v>
      </c>
      <c r="J118" s="9">
        <v>392387.87</v>
      </c>
      <c r="K118" s="9">
        <v>495336.13</v>
      </c>
      <c r="L118" s="9">
        <v>53619.26</v>
      </c>
      <c r="M118" s="9">
        <v>250855.9</v>
      </c>
      <c r="N118" s="9">
        <v>7972.94</v>
      </c>
      <c r="O118" s="9">
        <v>23762.9</v>
      </c>
      <c r="P118" s="9">
        <v>15183.16</v>
      </c>
      <c r="Q118" s="9">
        <v>23494.16</v>
      </c>
      <c r="R118" s="9">
        <v>479285.6</v>
      </c>
      <c r="S118" s="9">
        <v>0</v>
      </c>
      <c r="T118" s="9">
        <v>0</v>
      </c>
      <c r="U118" s="9">
        <v>0</v>
      </c>
      <c r="V118" s="9">
        <v>0</v>
      </c>
      <c r="W118" s="9">
        <v>198226.4</v>
      </c>
      <c r="X118" s="9">
        <v>198226.4</v>
      </c>
      <c r="Y118" s="9">
        <v>22949.01</v>
      </c>
      <c r="Z118" s="9">
        <v>11550.82</v>
      </c>
      <c r="AA118" s="9">
        <v>19493.14</v>
      </c>
      <c r="AB118" s="9">
        <v>3150.28</v>
      </c>
      <c r="AC118" s="9">
        <v>58457.68</v>
      </c>
      <c r="AD118" s="9">
        <v>33171.769999999997</v>
      </c>
      <c r="AE118" s="9">
        <v>406.6</v>
      </c>
      <c r="AF118" s="9">
        <v>17904.22</v>
      </c>
      <c r="AG118" s="9">
        <v>50.46</v>
      </c>
      <c r="AH118" s="9">
        <v>2922.93</v>
      </c>
      <c r="AI118" s="9">
        <v>933.48</v>
      </c>
      <c r="AJ118" s="9">
        <v>2030.72</v>
      </c>
      <c r="AK118" s="9">
        <v>25205.3</v>
      </c>
      <c r="AL118" s="9">
        <v>397697.38</v>
      </c>
      <c r="AM118" s="9">
        <v>397696.18</v>
      </c>
      <c r="AN118" s="9">
        <v>22029.65</v>
      </c>
      <c r="AO118" s="9">
        <v>64341.84</v>
      </c>
      <c r="AP118" s="9">
        <v>76995.320000000007</v>
      </c>
      <c r="AQ118" s="9">
        <v>4513.96</v>
      </c>
      <c r="AR118" s="9">
        <v>80669.570000000007</v>
      </c>
      <c r="AS118" s="9">
        <v>68184.55</v>
      </c>
      <c r="AT118" s="9">
        <v>14132.82</v>
      </c>
      <c r="AU118" s="9">
        <v>16945.310000000001</v>
      </c>
      <c r="AV118" s="9">
        <v>977.83</v>
      </c>
      <c r="AW118" s="9">
        <v>13024.68</v>
      </c>
      <c r="AX118" s="9">
        <v>2998.02</v>
      </c>
      <c r="AY118" s="9">
        <v>2275.67</v>
      </c>
      <c r="AZ118" s="9">
        <v>30606.94</v>
      </c>
      <c r="BA118" s="9">
        <v>924277.41</v>
      </c>
      <c r="BB118" s="9"/>
      <c r="BC118" s="9">
        <v>1710895.72</v>
      </c>
      <c r="BD118" s="9"/>
      <c r="BE118" s="9">
        <v>34947.160000000003</v>
      </c>
      <c r="BF118" s="9"/>
      <c r="BG118" s="9">
        <v>163279.24</v>
      </c>
      <c r="BH118" s="9"/>
      <c r="BI118" s="9">
        <v>69243.009999999995</v>
      </c>
      <c r="BJ118" s="9"/>
      <c r="BK118" s="9">
        <v>328454.37</v>
      </c>
      <c r="BL118" s="9"/>
      <c r="BM118" s="9">
        <v>1695233.7400000002</v>
      </c>
      <c r="BN118" s="9">
        <v>813220.92999999993</v>
      </c>
      <c r="BO118" s="9"/>
      <c r="BP118" s="9">
        <v>882012.80999999994</v>
      </c>
      <c r="BQ118" s="9"/>
      <c r="BR118" s="9">
        <v>94075.3</v>
      </c>
      <c r="BS118" s="9">
        <v>20307.61</v>
      </c>
      <c r="BT118" s="9"/>
      <c r="BU118" s="9">
        <v>73767.69</v>
      </c>
      <c r="BV118" s="9"/>
      <c r="BW118" s="9">
        <v>273089.27</v>
      </c>
      <c r="BX118" s="9">
        <v>57472.82</v>
      </c>
      <c r="BY118" s="9"/>
      <c r="BZ118" s="9">
        <v>215616.46</v>
      </c>
      <c r="CA118" s="9"/>
      <c r="CB118" s="9">
        <v>35789.699999999997</v>
      </c>
      <c r="CC118" s="9">
        <v>2666724.37</v>
      </c>
      <c r="CD118" s="9"/>
      <c r="CE118" s="9"/>
      <c r="CF118" s="9">
        <v>2300506.8099999996</v>
      </c>
      <c r="CG118" s="9">
        <v>1624351.13</v>
      </c>
      <c r="CH118" s="9">
        <v>676155.68</v>
      </c>
      <c r="CI118" s="9">
        <v>1356233.32</v>
      </c>
      <c r="CJ118" s="9">
        <v>1038698.45</v>
      </c>
      <c r="CK118" s="9">
        <v>317534.87000000011</v>
      </c>
      <c r="CL118" s="9">
        <v>944273.49</v>
      </c>
      <c r="CM118" s="9">
        <v>585652.67999999993</v>
      </c>
      <c r="CN118" s="9">
        <v>358620.81000000011</v>
      </c>
      <c r="CO118" s="9">
        <v>708241.21</v>
      </c>
      <c r="CP118" s="9">
        <v>120591.81</v>
      </c>
      <c r="CQ118" s="9">
        <v>587649.4</v>
      </c>
      <c r="CR118" s="9">
        <v>333929.08</v>
      </c>
      <c r="CS118" s="9">
        <v>72590.95</v>
      </c>
      <c r="CT118" s="9">
        <v>261338.13</v>
      </c>
      <c r="CU118" s="9">
        <v>374312.13</v>
      </c>
      <c r="CV118" s="9">
        <v>48000.86</v>
      </c>
      <c r="CW118" s="9">
        <v>326311.27</v>
      </c>
      <c r="CX118" s="9">
        <v>1592265.6</v>
      </c>
      <c r="CY118" s="9">
        <v>1503759.32</v>
      </c>
      <c r="CZ118" s="9">
        <v>88506.28</v>
      </c>
      <c r="DA118" s="9">
        <v>1022304.24</v>
      </c>
      <c r="DB118" s="9">
        <v>966107.5</v>
      </c>
      <c r="DC118" s="9">
        <v>56196.74</v>
      </c>
      <c r="DD118" s="9">
        <v>569961.36</v>
      </c>
      <c r="DE118" s="9">
        <v>537651.82000000007</v>
      </c>
      <c r="DF118" s="9">
        <v>32309.54</v>
      </c>
      <c r="DG118" s="9">
        <v>2902009.1999999997</v>
      </c>
      <c r="DH118" s="9">
        <v>601502.39</v>
      </c>
    </row>
    <row r="119" spans="1:112" x14ac:dyDescent="0.2">
      <c r="A119" s="8" t="s">
        <v>852</v>
      </c>
      <c r="B119" s="8" t="s">
        <v>327</v>
      </c>
      <c r="C119" s="8" t="s">
        <v>328</v>
      </c>
      <c r="D119" s="9">
        <v>2617986.27</v>
      </c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>
        <v>200873.37</v>
      </c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>
        <v>406110.41</v>
      </c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>
        <v>928245.79</v>
      </c>
      <c r="BB119" s="9"/>
      <c r="BC119" s="9">
        <v>1694011.3799999997</v>
      </c>
      <c r="BD119" s="9"/>
      <c r="BE119" s="9">
        <v>31444.560000000001</v>
      </c>
      <c r="BF119" s="9"/>
      <c r="BG119" s="9">
        <v>169428.82</v>
      </c>
      <c r="BH119" s="9"/>
      <c r="BI119" s="9">
        <v>74241.77</v>
      </c>
      <c r="BJ119" s="9"/>
      <c r="BK119" s="9">
        <v>331868.64</v>
      </c>
      <c r="BL119" s="9"/>
      <c r="BM119" s="9">
        <v>1667616.8399999996</v>
      </c>
      <c r="BN119" s="9">
        <v>813327.88</v>
      </c>
      <c r="BO119" s="9"/>
      <c r="BP119" s="9">
        <v>854288.97</v>
      </c>
      <c r="BQ119" s="9"/>
      <c r="BR119" s="9">
        <v>99382.07</v>
      </c>
      <c r="BS119" s="9">
        <v>21059.03</v>
      </c>
      <c r="BT119" s="9"/>
      <c r="BU119" s="9">
        <v>78323.05</v>
      </c>
      <c r="BV119" s="9"/>
      <c r="BW119" s="9">
        <v>283549.23</v>
      </c>
      <c r="BX119" s="9">
        <v>59123.82</v>
      </c>
      <c r="BY119" s="9"/>
      <c r="BZ119" s="9">
        <v>224425.41</v>
      </c>
      <c r="CA119" s="9"/>
      <c r="CB119" s="9">
        <v>37863.26</v>
      </c>
      <c r="CC119" s="9">
        <v>2655849.5299999998</v>
      </c>
      <c r="CD119" s="9"/>
      <c r="CE119" s="9"/>
      <c r="CF119" s="9">
        <v>2326678.1599999997</v>
      </c>
      <c r="CG119" s="9">
        <v>1639986.06</v>
      </c>
      <c r="CH119" s="9">
        <v>686692.1</v>
      </c>
      <c r="CI119" s="9">
        <v>1412168.96</v>
      </c>
      <c r="CJ119" s="9">
        <v>1078532.3899999999</v>
      </c>
      <c r="CK119" s="9">
        <v>333636.57000000012</v>
      </c>
      <c r="CL119" s="9">
        <v>914509.2</v>
      </c>
      <c r="CM119" s="9">
        <v>561453.66999999993</v>
      </c>
      <c r="CN119" s="9">
        <v>353055.53</v>
      </c>
      <c r="CO119" s="9">
        <v>694635.33000000007</v>
      </c>
      <c r="CP119" s="9">
        <v>111569.45</v>
      </c>
      <c r="CQ119" s="9">
        <v>583065.88000000012</v>
      </c>
      <c r="CR119" s="9">
        <v>330656.52</v>
      </c>
      <c r="CS119" s="9">
        <v>68938.25</v>
      </c>
      <c r="CT119" s="9">
        <v>261718.27</v>
      </c>
      <c r="CU119" s="9">
        <v>363978.81</v>
      </c>
      <c r="CV119" s="9">
        <v>42631.199999999997</v>
      </c>
      <c r="CW119" s="9">
        <v>321347.61</v>
      </c>
      <c r="CX119" s="9">
        <v>1632042.83</v>
      </c>
      <c r="CY119" s="9">
        <v>1528416.61</v>
      </c>
      <c r="CZ119" s="9">
        <v>103626.22</v>
      </c>
      <c r="DA119" s="9">
        <v>1081512.44</v>
      </c>
      <c r="DB119" s="9">
        <v>1009594.14</v>
      </c>
      <c r="DC119" s="9">
        <v>71918.3</v>
      </c>
      <c r="DD119" s="9">
        <v>550530.3899999999</v>
      </c>
      <c r="DE119" s="9">
        <v>518822.47</v>
      </c>
      <c r="DF119" s="9">
        <v>31707.919999999998</v>
      </c>
      <c r="DG119" s="9">
        <v>2936449.08</v>
      </c>
      <c r="DH119" s="9">
        <v>609770.92000000004</v>
      </c>
    </row>
    <row r="120" spans="1:112" x14ac:dyDescent="0.2">
      <c r="A120" s="8" t="s">
        <v>852</v>
      </c>
      <c r="B120" s="8" t="s">
        <v>327</v>
      </c>
      <c r="C120" s="8" t="s">
        <v>329</v>
      </c>
      <c r="D120" s="9">
        <v>2632031.1199999996</v>
      </c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>
        <v>166456.51</v>
      </c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>
        <v>456065.93</v>
      </c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>
        <v>901729.81999999983</v>
      </c>
      <c r="BB120" s="9"/>
      <c r="BC120" s="9">
        <v>1735116.08</v>
      </c>
      <c r="BD120" s="9"/>
      <c r="BE120" s="9">
        <v>29681.42</v>
      </c>
      <c r="BF120" s="9"/>
      <c r="BG120" s="9">
        <v>136775.09</v>
      </c>
      <c r="BH120" s="9"/>
      <c r="BI120" s="9">
        <v>78802.73</v>
      </c>
      <c r="BJ120" s="9"/>
      <c r="BK120" s="9">
        <v>377263.22</v>
      </c>
      <c r="BL120" s="9"/>
      <c r="BM120" s="9">
        <v>1673933.55</v>
      </c>
      <c r="BN120" s="9">
        <v>785631.52999999991</v>
      </c>
      <c r="BO120" s="9"/>
      <c r="BP120" s="9">
        <v>888302.04</v>
      </c>
      <c r="BQ120" s="9"/>
      <c r="BR120" s="9">
        <v>86925.48</v>
      </c>
      <c r="BS120" s="9">
        <v>20639.48</v>
      </c>
      <c r="BT120" s="9"/>
      <c r="BU120" s="9">
        <v>66286.009999999995</v>
      </c>
      <c r="BV120" s="9"/>
      <c r="BW120" s="9">
        <v>307257.19</v>
      </c>
      <c r="BX120" s="9">
        <v>62283.48</v>
      </c>
      <c r="BY120" s="9"/>
      <c r="BZ120" s="9">
        <v>244973.72</v>
      </c>
      <c r="CA120" s="9"/>
      <c r="CB120" s="9">
        <v>38413.46</v>
      </c>
      <c r="CC120" s="9">
        <v>2670444.5799999996</v>
      </c>
      <c r="CD120" s="9"/>
      <c r="CE120" s="9"/>
      <c r="CF120" s="9">
        <v>2367544.54</v>
      </c>
      <c r="CG120" s="9">
        <v>1668208.62</v>
      </c>
      <c r="CH120" s="9">
        <v>699335.92</v>
      </c>
      <c r="CI120" s="9">
        <v>1415174.49</v>
      </c>
      <c r="CJ120" s="9">
        <v>1084712.3799999999</v>
      </c>
      <c r="CK120" s="9">
        <v>330462.11</v>
      </c>
      <c r="CL120" s="9">
        <v>952370.05</v>
      </c>
      <c r="CM120" s="9">
        <v>583496.24</v>
      </c>
      <c r="CN120" s="9">
        <v>368873.81</v>
      </c>
      <c r="CO120" s="9">
        <v>703899.66999999993</v>
      </c>
      <c r="CP120" s="9">
        <v>121785.33</v>
      </c>
      <c r="CQ120" s="9">
        <v>582114.34000000008</v>
      </c>
      <c r="CR120" s="9">
        <v>317489.31</v>
      </c>
      <c r="CS120" s="9">
        <v>70230.19</v>
      </c>
      <c r="CT120" s="9">
        <v>247259.12</v>
      </c>
      <c r="CU120" s="9">
        <v>386410.36</v>
      </c>
      <c r="CV120" s="9">
        <v>51555.14</v>
      </c>
      <c r="CW120" s="9">
        <v>334855.21999999997</v>
      </c>
      <c r="CX120" s="9">
        <v>1663644.87</v>
      </c>
      <c r="CY120" s="9">
        <v>1546423.29</v>
      </c>
      <c r="CZ120" s="9">
        <v>117221.58</v>
      </c>
      <c r="DA120" s="9">
        <v>1097685.18</v>
      </c>
      <c r="DB120" s="9">
        <v>1014482.19</v>
      </c>
      <c r="DC120" s="9">
        <v>83202.990000000005</v>
      </c>
      <c r="DD120" s="9">
        <v>565959.69000000006</v>
      </c>
      <c r="DE120" s="9">
        <v>531941.1</v>
      </c>
      <c r="DF120" s="9">
        <v>34018.589999999997</v>
      </c>
      <c r="DG120" s="9">
        <v>2966960.6900000004</v>
      </c>
      <c r="DH120" s="9">
        <v>599416.15</v>
      </c>
    </row>
    <row r="121" spans="1:112" x14ac:dyDescent="0.2">
      <c r="A121" s="8" t="s">
        <v>852</v>
      </c>
      <c r="B121" s="8" t="s">
        <v>327</v>
      </c>
      <c r="C121" s="8" t="s">
        <v>330</v>
      </c>
      <c r="D121" s="9">
        <v>2655000.61</v>
      </c>
      <c r="E121" s="9">
        <v>2655000.34</v>
      </c>
      <c r="F121" s="9">
        <v>154958.70000000001</v>
      </c>
      <c r="G121" s="9">
        <v>349882.64</v>
      </c>
      <c r="H121" s="9">
        <v>412302.17</v>
      </c>
      <c r="I121" s="9">
        <v>27612.19</v>
      </c>
      <c r="J121" s="9">
        <v>382979.24</v>
      </c>
      <c r="K121" s="9">
        <v>477983.85</v>
      </c>
      <c r="L121" s="9">
        <v>62768.81</v>
      </c>
      <c r="M121" s="9">
        <v>245138.55</v>
      </c>
      <c r="N121" s="9">
        <v>13234.26</v>
      </c>
      <c r="O121" s="9">
        <v>18818.64</v>
      </c>
      <c r="P121" s="9">
        <v>19969.38</v>
      </c>
      <c r="Q121" s="9">
        <v>25515.11</v>
      </c>
      <c r="R121" s="9">
        <v>463836.78</v>
      </c>
      <c r="S121" s="9">
        <v>0</v>
      </c>
      <c r="T121" s="9">
        <v>0</v>
      </c>
      <c r="U121" s="9">
        <v>0</v>
      </c>
      <c r="V121" s="9">
        <v>0</v>
      </c>
      <c r="W121" s="9">
        <v>121739.5</v>
      </c>
      <c r="X121" s="9">
        <v>121739.5</v>
      </c>
      <c r="Y121" s="9">
        <v>3206.33</v>
      </c>
      <c r="Z121" s="9">
        <v>14014.7</v>
      </c>
      <c r="AA121" s="9">
        <v>17114.28</v>
      </c>
      <c r="AB121" s="9">
        <v>851.29</v>
      </c>
      <c r="AC121" s="9">
        <v>29633.8</v>
      </c>
      <c r="AD121" s="9">
        <v>19657.490000000002</v>
      </c>
      <c r="AE121" s="9">
        <v>4863.5</v>
      </c>
      <c r="AF121" s="9">
        <v>14757.43</v>
      </c>
      <c r="AG121" s="9">
        <v>47.92</v>
      </c>
      <c r="AH121" s="9">
        <v>84.49</v>
      </c>
      <c r="AI121" s="9">
        <v>650.30999999999995</v>
      </c>
      <c r="AJ121" s="9">
        <v>461.92</v>
      </c>
      <c r="AK121" s="9">
        <v>16396.04</v>
      </c>
      <c r="AL121" s="9">
        <v>462001.71</v>
      </c>
      <c r="AM121" s="9">
        <v>462001.52</v>
      </c>
      <c r="AN121" s="9">
        <v>38158.120000000003</v>
      </c>
      <c r="AO121" s="9">
        <v>62980.25</v>
      </c>
      <c r="AP121" s="9">
        <v>81790.06</v>
      </c>
      <c r="AQ121" s="9">
        <v>4744.34</v>
      </c>
      <c r="AR121" s="9">
        <v>115487.12</v>
      </c>
      <c r="AS121" s="9">
        <v>76047.759999999995</v>
      </c>
      <c r="AT121" s="9">
        <v>15503.61</v>
      </c>
      <c r="AU121" s="9">
        <v>26151.19</v>
      </c>
      <c r="AV121" s="9">
        <v>1028.26</v>
      </c>
      <c r="AW121" s="9">
        <v>2578.13</v>
      </c>
      <c r="AX121" s="9">
        <v>4608.75</v>
      </c>
      <c r="AY121" s="9">
        <v>1926.28</v>
      </c>
      <c r="AZ121" s="9">
        <v>30997.66</v>
      </c>
      <c r="BA121" s="9">
        <v>904892.42</v>
      </c>
      <c r="BB121" s="9"/>
      <c r="BC121" s="9">
        <v>1754784.85</v>
      </c>
      <c r="BD121" s="9"/>
      <c r="BE121" s="9">
        <v>23531.9</v>
      </c>
      <c r="BF121" s="9"/>
      <c r="BG121" s="9">
        <v>98207.6</v>
      </c>
      <c r="BH121" s="9"/>
      <c r="BI121" s="9">
        <v>80870.13</v>
      </c>
      <c r="BJ121" s="9"/>
      <c r="BK121" s="9">
        <v>381131.59</v>
      </c>
      <c r="BL121" s="9"/>
      <c r="BM121" s="9">
        <v>1661441.46</v>
      </c>
      <c r="BN121" s="9">
        <v>779127.28999999992</v>
      </c>
      <c r="BO121" s="9"/>
      <c r="BP121" s="9">
        <v>882314.16</v>
      </c>
      <c r="BQ121" s="9"/>
      <c r="BR121" s="9">
        <v>56565.86</v>
      </c>
      <c r="BS121" s="9">
        <v>15398.71</v>
      </c>
      <c r="BT121" s="9"/>
      <c r="BU121" s="9">
        <v>41167.14</v>
      </c>
      <c r="BV121" s="9"/>
      <c r="BW121" s="9">
        <v>325368.01</v>
      </c>
      <c r="BX121" s="9">
        <v>65921.7</v>
      </c>
      <c r="BY121" s="9"/>
      <c r="BZ121" s="9">
        <v>259446.31</v>
      </c>
      <c r="CA121" s="9"/>
      <c r="CB121" s="9">
        <v>38434.07</v>
      </c>
      <c r="CC121" s="9">
        <v>2693434.6799999997</v>
      </c>
      <c r="CD121" s="9"/>
      <c r="CE121" s="9"/>
      <c r="CF121" s="9">
        <v>2520393.67</v>
      </c>
      <c r="CG121" s="9">
        <v>1763434.5499999998</v>
      </c>
      <c r="CH121" s="9">
        <v>756959.11999999988</v>
      </c>
      <c r="CI121" s="9">
        <v>1541623.4700000002</v>
      </c>
      <c r="CJ121" s="9">
        <v>1157314.93</v>
      </c>
      <c r="CK121" s="9">
        <v>384308.54</v>
      </c>
      <c r="CL121" s="9">
        <v>978770.2</v>
      </c>
      <c r="CM121" s="9">
        <v>606119.62</v>
      </c>
      <c r="CN121" s="9">
        <v>372650.58</v>
      </c>
      <c r="CO121" s="9">
        <v>726079.14</v>
      </c>
      <c r="CP121" s="9">
        <v>112761.41</v>
      </c>
      <c r="CQ121" s="9">
        <v>613317.73</v>
      </c>
      <c r="CR121" s="9">
        <v>356913.94</v>
      </c>
      <c r="CS121" s="9">
        <v>70189.88</v>
      </c>
      <c r="CT121" s="9">
        <v>286724.06</v>
      </c>
      <c r="CU121" s="9">
        <v>369165.2</v>
      </c>
      <c r="CV121" s="9">
        <v>42571.53</v>
      </c>
      <c r="CW121" s="9">
        <v>326593.67</v>
      </c>
      <c r="CX121" s="9">
        <v>1794314.5300000005</v>
      </c>
      <c r="CY121" s="9">
        <v>1650673.14</v>
      </c>
      <c r="CZ121" s="9">
        <v>143641.39000000001</v>
      </c>
      <c r="DA121" s="9">
        <v>1184709.53</v>
      </c>
      <c r="DB121" s="9">
        <v>1087125.05</v>
      </c>
      <c r="DC121" s="9">
        <v>97584.48</v>
      </c>
      <c r="DD121" s="9">
        <v>609605</v>
      </c>
      <c r="DE121" s="9">
        <v>563548.09000000008</v>
      </c>
      <c r="DF121" s="9">
        <v>46056.91</v>
      </c>
      <c r="DG121" s="9">
        <v>3078789.54</v>
      </c>
      <c r="DH121" s="9">
        <v>558395.87</v>
      </c>
    </row>
    <row r="122" spans="1:112" x14ac:dyDescent="0.2">
      <c r="A122" s="8" t="s">
        <v>853</v>
      </c>
      <c r="B122" s="8" t="s">
        <v>331</v>
      </c>
      <c r="C122" s="8" t="s">
        <v>332</v>
      </c>
      <c r="D122" s="9">
        <v>2674444.5</v>
      </c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>
        <v>122464.72</v>
      </c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>
        <v>458186.6</v>
      </c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>
        <v>920916.87</v>
      </c>
      <c r="BB122" s="9"/>
      <c r="BC122" s="9">
        <v>1757309.2000000002</v>
      </c>
      <c r="BD122" s="9"/>
      <c r="BE122" s="9">
        <v>26997.23</v>
      </c>
      <c r="BF122" s="9"/>
      <c r="BG122" s="9">
        <v>95467.49</v>
      </c>
      <c r="BH122" s="9"/>
      <c r="BI122" s="9">
        <v>82576.429999999993</v>
      </c>
      <c r="BJ122" s="9"/>
      <c r="BK122" s="9">
        <v>375610.17</v>
      </c>
      <c r="BL122" s="9"/>
      <c r="BM122" s="9">
        <v>1667274.13</v>
      </c>
      <c r="BN122" s="9">
        <v>792534.09000000008</v>
      </c>
      <c r="BO122" s="9"/>
      <c r="BP122" s="9">
        <v>874740.04000000015</v>
      </c>
      <c r="BQ122" s="9"/>
      <c r="BR122" s="9">
        <v>59253.07</v>
      </c>
      <c r="BS122" s="9">
        <v>18334.11</v>
      </c>
      <c r="BT122" s="9"/>
      <c r="BU122" s="9">
        <v>40918.949999999997</v>
      </c>
      <c r="BV122" s="9"/>
      <c r="BW122" s="9">
        <v>319157.24</v>
      </c>
      <c r="BX122" s="9">
        <v>67345.570000000007</v>
      </c>
      <c r="BY122" s="9"/>
      <c r="BZ122" s="9">
        <v>251811.68</v>
      </c>
      <c r="CA122" s="9"/>
      <c r="CB122" s="9">
        <v>38746.230000000003</v>
      </c>
      <c r="CC122" s="9">
        <v>2713190.73</v>
      </c>
      <c r="CD122" s="9"/>
      <c r="CE122" s="9"/>
      <c r="CF122" s="9">
        <v>2537998.3400000003</v>
      </c>
      <c r="CG122" s="9">
        <v>1774498.61</v>
      </c>
      <c r="CH122" s="9">
        <v>763499.73</v>
      </c>
      <c r="CI122" s="9">
        <v>1554260.9</v>
      </c>
      <c r="CJ122" s="9">
        <v>1169358.56</v>
      </c>
      <c r="CK122" s="9">
        <v>384902.34</v>
      </c>
      <c r="CL122" s="9">
        <v>983737.44</v>
      </c>
      <c r="CM122" s="9">
        <v>605140.05000000005</v>
      </c>
      <c r="CN122" s="9">
        <v>378597.39</v>
      </c>
      <c r="CO122" s="9">
        <v>752976.70000000007</v>
      </c>
      <c r="CP122" s="9">
        <v>111302.21</v>
      </c>
      <c r="CQ122" s="9">
        <v>641674.49000000011</v>
      </c>
      <c r="CR122" s="9">
        <v>362335.56000000011</v>
      </c>
      <c r="CS122" s="9">
        <v>67524.350000000006</v>
      </c>
      <c r="CT122" s="9">
        <v>294811.21000000002</v>
      </c>
      <c r="CU122" s="9">
        <v>390641.14</v>
      </c>
      <c r="CV122" s="9">
        <v>43777.86</v>
      </c>
      <c r="CW122" s="9">
        <v>346863.28</v>
      </c>
      <c r="CX122" s="9">
        <v>1785021.6399999997</v>
      </c>
      <c r="CY122" s="9">
        <v>1663196.4</v>
      </c>
      <c r="CZ122" s="9">
        <v>121825.24</v>
      </c>
      <c r="DA122" s="9">
        <v>1191925.3400000001</v>
      </c>
      <c r="DB122" s="9">
        <v>1101834.21</v>
      </c>
      <c r="DC122" s="9">
        <v>90091.13</v>
      </c>
      <c r="DD122" s="9">
        <v>593096.30000000005</v>
      </c>
      <c r="DE122" s="9">
        <v>561362.18999999994</v>
      </c>
      <c r="DF122" s="9">
        <v>31734.11</v>
      </c>
      <c r="DG122" s="9">
        <v>3056788.35</v>
      </c>
      <c r="DH122" s="9">
        <v>518790.01</v>
      </c>
    </row>
    <row r="123" spans="1:112" x14ac:dyDescent="0.2">
      <c r="A123" s="8" t="s">
        <v>853</v>
      </c>
      <c r="B123" s="8" t="s">
        <v>331</v>
      </c>
      <c r="C123" s="8" t="s">
        <v>333</v>
      </c>
      <c r="D123" s="9">
        <v>2682019.8499999996</v>
      </c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>
        <v>142782.91</v>
      </c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>
        <v>442514.48</v>
      </c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>
        <v>919923.7</v>
      </c>
      <c r="BB123" s="9"/>
      <c r="BC123" s="9">
        <v>1766989.2400000002</v>
      </c>
      <c r="BD123" s="9"/>
      <c r="BE123" s="9">
        <v>44443.8</v>
      </c>
      <c r="BF123" s="9"/>
      <c r="BG123" s="9">
        <v>98339.1</v>
      </c>
      <c r="BH123" s="9"/>
      <c r="BI123" s="9">
        <v>82083.67</v>
      </c>
      <c r="BJ123" s="9"/>
      <c r="BK123" s="9">
        <v>360430.82</v>
      </c>
      <c r="BL123" s="9"/>
      <c r="BM123" s="9">
        <v>1672411.59</v>
      </c>
      <c r="BN123" s="9">
        <v>792716.41999999993</v>
      </c>
      <c r="BO123" s="9"/>
      <c r="BP123" s="9">
        <v>879695.16000000015</v>
      </c>
      <c r="BQ123" s="9"/>
      <c r="BR123" s="9">
        <v>76631.89</v>
      </c>
      <c r="BS123" s="9">
        <v>35009.01</v>
      </c>
      <c r="BT123" s="9"/>
      <c r="BU123" s="9">
        <v>41622.870000000003</v>
      </c>
      <c r="BV123" s="9"/>
      <c r="BW123" s="9">
        <v>304733.58</v>
      </c>
      <c r="BX123" s="9">
        <v>66990.820000000007</v>
      </c>
      <c r="BY123" s="9"/>
      <c r="BZ123" s="9">
        <v>237742.77</v>
      </c>
      <c r="CA123" s="9"/>
      <c r="CB123" s="9">
        <v>40659.96</v>
      </c>
      <c r="CC123" s="9">
        <v>2722679.8099999996</v>
      </c>
      <c r="CD123" s="9"/>
      <c r="CE123" s="9"/>
      <c r="CF123" s="9">
        <v>2626305.79</v>
      </c>
      <c r="CG123" s="9">
        <v>1871229.14</v>
      </c>
      <c r="CH123" s="9">
        <v>755076.65</v>
      </c>
      <c r="CI123" s="9">
        <v>1657114.01</v>
      </c>
      <c r="CJ123" s="9">
        <v>1275039.3400000001</v>
      </c>
      <c r="CK123" s="9">
        <v>382074.67</v>
      </c>
      <c r="CL123" s="9">
        <v>969191.78</v>
      </c>
      <c r="CM123" s="9">
        <v>596189.80000000005</v>
      </c>
      <c r="CN123" s="9">
        <v>373001.98</v>
      </c>
      <c r="CO123" s="9">
        <v>754585.76</v>
      </c>
      <c r="CP123" s="9">
        <v>117564.49</v>
      </c>
      <c r="CQ123" s="9">
        <v>637021.27</v>
      </c>
      <c r="CR123" s="9">
        <v>363364.8</v>
      </c>
      <c r="CS123" s="9">
        <v>70630.39</v>
      </c>
      <c r="CT123" s="9">
        <v>292734.40999999997</v>
      </c>
      <c r="CU123" s="9">
        <v>391220.96</v>
      </c>
      <c r="CV123" s="9">
        <v>46934.1</v>
      </c>
      <c r="CW123" s="9">
        <v>344286.86</v>
      </c>
      <c r="CX123" s="9">
        <v>1871720.03</v>
      </c>
      <c r="CY123" s="9">
        <v>1753664.65</v>
      </c>
      <c r="CZ123" s="9">
        <v>118055.38</v>
      </c>
      <c r="DA123" s="9">
        <v>1293749.21</v>
      </c>
      <c r="DB123" s="9">
        <v>1204408.95</v>
      </c>
      <c r="DC123" s="9">
        <v>89340.26</v>
      </c>
      <c r="DD123" s="9">
        <v>577970.82000000007</v>
      </c>
      <c r="DE123" s="9">
        <v>549255.69999999995</v>
      </c>
      <c r="DF123" s="9">
        <v>28715.119999999999</v>
      </c>
      <c r="DG123" s="9">
        <v>3158010.87</v>
      </c>
      <c r="DH123" s="9">
        <v>531705.07999999996</v>
      </c>
    </row>
    <row r="124" spans="1:112" x14ac:dyDescent="0.2">
      <c r="A124" s="8" t="s">
        <v>853</v>
      </c>
      <c r="B124" s="8" t="s">
        <v>331</v>
      </c>
      <c r="C124" s="8" t="s">
        <v>334</v>
      </c>
      <c r="D124" s="9">
        <v>2734817.09</v>
      </c>
      <c r="E124" s="9">
        <v>2734817</v>
      </c>
      <c r="F124" s="9">
        <v>156813.85</v>
      </c>
      <c r="G124" s="9">
        <v>369820.03</v>
      </c>
      <c r="H124" s="9">
        <v>426403.19</v>
      </c>
      <c r="I124" s="9">
        <v>25029.98</v>
      </c>
      <c r="J124" s="9">
        <v>452981.89</v>
      </c>
      <c r="K124" s="9">
        <v>489751.83</v>
      </c>
      <c r="L124" s="9">
        <v>70905</v>
      </c>
      <c r="M124" s="9">
        <v>247605.8</v>
      </c>
      <c r="N124" s="9">
        <v>17281.189999999999</v>
      </c>
      <c r="O124" s="9">
        <v>26626.83</v>
      </c>
      <c r="P124" s="9">
        <v>19069.7</v>
      </c>
      <c r="Q124" s="9">
        <v>24629.84</v>
      </c>
      <c r="R124" s="9">
        <v>407897.87</v>
      </c>
      <c r="S124" s="9">
        <v>0</v>
      </c>
      <c r="T124" s="9">
        <v>0</v>
      </c>
      <c r="U124" s="9">
        <v>0</v>
      </c>
      <c r="V124" s="9">
        <v>0</v>
      </c>
      <c r="W124" s="9">
        <v>148882.26</v>
      </c>
      <c r="X124" s="9">
        <v>80099.490000000005</v>
      </c>
      <c r="Y124" s="9">
        <v>1756.71</v>
      </c>
      <c r="Z124" s="9">
        <v>2466.17</v>
      </c>
      <c r="AA124" s="9">
        <v>10294.049999999999</v>
      </c>
      <c r="AB124" s="9">
        <v>996.17</v>
      </c>
      <c r="AC124" s="9">
        <v>30980.48</v>
      </c>
      <c r="AD124" s="9">
        <v>9909.94</v>
      </c>
      <c r="AE124" s="9">
        <v>4452.68</v>
      </c>
      <c r="AF124" s="9">
        <v>12949.34</v>
      </c>
      <c r="AG124" s="9">
        <v>56.33</v>
      </c>
      <c r="AH124" s="9">
        <v>68.81</v>
      </c>
      <c r="AI124" s="9">
        <v>604.65</v>
      </c>
      <c r="AJ124" s="9">
        <v>270.38</v>
      </c>
      <c r="AK124" s="9">
        <v>5293.79</v>
      </c>
      <c r="AL124" s="9">
        <v>429701.32</v>
      </c>
      <c r="AM124" s="9">
        <v>398155.4</v>
      </c>
      <c r="AN124" s="9">
        <v>37187.67</v>
      </c>
      <c r="AO124" s="9">
        <v>53171.43</v>
      </c>
      <c r="AP124" s="9">
        <v>75923.179999999993</v>
      </c>
      <c r="AQ124" s="9">
        <v>4590.21</v>
      </c>
      <c r="AR124" s="9">
        <v>85909.759999999995</v>
      </c>
      <c r="AS124" s="9">
        <v>71299.05</v>
      </c>
      <c r="AT124" s="9">
        <v>13769.02</v>
      </c>
      <c r="AU124" s="9">
        <v>25140.34</v>
      </c>
      <c r="AV124" s="9">
        <v>1208.75</v>
      </c>
      <c r="AW124" s="9">
        <v>2588.4299999999998</v>
      </c>
      <c r="AX124" s="9">
        <v>3644.22</v>
      </c>
      <c r="AY124" s="9">
        <v>1762.99</v>
      </c>
      <c r="AZ124" s="9">
        <v>21960.35</v>
      </c>
      <c r="BA124" s="9">
        <v>930304.08</v>
      </c>
      <c r="BB124" s="9"/>
      <c r="BC124" s="9">
        <v>1816478.57</v>
      </c>
      <c r="BD124" s="9"/>
      <c r="BE124" s="9">
        <v>64312.2</v>
      </c>
      <c r="BF124" s="9"/>
      <c r="BG124" s="9">
        <v>84570.06</v>
      </c>
      <c r="BH124" s="9"/>
      <c r="BI124" s="9">
        <v>80719.94</v>
      </c>
      <c r="BJ124" s="9"/>
      <c r="BK124" s="9">
        <v>348981.38</v>
      </c>
      <c r="BL124" s="9"/>
      <c r="BM124" s="9">
        <v>1773694.82</v>
      </c>
      <c r="BN124" s="9">
        <v>816948.26</v>
      </c>
      <c r="BO124" s="9"/>
      <c r="BP124" s="9">
        <v>956746.57</v>
      </c>
      <c r="BQ124" s="9"/>
      <c r="BR124" s="9">
        <v>99639.29</v>
      </c>
      <c r="BS124" s="9">
        <v>57438.31</v>
      </c>
      <c r="BT124" s="9"/>
      <c r="BU124" s="9">
        <v>42200.98</v>
      </c>
      <c r="BV124" s="9"/>
      <c r="BW124" s="9">
        <v>298009.23</v>
      </c>
      <c r="BX124" s="9">
        <v>66519.789999999994</v>
      </c>
      <c r="BY124" s="9"/>
      <c r="BZ124" s="9">
        <v>231489.45</v>
      </c>
      <c r="CA124" s="9"/>
      <c r="CB124" s="9">
        <v>38353.67</v>
      </c>
      <c r="CC124" s="9">
        <v>2773170.76</v>
      </c>
      <c r="CD124" s="9"/>
      <c r="CE124" s="9"/>
      <c r="CF124" s="9">
        <v>2586999.17</v>
      </c>
      <c r="CG124" s="9">
        <v>1861251.23</v>
      </c>
      <c r="CH124" s="9">
        <v>725747.94</v>
      </c>
      <c r="CI124" s="9">
        <v>1693174.6999999995</v>
      </c>
      <c r="CJ124" s="9">
        <v>1294974.55</v>
      </c>
      <c r="CK124" s="9">
        <v>398200.15</v>
      </c>
      <c r="CL124" s="9">
        <v>893824.47</v>
      </c>
      <c r="CM124" s="9">
        <v>566276.67999999993</v>
      </c>
      <c r="CN124" s="9">
        <v>327547.78999999998</v>
      </c>
      <c r="CO124" s="9">
        <v>745213.05</v>
      </c>
      <c r="CP124" s="9">
        <v>116951.14</v>
      </c>
      <c r="CQ124" s="9">
        <v>628261.90999999992</v>
      </c>
      <c r="CR124" s="9">
        <v>390957.5</v>
      </c>
      <c r="CS124" s="9">
        <v>71089.919999999998</v>
      </c>
      <c r="CT124" s="9">
        <v>319867.58</v>
      </c>
      <c r="CU124" s="9">
        <v>354255.55</v>
      </c>
      <c r="CV124" s="9">
        <v>45861.22</v>
      </c>
      <c r="CW124" s="9">
        <v>308394.33</v>
      </c>
      <c r="CX124" s="9">
        <v>1841786.12</v>
      </c>
      <c r="CY124" s="9">
        <v>1744300.09</v>
      </c>
      <c r="CZ124" s="9">
        <v>97486.03</v>
      </c>
      <c r="DA124" s="9">
        <v>1302217.2000000002</v>
      </c>
      <c r="DB124" s="9">
        <v>1223884.6299999999</v>
      </c>
      <c r="DC124" s="9">
        <v>78332.570000000007</v>
      </c>
      <c r="DD124" s="9">
        <v>539568.92000000004</v>
      </c>
      <c r="DE124" s="9">
        <v>520415.46</v>
      </c>
      <c r="DF124" s="9">
        <v>19153.46</v>
      </c>
      <c r="DG124" s="9">
        <v>3179041.7300000004</v>
      </c>
      <c r="DH124" s="9">
        <v>592042.56000000006</v>
      </c>
    </row>
    <row r="125" spans="1:112" x14ac:dyDescent="0.2">
      <c r="A125" s="8" t="s">
        <v>853</v>
      </c>
      <c r="B125" s="8" t="s">
        <v>335</v>
      </c>
      <c r="C125" s="8" t="s">
        <v>336</v>
      </c>
      <c r="D125" s="9">
        <v>2731140</v>
      </c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>
        <v>134573.49</v>
      </c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>
        <v>413868.36</v>
      </c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>
        <v>938488.58</v>
      </c>
      <c r="BB125" s="9"/>
      <c r="BC125" s="9">
        <v>1804516.86</v>
      </c>
      <c r="BD125" s="9"/>
      <c r="BE125" s="9">
        <v>50661.21</v>
      </c>
      <c r="BF125" s="9"/>
      <c r="BG125" s="9">
        <v>83912.28</v>
      </c>
      <c r="BH125" s="9"/>
      <c r="BI125" s="9">
        <v>74243.100000000006</v>
      </c>
      <c r="BJ125" s="9"/>
      <c r="BK125" s="9">
        <v>339625.26</v>
      </c>
      <c r="BL125" s="9"/>
      <c r="BM125" s="9">
        <v>1764976.09</v>
      </c>
      <c r="BN125" s="9">
        <v>828988.78</v>
      </c>
      <c r="BO125" s="9"/>
      <c r="BP125" s="9">
        <v>935987.31</v>
      </c>
      <c r="BQ125" s="9"/>
      <c r="BR125" s="9">
        <v>87114.89</v>
      </c>
      <c r="BS125" s="9">
        <v>44651.18</v>
      </c>
      <c r="BT125" s="9"/>
      <c r="BU125" s="9">
        <v>42463.71</v>
      </c>
      <c r="BV125" s="9"/>
      <c r="BW125" s="9">
        <v>291805.59999999998</v>
      </c>
      <c r="BX125" s="9">
        <v>61291.87</v>
      </c>
      <c r="BY125" s="9"/>
      <c r="BZ125" s="9">
        <v>230513.73</v>
      </c>
      <c r="CA125" s="9"/>
      <c r="CB125" s="9">
        <v>38370.949999999997</v>
      </c>
      <c r="CC125" s="9">
        <v>2769510.95</v>
      </c>
      <c r="CD125" s="9"/>
      <c r="CE125" s="9"/>
      <c r="CF125" s="9">
        <v>2732351.48</v>
      </c>
      <c r="CG125" s="9">
        <v>1922733.62</v>
      </c>
      <c r="CH125" s="9">
        <v>809617.86</v>
      </c>
      <c r="CI125" s="9">
        <v>1699739.47</v>
      </c>
      <c r="CJ125" s="9">
        <v>1291663.74</v>
      </c>
      <c r="CK125" s="9">
        <v>408075.73</v>
      </c>
      <c r="CL125" s="9">
        <v>1032612.01</v>
      </c>
      <c r="CM125" s="9">
        <v>631069.88</v>
      </c>
      <c r="CN125" s="9">
        <v>401542.12999999989</v>
      </c>
      <c r="CO125" s="9">
        <v>840695.37999999989</v>
      </c>
      <c r="CP125" s="9">
        <v>133299.17000000001</v>
      </c>
      <c r="CQ125" s="9">
        <v>707396.21000000008</v>
      </c>
      <c r="CR125" s="9">
        <v>407135.19</v>
      </c>
      <c r="CS125" s="9">
        <v>82282.64</v>
      </c>
      <c r="CT125" s="9">
        <v>324852.55</v>
      </c>
      <c r="CU125" s="9">
        <v>433560.19</v>
      </c>
      <c r="CV125" s="9">
        <v>51016.53</v>
      </c>
      <c r="CW125" s="9">
        <v>382543.66</v>
      </c>
      <c r="CX125" s="9">
        <v>1891656.1</v>
      </c>
      <c r="CY125" s="9">
        <v>1789434.4500000002</v>
      </c>
      <c r="CZ125" s="9">
        <v>102221.65</v>
      </c>
      <c r="DA125" s="9">
        <v>1292604.28</v>
      </c>
      <c r="DB125" s="9">
        <v>1209381.1000000001</v>
      </c>
      <c r="DC125" s="9">
        <v>83223.179999999993</v>
      </c>
      <c r="DD125" s="9">
        <v>599051.81999999995</v>
      </c>
      <c r="DE125" s="9">
        <v>580053.35</v>
      </c>
      <c r="DF125" s="9">
        <v>18998.47</v>
      </c>
      <c r="DG125" s="9">
        <v>3298320.7800000003</v>
      </c>
      <c r="DH125" s="9">
        <v>565969.30000000005</v>
      </c>
    </row>
    <row r="126" spans="1:112" x14ac:dyDescent="0.2">
      <c r="A126" s="8" t="s">
        <v>853</v>
      </c>
      <c r="B126" s="8" t="s">
        <v>335</v>
      </c>
      <c r="C126" s="8" t="s">
        <v>337</v>
      </c>
      <c r="D126" s="9">
        <v>2819146.5900000003</v>
      </c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>
        <v>123840.64</v>
      </c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>
        <v>411615.91</v>
      </c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>
        <v>968016.75</v>
      </c>
      <c r="BB126" s="9"/>
      <c r="BC126" s="9">
        <v>1861589.56</v>
      </c>
      <c r="BD126" s="9"/>
      <c r="BE126" s="9">
        <v>29183.03</v>
      </c>
      <c r="BF126" s="9"/>
      <c r="BG126" s="9">
        <v>94657.61</v>
      </c>
      <c r="BH126" s="9"/>
      <c r="BI126" s="9">
        <v>70607.92</v>
      </c>
      <c r="BJ126" s="9"/>
      <c r="BK126" s="9">
        <v>341007.99</v>
      </c>
      <c r="BL126" s="9"/>
      <c r="BM126" s="9">
        <v>1830729.99</v>
      </c>
      <c r="BN126" s="9">
        <v>860037.7300000001</v>
      </c>
      <c r="BO126" s="9"/>
      <c r="BP126" s="9">
        <v>970692.27</v>
      </c>
      <c r="BQ126" s="9"/>
      <c r="BR126" s="9">
        <v>67385.919999999998</v>
      </c>
      <c r="BS126" s="9">
        <v>23375.41</v>
      </c>
      <c r="BT126" s="9"/>
      <c r="BU126" s="9">
        <v>44010.51</v>
      </c>
      <c r="BV126" s="9"/>
      <c r="BW126" s="9">
        <v>292407.02</v>
      </c>
      <c r="BX126" s="9">
        <v>58105.42</v>
      </c>
      <c r="BY126" s="9"/>
      <c r="BZ126" s="9">
        <v>234301.6</v>
      </c>
      <c r="CA126" s="9"/>
      <c r="CB126" s="9">
        <v>38689.65</v>
      </c>
      <c r="CC126" s="9">
        <v>2857836.24</v>
      </c>
      <c r="CD126" s="9"/>
      <c r="CE126" s="9"/>
      <c r="CF126" s="9">
        <v>2807111.6900000004</v>
      </c>
      <c r="CG126" s="9">
        <v>1977398.14</v>
      </c>
      <c r="CH126" s="9">
        <v>829713.55</v>
      </c>
      <c r="CI126" s="9">
        <v>1772602.93</v>
      </c>
      <c r="CJ126" s="9">
        <v>1349204.53</v>
      </c>
      <c r="CK126" s="9">
        <v>423398.40000000002</v>
      </c>
      <c r="CL126" s="9">
        <v>1034508.76</v>
      </c>
      <c r="CM126" s="9">
        <v>628193.6100000001</v>
      </c>
      <c r="CN126" s="9">
        <v>406315.15000000008</v>
      </c>
      <c r="CO126" s="9">
        <v>874962.69</v>
      </c>
      <c r="CP126" s="9">
        <v>136058.09</v>
      </c>
      <c r="CQ126" s="9">
        <v>738904.60000000009</v>
      </c>
      <c r="CR126" s="9">
        <v>431578.21</v>
      </c>
      <c r="CS126" s="9">
        <v>88738.42</v>
      </c>
      <c r="CT126" s="9">
        <v>342839.79</v>
      </c>
      <c r="CU126" s="9">
        <v>443384.48</v>
      </c>
      <c r="CV126" s="9">
        <v>47319.67</v>
      </c>
      <c r="CW126" s="9">
        <v>396064.81000000011</v>
      </c>
      <c r="CX126" s="9">
        <v>1932149</v>
      </c>
      <c r="CY126" s="9">
        <v>1841340.05</v>
      </c>
      <c r="CZ126" s="9">
        <v>90808.95</v>
      </c>
      <c r="DA126" s="9">
        <v>1341024.72</v>
      </c>
      <c r="DB126" s="9">
        <v>1260466.1100000001</v>
      </c>
      <c r="DC126" s="9">
        <v>80558.61</v>
      </c>
      <c r="DD126" s="9">
        <v>591124.28</v>
      </c>
      <c r="DE126" s="9">
        <v>580873.94000000006</v>
      </c>
      <c r="DF126" s="9">
        <v>10250.34</v>
      </c>
      <c r="DG126" s="9">
        <v>3350873.81</v>
      </c>
      <c r="DH126" s="9">
        <v>543762.12</v>
      </c>
    </row>
    <row r="127" spans="1:112" x14ac:dyDescent="0.2">
      <c r="A127" s="8" t="s">
        <v>853</v>
      </c>
      <c r="B127" s="8" t="s">
        <v>335</v>
      </c>
      <c r="C127" s="8" t="s">
        <v>338</v>
      </c>
      <c r="D127" s="9">
        <v>2849058.49</v>
      </c>
      <c r="E127" s="9">
        <v>2849058.49</v>
      </c>
      <c r="F127" s="9">
        <v>141256.4</v>
      </c>
      <c r="G127" s="9">
        <v>380463.47</v>
      </c>
      <c r="H127" s="9">
        <v>468825.1</v>
      </c>
      <c r="I127" s="9">
        <v>24142.48</v>
      </c>
      <c r="J127" s="9">
        <v>440097.95</v>
      </c>
      <c r="K127" s="9">
        <v>527229.16</v>
      </c>
      <c r="L127" s="9">
        <v>67706.47</v>
      </c>
      <c r="M127" s="9">
        <v>289498.32</v>
      </c>
      <c r="N127" s="9">
        <v>20913.09</v>
      </c>
      <c r="O127" s="9">
        <v>26141.75</v>
      </c>
      <c r="P127" s="9">
        <v>24418.09</v>
      </c>
      <c r="Q127" s="9">
        <v>24345.99</v>
      </c>
      <c r="R127" s="9">
        <v>414020.21</v>
      </c>
      <c r="S127" s="9">
        <v>0</v>
      </c>
      <c r="T127" s="9">
        <v>0</v>
      </c>
      <c r="U127" s="9">
        <v>0</v>
      </c>
      <c r="V127" s="9">
        <v>0</v>
      </c>
      <c r="W127" s="9">
        <v>108995.12</v>
      </c>
      <c r="X127" s="9">
        <v>71081.86</v>
      </c>
      <c r="Y127" s="9">
        <v>4729.7700000000004</v>
      </c>
      <c r="Z127" s="9">
        <v>1658.92</v>
      </c>
      <c r="AA127" s="9">
        <v>8661.8799999999992</v>
      </c>
      <c r="AB127" s="9">
        <v>903.25</v>
      </c>
      <c r="AC127" s="9">
        <v>26756.240000000002</v>
      </c>
      <c r="AD127" s="9">
        <v>5477.62</v>
      </c>
      <c r="AE127" s="9">
        <v>4264.53</v>
      </c>
      <c r="AF127" s="9">
        <v>11154.05</v>
      </c>
      <c r="AG127" s="9">
        <v>3301.85</v>
      </c>
      <c r="AH127" s="9">
        <v>66.510000000000005</v>
      </c>
      <c r="AI127" s="9">
        <v>448.99</v>
      </c>
      <c r="AJ127" s="9">
        <v>326.02</v>
      </c>
      <c r="AK127" s="9">
        <v>3332.26</v>
      </c>
      <c r="AL127" s="9">
        <v>399760.21</v>
      </c>
      <c r="AM127" s="9">
        <v>379519.76</v>
      </c>
      <c r="AN127" s="9">
        <v>36194.400000000001</v>
      </c>
      <c r="AO127" s="9">
        <v>50077.51</v>
      </c>
      <c r="AP127" s="9">
        <v>77174.36</v>
      </c>
      <c r="AQ127" s="9">
        <v>3930.68</v>
      </c>
      <c r="AR127" s="9">
        <v>80680.5</v>
      </c>
      <c r="AS127" s="9">
        <v>64572.66</v>
      </c>
      <c r="AT127" s="9">
        <v>13485.18</v>
      </c>
      <c r="AU127" s="9">
        <v>24970.1</v>
      </c>
      <c r="AV127" s="9">
        <v>1202.1300000000001</v>
      </c>
      <c r="AW127" s="9">
        <v>2541.4</v>
      </c>
      <c r="AX127" s="9">
        <v>3138.61</v>
      </c>
      <c r="AY127" s="9">
        <v>1538.45</v>
      </c>
      <c r="AZ127" s="9">
        <v>20013.78</v>
      </c>
      <c r="BA127" s="9">
        <v>1005358.22</v>
      </c>
      <c r="BB127" s="9"/>
      <c r="BC127" s="9">
        <v>1855049.59</v>
      </c>
      <c r="BD127" s="9"/>
      <c r="BE127" s="9">
        <v>23631.29</v>
      </c>
      <c r="BF127" s="9"/>
      <c r="BG127" s="9">
        <v>85363.839999999997</v>
      </c>
      <c r="BH127" s="9"/>
      <c r="BI127" s="9">
        <v>68502.61</v>
      </c>
      <c r="BJ127" s="9"/>
      <c r="BK127" s="9">
        <v>331257.59000000003</v>
      </c>
      <c r="BL127" s="9"/>
      <c r="BM127" s="9">
        <v>1897056.9</v>
      </c>
      <c r="BN127" s="9">
        <v>900805.74</v>
      </c>
      <c r="BO127" s="9"/>
      <c r="BP127" s="9">
        <v>996251.16</v>
      </c>
      <c r="BQ127" s="9"/>
      <c r="BR127" s="9">
        <v>51215.86</v>
      </c>
      <c r="BS127" s="9">
        <v>17662.98</v>
      </c>
      <c r="BT127" s="9"/>
      <c r="BU127" s="9">
        <v>33552.879999999997</v>
      </c>
      <c r="BV127" s="9"/>
      <c r="BW127" s="9">
        <v>286101.65999999997</v>
      </c>
      <c r="BX127" s="9">
        <v>56163.71</v>
      </c>
      <c r="BY127" s="9"/>
      <c r="BZ127" s="9">
        <v>229937.95</v>
      </c>
      <c r="CA127" s="9"/>
      <c r="CB127" s="9">
        <v>36156.71</v>
      </c>
      <c r="CC127" s="9">
        <v>2885215.1999999997</v>
      </c>
      <c r="CD127" s="9"/>
      <c r="CE127" s="9"/>
      <c r="CF127" s="9">
        <v>3088078.73</v>
      </c>
      <c r="CG127" s="9">
        <v>2061128.08</v>
      </c>
      <c r="CH127" s="9">
        <v>1026950.65</v>
      </c>
      <c r="CI127" s="9">
        <v>1884219.5</v>
      </c>
      <c r="CJ127" s="9">
        <v>1431882.26</v>
      </c>
      <c r="CK127" s="9">
        <v>452337.24</v>
      </c>
      <c r="CL127" s="9">
        <v>1203859.2299999995</v>
      </c>
      <c r="CM127" s="9">
        <v>629245.81999999995</v>
      </c>
      <c r="CN127" s="9">
        <v>574613.40999999992</v>
      </c>
      <c r="CO127" s="9">
        <v>1093517.3899999999</v>
      </c>
      <c r="CP127" s="9">
        <v>156648.28</v>
      </c>
      <c r="CQ127" s="9">
        <v>936869.11</v>
      </c>
      <c r="CR127" s="9">
        <v>483343.93999999989</v>
      </c>
      <c r="CS127" s="9">
        <v>105193.72</v>
      </c>
      <c r="CT127" s="9">
        <v>378150.22</v>
      </c>
      <c r="CU127" s="9">
        <v>610173.44999999984</v>
      </c>
      <c r="CV127" s="9">
        <v>51454.559999999998</v>
      </c>
      <c r="CW127" s="9">
        <v>558718.8899999999</v>
      </c>
      <c r="CX127" s="9">
        <v>1994561.34</v>
      </c>
      <c r="CY127" s="9">
        <v>1904479.8</v>
      </c>
      <c r="CZ127" s="9">
        <v>90081.54</v>
      </c>
      <c r="DA127" s="9">
        <v>1400875.56</v>
      </c>
      <c r="DB127" s="9">
        <v>1326688.54</v>
      </c>
      <c r="DC127" s="9">
        <v>74187.02</v>
      </c>
      <c r="DD127" s="9">
        <v>593685.77999999991</v>
      </c>
      <c r="DE127" s="9">
        <v>577791.26</v>
      </c>
      <c r="DF127" s="9">
        <v>15894.52</v>
      </c>
      <c r="DG127" s="9">
        <v>3576593.8400000003</v>
      </c>
      <c r="DH127" s="9">
        <v>488515.11</v>
      </c>
    </row>
    <row r="128" spans="1:112" x14ac:dyDescent="0.2">
      <c r="A128" s="8" t="s">
        <v>853</v>
      </c>
      <c r="B128" s="8" t="s">
        <v>339</v>
      </c>
      <c r="C128" s="8" t="s">
        <v>340</v>
      </c>
      <c r="D128" s="9">
        <v>2938422.4699999997</v>
      </c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>
        <v>106853.65</v>
      </c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>
        <v>411294.76</v>
      </c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>
        <v>1041603.21</v>
      </c>
      <c r="BB128" s="9"/>
      <c r="BC128" s="9">
        <v>1906737.49</v>
      </c>
      <c r="BD128" s="9"/>
      <c r="BE128" s="9">
        <v>26043.13</v>
      </c>
      <c r="BF128" s="9"/>
      <c r="BG128" s="9">
        <v>80810.52</v>
      </c>
      <c r="BH128" s="9"/>
      <c r="BI128" s="9">
        <v>72784.52</v>
      </c>
      <c r="BJ128" s="9"/>
      <c r="BK128" s="9">
        <v>338510.24</v>
      </c>
      <c r="BL128" s="9"/>
      <c r="BM128" s="9">
        <v>1971987.87</v>
      </c>
      <c r="BN128" s="9">
        <v>935349.44</v>
      </c>
      <c r="BO128" s="9"/>
      <c r="BP128" s="9">
        <v>1036638.4399999998</v>
      </c>
      <c r="BQ128" s="9"/>
      <c r="BR128" s="9">
        <v>46795.88</v>
      </c>
      <c r="BS128" s="9">
        <v>16937.810000000001</v>
      </c>
      <c r="BT128" s="9"/>
      <c r="BU128" s="9">
        <v>29858.07</v>
      </c>
      <c r="BV128" s="9"/>
      <c r="BW128" s="9">
        <v>296739.03999999998</v>
      </c>
      <c r="BX128" s="9">
        <v>60565.22</v>
      </c>
      <c r="BY128" s="9"/>
      <c r="BZ128" s="9">
        <v>236173.82</v>
      </c>
      <c r="CA128" s="9"/>
      <c r="CB128" s="9">
        <v>35803.06</v>
      </c>
      <c r="CC128" s="9">
        <v>2974225.53</v>
      </c>
      <c r="CD128" s="9"/>
      <c r="CE128" s="9"/>
      <c r="CF128" s="9">
        <v>3112904.24</v>
      </c>
      <c r="CG128" s="9">
        <v>2135194.23</v>
      </c>
      <c r="CH128" s="9">
        <v>977710.01</v>
      </c>
      <c r="CI128" s="9">
        <v>1935869.4</v>
      </c>
      <c r="CJ128" s="9">
        <v>1485401.67</v>
      </c>
      <c r="CK128" s="9">
        <v>450467.73</v>
      </c>
      <c r="CL128" s="9">
        <v>1177034.8400000001</v>
      </c>
      <c r="CM128" s="9">
        <v>649792.56000000006</v>
      </c>
      <c r="CN128" s="9">
        <v>527242.28</v>
      </c>
      <c r="CO128" s="9">
        <v>1034401.29</v>
      </c>
      <c r="CP128" s="9">
        <v>159433.04999999999</v>
      </c>
      <c r="CQ128" s="9">
        <v>874968.24</v>
      </c>
      <c r="CR128" s="9">
        <v>474423.7</v>
      </c>
      <c r="CS128" s="9">
        <v>107283.09</v>
      </c>
      <c r="CT128" s="9">
        <v>367140.61</v>
      </c>
      <c r="CU128" s="9">
        <v>559977.59</v>
      </c>
      <c r="CV128" s="9">
        <v>52149.96</v>
      </c>
      <c r="CW128" s="9">
        <v>507827.62999999989</v>
      </c>
      <c r="CX128" s="9">
        <v>2078502.9499999995</v>
      </c>
      <c r="CY128" s="9">
        <v>1975761.18</v>
      </c>
      <c r="CZ128" s="9">
        <v>102741.77</v>
      </c>
      <c r="DA128" s="9">
        <v>1461445.7</v>
      </c>
      <c r="DB128" s="9">
        <v>1378118.58</v>
      </c>
      <c r="DC128" s="9">
        <v>83327.12</v>
      </c>
      <c r="DD128" s="9">
        <v>617057.25</v>
      </c>
      <c r="DE128" s="9">
        <v>597642.6</v>
      </c>
      <c r="DF128" s="9">
        <v>19414.650000000001</v>
      </c>
      <c r="DG128" s="9">
        <v>3611568.31</v>
      </c>
      <c r="DH128" s="9">
        <v>498664.06999999989</v>
      </c>
    </row>
    <row r="129" spans="1:112" x14ac:dyDescent="0.2">
      <c r="A129" s="8" t="s">
        <v>853</v>
      </c>
      <c r="B129" s="8" t="s">
        <v>339</v>
      </c>
      <c r="C129" s="8" t="s">
        <v>341</v>
      </c>
      <c r="D129" s="9">
        <v>2986992.44</v>
      </c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>
        <v>82408.800000000003</v>
      </c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>
        <v>407075.35</v>
      </c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>
        <v>1142426.45</v>
      </c>
      <c r="BB129" s="9"/>
      <c r="BC129" s="9">
        <v>1855341.91</v>
      </c>
      <c r="BD129" s="9"/>
      <c r="BE129" s="9">
        <v>16162.15</v>
      </c>
      <c r="BF129" s="9"/>
      <c r="BG129" s="9">
        <v>66246.649999999994</v>
      </c>
      <c r="BH129" s="9"/>
      <c r="BI129" s="9">
        <v>75824.350000000006</v>
      </c>
      <c r="BJ129" s="9"/>
      <c r="BK129" s="9">
        <v>331250.99</v>
      </c>
      <c r="BL129" s="9"/>
      <c r="BM129" s="9">
        <v>2028032.92</v>
      </c>
      <c r="BN129" s="9">
        <v>1035882.05</v>
      </c>
      <c r="BO129" s="9"/>
      <c r="BP129" s="9">
        <v>992150.88</v>
      </c>
      <c r="BQ129" s="9"/>
      <c r="BR129" s="9">
        <v>39468.42</v>
      </c>
      <c r="BS129" s="9">
        <v>14341.77</v>
      </c>
      <c r="BT129" s="9"/>
      <c r="BU129" s="9">
        <v>25126.65</v>
      </c>
      <c r="BV129" s="9"/>
      <c r="BW129" s="9">
        <v>292249.84000000003</v>
      </c>
      <c r="BX129" s="9">
        <v>61113.54</v>
      </c>
      <c r="BY129" s="9"/>
      <c r="BZ129" s="9">
        <v>231136.3</v>
      </c>
      <c r="CA129" s="9"/>
      <c r="CB129" s="9">
        <v>34212.339999999997</v>
      </c>
      <c r="CC129" s="9">
        <v>3021204.78</v>
      </c>
      <c r="CD129" s="9"/>
      <c r="CE129" s="9"/>
      <c r="CF129" s="9">
        <v>3219561.73</v>
      </c>
      <c r="CG129" s="9">
        <v>2131153.73</v>
      </c>
      <c r="CH129" s="9">
        <v>1088408</v>
      </c>
      <c r="CI129" s="9">
        <v>2059388.9599999995</v>
      </c>
      <c r="CJ129" s="9">
        <v>1499646.5</v>
      </c>
      <c r="CK129" s="9">
        <v>559742.46000000008</v>
      </c>
      <c r="CL129" s="9">
        <v>1160172.77</v>
      </c>
      <c r="CM129" s="9">
        <v>631507.23</v>
      </c>
      <c r="CN129" s="9">
        <v>528665.54</v>
      </c>
      <c r="CO129" s="9">
        <v>1130312.53</v>
      </c>
      <c r="CP129" s="9">
        <v>157299.13</v>
      </c>
      <c r="CQ129" s="9">
        <v>973013.4</v>
      </c>
      <c r="CR129" s="9">
        <v>571935.83000000007</v>
      </c>
      <c r="CS129" s="9">
        <v>103734.56</v>
      </c>
      <c r="CT129" s="9">
        <v>468201.27</v>
      </c>
      <c r="CU129" s="9">
        <v>558376.69999999995</v>
      </c>
      <c r="CV129" s="9">
        <v>53564.57</v>
      </c>
      <c r="CW129" s="9">
        <v>504812.13</v>
      </c>
      <c r="CX129" s="9">
        <v>2089249.1999999995</v>
      </c>
      <c r="CY129" s="9">
        <v>1973854.6</v>
      </c>
      <c r="CZ129" s="9">
        <v>115394.6</v>
      </c>
      <c r="DA129" s="9">
        <v>1487453.13</v>
      </c>
      <c r="DB129" s="9">
        <v>1395911.94</v>
      </c>
      <c r="DC129" s="9">
        <v>91541.19</v>
      </c>
      <c r="DD129" s="9">
        <v>601796.06999999995</v>
      </c>
      <c r="DE129" s="9">
        <v>577942.65999999992</v>
      </c>
      <c r="DF129" s="9">
        <v>23853.41</v>
      </c>
      <c r="DG129" s="9">
        <v>3702991.79</v>
      </c>
      <c r="DH129" s="9">
        <v>483430.06</v>
      </c>
    </row>
    <row r="130" spans="1:112" x14ac:dyDescent="0.2">
      <c r="A130" s="8" t="s">
        <v>853</v>
      </c>
      <c r="B130" s="8" t="s">
        <v>339</v>
      </c>
      <c r="C130" s="8" t="s">
        <v>342</v>
      </c>
      <c r="D130" s="9">
        <v>3050299.85</v>
      </c>
      <c r="E130" s="9">
        <v>3050299.85</v>
      </c>
      <c r="F130" s="9">
        <v>158240.68</v>
      </c>
      <c r="G130" s="9">
        <v>379187.22</v>
      </c>
      <c r="H130" s="9">
        <v>458616.23</v>
      </c>
      <c r="I130" s="9">
        <v>25390.53</v>
      </c>
      <c r="J130" s="9">
        <v>348856.87</v>
      </c>
      <c r="K130" s="9">
        <v>557887.06000000006</v>
      </c>
      <c r="L130" s="9">
        <v>93531.71</v>
      </c>
      <c r="M130" s="9">
        <v>477355.31999999989</v>
      </c>
      <c r="N130" s="9">
        <v>23138.84</v>
      </c>
      <c r="O130" s="9">
        <v>28024.71</v>
      </c>
      <c r="P130" s="9">
        <v>27143.94</v>
      </c>
      <c r="Q130" s="9">
        <v>23191.74</v>
      </c>
      <c r="R130" s="9">
        <v>449734.99</v>
      </c>
      <c r="S130" s="9">
        <v>0</v>
      </c>
      <c r="T130" s="9">
        <v>0</v>
      </c>
      <c r="U130" s="9">
        <v>0</v>
      </c>
      <c r="V130" s="9">
        <v>0</v>
      </c>
      <c r="W130" s="9">
        <v>72784.42</v>
      </c>
      <c r="X130" s="9">
        <v>72784.429999999993</v>
      </c>
      <c r="Y130" s="9">
        <v>2116.06</v>
      </c>
      <c r="Z130" s="9">
        <v>1600.99</v>
      </c>
      <c r="AA130" s="9">
        <v>13045.28</v>
      </c>
      <c r="AB130" s="9">
        <v>854.5</v>
      </c>
      <c r="AC130" s="9">
        <v>27018.720000000001</v>
      </c>
      <c r="AD130" s="9">
        <v>3428.93</v>
      </c>
      <c r="AE130" s="9">
        <v>1440.83</v>
      </c>
      <c r="AF130" s="9">
        <v>9537.86</v>
      </c>
      <c r="AG130" s="9">
        <v>3294.17</v>
      </c>
      <c r="AH130" s="9">
        <v>87.45</v>
      </c>
      <c r="AI130" s="9">
        <v>518.65</v>
      </c>
      <c r="AJ130" s="9">
        <v>245.4</v>
      </c>
      <c r="AK130" s="9">
        <v>9595.6200000000008</v>
      </c>
      <c r="AL130" s="9">
        <v>407802.23</v>
      </c>
      <c r="AM130" s="9">
        <v>407802.23</v>
      </c>
      <c r="AN130" s="9">
        <v>38995.620000000003</v>
      </c>
      <c r="AO130" s="9">
        <v>58039.360000000001</v>
      </c>
      <c r="AP130" s="9">
        <v>84039.4</v>
      </c>
      <c r="AQ130" s="9">
        <v>3688.35</v>
      </c>
      <c r="AR130" s="9">
        <v>87060.1</v>
      </c>
      <c r="AS130" s="9">
        <v>65798.61</v>
      </c>
      <c r="AT130" s="9">
        <v>13334.87</v>
      </c>
      <c r="AU130" s="9">
        <v>24525.7</v>
      </c>
      <c r="AV130" s="9">
        <v>1209.9100000000001</v>
      </c>
      <c r="AW130" s="9">
        <v>2639.44</v>
      </c>
      <c r="AX130" s="9">
        <v>4043.87</v>
      </c>
      <c r="AY130" s="9">
        <v>1570.33</v>
      </c>
      <c r="AZ130" s="9">
        <v>22856.65</v>
      </c>
      <c r="BA130" s="9">
        <v>1183342.68</v>
      </c>
      <c r="BB130" s="9"/>
      <c r="BC130" s="9">
        <v>1878656.77</v>
      </c>
      <c r="BD130" s="9"/>
      <c r="BE130" s="9">
        <v>9817.5400000000009</v>
      </c>
      <c r="BF130" s="9"/>
      <c r="BG130" s="9">
        <v>62966.89</v>
      </c>
      <c r="BH130" s="9"/>
      <c r="BI130" s="9">
        <v>75762.81</v>
      </c>
      <c r="BJ130" s="9"/>
      <c r="BK130" s="9">
        <v>332039.40999999997</v>
      </c>
      <c r="BL130" s="9"/>
      <c r="BM130" s="9">
        <v>2063390.13</v>
      </c>
      <c r="BN130" s="9">
        <v>1078244.3299999998</v>
      </c>
      <c r="BO130" s="9"/>
      <c r="BP130" s="9">
        <v>985145.8</v>
      </c>
      <c r="BQ130" s="9"/>
      <c r="BR130" s="9">
        <v>36142.559999999998</v>
      </c>
      <c r="BS130" s="9">
        <v>8587.08</v>
      </c>
      <c r="BT130" s="9"/>
      <c r="BU130" s="9">
        <v>27555.48</v>
      </c>
      <c r="BV130" s="9"/>
      <c r="BW130" s="9">
        <v>288194.92</v>
      </c>
      <c r="BX130" s="9">
        <v>60705.56</v>
      </c>
      <c r="BY130" s="9"/>
      <c r="BZ130" s="9">
        <v>227489.36</v>
      </c>
      <c r="CA130" s="9"/>
      <c r="CB130" s="9">
        <v>34811.040000000001</v>
      </c>
      <c r="CC130" s="9">
        <v>3085110.89</v>
      </c>
      <c r="CD130" s="9"/>
      <c r="CE130" s="9"/>
      <c r="CF130" s="9">
        <v>3424100.41</v>
      </c>
      <c r="CG130" s="9">
        <v>2221095.39</v>
      </c>
      <c r="CH130" s="9">
        <v>1203005.02</v>
      </c>
      <c r="CI130" s="9">
        <v>2153166.73</v>
      </c>
      <c r="CJ130" s="9">
        <v>1557228.24</v>
      </c>
      <c r="CK130" s="9">
        <v>595938.49</v>
      </c>
      <c r="CL130" s="9">
        <v>1270933.68</v>
      </c>
      <c r="CM130" s="9">
        <v>663867.15</v>
      </c>
      <c r="CN130" s="9">
        <v>607066.53</v>
      </c>
      <c r="CO130" s="9">
        <v>1224908.5</v>
      </c>
      <c r="CP130" s="9">
        <v>159655.01999999999</v>
      </c>
      <c r="CQ130" s="9">
        <v>1065253.48</v>
      </c>
      <c r="CR130" s="9">
        <v>609027.06000000006</v>
      </c>
      <c r="CS130" s="9">
        <v>104862.63</v>
      </c>
      <c r="CT130" s="9">
        <v>504164.43</v>
      </c>
      <c r="CU130" s="9">
        <v>615881.43999999994</v>
      </c>
      <c r="CV130" s="9">
        <v>54792.39</v>
      </c>
      <c r="CW130" s="9">
        <v>561089.04999999993</v>
      </c>
      <c r="CX130" s="9">
        <v>2199191.91</v>
      </c>
      <c r="CY130" s="9">
        <v>2061440.37</v>
      </c>
      <c r="CZ130" s="9">
        <v>137751.54</v>
      </c>
      <c r="DA130" s="9">
        <v>1544139.67</v>
      </c>
      <c r="DB130" s="9">
        <v>1452365.61</v>
      </c>
      <c r="DC130" s="9">
        <v>91774.06</v>
      </c>
      <c r="DD130" s="9">
        <v>655052.24</v>
      </c>
      <c r="DE130" s="9">
        <v>609074.76</v>
      </c>
      <c r="DF130" s="9">
        <v>45977.48</v>
      </c>
      <c r="DG130" s="9">
        <v>3939388.98</v>
      </c>
      <c r="DH130" s="9">
        <v>515288.56999999989</v>
      </c>
    </row>
    <row r="131" spans="1:112" x14ac:dyDescent="0.2">
      <c r="A131" s="8" t="s">
        <v>853</v>
      </c>
      <c r="B131" s="8" t="s">
        <v>343</v>
      </c>
      <c r="C131" s="8" t="s">
        <v>344</v>
      </c>
      <c r="D131" s="9">
        <v>3055238.18</v>
      </c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>
        <v>75594.490000000005</v>
      </c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>
        <v>398874.71</v>
      </c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>
        <v>1198757.17</v>
      </c>
      <c r="BB131" s="9"/>
      <c r="BC131" s="9">
        <v>1868208.78</v>
      </c>
      <c r="BD131" s="9"/>
      <c r="BE131" s="9">
        <v>8543.02</v>
      </c>
      <c r="BF131" s="9"/>
      <c r="BG131" s="9">
        <v>67051.47</v>
      </c>
      <c r="BH131" s="9"/>
      <c r="BI131" s="9">
        <v>71431.710000000006</v>
      </c>
      <c r="BJ131" s="9"/>
      <c r="BK131" s="9">
        <v>327443.00000000012</v>
      </c>
      <c r="BL131" s="9"/>
      <c r="BM131" s="9">
        <v>2080373.8899999997</v>
      </c>
      <c r="BN131" s="9">
        <v>1090298.58</v>
      </c>
      <c r="BO131" s="9"/>
      <c r="BP131" s="9">
        <v>990075.30000000016</v>
      </c>
      <c r="BQ131" s="9"/>
      <c r="BR131" s="9">
        <v>29313.54</v>
      </c>
      <c r="BS131" s="9">
        <v>7260.67</v>
      </c>
      <c r="BT131" s="9"/>
      <c r="BU131" s="9">
        <v>22052.87</v>
      </c>
      <c r="BV131" s="9"/>
      <c r="BW131" s="9">
        <v>284870.48</v>
      </c>
      <c r="BX131" s="9">
        <v>57072.95</v>
      </c>
      <c r="BY131" s="9"/>
      <c r="BZ131" s="9">
        <v>227797.53</v>
      </c>
      <c r="CA131" s="9"/>
      <c r="CB131" s="9">
        <v>33223.879999999997</v>
      </c>
      <c r="CC131" s="9">
        <v>3088462.06</v>
      </c>
      <c r="CD131" s="9"/>
      <c r="CE131" s="9"/>
      <c r="CF131" s="9">
        <v>3439925.14</v>
      </c>
      <c r="CG131" s="9">
        <v>2259102.38</v>
      </c>
      <c r="CH131" s="9">
        <v>1180822.7599999998</v>
      </c>
      <c r="CI131" s="9">
        <v>2234634.91</v>
      </c>
      <c r="CJ131" s="9">
        <v>1620791.52</v>
      </c>
      <c r="CK131" s="9">
        <v>613843.39000000013</v>
      </c>
      <c r="CL131" s="9">
        <v>1205290.23</v>
      </c>
      <c r="CM131" s="9">
        <v>638310.8600000001</v>
      </c>
      <c r="CN131" s="9">
        <v>566979.37</v>
      </c>
      <c r="CO131" s="9">
        <v>1210692.19</v>
      </c>
      <c r="CP131" s="9">
        <v>172129.45</v>
      </c>
      <c r="CQ131" s="9">
        <v>1038562.74</v>
      </c>
      <c r="CR131" s="9">
        <v>644417.29</v>
      </c>
      <c r="CS131" s="9">
        <v>121040.51</v>
      </c>
      <c r="CT131" s="9">
        <v>523376.78</v>
      </c>
      <c r="CU131" s="9">
        <v>566274.89999999991</v>
      </c>
      <c r="CV131" s="9">
        <v>51088.94</v>
      </c>
      <c r="CW131" s="9">
        <v>515185.96</v>
      </c>
      <c r="CX131" s="9">
        <v>2229232.9500000002</v>
      </c>
      <c r="CY131" s="9">
        <v>2086972.93</v>
      </c>
      <c r="CZ131" s="9">
        <v>142260.01999999999</v>
      </c>
      <c r="DA131" s="9">
        <v>1590217.62</v>
      </c>
      <c r="DB131" s="9">
        <v>1499751.01</v>
      </c>
      <c r="DC131" s="9">
        <v>90466.61</v>
      </c>
      <c r="DD131" s="9">
        <v>639015.33000000007</v>
      </c>
      <c r="DE131" s="9">
        <v>587221.92000000004</v>
      </c>
      <c r="DF131" s="9">
        <v>51793.41</v>
      </c>
      <c r="DG131" s="9">
        <v>3971653.5</v>
      </c>
      <c r="DH131" s="9">
        <v>531728.36</v>
      </c>
    </row>
    <row r="132" spans="1:112" x14ac:dyDescent="0.2">
      <c r="A132" s="8" t="s">
        <v>853</v>
      </c>
      <c r="B132" s="8" t="s">
        <v>343</v>
      </c>
      <c r="C132" s="8" t="s">
        <v>345</v>
      </c>
      <c r="D132" s="9">
        <v>3075887.3899999997</v>
      </c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>
        <v>87531.38</v>
      </c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>
        <v>367099.76</v>
      </c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>
        <v>1233579.9899999998</v>
      </c>
      <c r="BB132" s="9"/>
      <c r="BC132" s="9">
        <v>1854735.52</v>
      </c>
      <c r="BD132" s="9"/>
      <c r="BE132" s="9">
        <v>8718.76</v>
      </c>
      <c r="BF132" s="9"/>
      <c r="BG132" s="9">
        <v>78812.63</v>
      </c>
      <c r="BH132" s="9"/>
      <c r="BI132" s="9">
        <v>69406.289999999994</v>
      </c>
      <c r="BJ132" s="9"/>
      <c r="BK132" s="9">
        <v>297693.48</v>
      </c>
      <c r="BL132" s="9"/>
      <c r="BM132" s="9">
        <v>2075616.71</v>
      </c>
      <c r="BN132" s="9">
        <v>1111283.6100000001</v>
      </c>
      <c r="BO132" s="9"/>
      <c r="BP132" s="9">
        <v>964333.12</v>
      </c>
      <c r="BQ132" s="9"/>
      <c r="BR132" s="9">
        <v>28775.11</v>
      </c>
      <c r="BS132" s="9">
        <v>7520.86</v>
      </c>
      <c r="BT132" s="9"/>
      <c r="BU132" s="9">
        <v>21254.25</v>
      </c>
      <c r="BV132" s="9"/>
      <c r="BW132" s="9">
        <v>264399.67</v>
      </c>
      <c r="BX132" s="9">
        <v>55353.38</v>
      </c>
      <c r="BY132" s="9"/>
      <c r="BZ132" s="9">
        <v>209046.3</v>
      </c>
      <c r="CA132" s="9"/>
      <c r="CB132" s="9">
        <v>31563.439999999999</v>
      </c>
      <c r="CC132" s="9">
        <v>3107450.8299999996</v>
      </c>
      <c r="CD132" s="9"/>
      <c r="CE132" s="9"/>
      <c r="CF132" s="9">
        <v>3507453.8200000003</v>
      </c>
      <c r="CG132" s="9">
        <v>2346952.9700000002</v>
      </c>
      <c r="CH132" s="9">
        <v>1160500.8500000001</v>
      </c>
      <c r="CI132" s="9">
        <v>2324433.0600000005</v>
      </c>
      <c r="CJ132" s="9">
        <v>1702596.7400000002</v>
      </c>
      <c r="CK132" s="9">
        <v>621836.31999999995</v>
      </c>
      <c r="CL132" s="9">
        <v>1183020.76</v>
      </c>
      <c r="CM132" s="9">
        <v>644356.23</v>
      </c>
      <c r="CN132" s="9">
        <v>538664.53</v>
      </c>
      <c r="CO132" s="9">
        <v>1200286.73</v>
      </c>
      <c r="CP132" s="9">
        <v>171639.31</v>
      </c>
      <c r="CQ132" s="9">
        <v>1028647.42</v>
      </c>
      <c r="CR132" s="9">
        <v>640230.61</v>
      </c>
      <c r="CS132" s="9">
        <v>109672.49</v>
      </c>
      <c r="CT132" s="9">
        <v>530558.12</v>
      </c>
      <c r="CU132" s="9">
        <v>560056.12</v>
      </c>
      <c r="CV132" s="9">
        <v>61966.82</v>
      </c>
      <c r="CW132" s="9">
        <v>498089.3</v>
      </c>
      <c r="CX132" s="9">
        <v>2307167.09</v>
      </c>
      <c r="CY132" s="9">
        <v>2175313.66</v>
      </c>
      <c r="CZ132" s="9">
        <v>131853.43</v>
      </c>
      <c r="DA132" s="9">
        <v>1684202.4500000002</v>
      </c>
      <c r="DB132" s="9">
        <v>1592924.25</v>
      </c>
      <c r="DC132" s="9">
        <v>91278.2</v>
      </c>
      <c r="DD132" s="9">
        <v>622964.64</v>
      </c>
      <c r="DE132" s="9">
        <v>582389.41</v>
      </c>
      <c r="DF132" s="9">
        <v>40575.230000000003</v>
      </c>
      <c r="DG132" s="9">
        <v>4045810.4500000007</v>
      </c>
      <c r="DH132" s="9">
        <v>538356.63</v>
      </c>
    </row>
    <row r="133" spans="1:112" x14ac:dyDescent="0.2">
      <c r="A133" s="8" t="s">
        <v>853</v>
      </c>
      <c r="B133" s="8" t="s">
        <v>343</v>
      </c>
      <c r="C133" s="8" t="s">
        <v>346</v>
      </c>
      <c r="D133" s="9">
        <v>3228171.13</v>
      </c>
      <c r="E133" s="9">
        <v>3228171.13</v>
      </c>
      <c r="F133" s="9">
        <v>141803.88</v>
      </c>
      <c r="G133" s="9">
        <v>387140.98</v>
      </c>
      <c r="H133" s="9">
        <v>456165.04</v>
      </c>
      <c r="I133" s="9">
        <v>35567.56</v>
      </c>
      <c r="J133" s="9">
        <v>349355.1</v>
      </c>
      <c r="K133" s="9">
        <v>598992.36</v>
      </c>
      <c r="L133" s="9">
        <v>87142.77</v>
      </c>
      <c r="M133" s="9">
        <v>507731.97</v>
      </c>
      <c r="N133" s="9">
        <v>23133.01</v>
      </c>
      <c r="O133" s="9">
        <v>37976.93</v>
      </c>
      <c r="P133" s="9">
        <v>34825.519999999997</v>
      </c>
      <c r="Q133" s="9">
        <v>30314.560000000001</v>
      </c>
      <c r="R133" s="9">
        <v>538021.45000000007</v>
      </c>
      <c r="S133" s="9">
        <v>0</v>
      </c>
      <c r="T133" s="9">
        <v>0</v>
      </c>
      <c r="U133" s="9">
        <v>0</v>
      </c>
      <c r="V133" s="9">
        <v>0</v>
      </c>
      <c r="W133" s="9">
        <v>87865.09</v>
      </c>
      <c r="X133" s="9">
        <v>87865.09</v>
      </c>
      <c r="Y133" s="9">
        <v>6034.63</v>
      </c>
      <c r="Z133" s="9">
        <v>27528.720000000001</v>
      </c>
      <c r="AA133" s="9">
        <v>9183.06</v>
      </c>
      <c r="AB133" s="9">
        <v>540.59</v>
      </c>
      <c r="AC133" s="9">
        <v>22579.08</v>
      </c>
      <c r="AD133" s="9">
        <v>5978.7</v>
      </c>
      <c r="AE133" s="9">
        <v>1480.32</v>
      </c>
      <c r="AF133" s="9">
        <v>10365.74</v>
      </c>
      <c r="AG133" s="9">
        <v>18.84</v>
      </c>
      <c r="AH133" s="9">
        <v>71.42</v>
      </c>
      <c r="AI133" s="9">
        <v>181.21</v>
      </c>
      <c r="AJ133" s="9">
        <v>177.89</v>
      </c>
      <c r="AK133" s="9">
        <v>3724.9</v>
      </c>
      <c r="AL133" s="9">
        <v>370508.79</v>
      </c>
      <c r="AM133" s="9">
        <v>370508.6</v>
      </c>
      <c r="AN133" s="9">
        <v>33996.04</v>
      </c>
      <c r="AO133" s="9">
        <v>58555.32</v>
      </c>
      <c r="AP133" s="9">
        <v>91259.57</v>
      </c>
      <c r="AQ133" s="9">
        <v>4347.7700000000004</v>
      </c>
      <c r="AR133" s="9">
        <v>60304.800000000003</v>
      </c>
      <c r="AS133" s="9">
        <v>56730.89</v>
      </c>
      <c r="AT133" s="9">
        <v>13577.78</v>
      </c>
      <c r="AU133" s="9">
        <v>23810.93</v>
      </c>
      <c r="AV133" s="9">
        <v>909.93</v>
      </c>
      <c r="AW133" s="9">
        <v>2514.9</v>
      </c>
      <c r="AX133" s="9">
        <v>4684.76</v>
      </c>
      <c r="AY133" s="9">
        <v>1367.14</v>
      </c>
      <c r="AZ133" s="9">
        <v>18448.75</v>
      </c>
      <c r="BA133" s="9">
        <v>1332625.6000000001</v>
      </c>
      <c r="BB133" s="9"/>
      <c r="BC133" s="9">
        <v>1909583.12</v>
      </c>
      <c r="BD133" s="9"/>
      <c r="BE133" s="9">
        <v>6520.45</v>
      </c>
      <c r="BF133" s="9"/>
      <c r="BG133" s="9">
        <v>81344.649999999994</v>
      </c>
      <c r="BH133" s="9"/>
      <c r="BI133" s="9">
        <v>63158.93</v>
      </c>
      <c r="BJ133" s="9"/>
      <c r="BK133" s="9">
        <v>307349.87</v>
      </c>
      <c r="BL133" s="9"/>
      <c r="BM133" s="9">
        <v>2175905.0699999998</v>
      </c>
      <c r="BN133" s="9">
        <v>1195782.21</v>
      </c>
      <c r="BO133" s="9"/>
      <c r="BP133" s="9">
        <v>980122.86</v>
      </c>
      <c r="BQ133" s="9"/>
      <c r="BR133" s="9">
        <v>23716.74</v>
      </c>
      <c r="BS133" s="9">
        <v>5528.27</v>
      </c>
      <c r="BT133" s="9"/>
      <c r="BU133" s="9">
        <v>18188.47</v>
      </c>
      <c r="BV133" s="9"/>
      <c r="BW133" s="9">
        <v>260624.05</v>
      </c>
      <c r="BX133" s="9">
        <v>49132.25</v>
      </c>
      <c r="BY133" s="9"/>
      <c r="BZ133" s="9">
        <v>211491.8</v>
      </c>
      <c r="CA133" s="9"/>
      <c r="CB133" s="9">
        <v>23178.61</v>
      </c>
      <c r="CC133" s="9">
        <v>3251349.74</v>
      </c>
      <c r="CD133" s="9"/>
      <c r="CE133" s="9"/>
      <c r="CF133" s="9">
        <v>4205395.21</v>
      </c>
      <c r="CG133" s="9">
        <v>2555847.5699999998</v>
      </c>
      <c r="CH133" s="9">
        <v>1649547.6400000004</v>
      </c>
      <c r="CI133" s="9">
        <v>2695857.4600000004</v>
      </c>
      <c r="CJ133" s="9">
        <v>1921637.22</v>
      </c>
      <c r="CK133" s="9">
        <v>774220.24</v>
      </c>
      <c r="CL133" s="9">
        <v>1509537.7500000005</v>
      </c>
      <c r="CM133" s="9">
        <v>634210.35000000009</v>
      </c>
      <c r="CN133" s="9">
        <v>875327.4</v>
      </c>
      <c r="CO133" s="9">
        <v>1521258.32</v>
      </c>
      <c r="CP133" s="9">
        <v>195225.51</v>
      </c>
      <c r="CQ133" s="9">
        <v>1326032.81</v>
      </c>
      <c r="CR133" s="9">
        <v>758620.73</v>
      </c>
      <c r="CS133" s="9">
        <v>133566.88</v>
      </c>
      <c r="CT133" s="9">
        <v>625053.85</v>
      </c>
      <c r="CU133" s="9">
        <v>762637.59000000008</v>
      </c>
      <c r="CV133" s="9">
        <v>61658.63</v>
      </c>
      <c r="CW133" s="9">
        <v>700978.96000000008</v>
      </c>
      <c r="CX133" s="9">
        <v>2684136.89</v>
      </c>
      <c r="CY133" s="9">
        <v>2360622.06</v>
      </c>
      <c r="CZ133" s="9">
        <v>323514.83</v>
      </c>
      <c r="DA133" s="9">
        <v>1937236.73</v>
      </c>
      <c r="DB133" s="9">
        <v>1788070.34</v>
      </c>
      <c r="DC133" s="9">
        <v>149166.39000000001</v>
      </c>
      <c r="DD133" s="9">
        <v>746900.16</v>
      </c>
      <c r="DE133" s="9">
        <v>572551.72</v>
      </c>
      <c r="DF133" s="9">
        <v>174348.44</v>
      </c>
      <c r="DG133" s="9">
        <v>4706422.37</v>
      </c>
      <c r="DH133" s="9">
        <v>501027.16</v>
      </c>
    </row>
    <row r="134" spans="1:112" x14ac:dyDescent="0.2">
      <c r="A134" s="8" t="s">
        <v>854</v>
      </c>
      <c r="B134" s="8" t="s">
        <v>347</v>
      </c>
      <c r="C134" s="8" t="s">
        <v>348</v>
      </c>
      <c r="D134" s="9">
        <v>3403658.23</v>
      </c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>
        <v>100278.32</v>
      </c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>
        <v>357633.93</v>
      </c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>
        <v>1454510.47</v>
      </c>
      <c r="BB134" s="9"/>
      <c r="BC134" s="9">
        <v>1962826.76</v>
      </c>
      <c r="BD134" s="9"/>
      <c r="BE134" s="9">
        <v>6449.38</v>
      </c>
      <c r="BF134" s="9"/>
      <c r="BG134" s="9">
        <v>93828.92</v>
      </c>
      <c r="BH134" s="9"/>
      <c r="BI134" s="9">
        <v>61896.75</v>
      </c>
      <c r="BJ134" s="9"/>
      <c r="BK134" s="9">
        <v>295737.17</v>
      </c>
      <c r="BL134" s="9"/>
      <c r="BM134" s="9">
        <v>2308875.8899999997</v>
      </c>
      <c r="BN134" s="9">
        <v>1320402.28</v>
      </c>
      <c r="BO134" s="9"/>
      <c r="BP134" s="9">
        <v>988473.59</v>
      </c>
      <c r="BQ134" s="9"/>
      <c r="BR134" s="9">
        <v>27118.35</v>
      </c>
      <c r="BS134" s="9">
        <v>5276.56</v>
      </c>
      <c r="BT134" s="9"/>
      <c r="BU134" s="9">
        <v>21841.78</v>
      </c>
      <c r="BV134" s="9"/>
      <c r="BW134" s="9">
        <v>259670.84</v>
      </c>
      <c r="BX134" s="9">
        <v>49168.53</v>
      </c>
      <c r="BY134" s="9"/>
      <c r="BZ134" s="9">
        <v>210502.31</v>
      </c>
      <c r="CA134" s="9"/>
      <c r="CB134" s="9">
        <v>21989.58</v>
      </c>
      <c r="CC134" s="9">
        <v>3425647.81</v>
      </c>
      <c r="CD134" s="9"/>
      <c r="CE134" s="9"/>
      <c r="CF134" s="9">
        <v>4328606.3</v>
      </c>
      <c r="CG134" s="9">
        <v>2661293.96</v>
      </c>
      <c r="CH134" s="9">
        <v>1667312.34</v>
      </c>
      <c r="CI134" s="9">
        <v>2900989.06</v>
      </c>
      <c r="CJ134" s="9">
        <v>2035075.72</v>
      </c>
      <c r="CK134" s="9">
        <v>865913.34</v>
      </c>
      <c r="CL134" s="9">
        <v>1427617.24</v>
      </c>
      <c r="CM134" s="9">
        <v>626218.23999999999</v>
      </c>
      <c r="CN134" s="9">
        <v>801399</v>
      </c>
      <c r="CO134" s="9">
        <v>1332584.5299999998</v>
      </c>
      <c r="CP134" s="9">
        <v>195523.05</v>
      </c>
      <c r="CQ134" s="9">
        <v>1137061.48</v>
      </c>
      <c r="CR134" s="9">
        <v>728056.15999999992</v>
      </c>
      <c r="CS134" s="9">
        <v>132920.59</v>
      </c>
      <c r="CT134" s="9">
        <v>595135.56999999995</v>
      </c>
      <c r="CU134" s="9">
        <v>604528.37</v>
      </c>
      <c r="CV134" s="9">
        <v>62602.46</v>
      </c>
      <c r="CW134" s="9">
        <v>541925.91</v>
      </c>
      <c r="CX134" s="9">
        <v>2996021.77</v>
      </c>
      <c r="CY134" s="9">
        <v>2465770.91</v>
      </c>
      <c r="CZ134" s="9">
        <v>530250.86</v>
      </c>
      <c r="DA134" s="9">
        <v>2172932.9000000004</v>
      </c>
      <c r="DB134" s="9">
        <v>1902155.13</v>
      </c>
      <c r="DC134" s="9">
        <v>270777.77</v>
      </c>
      <c r="DD134" s="9">
        <v>823088.87000000011</v>
      </c>
      <c r="DE134" s="9">
        <v>563615.78</v>
      </c>
      <c r="DF134" s="9">
        <v>259473.09</v>
      </c>
      <c r="DG134" s="9">
        <v>4843489.3599999994</v>
      </c>
      <c r="DH134" s="9">
        <v>514883.06</v>
      </c>
    </row>
    <row r="135" spans="1:112" x14ac:dyDescent="0.2">
      <c r="A135" s="8" t="s">
        <v>854</v>
      </c>
      <c r="B135" s="8" t="s">
        <v>347</v>
      </c>
      <c r="C135" s="8" t="s">
        <v>349</v>
      </c>
      <c r="D135" s="9">
        <v>3491731.23</v>
      </c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>
        <v>110448.11</v>
      </c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>
        <v>356882.75</v>
      </c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>
        <v>1454178.55</v>
      </c>
      <c r="BB135" s="9"/>
      <c r="BC135" s="9">
        <v>2050775.4300000004</v>
      </c>
      <c r="BD135" s="9"/>
      <c r="BE135" s="9">
        <v>10476.86</v>
      </c>
      <c r="BF135" s="9"/>
      <c r="BG135" s="9">
        <v>99971.25</v>
      </c>
      <c r="BH135" s="9"/>
      <c r="BI135" s="9">
        <v>60818.96</v>
      </c>
      <c r="BJ135" s="9"/>
      <c r="BK135" s="9">
        <v>296063.78999999998</v>
      </c>
      <c r="BL135" s="9"/>
      <c r="BM135" s="9">
        <v>2328594.7700000005</v>
      </c>
      <c r="BN135" s="9">
        <v>1324519.78</v>
      </c>
      <c r="BO135" s="9"/>
      <c r="BP135" s="9">
        <v>1004074.99</v>
      </c>
      <c r="BQ135" s="9"/>
      <c r="BR135" s="9">
        <v>32993.08</v>
      </c>
      <c r="BS135" s="9">
        <v>9014.34</v>
      </c>
      <c r="BT135" s="9"/>
      <c r="BU135" s="9">
        <v>23978.74</v>
      </c>
      <c r="BV135" s="9"/>
      <c r="BW135" s="9">
        <v>258732.51</v>
      </c>
      <c r="BX135" s="9">
        <v>48198.71</v>
      </c>
      <c r="BY135" s="9"/>
      <c r="BZ135" s="9">
        <v>210533.8</v>
      </c>
      <c r="CA135" s="9"/>
      <c r="CB135" s="9">
        <v>21998.83</v>
      </c>
      <c r="CC135" s="9">
        <v>3513730.06</v>
      </c>
      <c r="CD135" s="9"/>
      <c r="CE135" s="9"/>
      <c r="CF135" s="9">
        <v>4450542.33</v>
      </c>
      <c r="CG135" s="9">
        <v>2746389.5999999996</v>
      </c>
      <c r="CH135" s="9">
        <v>1704152.7299999995</v>
      </c>
      <c r="CI135" s="9">
        <v>2934728.24</v>
      </c>
      <c r="CJ135" s="9">
        <v>2105103.4</v>
      </c>
      <c r="CK135" s="9">
        <v>829624.84</v>
      </c>
      <c r="CL135" s="9">
        <v>1515814.09</v>
      </c>
      <c r="CM135" s="9">
        <v>641286.19999999995</v>
      </c>
      <c r="CN135" s="9">
        <v>874527.89</v>
      </c>
      <c r="CO135" s="9">
        <v>1364015.7600000002</v>
      </c>
      <c r="CP135" s="9">
        <v>208018.86</v>
      </c>
      <c r="CQ135" s="9">
        <v>1155996.8999999999</v>
      </c>
      <c r="CR135" s="9">
        <v>684245.56</v>
      </c>
      <c r="CS135" s="9">
        <v>132007.67000000001</v>
      </c>
      <c r="CT135" s="9">
        <v>552237.89</v>
      </c>
      <c r="CU135" s="9">
        <v>679770.2</v>
      </c>
      <c r="CV135" s="9">
        <v>76011.19</v>
      </c>
      <c r="CW135" s="9">
        <v>603759.01</v>
      </c>
      <c r="CX135" s="9">
        <v>3086526.5700000003</v>
      </c>
      <c r="CY135" s="9">
        <v>2538370.7400000002</v>
      </c>
      <c r="CZ135" s="9">
        <v>548155.82999999996</v>
      </c>
      <c r="DA135" s="9">
        <v>2250482.6799999997</v>
      </c>
      <c r="DB135" s="9">
        <v>1973095.73</v>
      </c>
      <c r="DC135" s="9">
        <v>277386.95</v>
      </c>
      <c r="DD135" s="9">
        <v>836043.8899999999</v>
      </c>
      <c r="DE135" s="9">
        <v>565275.01</v>
      </c>
      <c r="DF135" s="9">
        <v>270768.87999999989</v>
      </c>
      <c r="DG135" s="9">
        <v>4981397.84</v>
      </c>
      <c r="DH135" s="9">
        <v>530855.51</v>
      </c>
    </row>
    <row r="136" spans="1:112" x14ac:dyDescent="0.2">
      <c r="A136" s="8" t="s">
        <v>854</v>
      </c>
      <c r="B136" s="8" t="s">
        <v>347</v>
      </c>
      <c r="C136" s="8" t="s">
        <v>350</v>
      </c>
      <c r="D136" s="9">
        <v>3696259.75</v>
      </c>
      <c r="E136" s="9">
        <v>3696259.74</v>
      </c>
      <c r="F136" s="9">
        <v>144417.85</v>
      </c>
      <c r="G136" s="9">
        <v>459557.64</v>
      </c>
      <c r="H136" s="9">
        <v>502104.33</v>
      </c>
      <c r="I136" s="9">
        <v>21672.080000000002</v>
      </c>
      <c r="J136" s="9">
        <v>382606.52</v>
      </c>
      <c r="K136" s="9">
        <v>638055.93999999994</v>
      </c>
      <c r="L136" s="9">
        <v>101311.63</v>
      </c>
      <c r="M136" s="9">
        <v>553989.21</v>
      </c>
      <c r="N136" s="9">
        <v>22678.12</v>
      </c>
      <c r="O136" s="9">
        <v>38537.32</v>
      </c>
      <c r="P136" s="9">
        <v>33195.54</v>
      </c>
      <c r="Q136" s="9">
        <v>27304.44</v>
      </c>
      <c r="R136" s="9">
        <v>770829.12</v>
      </c>
      <c r="S136" s="9">
        <v>0</v>
      </c>
      <c r="T136" s="9">
        <v>0</v>
      </c>
      <c r="U136" s="9">
        <v>0</v>
      </c>
      <c r="V136" s="9">
        <v>0</v>
      </c>
      <c r="W136" s="9">
        <v>78415.08</v>
      </c>
      <c r="X136" s="9">
        <v>78415.09</v>
      </c>
      <c r="Y136" s="9">
        <v>8439.6</v>
      </c>
      <c r="Z136" s="9">
        <v>11049.9</v>
      </c>
      <c r="AA136" s="9">
        <v>16609.21</v>
      </c>
      <c r="AB136" s="9">
        <v>25.79</v>
      </c>
      <c r="AC136" s="9">
        <v>17668.82</v>
      </c>
      <c r="AD136" s="9">
        <v>8464.7800000000007</v>
      </c>
      <c r="AE136" s="9">
        <v>1451.77</v>
      </c>
      <c r="AF136" s="9">
        <v>8355.5</v>
      </c>
      <c r="AG136" s="9">
        <v>49.22</v>
      </c>
      <c r="AH136" s="9">
        <v>117.99</v>
      </c>
      <c r="AI136" s="9">
        <v>204.11</v>
      </c>
      <c r="AJ136" s="9">
        <v>164.36</v>
      </c>
      <c r="AK136" s="9">
        <v>5814.07</v>
      </c>
      <c r="AL136" s="9">
        <v>368548.87</v>
      </c>
      <c r="AM136" s="9">
        <v>368548.87</v>
      </c>
      <c r="AN136" s="9">
        <v>32862.120000000003</v>
      </c>
      <c r="AO136" s="9">
        <v>68284.070000000007</v>
      </c>
      <c r="AP136" s="9">
        <v>80611.08</v>
      </c>
      <c r="AQ136" s="9">
        <v>3933.58</v>
      </c>
      <c r="AR136" s="9">
        <v>58245.22</v>
      </c>
      <c r="AS136" s="9">
        <v>53099.03</v>
      </c>
      <c r="AT136" s="9">
        <v>16268.12</v>
      </c>
      <c r="AU136" s="9">
        <v>26065.95</v>
      </c>
      <c r="AV136" s="9">
        <v>871.83</v>
      </c>
      <c r="AW136" s="9">
        <v>3143.57</v>
      </c>
      <c r="AX136" s="9">
        <v>6644.45</v>
      </c>
      <c r="AY136" s="9">
        <v>1217.44</v>
      </c>
      <c r="AZ136" s="9">
        <v>17302.39</v>
      </c>
      <c r="BA136" s="9">
        <v>1561511.44</v>
      </c>
      <c r="BB136" s="9"/>
      <c r="BC136" s="9">
        <v>2149186.09</v>
      </c>
      <c r="BD136" s="9"/>
      <c r="BE136" s="9">
        <v>11626.19</v>
      </c>
      <c r="BF136" s="9"/>
      <c r="BG136" s="9">
        <v>66788.89</v>
      </c>
      <c r="BH136" s="9"/>
      <c r="BI136" s="9">
        <v>58576.63</v>
      </c>
      <c r="BJ136" s="9"/>
      <c r="BK136" s="9">
        <v>309972.25</v>
      </c>
      <c r="BL136" s="9"/>
      <c r="BM136" s="9">
        <v>2513067.3199999998</v>
      </c>
      <c r="BN136" s="9">
        <v>1430890.46</v>
      </c>
      <c r="BO136" s="9"/>
      <c r="BP136" s="9">
        <v>1082176.8600000001</v>
      </c>
      <c r="BQ136" s="9"/>
      <c r="BR136" s="9">
        <v>31859.71</v>
      </c>
      <c r="BS136" s="9">
        <v>7758.54</v>
      </c>
      <c r="BT136" s="9"/>
      <c r="BU136" s="9">
        <v>24101.17</v>
      </c>
      <c r="BV136" s="9"/>
      <c r="BW136" s="9">
        <v>255049.55</v>
      </c>
      <c r="BX136" s="9">
        <v>46661.04</v>
      </c>
      <c r="BY136" s="9"/>
      <c r="BZ136" s="9">
        <v>208388.51</v>
      </c>
      <c r="CA136" s="9"/>
      <c r="CB136" s="9">
        <v>17047.13</v>
      </c>
      <c r="CC136" s="9">
        <v>3713306.88</v>
      </c>
      <c r="CD136" s="9"/>
      <c r="CE136" s="9"/>
      <c r="CF136" s="9">
        <v>4488779.84</v>
      </c>
      <c r="CG136" s="9">
        <v>2783646.39</v>
      </c>
      <c r="CH136" s="9">
        <v>1705133.45</v>
      </c>
      <c r="CI136" s="9">
        <v>3061030.63</v>
      </c>
      <c r="CJ136" s="9">
        <v>2177246.8200000003</v>
      </c>
      <c r="CK136" s="9">
        <v>883783.81</v>
      </c>
      <c r="CL136" s="9">
        <v>1427749.2100000002</v>
      </c>
      <c r="CM136" s="9">
        <v>606399.57000000007</v>
      </c>
      <c r="CN136" s="9">
        <v>821349.64000000013</v>
      </c>
      <c r="CO136" s="9">
        <v>1424174.52</v>
      </c>
      <c r="CP136" s="9">
        <v>226257.89</v>
      </c>
      <c r="CQ136" s="9">
        <v>1197916.6299999999</v>
      </c>
      <c r="CR136" s="9">
        <v>784364.91000000015</v>
      </c>
      <c r="CS136" s="9">
        <v>149376.42000000001</v>
      </c>
      <c r="CT136" s="9">
        <v>634988.49</v>
      </c>
      <c r="CU136" s="9">
        <v>639809.61</v>
      </c>
      <c r="CV136" s="9">
        <v>76881.47</v>
      </c>
      <c r="CW136" s="9">
        <v>562928.14</v>
      </c>
      <c r="CX136" s="9">
        <v>3064605.32</v>
      </c>
      <c r="CY136" s="9">
        <v>2557388.5</v>
      </c>
      <c r="CZ136" s="9">
        <v>507216.82</v>
      </c>
      <c r="DA136" s="9">
        <v>2276665.7200000002</v>
      </c>
      <c r="DB136" s="9">
        <v>2027870.4</v>
      </c>
      <c r="DC136" s="9">
        <v>248795.32</v>
      </c>
      <c r="DD136" s="9">
        <v>787939.60000000009</v>
      </c>
      <c r="DE136" s="9">
        <v>529518.1</v>
      </c>
      <c r="DF136" s="9">
        <v>258421.5</v>
      </c>
      <c r="DG136" s="9">
        <v>4986781.1300000008</v>
      </c>
      <c r="DH136" s="9">
        <v>498001.29</v>
      </c>
    </row>
    <row r="137" spans="1:112" x14ac:dyDescent="0.2">
      <c r="A137" s="8" t="s">
        <v>854</v>
      </c>
      <c r="B137" s="8" t="s">
        <v>351</v>
      </c>
      <c r="C137" s="8" t="s">
        <v>352</v>
      </c>
      <c r="D137" s="9">
        <v>3939307.3</v>
      </c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>
        <v>80072.52</v>
      </c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>
        <v>377933.32</v>
      </c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>
        <v>1674691.5499999998</v>
      </c>
      <c r="BB137" s="9"/>
      <c r="BC137" s="9">
        <v>2278163.5300000003</v>
      </c>
      <c r="BD137" s="9"/>
      <c r="BE137" s="9">
        <v>13491.14</v>
      </c>
      <c r="BF137" s="9"/>
      <c r="BG137" s="9">
        <v>66581.38</v>
      </c>
      <c r="BH137" s="9"/>
      <c r="BI137" s="9">
        <v>57443.15</v>
      </c>
      <c r="BJ137" s="9"/>
      <c r="BK137" s="9">
        <v>320490.15999999997</v>
      </c>
      <c r="BL137" s="9"/>
      <c r="BM137" s="9">
        <v>2612318.3400000003</v>
      </c>
      <c r="BN137" s="9">
        <v>1533675.3</v>
      </c>
      <c r="BO137" s="9"/>
      <c r="BP137" s="9">
        <v>1078643.0299999998</v>
      </c>
      <c r="BQ137" s="9"/>
      <c r="BR137" s="9">
        <v>36647.79</v>
      </c>
      <c r="BS137" s="9">
        <v>9708.4699999999993</v>
      </c>
      <c r="BT137" s="9"/>
      <c r="BU137" s="9">
        <v>26939.32</v>
      </c>
      <c r="BV137" s="9"/>
      <c r="BW137" s="9">
        <v>254467.03</v>
      </c>
      <c r="BX137" s="9">
        <v>45312.46</v>
      </c>
      <c r="BY137" s="9"/>
      <c r="BZ137" s="9">
        <v>209154.56</v>
      </c>
      <c r="CA137" s="9"/>
      <c r="CB137" s="9">
        <v>11506.01</v>
      </c>
      <c r="CC137" s="9">
        <v>3950813.31</v>
      </c>
      <c r="CD137" s="9"/>
      <c r="CE137" s="9"/>
      <c r="CF137" s="9">
        <v>4797501.7699999996</v>
      </c>
      <c r="CG137" s="9">
        <v>2894062.17</v>
      </c>
      <c r="CH137" s="9">
        <v>1903439.6</v>
      </c>
      <c r="CI137" s="9">
        <v>3155894.89</v>
      </c>
      <c r="CJ137" s="9">
        <v>2225902.9699999997</v>
      </c>
      <c r="CK137" s="9">
        <v>929991.92</v>
      </c>
      <c r="CL137" s="9">
        <v>1641606.88</v>
      </c>
      <c r="CM137" s="9">
        <v>668159.19999999995</v>
      </c>
      <c r="CN137" s="9">
        <v>973447.68000000005</v>
      </c>
      <c r="CO137" s="9">
        <v>1640420.24</v>
      </c>
      <c r="CP137" s="9">
        <v>256635.07</v>
      </c>
      <c r="CQ137" s="9">
        <v>1383785.1699999997</v>
      </c>
      <c r="CR137" s="9">
        <v>853881.75</v>
      </c>
      <c r="CS137" s="9">
        <v>171365.06</v>
      </c>
      <c r="CT137" s="9">
        <v>682516.69</v>
      </c>
      <c r="CU137" s="9">
        <v>786538.49</v>
      </c>
      <c r="CV137" s="9">
        <v>85270.01</v>
      </c>
      <c r="CW137" s="9">
        <v>701268.47999999998</v>
      </c>
      <c r="CX137" s="9">
        <v>3157081.5299999993</v>
      </c>
      <c r="CY137" s="9">
        <v>2637427.1</v>
      </c>
      <c r="CZ137" s="9">
        <v>519654.43</v>
      </c>
      <c r="DA137" s="9">
        <v>2302013.1399999997</v>
      </c>
      <c r="DB137" s="9">
        <v>2054537.91</v>
      </c>
      <c r="DC137" s="9">
        <v>247475.23</v>
      </c>
      <c r="DD137" s="9">
        <v>855068.3899999999</v>
      </c>
      <c r="DE137" s="9">
        <v>582889.18999999994</v>
      </c>
      <c r="DF137" s="9">
        <v>272179.20000000001</v>
      </c>
      <c r="DG137" s="9">
        <v>5305036.7999999998</v>
      </c>
      <c r="DH137" s="9">
        <v>507535.03</v>
      </c>
    </row>
    <row r="138" spans="1:112" x14ac:dyDescent="0.2">
      <c r="A138" s="8" t="s">
        <v>854</v>
      </c>
      <c r="B138" s="8" t="s">
        <v>351</v>
      </c>
      <c r="C138" s="8" t="s">
        <v>353</v>
      </c>
      <c r="D138" s="9">
        <v>4211265.9400000004</v>
      </c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>
        <v>74434.53</v>
      </c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>
        <v>394637.39</v>
      </c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>
        <v>1779732.46</v>
      </c>
      <c r="BB138" s="9"/>
      <c r="BC138" s="9">
        <v>2446939.0099999998</v>
      </c>
      <c r="BD138" s="9"/>
      <c r="BE138" s="9">
        <v>11347.59</v>
      </c>
      <c r="BF138" s="9"/>
      <c r="BG138" s="9">
        <v>63086.95</v>
      </c>
      <c r="BH138" s="9"/>
      <c r="BI138" s="9">
        <v>53850.79</v>
      </c>
      <c r="BJ138" s="9"/>
      <c r="BK138" s="9">
        <v>340786.6</v>
      </c>
      <c r="BL138" s="9"/>
      <c r="BM138" s="9">
        <v>2769417.04</v>
      </c>
      <c r="BN138" s="9">
        <v>1636199.87</v>
      </c>
      <c r="BO138" s="9"/>
      <c r="BP138" s="9">
        <v>1133217.17</v>
      </c>
      <c r="BQ138" s="9"/>
      <c r="BR138" s="9">
        <v>34573.19</v>
      </c>
      <c r="BS138" s="9">
        <v>8025.87</v>
      </c>
      <c r="BT138" s="9"/>
      <c r="BU138" s="9">
        <v>26547.32</v>
      </c>
      <c r="BV138" s="9"/>
      <c r="BW138" s="9">
        <v>265380.96999999997</v>
      </c>
      <c r="BX138" s="9">
        <v>41847.81</v>
      </c>
      <c r="BY138" s="9"/>
      <c r="BZ138" s="9">
        <v>223533.16</v>
      </c>
      <c r="CA138" s="9"/>
      <c r="CB138" s="9">
        <v>11231.21</v>
      </c>
      <c r="CC138" s="9">
        <v>4222497.1500000004</v>
      </c>
      <c r="CD138" s="9"/>
      <c r="CE138" s="9"/>
      <c r="CF138" s="9">
        <v>4874632.08</v>
      </c>
      <c r="CG138" s="9">
        <v>2959349.83</v>
      </c>
      <c r="CH138" s="9">
        <v>1915282.25</v>
      </c>
      <c r="CI138" s="9">
        <v>3308298.14</v>
      </c>
      <c r="CJ138" s="9">
        <v>2317244.91</v>
      </c>
      <c r="CK138" s="9">
        <v>991053.23</v>
      </c>
      <c r="CL138" s="9">
        <v>1566333.94</v>
      </c>
      <c r="CM138" s="9">
        <v>642104.92000000004</v>
      </c>
      <c r="CN138" s="9">
        <v>924229.02</v>
      </c>
      <c r="CO138" s="9">
        <v>1658914.12</v>
      </c>
      <c r="CP138" s="9">
        <v>276263.53999999998</v>
      </c>
      <c r="CQ138" s="9">
        <v>1382650.5800000003</v>
      </c>
      <c r="CR138" s="9">
        <v>937976.71</v>
      </c>
      <c r="CS138" s="9">
        <v>191567.14</v>
      </c>
      <c r="CT138" s="9">
        <v>746409.57000000007</v>
      </c>
      <c r="CU138" s="9">
        <v>720937.41000000015</v>
      </c>
      <c r="CV138" s="9">
        <v>84696.4</v>
      </c>
      <c r="CW138" s="9">
        <v>636241.01000000013</v>
      </c>
      <c r="CX138" s="9">
        <v>3215717.96</v>
      </c>
      <c r="CY138" s="9">
        <v>2683086.29</v>
      </c>
      <c r="CZ138" s="9">
        <v>532631.67000000004</v>
      </c>
      <c r="DA138" s="9">
        <v>2370321.4300000002</v>
      </c>
      <c r="DB138" s="9">
        <v>2125677.77</v>
      </c>
      <c r="DC138" s="9">
        <v>244643.66</v>
      </c>
      <c r="DD138" s="9">
        <v>845396.53</v>
      </c>
      <c r="DE138" s="9">
        <v>557408.52</v>
      </c>
      <c r="DF138" s="9">
        <v>287988.01</v>
      </c>
      <c r="DG138" s="9">
        <v>5399764.1699999999</v>
      </c>
      <c r="DH138" s="9">
        <v>525132.09</v>
      </c>
    </row>
    <row r="139" spans="1:112" x14ac:dyDescent="0.2">
      <c r="A139" s="8" t="s">
        <v>854</v>
      </c>
      <c r="B139" s="8" t="s">
        <v>351</v>
      </c>
      <c r="C139" s="8" t="s">
        <v>354</v>
      </c>
      <c r="D139" s="9">
        <v>4517238.33</v>
      </c>
      <c r="E139" s="9">
        <v>4517280.91</v>
      </c>
      <c r="F139" s="9">
        <v>144075.64000000001</v>
      </c>
      <c r="G139" s="9">
        <v>547599.23</v>
      </c>
      <c r="H139" s="9">
        <v>515871.41</v>
      </c>
      <c r="I139" s="9">
        <v>22260.81</v>
      </c>
      <c r="J139" s="9">
        <v>499258.43</v>
      </c>
      <c r="K139" s="9">
        <v>849872.46</v>
      </c>
      <c r="L139" s="9">
        <v>148056.51</v>
      </c>
      <c r="M139" s="9">
        <v>677181.32</v>
      </c>
      <c r="N139" s="9">
        <v>23600.639999999999</v>
      </c>
      <c r="O139" s="9">
        <v>52095.11</v>
      </c>
      <c r="P139" s="9">
        <v>25968.69</v>
      </c>
      <c r="Q139" s="9">
        <v>26129.26</v>
      </c>
      <c r="R139" s="9">
        <v>985311.4</v>
      </c>
      <c r="S139" s="9">
        <v>0</v>
      </c>
      <c r="T139" s="9">
        <v>0</v>
      </c>
      <c r="U139" s="9">
        <v>0</v>
      </c>
      <c r="V139" s="9">
        <v>0</v>
      </c>
      <c r="W139" s="9">
        <v>68538.820000000007</v>
      </c>
      <c r="X139" s="9">
        <v>68738.820000000007</v>
      </c>
      <c r="Y139" s="9">
        <v>3139.83</v>
      </c>
      <c r="Z139" s="9">
        <v>3986.32</v>
      </c>
      <c r="AA139" s="9">
        <v>22466.78</v>
      </c>
      <c r="AB139" s="9">
        <v>13.44</v>
      </c>
      <c r="AC139" s="9">
        <v>17371.310000000001</v>
      </c>
      <c r="AD139" s="9">
        <v>7457.51</v>
      </c>
      <c r="AE139" s="9">
        <v>423.74</v>
      </c>
      <c r="AF139" s="9">
        <v>8153.58</v>
      </c>
      <c r="AG139" s="9">
        <v>16.48</v>
      </c>
      <c r="AH139" s="9">
        <v>129.59</v>
      </c>
      <c r="AI139" s="9">
        <v>145.54</v>
      </c>
      <c r="AJ139" s="9">
        <v>92.44</v>
      </c>
      <c r="AK139" s="9">
        <v>5342.24</v>
      </c>
      <c r="AL139" s="9">
        <v>387540.98</v>
      </c>
      <c r="AM139" s="9">
        <v>387182.95</v>
      </c>
      <c r="AN139" s="9">
        <v>33189.07</v>
      </c>
      <c r="AO139" s="9">
        <v>93199.08</v>
      </c>
      <c r="AP139" s="9">
        <v>76970.78</v>
      </c>
      <c r="AQ139" s="9">
        <v>3190.83</v>
      </c>
      <c r="AR139" s="9">
        <v>63402.400000000001</v>
      </c>
      <c r="AS139" s="9">
        <v>58866.31</v>
      </c>
      <c r="AT139" s="9">
        <v>10735.66</v>
      </c>
      <c r="AU139" s="9">
        <v>24566.66</v>
      </c>
      <c r="AV139" s="9">
        <v>846.83</v>
      </c>
      <c r="AW139" s="9">
        <v>2904.02</v>
      </c>
      <c r="AX139" s="9">
        <v>7697.27</v>
      </c>
      <c r="AY139" s="9">
        <v>563.66999999999996</v>
      </c>
      <c r="AZ139" s="9">
        <v>11050.37</v>
      </c>
      <c r="BA139" s="9">
        <v>1909260.65</v>
      </c>
      <c r="BB139" s="9"/>
      <c r="BC139" s="9">
        <v>2622889.1799999992</v>
      </c>
      <c r="BD139" s="9"/>
      <c r="BE139" s="9">
        <v>10173.99</v>
      </c>
      <c r="BF139" s="9"/>
      <c r="BG139" s="9">
        <v>58364.83</v>
      </c>
      <c r="BH139" s="9"/>
      <c r="BI139" s="9">
        <v>50412.23</v>
      </c>
      <c r="BJ139" s="9"/>
      <c r="BK139" s="9">
        <v>337128.76</v>
      </c>
      <c r="BL139" s="9"/>
      <c r="BM139" s="9">
        <v>2947875.23</v>
      </c>
      <c r="BN139" s="9">
        <v>1756161.65</v>
      </c>
      <c r="BO139" s="9"/>
      <c r="BP139" s="9">
        <v>1191713.58</v>
      </c>
      <c r="BQ139" s="9"/>
      <c r="BR139" s="9">
        <v>30821.86</v>
      </c>
      <c r="BS139" s="9">
        <v>7432.04</v>
      </c>
      <c r="BT139" s="9"/>
      <c r="BU139" s="9">
        <v>23389.82</v>
      </c>
      <c r="BV139" s="9"/>
      <c r="BW139" s="9">
        <v>255293.95</v>
      </c>
      <c r="BX139" s="9">
        <v>38337.03</v>
      </c>
      <c r="BY139" s="9"/>
      <c r="BZ139" s="9">
        <v>216956.92</v>
      </c>
      <c r="CA139" s="9"/>
      <c r="CB139" s="9">
        <v>11188.83</v>
      </c>
      <c r="CC139" s="9">
        <v>4528427.16</v>
      </c>
      <c r="CD139" s="9"/>
      <c r="CE139" s="9"/>
      <c r="CF139" s="9">
        <v>5204920.76</v>
      </c>
      <c r="CG139" s="9">
        <v>3135003.15</v>
      </c>
      <c r="CH139" s="9">
        <v>2069917.61</v>
      </c>
      <c r="CI139" s="9">
        <v>3550754.43</v>
      </c>
      <c r="CJ139" s="9">
        <v>2476799.44</v>
      </c>
      <c r="CK139" s="9">
        <v>1073954.99</v>
      </c>
      <c r="CL139" s="9">
        <v>1654166.33</v>
      </c>
      <c r="CM139" s="9">
        <v>658203.71</v>
      </c>
      <c r="CN139" s="9">
        <v>995962.62</v>
      </c>
      <c r="CO139" s="9">
        <v>1871316.35</v>
      </c>
      <c r="CP139" s="9">
        <v>327734.99</v>
      </c>
      <c r="CQ139" s="9">
        <v>1543581.36</v>
      </c>
      <c r="CR139" s="9">
        <v>1063235.58</v>
      </c>
      <c r="CS139" s="9">
        <v>236440.28</v>
      </c>
      <c r="CT139" s="9">
        <v>826795.3</v>
      </c>
      <c r="CU139" s="9">
        <v>808080.77</v>
      </c>
      <c r="CV139" s="9">
        <v>91294.71</v>
      </c>
      <c r="CW139" s="9">
        <v>716786.06</v>
      </c>
      <c r="CX139" s="9">
        <v>3333604.4100000006</v>
      </c>
      <c r="CY139" s="9">
        <v>2807268.1599999997</v>
      </c>
      <c r="CZ139" s="9">
        <v>526336.25</v>
      </c>
      <c r="DA139" s="9">
        <v>2487518.85</v>
      </c>
      <c r="DB139" s="9">
        <v>2240359.16</v>
      </c>
      <c r="DC139" s="9">
        <v>247159.69</v>
      </c>
      <c r="DD139" s="9">
        <v>846085.56</v>
      </c>
      <c r="DE139" s="9">
        <v>566909</v>
      </c>
      <c r="DF139" s="9">
        <v>279176.56000000011</v>
      </c>
      <c r="DG139" s="9">
        <v>5725327.8200000012</v>
      </c>
      <c r="DH139" s="9">
        <v>520407.06</v>
      </c>
    </row>
    <row r="140" spans="1:112" x14ac:dyDescent="0.2">
      <c r="A140" s="8" t="s">
        <v>854</v>
      </c>
      <c r="B140" s="8" t="s">
        <v>355</v>
      </c>
      <c r="C140" s="8" t="s">
        <v>356</v>
      </c>
      <c r="D140" s="9">
        <v>4645846.2200000007</v>
      </c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>
        <v>70009.81</v>
      </c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>
        <v>378910.17</v>
      </c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>
        <v>1962755.44</v>
      </c>
      <c r="BB140" s="9"/>
      <c r="BC140" s="9">
        <v>2696761.46</v>
      </c>
      <c r="BD140" s="9"/>
      <c r="BE140" s="9">
        <v>12005.73</v>
      </c>
      <c r="BF140" s="9"/>
      <c r="BG140" s="9">
        <v>58004.08</v>
      </c>
      <c r="BH140" s="9"/>
      <c r="BI140" s="9">
        <v>49534.05</v>
      </c>
      <c r="BJ140" s="9"/>
      <c r="BK140" s="9">
        <v>329376.13</v>
      </c>
      <c r="BL140" s="9"/>
      <c r="BM140" s="9">
        <v>3062044.54</v>
      </c>
      <c r="BN140" s="9">
        <v>1809768.42</v>
      </c>
      <c r="BO140" s="9"/>
      <c r="BP140" s="9">
        <v>1252276.1200000001</v>
      </c>
      <c r="BQ140" s="9"/>
      <c r="BR140" s="9">
        <v>31423.3</v>
      </c>
      <c r="BS140" s="9">
        <v>8612.1</v>
      </c>
      <c r="BT140" s="9"/>
      <c r="BU140" s="9">
        <v>22811.200000000001</v>
      </c>
      <c r="BV140" s="9"/>
      <c r="BW140" s="9">
        <v>254145.93</v>
      </c>
      <c r="BX140" s="9">
        <v>37754.019999999997</v>
      </c>
      <c r="BY140" s="9"/>
      <c r="BZ140" s="9">
        <v>216391.91</v>
      </c>
      <c r="CA140" s="9"/>
      <c r="CB140" s="9">
        <v>11851.37</v>
      </c>
      <c r="CC140" s="9">
        <v>4657697.5900000008</v>
      </c>
      <c r="CD140" s="9"/>
      <c r="CE140" s="9"/>
      <c r="CF140" s="9">
        <v>5333397.54</v>
      </c>
      <c r="CG140" s="9">
        <v>3237320.4</v>
      </c>
      <c r="CH140" s="9">
        <v>2096077.14</v>
      </c>
      <c r="CI140" s="9">
        <v>3619454.58</v>
      </c>
      <c r="CJ140" s="9">
        <v>2558354.7000000002</v>
      </c>
      <c r="CK140" s="9">
        <v>1061099.8799999999</v>
      </c>
      <c r="CL140" s="9">
        <v>1713942.9600000002</v>
      </c>
      <c r="CM140" s="9">
        <v>678965.7</v>
      </c>
      <c r="CN140" s="9">
        <v>1034977.26</v>
      </c>
      <c r="CO140" s="9">
        <v>1895909.39</v>
      </c>
      <c r="CP140" s="9">
        <v>343080.82</v>
      </c>
      <c r="CQ140" s="9">
        <v>1552828.57</v>
      </c>
      <c r="CR140" s="9">
        <v>1044327.65</v>
      </c>
      <c r="CS140" s="9">
        <v>247354.89</v>
      </c>
      <c r="CT140" s="9">
        <v>796972.76</v>
      </c>
      <c r="CU140" s="9">
        <v>851581.74</v>
      </c>
      <c r="CV140" s="9">
        <v>95725.93</v>
      </c>
      <c r="CW140" s="9">
        <v>755855.81</v>
      </c>
      <c r="CX140" s="9">
        <v>3437488.15</v>
      </c>
      <c r="CY140" s="9">
        <v>2894239.58</v>
      </c>
      <c r="CZ140" s="9">
        <v>543248.56999999995</v>
      </c>
      <c r="DA140" s="9">
        <v>2575126.9300000002</v>
      </c>
      <c r="DB140" s="9">
        <v>2310999.81</v>
      </c>
      <c r="DC140" s="9">
        <v>264127.12</v>
      </c>
      <c r="DD140" s="9">
        <v>862361.22</v>
      </c>
      <c r="DE140" s="9">
        <v>583239.77</v>
      </c>
      <c r="DF140" s="9">
        <v>279121.45</v>
      </c>
      <c r="DG140" s="9">
        <v>5925578.0199999996</v>
      </c>
      <c r="DH140" s="9">
        <v>592180.47999999998</v>
      </c>
    </row>
    <row r="141" spans="1:112" x14ac:dyDescent="0.2">
      <c r="A141" s="8" t="s">
        <v>854</v>
      </c>
      <c r="B141" s="8" t="s">
        <v>355</v>
      </c>
      <c r="C141" s="8" t="s">
        <v>357</v>
      </c>
      <c r="D141" s="9">
        <v>4830677.71</v>
      </c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>
        <v>66074.06</v>
      </c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>
        <v>373018.19</v>
      </c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>
        <v>2094574.7099999995</v>
      </c>
      <c r="BB141" s="9"/>
      <c r="BC141" s="9">
        <v>2751661.63</v>
      </c>
      <c r="BD141" s="9"/>
      <c r="BE141" s="9">
        <v>11758.7</v>
      </c>
      <c r="BF141" s="9"/>
      <c r="BG141" s="9">
        <v>54315.37</v>
      </c>
      <c r="BH141" s="9"/>
      <c r="BI141" s="9">
        <v>48527.19</v>
      </c>
      <c r="BJ141" s="9"/>
      <c r="BK141" s="9">
        <v>324490.99</v>
      </c>
      <c r="BL141" s="9"/>
      <c r="BM141" s="9">
        <v>3223861.42</v>
      </c>
      <c r="BN141" s="9">
        <v>1950221.11</v>
      </c>
      <c r="BO141" s="9"/>
      <c r="BP141" s="9">
        <v>1273640.31</v>
      </c>
      <c r="BQ141" s="9"/>
      <c r="BR141" s="9">
        <v>31219.040000000001</v>
      </c>
      <c r="BS141" s="9">
        <v>8613.48</v>
      </c>
      <c r="BT141" s="9"/>
      <c r="BU141" s="9">
        <v>22605.56</v>
      </c>
      <c r="BV141" s="9"/>
      <c r="BW141" s="9">
        <v>251587.16</v>
      </c>
      <c r="BX141" s="9">
        <v>37041.480000000003</v>
      </c>
      <c r="BY141" s="9"/>
      <c r="BZ141" s="9">
        <v>214545.68</v>
      </c>
      <c r="CA141" s="9"/>
      <c r="CB141" s="9">
        <v>10009.08</v>
      </c>
      <c r="CC141" s="9">
        <v>4840686.79</v>
      </c>
      <c r="CD141" s="9"/>
      <c r="CE141" s="9"/>
      <c r="CF141" s="9">
        <v>5273869.5999999996</v>
      </c>
      <c r="CG141" s="9">
        <v>3255118.0700000003</v>
      </c>
      <c r="CH141" s="9">
        <v>2018751.53</v>
      </c>
      <c r="CI141" s="9">
        <v>3711552.18</v>
      </c>
      <c r="CJ141" s="9">
        <v>2584207.63</v>
      </c>
      <c r="CK141" s="9">
        <v>1127344.55</v>
      </c>
      <c r="CL141" s="9">
        <v>1562317.42</v>
      </c>
      <c r="CM141" s="9">
        <v>670910.43999999994</v>
      </c>
      <c r="CN141" s="9">
        <v>891406.97999999986</v>
      </c>
      <c r="CO141" s="9">
        <v>1808233.58</v>
      </c>
      <c r="CP141" s="9">
        <v>334316.92</v>
      </c>
      <c r="CQ141" s="9">
        <v>1473916.66</v>
      </c>
      <c r="CR141" s="9">
        <v>1107345.3700000001</v>
      </c>
      <c r="CS141" s="9">
        <v>247093.92</v>
      </c>
      <c r="CT141" s="9">
        <v>860251.45</v>
      </c>
      <c r="CU141" s="9">
        <v>700888.21</v>
      </c>
      <c r="CV141" s="9">
        <v>87223</v>
      </c>
      <c r="CW141" s="9">
        <v>613665.21</v>
      </c>
      <c r="CX141" s="9">
        <v>3465636.02</v>
      </c>
      <c r="CY141" s="9">
        <v>2920801.1500000004</v>
      </c>
      <c r="CZ141" s="9">
        <v>544834.87</v>
      </c>
      <c r="DA141" s="9">
        <v>2604206.81</v>
      </c>
      <c r="DB141" s="9">
        <v>2337113.71</v>
      </c>
      <c r="DC141" s="9">
        <v>267093.09999999998</v>
      </c>
      <c r="DD141" s="9">
        <v>861429.21</v>
      </c>
      <c r="DE141" s="9">
        <v>583687.43999999994</v>
      </c>
      <c r="DF141" s="9">
        <v>277741.77</v>
      </c>
      <c r="DG141" s="9">
        <v>5960638.6099999994</v>
      </c>
      <c r="DH141" s="9">
        <v>686769.01</v>
      </c>
    </row>
    <row r="142" spans="1:112" x14ac:dyDescent="0.2">
      <c r="A142" s="8" t="s">
        <v>854</v>
      </c>
      <c r="B142" s="8" t="s">
        <v>355</v>
      </c>
      <c r="C142" s="8" t="s">
        <v>358</v>
      </c>
      <c r="D142" s="9">
        <v>5018952.37</v>
      </c>
      <c r="E142" s="9">
        <v>5018952.9800000004</v>
      </c>
      <c r="F142" s="9">
        <v>171472.2</v>
      </c>
      <c r="G142" s="9">
        <v>586091.94999999995</v>
      </c>
      <c r="H142" s="9">
        <v>516979.75</v>
      </c>
      <c r="I142" s="9">
        <v>25260.73</v>
      </c>
      <c r="J142" s="9">
        <v>633568.59</v>
      </c>
      <c r="K142" s="9">
        <v>858640.87</v>
      </c>
      <c r="L142" s="9">
        <v>173014.41</v>
      </c>
      <c r="M142" s="9">
        <v>762095.28</v>
      </c>
      <c r="N142" s="9">
        <v>44894.82</v>
      </c>
      <c r="O142" s="9">
        <v>59356.81</v>
      </c>
      <c r="P142" s="9">
        <v>44727.11</v>
      </c>
      <c r="Q142" s="9">
        <v>32848.57</v>
      </c>
      <c r="R142" s="9">
        <v>1110001.8899999999</v>
      </c>
      <c r="S142" s="9">
        <v>0</v>
      </c>
      <c r="T142" s="9">
        <v>0</v>
      </c>
      <c r="U142" s="9">
        <v>0</v>
      </c>
      <c r="V142" s="9">
        <v>0</v>
      </c>
      <c r="W142" s="9">
        <v>59537.33</v>
      </c>
      <c r="X142" s="9">
        <v>59537.33</v>
      </c>
      <c r="Y142" s="9">
        <v>2485.4299999999998</v>
      </c>
      <c r="Z142" s="9">
        <v>3905.11</v>
      </c>
      <c r="AA142" s="9">
        <v>17011.09</v>
      </c>
      <c r="AB142" s="9">
        <v>35.46</v>
      </c>
      <c r="AC142" s="9">
        <v>14532.27</v>
      </c>
      <c r="AD142" s="9">
        <v>6725.01</v>
      </c>
      <c r="AE142" s="9">
        <v>2544.85</v>
      </c>
      <c r="AF142" s="9">
        <v>7029.6</v>
      </c>
      <c r="AG142" s="9">
        <v>9.74</v>
      </c>
      <c r="AH142" s="9">
        <v>7.88</v>
      </c>
      <c r="AI142" s="9">
        <v>134.30000000000001</v>
      </c>
      <c r="AJ142" s="9">
        <v>79.819999999999993</v>
      </c>
      <c r="AK142" s="9">
        <v>5036.76</v>
      </c>
      <c r="AL142" s="9">
        <v>354340.31</v>
      </c>
      <c r="AM142" s="9">
        <v>354180.08</v>
      </c>
      <c r="AN142" s="9">
        <v>31902.31</v>
      </c>
      <c r="AO142" s="9">
        <v>92958.38</v>
      </c>
      <c r="AP142" s="9">
        <v>54283.519999999997</v>
      </c>
      <c r="AQ142" s="9">
        <v>3238.1</v>
      </c>
      <c r="AR142" s="9">
        <v>54666.52</v>
      </c>
      <c r="AS142" s="9">
        <v>52941.43</v>
      </c>
      <c r="AT142" s="9">
        <v>9913.89</v>
      </c>
      <c r="AU142" s="9">
        <v>21992.63</v>
      </c>
      <c r="AV142" s="9">
        <v>858.99</v>
      </c>
      <c r="AW142" s="9">
        <v>3155.5</v>
      </c>
      <c r="AX142" s="9">
        <v>7446.6</v>
      </c>
      <c r="AY142" s="9">
        <v>488.74</v>
      </c>
      <c r="AZ142" s="9">
        <v>20333.46</v>
      </c>
      <c r="BA142" s="9">
        <v>2194305.5400000005</v>
      </c>
      <c r="BB142" s="9"/>
      <c r="BC142" s="9">
        <v>2842845.21</v>
      </c>
      <c r="BD142" s="9"/>
      <c r="BE142" s="9">
        <v>9951.1</v>
      </c>
      <c r="BF142" s="9"/>
      <c r="BG142" s="9">
        <v>49586.22</v>
      </c>
      <c r="BH142" s="9"/>
      <c r="BI142" s="9">
        <v>57032.05</v>
      </c>
      <c r="BJ142" s="9"/>
      <c r="BK142" s="9">
        <v>297308.26</v>
      </c>
      <c r="BL142" s="9"/>
      <c r="BM142" s="9">
        <v>3384112.5399999996</v>
      </c>
      <c r="BN142" s="9">
        <v>2057974.36</v>
      </c>
      <c r="BO142" s="9"/>
      <c r="BP142" s="9">
        <v>1326138.1799999997</v>
      </c>
      <c r="BQ142" s="9"/>
      <c r="BR142" s="9">
        <v>30986.34</v>
      </c>
      <c r="BS142" s="9">
        <v>8136.73</v>
      </c>
      <c r="BT142" s="9"/>
      <c r="BU142" s="9">
        <v>22849.61</v>
      </c>
      <c r="BV142" s="9"/>
      <c r="BW142" s="9">
        <v>236486.29</v>
      </c>
      <c r="BX142" s="9">
        <v>45659.12</v>
      </c>
      <c r="BY142" s="9"/>
      <c r="BZ142" s="9">
        <v>190827.17</v>
      </c>
      <c r="CA142" s="9"/>
      <c r="CB142" s="9">
        <v>11559.71</v>
      </c>
      <c r="CC142" s="9">
        <v>5030512.08</v>
      </c>
      <c r="CD142" s="9"/>
      <c r="CE142" s="9"/>
      <c r="CF142" s="9">
        <v>5418684.3700000001</v>
      </c>
      <c r="CG142" s="9">
        <v>3336251.9000000004</v>
      </c>
      <c r="CH142" s="9">
        <v>2082432.47</v>
      </c>
      <c r="CI142" s="9">
        <v>3828463.08</v>
      </c>
      <c r="CJ142" s="9">
        <v>2662405.9299999997</v>
      </c>
      <c r="CK142" s="9">
        <v>1166057.1499999999</v>
      </c>
      <c r="CL142" s="9">
        <v>1590221.29</v>
      </c>
      <c r="CM142" s="9">
        <v>673845.97</v>
      </c>
      <c r="CN142" s="9">
        <v>916375.32</v>
      </c>
      <c r="CO142" s="9">
        <v>1835459.48</v>
      </c>
      <c r="CP142" s="9">
        <v>342847.37</v>
      </c>
      <c r="CQ142" s="9">
        <v>1492612.11</v>
      </c>
      <c r="CR142" s="9">
        <v>1133557.3400000001</v>
      </c>
      <c r="CS142" s="9">
        <v>264542.93</v>
      </c>
      <c r="CT142" s="9">
        <v>869014.40999999992</v>
      </c>
      <c r="CU142" s="9">
        <v>701902.1399999999</v>
      </c>
      <c r="CV142" s="9">
        <v>78304.44</v>
      </c>
      <c r="CW142" s="9">
        <v>623597.69999999995</v>
      </c>
      <c r="CX142" s="9">
        <v>3583224.8900000006</v>
      </c>
      <c r="CY142" s="9">
        <v>2993404.5300000003</v>
      </c>
      <c r="CZ142" s="9">
        <v>589820.3600000001</v>
      </c>
      <c r="DA142" s="9">
        <v>2694905.74</v>
      </c>
      <c r="DB142" s="9">
        <v>2397863</v>
      </c>
      <c r="DC142" s="9">
        <v>297042.74</v>
      </c>
      <c r="DD142" s="9">
        <v>888319.15000000014</v>
      </c>
      <c r="DE142" s="9">
        <v>595541.53</v>
      </c>
      <c r="DF142" s="9">
        <v>292777.62</v>
      </c>
      <c r="DG142" s="9">
        <v>6152517.9999999991</v>
      </c>
      <c r="DH142" s="9">
        <v>733833.63</v>
      </c>
    </row>
    <row r="143" spans="1:112" x14ac:dyDescent="0.2">
      <c r="A143" s="8" t="s">
        <v>854</v>
      </c>
      <c r="B143" s="8" t="s">
        <v>359</v>
      </c>
      <c r="C143" s="8" t="s">
        <v>360</v>
      </c>
      <c r="D143" s="9">
        <v>5181784.3199999994</v>
      </c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>
        <v>70050.41</v>
      </c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>
        <v>344612.16</v>
      </c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>
        <v>2269609.5000000005</v>
      </c>
      <c r="BB143" s="9"/>
      <c r="BC143" s="9">
        <v>2928581.04</v>
      </c>
      <c r="BD143" s="9"/>
      <c r="BE143" s="9">
        <v>12684.63</v>
      </c>
      <c r="BF143" s="9"/>
      <c r="BG143" s="9">
        <v>57365.78</v>
      </c>
      <c r="BH143" s="9"/>
      <c r="BI143" s="9">
        <v>50654.080000000002</v>
      </c>
      <c r="BJ143" s="9"/>
      <c r="BK143" s="9">
        <v>293958.08</v>
      </c>
      <c r="BL143" s="9"/>
      <c r="BM143" s="9">
        <v>3544064.43</v>
      </c>
      <c r="BN143" s="9">
        <v>2130228.2799999998</v>
      </c>
      <c r="BO143" s="9"/>
      <c r="BP143" s="9">
        <v>1413836.16</v>
      </c>
      <c r="BQ143" s="9"/>
      <c r="BR143" s="9">
        <v>32474.47</v>
      </c>
      <c r="BS143" s="9">
        <v>10513.91</v>
      </c>
      <c r="BT143" s="9"/>
      <c r="BU143" s="9">
        <v>21960.560000000001</v>
      </c>
      <c r="BV143" s="9"/>
      <c r="BW143" s="9">
        <v>225040.32</v>
      </c>
      <c r="BX143" s="9">
        <v>40186.720000000001</v>
      </c>
      <c r="BY143" s="9"/>
      <c r="BZ143" s="9">
        <v>184853.6</v>
      </c>
      <c r="CA143" s="9"/>
      <c r="CB143" s="9">
        <v>11625.24</v>
      </c>
      <c r="CC143" s="9">
        <v>5193409.5599999996</v>
      </c>
      <c r="CD143" s="9"/>
      <c r="CE143" s="9"/>
      <c r="CF143" s="9">
        <v>5450092.7999999998</v>
      </c>
      <c r="CG143" s="9">
        <v>3369776.4699999997</v>
      </c>
      <c r="CH143" s="9">
        <v>2080316.33</v>
      </c>
      <c r="CI143" s="9">
        <v>3848101.07</v>
      </c>
      <c r="CJ143" s="9">
        <v>2702090.4</v>
      </c>
      <c r="CK143" s="9">
        <v>1146010.67</v>
      </c>
      <c r="CL143" s="9">
        <v>1601991.73</v>
      </c>
      <c r="CM143" s="9">
        <v>667686.07000000007</v>
      </c>
      <c r="CN143" s="9">
        <v>934305.66</v>
      </c>
      <c r="CO143" s="9">
        <v>1806344.74</v>
      </c>
      <c r="CP143" s="9">
        <v>332712.44</v>
      </c>
      <c r="CQ143" s="9">
        <v>1473632.2999999998</v>
      </c>
      <c r="CR143" s="9">
        <v>1099741.43</v>
      </c>
      <c r="CS143" s="9">
        <v>254750.64</v>
      </c>
      <c r="CT143" s="9">
        <v>844990.78999999992</v>
      </c>
      <c r="CU143" s="9">
        <v>706603.31</v>
      </c>
      <c r="CV143" s="9">
        <v>77961.8</v>
      </c>
      <c r="CW143" s="9">
        <v>628641.51</v>
      </c>
      <c r="CX143" s="9">
        <v>3643748.06</v>
      </c>
      <c r="CY143" s="9">
        <v>3037064.0300000003</v>
      </c>
      <c r="CZ143" s="9">
        <v>606684.02999999991</v>
      </c>
      <c r="DA143" s="9">
        <v>2748359.64</v>
      </c>
      <c r="DB143" s="9">
        <v>2447339.7599999998</v>
      </c>
      <c r="DC143" s="9">
        <v>301019.88</v>
      </c>
      <c r="DD143" s="9">
        <v>895388.41999999993</v>
      </c>
      <c r="DE143" s="9">
        <v>589724.27</v>
      </c>
      <c r="DF143" s="9">
        <v>305664.15000000002</v>
      </c>
      <c r="DG143" s="9">
        <v>6234174.7299999995</v>
      </c>
      <c r="DH143" s="9">
        <v>784081.92999999993</v>
      </c>
    </row>
    <row r="144" spans="1:112" x14ac:dyDescent="0.2">
      <c r="A144" s="8" t="s">
        <v>854</v>
      </c>
      <c r="B144" s="8" t="s">
        <v>359</v>
      </c>
      <c r="C144" s="8" t="s">
        <v>361</v>
      </c>
      <c r="D144" s="9">
        <v>5395248.7599999998</v>
      </c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>
        <v>70455.55</v>
      </c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>
        <v>340122.9</v>
      </c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>
        <v>2358459.9</v>
      </c>
      <c r="BB144" s="9"/>
      <c r="BC144" s="9">
        <v>3054408.97</v>
      </c>
      <c r="BD144" s="9"/>
      <c r="BE144" s="9">
        <v>12094.43</v>
      </c>
      <c r="BF144" s="9"/>
      <c r="BG144" s="9">
        <v>58361.120000000003</v>
      </c>
      <c r="BH144" s="9"/>
      <c r="BI144" s="9">
        <v>52531.78</v>
      </c>
      <c r="BJ144" s="9"/>
      <c r="BK144" s="9">
        <v>287591.12</v>
      </c>
      <c r="BL144" s="9"/>
      <c r="BM144" s="9">
        <v>3683326.42</v>
      </c>
      <c r="BN144" s="9">
        <v>2219817.92</v>
      </c>
      <c r="BO144" s="9"/>
      <c r="BP144" s="9">
        <v>1463508.5100000002</v>
      </c>
      <c r="BQ144" s="9"/>
      <c r="BR144" s="9">
        <v>30555.79</v>
      </c>
      <c r="BS144" s="9">
        <v>10461.879999999999</v>
      </c>
      <c r="BT144" s="9"/>
      <c r="BU144" s="9">
        <v>20093.91</v>
      </c>
      <c r="BV144" s="9"/>
      <c r="BW144" s="9">
        <v>220191.35999999999</v>
      </c>
      <c r="BX144" s="9">
        <v>43060.33</v>
      </c>
      <c r="BY144" s="9"/>
      <c r="BZ144" s="9">
        <v>177131.03</v>
      </c>
      <c r="CA144" s="9"/>
      <c r="CB144" s="9">
        <v>11953.72</v>
      </c>
      <c r="CC144" s="9">
        <v>5407202.4799999995</v>
      </c>
      <c r="CD144" s="9"/>
      <c r="CE144" s="9"/>
      <c r="CF144" s="9">
        <v>5480706.8300000001</v>
      </c>
      <c r="CG144" s="9">
        <v>3423894.23</v>
      </c>
      <c r="CH144" s="9">
        <v>2056812.6000000003</v>
      </c>
      <c r="CI144" s="9">
        <v>3746295.6</v>
      </c>
      <c r="CJ144" s="9">
        <v>2645528.5</v>
      </c>
      <c r="CK144" s="9">
        <v>1100767.1000000001</v>
      </c>
      <c r="CL144" s="9">
        <v>1734411.2300000002</v>
      </c>
      <c r="CM144" s="9">
        <v>778365.73</v>
      </c>
      <c r="CN144" s="9">
        <v>956045.5</v>
      </c>
      <c r="CO144" s="9">
        <v>1795527.52</v>
      </c>
      <c r="CP144" s="9">
        <v>353399.87</v>
      </c>
      <c r="CQ144" s="9">
        <v>1442127.65</v>
      </c>
      <c r="CR144" s="9">
        <v>1053221.77</v>
      </c>
      <c r="CS144" s="9">
        <v>246191.48</v>
      </c>
      <c r="CT144" s="9">
        <v>807030.29000000015</v>
      </c>
      <c r="CU144" s="9">
        <v>742305.75</v>
      </c>
      <c r="CV144" s="9">
        <v>107208.39</v>
      </c>
      <c r="CW144" s="9">
        <v>635097.36</v>
      </c>
      <c r="CX144" s="9">
        <v>3685179.31</v>
      </c>
      <c r="CY144" s="9">
        <v>3070494.36</v>
      </c>
      <c r="CZ144" s="9">
        <v>614684.94999999995</v>
      </c>
      <c r="DA144" s="9">
        <v>2693073.83</v>
      </c>
      <c r="DB144" s="9">
        <v>2399337.02</v>
      </c>
      <c r="DC144" s="9">
        <v>293736.81</v>
      </c>
      <c r="DD144" s="9">
        <v>992105.48</v>
      </c>
      <c r="DE144" s="9">
        <v>671157.34000000008</v>
      </c>
      <c r="DF144" s="9">
        <v>320948.14</v>
      </c>
      <c r="DG144" s="9">
        <v>6377573.2299999995</v>
      </c>
      <c r="DH144" s="9">
        <v>896866.39999999991</v>
      </c>
    </row>
    <row r="145" spans="1:112" x14ac:dyDescent="0.2">
      <c r="A145" s="8" t="s">
        <v>854</v>
      </c>
      <c r="B145" s="8" t="s">
        <v>359</v>
      </c>
      <c r="C145" s="8" t="s">
        <v>362</v>
      </c>
      <c r="D145" s="9">
        <v>5597743.5800000001</v>
      </c>
      <c r="E145" s="9">
        <v>5597743.5899999999</v>
      </c>
      <c r="F145" s="9">
        <v>169980.07</v>
      </c>
      <c r="G145" s="9">
        <v>670715.07999999996</v>
      </c>
      <c r="H145" s="9">
        <v>630398.01</v>
      </c>
      <c r="I145" s="9">
        <v>23646.81</v>
      </c>
      <c r="J145" s="9">
        <v>661304.68999999994</v>
      </c>
      <c r="K145" s="9">
        <v>952390.91</v>
      </c>
      <c r="L145" s="9">
        <v>187896.26</v>
      </c>
      <c r="M145" s="9">
        <v>899029.24</v>
      </c>
      <c r="N145" s="9">
        <v>40132.06</v>
      </c>
      <c r="O145" s="9">
        <v>67016.600000000006</v>
      </c>
      <c r="P145" s="9">
        <v>32142.720000000001</v>
      </c>
      <c r="Q145" s="9">
        <v>29773.39</v>
      </c>
      <c r="R145" s="9">
        <v>1233317.76</v>
      </c>
      <c r="S145" s="9">
        <v>0</v>
      </c>
      <c r="T145" s="9">
        <v>0</v>
      </c>
      <c r="U145" s="9">
        <v>0</v>
      </c>
      <c r="V145" s="9">
        <v>0</v>
      </c>
      <c r="W145" s="9">
        <v>72691.7</v>
      </c>
      <c r="X145" s="9">
        <v>74675.73</v>
      </c>
      <c r="Y145" s="9">
        <v>2215.63</v>
      </c>
      <c r="Z145" s="9">
        <v>13567.07</v>
      </c>
      <c r="AA145" s="9">
        <v>14985.4</v>
      </c>
      <c r="AB145" s="9">
        <v>53.71</v>
      </c>
      <c r="AC145" s="9">
        <v>17792.21</v>
      </c>
      <c r="AD145" s="9">
        <v>7811.86</v>
      </c>
      <c r="AE145" s="9">
        <v>647.46</v>
      </c>
      <c r="AF145" s="9">
        <v>4334.3999999999996</v>
      </c>
      <c r="AG145" s="9">
        <v>0.05</v>
      </c>
      <c r="AH145" s="9">
        <v>104.29</v>
      </c>
      <c r="AI145" s="9">
        <v>187.89</v>
      </c>
      <c r="AJ145" s="9">
        <v>24.82</v>
      </c>
      <c r="AK145" s="9">
        <v>12950.94</v>
      </c>
      <c r="AL145" s="9">
        <v>326925.62</v>
      </c>
      <c r="AM145" s="9">
        <v>327077.51</v>
      </c>
      <c r="AN145" s="9">
        <v>30325.439999999999</v>
      </c>
      <c r="AO145" s="9">
        <v>96738.97</v>
      </c>
      <c r="AP145" s="9">
        <v>41150.019999999997</v>
      </c>
      <c r="AQ145" s="9">
        <v>3330.55</v>
      </c>
      <c r="AR145" s="9">
        <v>44607.7</v>
      </c>
      <c r="AS145" s="9">
        <v>43132.76</v>
      </c>
      <c r="AT145" s="9">
        <v>14972.78</v>
      </c>
      <c r="AU145" s="9">
        <v>23383.09</v>
      </c>
      <c r="AV145" s="9">
        <v>1142.1099999999999</v>
      </c>
      <c r="AW145" s="9">
        <v>2552.0500000000002</v>
      </c>
      <c r="AX145" s="9">
        <v>7336.7</v>
      </c>
      <c r="AY145" s="9">
        <v>445.01</v>
      </c>
      <c r="AZ145" s="9">
        <v>17960.34</v>
      </c>
      <c r="BA145" s="9">
        <v>2409194.8299999996</v>
      </c>
      <c r="BB145" s="9"/>
      <c r="BC145" s="9">
        <v>3205949.29</v>
      </c>
      <c r="BD145" s="9"/>
      <c r="BE145" s="9">
        <v>30617.48</v>
      </c>
      <c r="BF145" s="9"/>
      <c r="BG145" s="9">
        <v>42074.22</v>
      </c>
      <c r="BH145" s="9"/>
      <c r="BI145" s="9">
        <v>48487.1</v>
      </c>
      <c r="BJ145" s="9"/>
      <c r="BK145" s="9">
        <v>278438.53000000003</v>
      </c>
      <c r="BL145" s="9"/>
      <c r="BM145" s="9">
        <v>3802591.53</v>
      </c>
      <c r="BN145" s="9">
        <v>2262137.9699999997</v>
      </c>
      <c r="BO145" s="9"/>
      <c r="BP145" s="9">
        <v>1540453.57</v>
      </c>
      <c r="BQ145" s="9"/>
      <c r="BR145" s="9">
        <v>35950.239999999998</v>
      </c>
      <c r="BS145" s="9">
        <v>22165.26</v>
      </c>
      <c r="BT145" s="9"/>
      <c r="BU145" s="9">
        <v>13784.98</v>
      </c>
      <c r="BV145" s="9"/>
      <c r="BW145" s="9">
        <v>206080.14</v>
      </c>
      <c r="BX145" s="9">
        <v>37886.800000000003</v>
      </c>
      <c r="BY145" s="9"/>
      <c r="BZ145" s="9">
        <v>168193.35</v>
      </c>
      <c r="CA145" s="9"/>
      <c r="CB145" s="9">
        <v>12351.84</v>
      </c>
      <c r="CC145" s="9">
        <v>5610095.4199999999</v>
      </c>
      <c r="CD145" s="9"/>
      <c r="CE145" s="9"/>
      <c r="CF145" s="9">
        <v>5738410.7800000003</v>
      </c>
      <c r="CG145" s="9">
        <v>3651216.560000001</v>
      </c>
      <c r="CH145" s="9">
        <v>2087194.22</v>
      </c>
      <c r="CI145" s="9">
        <v>3997797.0200000009</v>
      </c>
      <c r="CJ145" s="9">
        <v>2773836.9699999997</v>
      </c>
      <c r="CK145" s="9">
        <v>1223960.05</v>
      </c>
      <c r="CL145" s="9">
        <v>1740613.7599999998</v>
      </c>
      <c r="CM145" s="9">
        <v>877379.59000000008</v>
      </c>
      <c r="CN145" s="9">
        <v>863234.17</v>
      </c>
      <c r="CO145" s="9">
        <v>1980741.68</v>
      </c>
      <c r="CP145" s="9">
        <v>364559.08</v>
      </c>
      <c r="CQ145" s="9">
        <v>1616182.6</v>
      </c>
      <c r="CR145" s="9">
        <v>1203885.6200000001</v>
      </c>
      <c r="CS145" s="9">
        <v>249984.76</v>
      </c>
      <c r="CT145" s="9">
        <v>953900.86</v>
      </c>
      <c r="CU145" s="9">
        <v>776856.06000000017</v>
      </c>
      <c r="CV145" s="9">
        <v>114574.32</v>
      </c>
      <c r="CW145" s="9">
        <v>662281.74000000011</v>
      </c>
      <c r="CX145" s="9">
        <v>3757669.100000001</v>
      </c>
      <c r="CY145" s="9">
        <v>3286657.4800000004</v>
      </c>
      <c r="CZ145" s="9">
        <v>471011.62000000011</v>
      </c>
      <c r="DA145" s="9">
        <v>2793911.4</v>
      </c>
      <c r="DB145" s="9">
        <v>2523852.21</v>
      </c>
      <c r="DC145" s="9">
        <v>270059.19</v>
      </c>
      <c r="DD145" s="9">
        <v>963757.7</v>
      </c>
      <c r="DE145" s="9">
        <v>762805.27</v>
      </c>
      <c r="DF145" s="9">
        <v>200952.43</v>
      </c>
      <c r="DG145" s="9">
        <v>6920348.5199999996</v>
      </c>
      <c r="DH145" s="9">
        <v>1181937.74</v>
      </c>
    </row>
    <row r="146" spans="1:112" x14ac:dyDescent="0.2">
      <c r="A146" s="8" t="s">
        <v>855</v>
      </c>
      <c r="B146" s="8" t="s">
        <v>363</v>
      </c>
      <c r="C146" s="8" t="s">
        <v>364</v>
      </c>
      <c r="D146" s="9">
        <v>5604138.1100000003</v>
      </c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>
        <v>72777.72</v>
      </c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>
        <v>323603.03000000003</v>
      </c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>
        <v>2428829.04</v>
      </c>
      <c r="BB146" s="9"/>
      <c r="BC146" s="9">
        <v>3188990.8700000006</v>
      </c>
      <c r="BD146" s="9"/>
      <c r="BE146" s="9">
        <v>37224.69</v>
      </c>
      <c r="BF146" s="9"/>
      <c r="BG146" s="9">
        <v>35553.03</v>
      </c>
      <c r="BH146" s="9"/>
      <c r="BI146" s="9">
        <v>48324.28</v>
      </c>
      <c r="BJ146" s="9"/>
      <c r="BK146" s="9">
        <v>275278.76</v>
      </c>
      <c r="BL146" s="9"/>
      <c r="BM146" s="9">
        <v>3891107.27</v>
      </c>
      <c r="BN146" s="9">
        <v>2282980.8000000003</v>
      </c>
      <c r="BO146" s="9"/>
      <c r="BP146" s="9">
        <v>1608126.4600000002</v>
      </c>
      <c r="BQ146" s="9"/>
      <c r="BR146" s="9">
        <v>44008.85</v>
      </c>
      <c r="BS146" s="9">
        <v>28745.91</v>
      </c>
      <c r="BT146" s="9"/>
      <c r="BU146" s="9">
        <v>15262.93</v>
      </c>
      <c r="BV146" s="9"/>
      <c r="BW146" s="9">
        <v>197585.1</v>
      </c>
      <c r="BX146" s="9">
        <v>37179.519999999997</v>
      </c>
      <c r="BY146" s="9"/>
      <c r="BZ146" s="9">
        <v>160405.57999999999</v>
      </c>
      <c r="CA146" s="9"/>
      <c r="CB146" s="9">
        <v>12107.46</v>
      </c>
      <c r="CC146" s="9">
        <v>5616245.5700000003</v>
      </c>
      <c r="CD146" s="9"/>
      <c r="CE146" s="9"/>
      <c r="CF146" s="9">
        <v>5544728.0199999996</v>
      </c>
      <c r="CG146" s="9">
        <v>3594338.65</v>
      </c>
      <c r="CH146" s="9">
        <v>1950389.37</v>
      </c>
      <c r="CI146" s="9">
        <v>3838589.0200000009</v>
      </c>
      <c r="CJ146" s="9">
        <v>2780380.08</v>
      </c>
      <c r="CK146" s="9">
        <v>1058208.94</v>
      </c>
      <c r="CL146" s="9">
        <v>1706139</v>
      </c>
      <c r="CM146" s="9">
        <v>813958.57000000007</v>
      </c>
      <c r="CN146" s="9">
        <v>892180.42999999993</v>
      </c>
      <c r="CO146" s="9">
        <v>1792284.41</v>
      </c>
      <c r="CP146" s="9">
        <v>331392.31</v>
      </c>
      <c r="CQ146" s="9">
        <v>1460892.1</v>
      </c>
      <c r="CR146" s="9">
        <v>1098794.48</v>
      </c>
      <c r="CS146" s="9">
        <v>230099.42</v>
      </c>
      <c r="CT146" s="9">
        <v>868695.06</v>
      </c>
      <c r="CU146" s="9">
        <v>693489.93</v>
      </c>
      <c r="CV146" s="9">
        <v>101292.89</v>
      </c>
      <c r="CW146" s="9">
        <v>592197.04</v>
      </c>
      <c r="CX146" s="9">
        <v>3752443.61</v>
      </c>
      <c r="CY146" s="9">
        <v>3262946.3400000003</v>
      </c>
      <c r="CZ146" s="9">
        <v>489497.27</v>
      </c>
      <c r="DA146" s="9">
        <v>2739794.54</v>
      </c>
      <c r="DB146" s="9">
        <v>2550280.66</v>
      </c>
      <c r="DC146" s="9">
        <v>189513.88</v>
      </c>
      <c r="DD146" s="9">
        <v>1012649.07</v>
      </c>
      <c r="DE146" s="9">
        <v>712665.67999999993</v>
      </c>
      <c r="DF146" s="9">
        <v>299983.39</v>
      </c>
      <c r="DG146" s="9">
        <v>6629449.4299999997</v>
      </c>
      <c r="DH146" s="9">
        <v>1084721.4099999999</v>
      </c>
    </row>
    <row r="147" spans="1:112" x14ac:dyDescent="0.2">
      <c r="A147" s="8" t="s">
        <v>855</v>
      </c>
      <c r="B147" s="8" t="s">
        <v>363</v>
      </c>
      <c r="C147" s="8" t="s">
        <v>365</v>
      </c>
      <c r="D147" s="9">
        <v>5666201.8099999996</v>
      </c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>
        <v>60286.32</v>
      </c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>
        <v>320743.63</v>
      </c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>
        <v>2476641.12</v>
      </c>
      <c r="BB147" s="9"/>
      <c r="BC147" s="9">
        <v>3204664.4799999995</v>
      </c>
      <c r="BD147" s="9"/>
      <c r="BE147" s="9">
        <v>30276.26</v>
      </c>
      <c r="BF147" s="9"/>
      <c r="BG147" s="9">
        <v>30010.06</v>
      </c>
      <c r="BH147" s="9"/>
      <c r="BI147" s="9">
        <v>50385.8</v>
      </c>
      <c r="BJ147" s="9"/>
      <c r="BK147" s="9">
        <v>270357.82</v>
      </c>
      <c r="BL147" s="9"/>
      <c r="BM147" s="9">
        <v>3965692.83</v>
      </c>
      <c r="BN147" s="9">
        <v>2335818.94</v>
      </c>
      <c r="BO147" s="9"/>
      <c r="BP147" s="9">
        <v>1629873.8999999997</v>
      </c>
      <c r="BQ147" s="9"/>
      <c r="BR147" s="9">
        <v>36682.800000000003</v>
      </c>
      <c r="BS147" s="9">
        <v>22088.54</v>
      </c>
      <c r="BT147" s="9"/>
      <c r="BU147" s="9">
        <v>14594.27</v>
      </c>
      <c r="BV147" s="9"/>
      <c r="BW147" s="9">
        <v>197002.66</v>
      </c>
      <c r="BX147" s="9">
        <v>38747.769999999997</v>
      </c>
      <c r="BY147" s="9"/>
      <c r="BZ147" s="9">
        <v>158254.89000000001</v>
      </c>
      <c r="CA147" s="9"/>
      <c r="CB147" s="9">
        <v>11832.86</v>
      </c>
      <c r="CC147" s="9">
        <v>5678034.6699999999</v>
      </c>
      <c r="CD147" s="9"/>
      <c r="CE147" s="9"/>
      <c r="CF147" s="9">
        <v>5644197.7599999998</v>
      </c>
      <c r="CG147" s="9">
        <v>3701547.49</v>
      </c>
      <c r="CH147" s="9">
        <v>1942650.27</v>
      </c>
      <c r="CI147" s="9">
        <v>3915917.07</v>
      </c>
      <c r="CJ147" s="9">
        <v>2906038.1100000003</v>
      </c>
      <c r="CK147" s="9">
        <v>1009878.96</v>
      </c>
      <c r="CL147" s="9">
        <v>1728280.6900000002</v>
      </c>
      <c r="CM147" s="9">
        <v>795509.38</v>
      </c>
      <c r="CN147" s="9">
        <v>932771.31</v>
      </c>
      <c r="CO147" s="9">
        <v>1765598.12</v>
      </c>
      <c r="CP147" s="9">
        <v>323456.76</v>
      </c>
      <c r="CQ147" s="9">
        <v>1442141.36</v>
      </c>
      <c r="CR147" s="9">
        <v>1029607.02</v>
      </c>
      <c r="CS147" s="9">
        <v>222281.27</v>
      </c>
      <c r="CT147" s="9">
        <v>807325.75</v>
      </c>
      <c r="CU147" s="9">
        <v>735991.1</v>
      </c>
      <c r="CV147" s="9">
        <v>101175.49</v>
      </c>
      <c r="CW147" s="9">
        <v>634815.61</v>
      </c>
      <c r="CX147" s="9">
        <v>3878599.64</v>
      </c>
      <c r="CY147" s="9">
        <v>3378090.73</v>
      </c>
      <c r="CZ147" s="9">
        <v>500508.91</v>
      </c>
      <c r="DA147" s="9">
        <v>2886310.05</v>
      </c>
      <c r="DB147" s="9">
        <v>2683756.84</v>
      </c>
      <c r="DC147" s="9">
        <v>202553.21</v>
      </c>
      <c r="DD147" s="9">
        <v>992289.59</v>
      </c>
      <c r="DE147" s="9">
        <v>694333.89</v>
      </c>
      <c r="DF147" s="9">
        <v>297955.7</v>
      </c>
      <c r="DG147" s="9">
        <v>6752402.6499999994</v>
      </c>
      <c r="DH147" s="9">
        <v>1108204.8899999999</v>
      </c>
    </row>
    <row r="148" spans="1:112" x14ac:dyDescent="0.2">
      <c r="A148" s="8" t="s">
        <v>855</v>
      </c>
      <c r="B148" s="8" t="s">
        <v>363</v>
      </c>
      <c r="C148" s="8" t="s">
        <v>366</v>
      </c>
      <c r="D148" s="9">
        <v>5741473.5200000005</v>
      </c>
      <c r="E148" s="9">
        <v>5741473.5199999996</v>
      </c>
      <c r="F148" s="9">
        <v>159539.63</v>
      </c>
      <c r="G148" s="9">
        <v>705516.72</v>
      </c>
      <c r="H148" s="9">
        <v>637049.41</v>
      </c>
      <c r="I148" s="9">
        <v>22903.279999999999</v>
      </c>
      <c r="J148" s="9">
        <v>669658.57999999996</v>
      </c>
      <c r="K148" s="9">
        <v>972101.98</v>
      </c>
      <c r="L148" s="9">
        <v>180325.83</v>
      </c>
      <c r="M148" s="9">
        <v>935680.09</v>
      </c>
      <c r="N148" s="9">
        <v>38414.67</v>
      </c>
      <c r="O148" s="9">
        <v>70927.990000000005</v>
      </c>
      <c r="P148" s="9">
        <v>32782.620000000003</v>
      </c>
      <c r="Q148" s="9">
        <v>30904.01</v>
      </c>
      <c r="R148" s="9">
        <v>1285668.72</v>
      </c>
      <c r="S148" s="9">
        <v>0</v>
      </c>
      <c r="T148" s="9">
        <v>0</v>
      </c>
      <c r="U148" s="9">
        <v>0</v>
      </c>
      <c r="V148" s="9">
        <v>0</v>
      </c>
      <c r="W148" s="9">
        <v>60552.27</v>
      </c>
      <c r="X148" s="9">
        <v>60552.27</v>
      </c>
      <c r="Y148" s="9">
        <v>2918.24</v>
      </c>
      <c r="Z148" s="9">
        <v>10132.41</v>
      </c>
      <c r="AA148" s="9">
        <v>15645.36</v>
      </c>
      <c r="AB148" s="9">
        <v>69.989999999999995</v>
      </c>
      <c r="AC148" s="9">
        <v>10199.15</v>
      </c>
      <c r="AD148" s="9">
        <v>4530.74</v>
      </c>
      <c r="AE148" s="9">
        <v>610.64</v>
      </c>
      <c r="AF148" s="9">
        <v>6253</v>
      </c>
      <c r="AG148" s="9">
        <v>217.97</v>
      </c>
      <c r="AH148" s="9">
        <v>793.38</v>
      </c>
      <c r="AI148" s="9">
        <v>123.04</v>
      </c>
      <c r="AJ148" s="9">
        <v>65.11</v>
      </c>
      <c r="AK148" s="9">
        <v>8993.25</v>
      </c>
      <c r="AL148" s="9">
        <v>317589.44</v>
      </c>
      <c r="AM148" s="9">
        <v>317423.78999999998</v>
      </c>
      <c r="AN148" s="9">
        <v>10373.709999999999</v>
      </c>
      <c r="AO148" s="9">
        <v>120660.69</v>
      </c>
      <c r="AP148" s="9">
        <v>39226.449999999997</v>
      </c>
      <c r="AQ148" s="9">
        <v>1626.14</v>
      </c>
      <c r="AR148" s="9">
        <v>43922.67</v>
      </c>
      <c r="AS148" s="9">
        <v>42019.74</v>
      </c>
      <c r="AT148" s="9">
        <v>8804.2800000000007</v>
      </c>
      <c r="AU148" s="9">
        <v>22606.17</v>
      </c>
      <c r="AV148" s="9">
        <v>934.2</v>
      </c>
      <c r="AW148" s="9">
        <v>2541.7399999999998</v>
      </c>
      <c r="AX148" s="9">
        <v>7294.55</v>
      </c>
      <c r="AY148" s="9">
        <v>432.21</v>
      </c>
      <c r="AZ148" s="9">
        <v>16981.25</v>
      </c>
      <c r="BA148" s="9">
        <v>2512507.46</v>
      </c>
      <c r="BB148" s="9"/>
      <c r="BC148" s="9">
        <v>3245352.36</v>
      </c>
      <c r="BD148" s="9"/>
      <c r="BE148" s="9">
        <v>30398.36</v>
      </c>
      <c r="BF148" s="9"/>
      <c r="BG148" s="9">
        <v>30153.9</v>
      </c>
      <c r="BH148" s="9"/>
      <c r="BI148" s="9">
        <v>44880.63</v>
      </c>
      <c r="BJ148" s="9"/>
      <c r="BK148" s="9">
        <v>272708.82</v>
      </c>
      <c r="BL148" s="9"/>
      <c r="BM148" s="9">
        <v>4040205.55</v>
      </c>
      <c r="BN148" s="9">
        <v>2373912.36</v>
      </c>
      <c r="BO148" s="9"/>
      <c r="BP148" s="9">
        <v>1666293.1900000002</v>
      </c>
      <c r="BQ148" s="9"/>
      <c r="BR148" s="9">
        <v>40140.129999999997</v>
      </c>
      <c r="BS148" s="9">
        <v>22567.51</v>
      </c>
      <c r="BT148" s="9"/>
      <c r="BU148" s="9">
        <v>17572.62</v>
      </c>
      <c r="BV148" s="9"/>
      <c r="BW148" s="9">
        <v>217560.29</v>
      </c>
      <c r="BX148" s="9">
        <v>35625.11</v>
      </c>
      <c r="BY148" s="9"/>
      <c r="BZ148" s="9">
        <v>181935.18</v>
      </c>
      <c r="CA148" s="9"/>
      <c r="CB148" s="9">
        <v>28489.69</v>
      </c>
      <c r="CC148" s="9">
        <v>5769963.2100000009</v>
      </c>
      <c r="CD148" s="9"/>
      <c r="CE148" s="9"/>
      <c r="CF148" s="9">
        <v>5522923.3100000005</v>
      </c>
      <c r="CG148" s="9">
        <v>3684643.5</v>
      </c>
      <c r="CH148" s="9">
        <v>1838279.8099999996</v>
      </c>
      <c r="CI148" s="9">
        <v>3897139.05</v>
      </c>
      <c r="CJ148" s="9">
        <v>2905518.85</v>
      </c>
      <c r="CK148" s="9">
        <v>991620.2</v>
      </c>
      <c r="CL148" s="9">
        <v>1625784.26</v>
      </c>
      <c r="CM148" s="9">
        <v>779124.64999999991</v>
      </c>
      <c r="CN148" s="9">
        <v>846659.6100000001</v>
      </c>
      <c r="CO148" s="9">
        <v>1894799.34</v>
      </c>
      <c r="CP148" s="9">
        <v>339825.06</v>
      </c>
      <c r="CQ148" s="9">
        <v>1554974.28</v>
      </c>
      <c r="CR148" s="9">
        <v>1027045.69</v>
      </c>
      <c r="CS148" s="9">
        <v>236710.27</v>
      </c>
      <c r="CT148" s="9">
        <v>790335.41999999993</v>
      </c>
      <c r="CU148" s="9">
        <v>867753.65</v>
      </c>
      <c r="CV148" s="9">
        <v>103114.79</v>
      </c>
      <c r="CW148" s="9">
        <v>764638.86</v>
      </c>
      <c r="CX148" s="9">
        <v>3628123.97</v>
      </c>
      <c r="CY148" s="9">
        <v>3344818.4400000004</v>
      </c>
      <c r="CZ148" s="9">
        <v>283305.53000000003</v>
      </c>
      <c r="DA148" s="9">
        <v>2870093.3600000003</v>
      </c>
      <c r="DB148" s="9">
        <v>2668808.58</v>
      </c>
      <c r="DC148" s="9">
        <v>201284.78</v>
      </c>
      <c r="DD148" s="9">
        <v>758030.61</v>
      </c>
      <c r="DE148" s="9">
        <v>676009.86</v>
      </c>
      <c r="DF148" s="9">
        <v>82020.75</v>
      </c>
      <c r="DG148" s="9">
        <v>6688442.3200000003</v>
      </c>
      <c r="DH148" s="9">
        <v>1165519.01</v>
      </c>
    </row>
    <row r="149" spans="1:112" x14ac:dyDescent="0.2">
      <c r="A149" s="8" t="s">
        <v>855</v>
      </c>
      <c r="B149" s="8" t="s">
        <v>367</v>
      </c>
      <c r="C149" s="8" t="s">
        <v>368</v>
      </c>
      <c r="D149" s="9">
        <v>5895950.1900000004</v>
      </c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>
        <v>70273.279999999999</v>
      </c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>
        <v>314037.53999999998</v>
      </c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>
        <v>2565984.2699999996</v>
      </c>
      <c r="BB149" s="9"/>
      <c r="BC149" s="9">
        <v>3345131.72</v>
      </c>
      <c r="BD149" s="9"/>
      <c r="BE149" s="9">
        <v>30791.99</v>
      </c>
      <c r="BF149" s="9"/>
      <c r="BG149" s="9">
        <v>39481.29</v>
      </c>
      <c r="BH149" s="9"/>
      <c r="BI149" s="9">
        <v>45012.82</v>
      </c>
      <c r="BJ149" s="9"/>
      <c r="BK149" s="9">
        <v>269024.71999999997</v>
      </c>
      <c r="BL149" s="9"/>
      <c r="BM149" s="9">
        <v>4082664.43</v>
      </c>
      <c r="BN149" s="9">
        <v>2423943.0599999996</v>
      </c>
      <c r="BO149" s="9"/>
      <c r="BP149" s="9">
        <v>1658721.37</v>
      </c>
      <c r="BQ149" s="9"/>
      <c r="BR149" s="9">
        <v>43475.92</v>
      </c>
      <c r="BS149" s="9">
        <v>22887.01</v>
      </c>
      <c r="BT149" s="9"/>
      <c r="BU149" s="9">
        <v>20588.91</v>
      </c>
      <c r="BV149" s="9"/>
      <c r="BW149" s="9">
        <v>216087.4</v>
      </c>
      <c r="BX149" s="9">
        <v>35569.040000000001</v>
      </c>
      <c r="BY149" s="9"/>
      <c r="BZ149" s="9">
        <v>180518.36</v>
      </c>
      <c r="CA149" s="9"/>
      <c r="CB149" s="9">
        <v>28453.99</v>
      </c>
      <c r="CC149" s="9">
        <v>5924404.1800000006</v>
      </c>
      <c r="CD149" s="9"/>
      <c r="CE149" s="9"/>
      <c r="CF149" s="9">
        <v>5718555.3600000003</v>
      </c>
      <c r="CG149" s="9">
        <v>3729194.46</v>
      </c>
      <c r="CH149" s="9">
        <v>1989360.8999999997</v>
      </c>
      <c r="CI149" s="9">
        <v>3948129.99</v>
      </c>
      <c r="CJ149" s="9">
        <v>2923446.69</v>
      </c>
      <c r="CK149" s="9">
        <v>1024683.3</v>
      </c>
      <c r="CL149" s="9">
        <v>1770425.37</v>
      </c>
      <c r="CM149" s="9">
        <v>805747.77</v>
      </c>
      <c r="CN149" s="9">
        <v>964677.6</v>
      </c>
      <c r="CO149" s="9">
        <v>1867134.7</v>
      </c>
      <c r="CP149" s="9">
        <v>346059.16</v>
      </c>
      <c r="CQ149" s="9">
        <v>1521075.54</v>
      </c>
      <c r="CR149" s="9">
        <v>1084239.43</v>
      </c>
      <c r="CS149" s="9">
        <v>251341.01</v>
      </c>
      <c r="CT149" s="9">
        <v>832898.42</v>
      </c>
      <c r="CU149" s="9">
        <v>782895.27</v>
      </c>
      <c r="CV149" s="9">
        <v>94718.15</v>
      </c>
      <c r="CW149" s="9">
        <v>688177.12</v>
      </c>
      <c r="CX149" s="9">
        <v>3851420.66</v>
      </c>
      <c r="CY149" s="9">
        <v>3383135.3000000003</v>
      </c>
      <c r="CZ149" s="9">
        <v>468285.36</v>
      </c>
      <c r="DA149" s="9">
        <v>2863890.5599999996</v>
      </c>
      <c r="DB149" s="9">
        <v>2672105.6800000002</v>
      </c>
      <c r="DC149" s="9">
        <v>191784.88</v>
      </c>
      <c r="DD149" s="9">
        <v>987530.1</v>
      </c>
      <c r="DE149" s="9">
        <v>711029.62</v>
      </c>
      <c r="DF149" s="9">
        <v>276500.47999999998</v>
      </c>
      <c r="DG149" s="9">
        <v>6831205.9199999999</v>
      </c>
      <c r="DH149" s="9">
        <v>1112650.56</v>
      </c>
    </row>
    <row r="150" spans="1:112" x14ac:dyDescent="0.2">
      <c r="A150" s="8" t="s">
        <v>855</v>
      </c>
      <c r="B150" s="8" t="s">
        <v>367</v>
      </c>
      <c r="C150" s="8" t="s">
        <v>369</v>
      </c>
      <c r="D150" s="9">
        <v>6069029.4500000002</v>
      </c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>
        <v>58978.85</v>
      </c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>
        <v>313266.71999999997</v>
      </c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>
        <v>2652228.6300000004</v>
      </c>
      <c r="BB150" s="9"/>
      <c r="BC150" s="9">
        <v>3432979.9199999995</v>
      </c>
      <c r="BD150" s="9"/>
      <c r="BE150" s="9">
        <v>28325.29</v>
      </c>
      <c r="BF150" s="9"/>
      <c r="BG150" s="9">
        <v>30653.56</v>
      </c>
      <c r="BH150" s="9"/>
      <c r="BI150" s="9">
        <v>45853.24</v>
      </c>
      <c r="BJ150" s="9"/>
      <c r="BK150" s="9">
        <v>267413.49</v>
      </c>
      <c r="BL150" s="9"/>
      <c r="BM150" s="9">
        <v>4194472.54</v>
      </c>
      <c r="BN150" s="9">
        <v>2508151.12</v>
      </c>
      <c r="BO150" s="9"/>
      <c r="BP150" s="9">
        <v>1686321.41</v>
      </c>
      <c r="BQ150" s="9"/>
      <c r="BR150" s="9">
        <v>41143.32</v>
      </c>
      <c r="BS150" s="9">
        <v>20578.189999999999</v>
      </c>
      <c r="BT150" s="9"/>
      <c r="BU150" s="9">
        <v>20565.12</v>
      </c>
      <c r="BV150" s="9"/>
      <c r="BW150" s="9">
        <v>208378.95</v>
      </c>
      <c r="BX150" s="9">
        <v>35546.14</v>
      </c>
      <c r="BY150" s="9"/>
      <c r="BZ150" s="9">
        <v>172832.81</v>
      </c>
      <c r="CA150" s="9"/>
      <c r="CB150" s="9">
        <v>28858.95</v>
      </c>
      <c r="CC150" s="9">
        <v>6097888.4000000004</v>
      </c>
      <c r="CD150" s="9"/>
      <c r="CE150" s="9"/>
      <c r="CF150" s="9">
        <v>5970525.5800000001</v>
      </c>
      <c r="CG150" s="9">
        <v>3839466.14</v>
      </c>
      <c r="CH150" s="9">
        <v>2131059.4400000004</v>
      </c>
      <c r="CI150" s="9">
        <v>4022713.33</v>
      </c>
      <c r="CJ150" s="9">
        <v>3009107.62</v>
      </c>
      <c r="CK150" s="9">
        <v>1013605.71</v>
      </c>
      <c r="CL150" s="9">
        <v>1947812.25</v>
      </c>
      <c r="CM150" s="9">
        <v>830358.52</v>
      </c>
      <c r="CN150" s="9">
        <v>1117453.73</v>
      </c>
      <c r="CO150" s="9">
        <v>1893235.33</v>
      </c>
      <c r="CP150" s="9">
        <v>420239.45</v>
      </c>
      <c r="CQ150" s="9">
        <v>1472995.88</v>
      </c>
      <c r="CR150" s="9">
        <v>1131854.8400000001</v>
      </c>
      <c r="CS150" s="9">
        <v>307959.78999999998</v>
      </c>
      <c r="CT150" s="9">
        <v>823895.05</v>
      </c>
      <c r="CU150" s="9">
        <v>761380.49000000011</v>
      </c>
      <c r="CV150" s="9">
        <v>112279.66</v>
      </c>
      <c r="CW150" s="9">
        <v>649100.83000000007</v>
      </c>
      <c r="CX150" s="9">
        <v>4077290.25</v>
      </c>
      <c r="CY150" s="9">
        <v>3419226.69</v>
      </c>
      <c r="CZ150" s="9">
        <v>658063.56000000006</v>
      </c>
      <c r="DA150" s="9">
        <v>2890858.49</v>
      </c>
      <c r="DB150" s="9">
        <v>2701147.83</v>
      </c>
      <c r="DC150" s="9">
        <v>189710.66</v>
      </c>
      <c r="DD150" s="9">
        <v>1186431.76</v>
      </c>
      <c r="DE150" s="9">
        <v>718078.8600000001</v>
      </c>
      <c r="DF150" s="9">
        <v>468352.9</v>
      </c>
      <c r="DG150" s="9">
        <v>7130606.1100000003</v>
      </c>
      <c r="DH150" s="9">
        <v>1160080.53</v>
      </c>
    </row>
    <row r="151" spans="1:112" x14ac:dyDescent="0.2">
      <c r="A151" s="8" t="s">
        <v>855</v>
      </c>
      <c r="B151" s="8" t="s">
        <v>367</v>
      </c>
      <c r="C151" s="8" t="s">
        <v>370</v>
      </c>
      <c r="D151" s="9">
        <v>6266024.6099999994</v>
      </c>
      <c r="E151" s="9">
        <v>6266014.6100000003</v>
      </c>
      <c r="F151" s="9">
        <v>171031.5</v>
      </c>
      <c r="G151" s="9">
        <v>806707.18</v>
      </c>
      <c r="H151" s="9">
        <v>675612.97</v>
      </c>
      <c r="I151" s="9">
        <v>23516.58</v>
      </c>
      <c r="J151" s="9">
        <v>738440.7</v>
      </c>
      <c r="K151" s="9">
        <v>1054395.82</v>
      </c>
      <c r="L151" s="9">
        <v>195502.43</v>
      </c>
      <c r="M151" s="9">
        <v>985646.97</v>
      </c>
      <c r="N151" s="9">
        <v>37300.589999999997</v>
      </c>
      <c r="O151" s="9">
        <v>64441.45</v>
      </c>
      <c r="P151" s="9">
        <v>37288.089999999997</v>
      </c>
      <c r="Q151" s="9">
        <v>32836.47</v>
      </c>
      <c r="R151" s="9">
        <v>1443293.87</v>
      </c>
      <c r="S151" s="9">
        <v>0</v>
      </c>
      <c r="T151" s="9">
        <v>0</v>
      </c>
      <c r="U151" s="9">
        <v>0</v>
      </c>
      <c r="V151" s="9">
        <v>0</v>
      </c>
      <c r="W151" s="9">
        <v>50710.41</v>
      </c>
      <c r="X151" s="9">
        <v>50531.86</v>
      </c>
      <c r="Y151" s="9">
        <v>4613.04</v>
      </c>
      <c r="Z151" s="9">
        <v>2261.9499999999998</v>
      </c>
      <c r="AA151" s="9">
        <v>12028.74</v>
      </c>
      <c r="AB151" s="9">
        <v>3876.52</v>
      </c>
      <c r="AC151" s="9">
        <v>4857.63</v>
      </c>
      <c r="AD151" s="9">
        <v>6004.38</v>
      </c>
      <c r="AE151" s="9">
        <v>1379.02</v>
      </c>
      <c r="AF151" s="9">
        <v>5289</v>
      </c>
      <c r="AG151" s="9">
        <v>14.9</v>
      </c>
      <c r="AH151" s="9">
        <v>800.84</v>
      </c>
      <c r="AI151" s="9">
        <v>78.87</v>
      </c>
      <c r="AJ151" s="9">
        <v>13.26</v>
      </c>
      <c r="AK151" s="9">
        <v>9313.7099999999991</v>
      </c>
      <c r="AL151" s="9">
        <v>305449.77</v>
      </c>
      <c r="AM151" s="9">
        <v>305449.78000000003</v>
      </c>
      <c r="AN151" s="9">
        <v>8467.83</v>
      </c>
      <c r="AO151" s="9">
        <v>107264.48</v>
      </c>
      <c r="AP151" s="9">
        <v>40754.1</v>
      </c>
      <c r="AQ151" s="9">
        <v>1595.78</v>
      </c>
      <c r="AR151" s="9">
        <v>37696.68</v>
      </c>
      <c r="AS151" s="9">
        <v>39890.36</v>
      </c>
      <c r="AT151" s="9">
        <v>20305.09</v>
      </c>
      <c r="AU151" s="9">
        <v>20465.34</v>
      </c>
      <c r="AV151" s="9">
        <v>940.04</v>
      </c>
      <c r="AW151" s="9">
        <v>2525.58</v>
      </c>
      <c r="AX151" s="9">
        <v>6913.34</v>
      </c>
      <c r="AY151" s="9">
        <v>400.77</v>
      </c>
      <c r="AZ151" s="9">
        <v>18230.39</v>
      </c>
      <c r="BA151" s="9">
        <v>2730909.69</v>
      </c>
      <c r="BB151" s="9"/>
      <c r="BC151" s="9">
        <v>3546857.86</v>
      </c>
      <c r="BD151" s="9"/>
      <c r="BE151" s="9">
        <v>17184.21</v>
      </c>
      <c r="BF151" s="9"/>
      <c r="BG151" s="9">
        <v>33526.19</v>
      </c>
      <c r="BH151" s="9"/>
      <c r="BI151" s="9">
        <v>48428.99</v>
      </c>
      <c r="BJ151" s="9"/>
      <c r="BK151" s="9">
        <v>257020.78</v>
      </c>
      <c r="BL151" s="9"/>
      <c r="BM151" s="9">
        <v>4318330.7299999986</v>
      </c>
      <c r="BN151" s="9">
        <v>2587745.54</v>
      </c>
      <c r="BO151" s="9"/>
      <c r="BP151" s="9">
        <v>1730585.18</v>
      </c>
      <c r="BQ151" s="9"/>
      <c r="BR151" s="9">
        <v>37862.5</v>
      </c>
      <c r="BS151" s="9">
        <v>14724.75</v>
      </c>
      <c r="BT151" s="9"/>
      <c r="BU151" s="9">
        <v>23137.75</v>
      </c>
      <c r="BV151" s="9"/>
      <c r="BW151" s="9">
        <v>209516.96</v>
      </c>
      <c r="BX151" s="9">
        <v>36987.83</v>
      </c>
      <c r="BY151" s="9"/>
      <c r="BZ151" s="9">
        <v>172529.13</v>
      </c>
      <c r="CA151" s="9"/>
      <c r="CB151" s="9">
        <v>29080.880000000001</v>
      </c>
      <c r="CC151" s="9">
        <v>6295105.4899999993</v>
      </c>
      <c r="CD151" s="9"/>
      <c r="CE151" s="9"/>
      <c r="CF151" s="9">
        <v>6186294.5399999991</v>
      </c>
      <c r="CG151" s="9">
        <v>4029597.35</v>
      </c>
      <c r="CH151" s="9">
        <v>2156697.19</v>
      </c>
      <c r="CI151" s="9">
        <v>4027912.93</v>
      </c>
      <c r="CJ151" s="9">
        <v>3144778.46</v>
      </c>
      <c r="CK151" s="9">
        <v>883134.47000000009</v>
      </c>
      <c r="CL151" s="9">
        <v>2158381.61</v>
      </c>
      <c r="CM151" s="9">
        <v>884818.8899999999</v>
      </c>
      <c r="CN151" s="9">
        <v>1273562.7200000002</v>
      </c>
      <c r="CO151" s="9">
        <v>2001408.94</v>
      </c>
      <c r="CP151" s="9">
        <v>484005.78</v>
      </c>
      <c r="CQ151" s="9">
        <v>1517403.16</v>
      </c>
      <c r="CR151" s="9">
        <v>1116602.6299999999</v>
      </c>
      <c r="CS151" s="9">
        <v>369336.61</v>
      </c>
      <c r="CT151" s="9">
        <v>747266.02</v>
      </c>
      <c r="CU151" s="9">
        <v>884806.31</v>
      </c>
      <c r="CV151" s="9">
        <v>114669.17</v>
      </c>
      <c r="CW151" s="9">
        <v>770137.14</v>
      </c>
      <c r="CX151" s="9">
        <v>4184885.600000001</v>
      </c>
      <c r="CY151" s="9">
        <v>3545591.5700000003</v>
      </c>
      <c r="CZ151" s="9">
        <v>639294.03</v>
      </c>
      <c r="DA151" s="9">
        <v>2911310.3</v>
      </c>
      <c r="DB151" s="9">
        <v>2775441.85</v>
      </c>
      <c r="DC151" s="9">
        <v>135868.45000000001</v>
      </c>
      <c r="DD151" s="9">
        <v>1273575.3</v>
      </c>
      <c r="DE151" s="9">
        <v>770149.72</v>
      </c>
      <c r="DF151" s="9">
        <v>503425.58</v>
      </c>
      <c r="DG151" s="9">
        <v>7381606.9900000002</v>
      </c>
      <c r="DH151" s="9">
        <v>1195312.45</v>
      </c>
    </row>
    <row r="152" spans="1:112" x14ac:dyDescent="0.2">
      <c r="A152" s="8" t="s">
        <v>855</v>
      </c>
      <c r="B152" s="8" t="s">
        <v>371</v>
      </c>
      <c r="C152" s="8" t="s">
        <v>372</v>
      </c>
      <c r="D152" s="9">
        <v>6376348.9499999993</v>
      </c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>
        <v>84056.16</v>
      </c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>
        <v>303362.06</v>
      </c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>
        <v>2747209.3100000005</v>
      </c>
      <c r="BB152" s="9"/>
      <c r="BC152" s="9">
        <v>3640591.11</v>
      </c>
      <c r="BD152" s="9"/>
      <c r="BE152" s="9">
        <v>20499.53</v>
      </c>
      <c r="BF152" s="9"/>
      <c r="BG152" s="9">
        <v>63556.62</v>
      </c>
      <c r="BH152" s="9"/>
      <c r="BI152" s="9">
        <v>48699.82</v>
      </c>
      <c r="BJ152" s="9"/>
      <c r="BK152" s="9">
        <v>254662.24</v>
      </c>
      <c r="BL152" s="9"/>
      <c r="BM152" s="9">
        <v>4384229.28</v>
      </c>
      <c r="BN152" s="9">
        <v>2605932.6800000002</v>
      </c>
      <c r="BO152" s="9"/>
      <c r="BP152" s="9">
        <v>1778296.61</v>
      </c>
      <c r="BQ152" s="9"/>
      <c r="BR152" s="9">
        <v>55628.71</v>
      </c>
      <c r="BS152" s="9">
        <v>18246.099999999999</v>
      </c>
      <c r="BT152" s="9"/>
      <c r="BU152" s="9">
        <v>37382.61</v>
      </c>
      <c r="BV152" s="9"/>
      <c r="BW152" s="9">
        <v>210204.87</v>
      </c>
      <c r="BX152" s="9">
        <v>36915.85</v>
      </c>
      <c r="BY152" s="9"/>
      <c r="BZ152" s="9">
        <v>173289.03</v>
      </c>
      <c r="CA152" s="9"/>
      <c r="CB152" s="9">
        <v>29126.74</v>
      </c>
      <c r="CC152" s="9">
        <v>6405475.6899999995</v>
      </c>
      <c r="CD152" s="9"/>
      <c r="CE152" s="9"/>
      <c r="CF152" s="9">
        <v>6162646.2200000007</v>
      </c>
      <c r="CG152" s="9">
        <v>4022737.92</v>
      </c>
      <c r="CH152" s="9">
        <v>2139908.3000000003</v>
      </c>
      <c r="CI152" s="9">
        <v>4016352.2</v>
      </c>
      <c r="CJ152" s="9">
        <v>3142768.77</v>
      </c>
      <c r="CK152" s="9">
        <v>873583.42999999993</v>
      </c>
      <c r="CL152" s="9">
        <v>2146294.02</v>
      </c>
      <c r="CM152" s="9">
        <v>879969.15</v>
      </c>
      <c r="CN152" s="9">
        <v>1266324.8700000001</v>
      </c>
      <c r="CO152" s="9">
        <v>1926522.3</v>
      </c>
      <c r="CP152" s="9">
        <v>430682.46</v>
      </c>
      <c r="CQ152" s="9">
        <v>1495839.84</v>
      </c>
      <c r="CR152" s="9">
        <v>1053860.76</v>
      </c>
      <c r="CS152" s="9">
        <v>315952.5</v>
      </c>
      <c r="CT152" s="9">
        <v>737908.26</v>
      </c>
      <c r="CU152" s="9">
        <v>872661.53999999992</v>
      </c>
      <c r="CV152" s="9">
        <v>114729.96</v>
      </c>
      <c r="CW152" s="9">
        <v>757931.58</v>
      </c>
      <c r="CX152" s="9">
        <v>4236123.92</v>
      </c>
      <c r="CY152" s="9">
        <v>3592055.4600000004</v>
      </c>
      <c r="CZ152" s="9">
        <v>644068.46000000008</v>
      </c>
      <c r="DA152" s="9">
        <v>2962491.44</v>
      </c>
      <c r="DB152" s="9">
        <v>2826816.27</v>
      </c>
      <c r="DC152" s="9">
        <v>135675.17000000001</v>
      </c>
      <c r="DD152" s="9">
        <v>1273632.48</v>
      </c>
      <c r="DE152" s="9">
        <v>765239.19</v>
      </c>
      <c r="DF152" s="9">
        <v>508393.29</v>
      </c>
      <c r="DG152" s="9">
        <v>7346161.0999999996</v>
      </c>
      <c r="DH152" s="9">
        <v>1183514.8799999999</v>
      </c>
    </row>
    <row r="153" spans="1:112" x14ac:dyDescent="0.2">
      <c r="A153" s="8" t="s">
        <v>855</v>
      </c>
      <c r="B153" s="8" t="s">
        <v>371</v>
      </c>
      <c r="C153" s="8" t="s">
        <v>373</v>
      </c>
      <c r="D153" s="9">
        <v>6627146.1799999997</v>
      </c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>
        <v>99542.5</v>
      </c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>
        <v>310211.90000000002</v>
      </c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>
        <v>2897488.34</v>
      </c>
      <c r="BB153" s="9"/>
      <c r="BC153" s="9">
        <v>3740288.46</v>
      </c>
      <c r="BD153" s="9"/>
      <c r="BE153" s="9">
        <v>21634.51</v>
      </c>
      <c r="BF153" s="9"/>
      <c r="BG153" s="9">
        <v>77907.990000000005</v>
      </c>
      <c r="BH153" s="9"/>
      <c r="BI153" s="9">
        <v>50150.879999999997</v>
      </c>
      <c r="BJ153" s="9"/>
      <c r="BK153" s="9">
        <v>260061.01</v>
      </c>
      <c r="BL153" s="9"/>
      <c r="BM153" s="9">
        <v>4522946.2499999991</v>
      </c>
      <c r="BN153" s="9">
        <v>2749130.84</v>
      </c>
      <c r="BO153" s="9"/>
      <c r="BP153" s="9">
        <v>1773815.39</v>
      </c>
      <c r="BQ153" s="9"/>
      <c r="BR153" s="9">
        <v>62268.01</v>
      </c>
      <c r="BS153" s="9">
        <v>20567.32</v>
      </c>
      <c r="BT153" s="9"/>
      <c r="BU153" s="9">
        <v>41700.69</v>
      </c>
      <c r="BV153" s="9"/>
      <c r="BW153" s="9">
        <v>212975.4</v>
      </c>
      <c r="BX153" s="9">
        <v>38057.22</v>
      </c>
      <c r="BY153" s="9"/>
      <c r="BZ153" s="9">
        <v>174918.17</v>
      </c>
      <c r="CA153" s="9"/>
      <c r="CB153" s="9">
        <v>29382.02</v>
      </c>
      <c r="CC153" s="9">
        <v>6656528.1999999993</v>
      </c>
      <c r="CD153" s="9"/>
      <c r="CE153" s="9"/>
      <c r="CF153" s="9">
        <v>6203599.4500000011</v>
      </c>
      <c r="CG153" s="9">
        <v>4014248.459999999</v>
      </c>
      <c r="CH153" s="9">
        <v>2189350.9900000002</v>
      </c>
      <c r="CI153" s="9">
        <v>3986981.88</v>
      </c>
      <c r="CJ153" s="9">
        <v>3095228.95</v>
      </c>
      <c r="CK153" s="9">
        <v>891752.92999999993</v>
      </c>
      <c r="CL153" s="9">
        <v>2216617.5699999998</v>
      </c>
      <c r="CM153" s="9">
        <v>919019.51</v>
      </c>
      <c r="CN153" s="9">
        <v>1297598.06</v>
      </c>
      <c r="CO153" s="9">
        <v>1971280.28</v>
      </c>
      <c r="CP153" s="9">
        <v>426544.06999999989</v>
      </c>
      <c r="CQ153" s="9">
        <v>1544736.2099999995</v>
      </c>
      <c r="CR153" s="9">
        <v>1075030.3899999999</v>
      </c>
      <c r="CS153" s="9">
        <v>315368.96999999997</v>
      </c>
      <c r="CT153" s="9">
        <v>759661.41999999993</v>
      </c>
      <c r="CU153" s="9">
        <v>896249.8899999999</v>
      </c>
      <c r="CV153" s="9">
        <v>111175.1</v>
      </c>
      <c r="CW153" s="9">
        <v>785074.78999999992</v>
      </c>
      <c r="CX153" s="9">
        <v>4232319.17</v>
      </c>
      <c r="CY153" s="9">
        <v>3587704.39</v>
      </c>
      <c r="CZ153" s="9">
        <v>644614.77999999991</v>
      </c>
      <c r="DA153" s="9">
        <v>2911951.49</v>
      </c>
      <c r="DB153" s="9">
        <v>2779859.98</v>
      </c>
      <c r="DC153" s="9">
        <v>132091.51</v>
      </c>
      <c r="DD153" s="9">
        <v>1320367.68</v>
      </c>
      <c r="DE153" s="9">
        <v>807844.41</v>
      </c>
      <c r="DF153" s="9">
        <v>512523.27</v>
      </c>
      <c r="DG153" s="9">
        <v>7374605.4699999988</v>
      </c>
      <c r="DH153" s="9">
        <v>1171006.02</v>
      </c>
    </row>
    <row r="154" spans="1:112" x14ac:dyDescent="0.2">
      <c r="A154" s="8" t="s">
        <v>855</v>
      </c>
      <c r="B154" s="8" t="s">
        <v>371</v>
      </c>
      <c r="C154" s="8" t="s">
        <v>374</v>
      </c>
      <c r="D154" s="9">
        <v>6819411.0799999991</v>
      </c>
      <c r="E154" s="9">
        <v>6819411.0800000001</v>
      </c>
      <c r="F154" s="9">
        <v>182180.21</v>
      </c>
      <c r="G154" s="9">
        <v>867137.64</v>
      </c>
      <c r="H154" s="9">
        <v>752912.3</v>
      </c>
      <c r="I154" s="9">
        <v>23693.62</v>
      </c>
      <c r="J154" s="9">
        <v>831588.28</v>
      </c>
      <c r="K154" s="9">
        <v>1103996.54</v>
      </c>
      <c r="L154" s="9">
        <v>214905.3</v>
      </c>
      <c r="M154" s="9">
        <v>1030604.79</v>
      </c>
      <c r="N154" s="9">
        <v>41383.96</v>
      </c>
      <c r="O154" s="9">
        <v>48647.69</v>
      </c>
      <c r="P154" s="9">
        <v>36901.360000000001</v>
      </c>
      <c r="Q154" s="9">
        <v>37262.86</v>
      </c>
      <c r="R154" s="9">
        <v>1648196.54</v>
      </c>
      <c r="S154" s="9">
        <v>0</v>
      </c>
      <c r="T154" s="9">
        <v>0</v>
      </c>
      <c r="U154" s="9">
        <v>0</v>
      </c>
      <c r="V154" s="9">
        <v>0</v>
      </c>
      <c r="W154" s="9">
        <v>115911.63</v>
      </c>
      <c r="X154" s="9">
        <v>115755.72</v>
      </c>
      <c r="Y154" s="9">
        <v>7609.59</v>
      </c>
      <c r="Z154" s="9">
        <v>9124.0499999999993</v>
      </c>
      <c r="AA154" s="9">
        <v>13485.23</v>
      </c>
      <c r="AB154" s="9">
        <v>3260.28</v>
      </c>
      <c r="AC154" s="9">
        <v>37863.54</v>
      </c>
      <c r="AD154" s="9">
        <v>10911.58</v>
      </c>
      <c r="AE154" s="9">
        <v>8971.61</v>
      </c>
      <c r="AF154" s="9">
        <v>5523.68</v>
      </c>
      <c r="AG154" s="9">
        <v>0</v>
      </c>
      <c r="AH154" s="9">
        <v>866.6</v>
      </c>
      <c r="AI154" s="9">
        <v>309.39</v>
      </c>
      <c r="AJ154" s="9">
        <v>13.47</v>
      </c>
      <c r="AK154" s="9">
        <v>17816.7</v>
      </c>
      <c r="AL154" s="9">
        <v>304200.03999999998</v>
      </c>
      <c r="AM154" s="9">
        <v>303699.84000000003</v>
      </c>
      <c r="AN154" s="9">
        <v>8551.42</v>
      </c>
      <c r="AO154" s="9">
        <v>106680.22</v>
      </c>
      <c r="AP154" s="9">
        <v>42856.27</v>
      </c>
      <c r="AQ154" s="9">
        <v>2278.7800000000002</v>
      </c>
      <c r="AR154" s="9">
        <v>37673.300000000003</v>
      </c>
      <c r="AS154" s="9">
        <v>39494.879999999997</v>
      </c>
      <c r="AT154" s="9">
        <v>18966.919999999998</v>
      </c>
      <c r="AU154" s="9">
        <v>20839.29</v>
      </c>
      <c r="AV154" s="9">
        <v>976.31</v>
      </c>
      <c r="AW154" s="9">
        <v>2563.9899999999998</v>
      </c>
      <c r="AX154" s="9">
        <v>6840.85</v>
      </c>
      <c r="AY154" s="9">
        <v>325.26</v>
      </c>
      <c r="AZ154" s="9">
        <v>15652.35</v>
      </c>
      <c r="BA154" s="9">
        <v>2996766.0599999996</v>
      </c>
      <c r="BB154" s="9"/>
      <c r="BC154" s="9">
        <v>3832871.290000001</v>
      </c>
      <c r="BD154" s="9"/>
      <c r="BE154" s="9">
        <v>24152.61</v>
      </c>
      <c r="BF154" s="9"/>
      <c r="BG154" s="9">
        <v>91759.01</v>
      </c>
      <c r="BH154" s="9"/>
      <c r="BI154" s="9">
        <v>43400.36</v>
      </c>
      <c r="BJ154" s="9"/>
      <c r="BK154" s="9">
        <v>260799.68</v>
      </c>
      <c r="BL154" s="9"/>
      <c r="BM154" s="9">
        <v>4635843.9400000004</v>
      </c>
      <c r="BN154" s="9">
        <v>2847673.3</v>
      </c>
      <c r="BO154" s="9"/>
      <c r="BP154" s="9">
        <v>1788170.63</v>
      </c>
      <c r="BQ154" s="9"/>
      <c r="BR154" s="9">
        <v>67755.53</v>
      </c>
      <c r="BS154" s="9">
        <v>23039.09</v>
      </c>
      <c r="BT154" s="9"/>
      <c r="BU154" s="9">
        <v>44716.43</v>
      </c>
      <c r="BV154" s="9"/>
      <c r="BW154" s="9">
        <v>206013.92</v>
      </c>
      <c r="BX154" s="9">
        <v>31035.9</v>
      </c>
      <c r="BY154" s="9"/>
      <c r="BZ154" s="9">
        <v>174978.02</v>
      </c>
      <c r="CA154" s="9"/>
      <c r="CB154" s="9">
        <v>29038.34</v>
      </c>
      <c r="CC154" s="9">
        <v>6848449.419999999</v>
      </c>
      <c r="CD154" s="9"/>
      <c r="CE154" s="9"/>
      <c r="CF154" s="9">
        <v>6194942.7699999996</v>
      </c>
      <c r="CG154" s="9">
        <v>3992205.5699999994</v>
      </c>
      <c r="CH154" s="9">
        <v>2202737.2000000002</v>
      </c>
      <c r="CI154" s="9">
        <v>3983903.92</v>
      </c>
      <c r="CJ154" s="9">
        <v>3058423.08</v>
      </c>
      <c r="CK154" s="9">
        <v>925480.84</v>
      </c>
      <c r="CL154" s="9">
        <v>2211038.8499999996</v>
      </c>
      <c r="CM154" s="9">
        <v>933782.49</v>
      </c>
      <c r="CN154" s="9">
        <v>1277256.3600000001</v>
      </c>
      <c r="CO154" s="9">
        <v>1959583.51</v>
      </c>
      <c r="CP154" s="9">
        <v>398861.36</v>
      </c>
      <c r="CQ154" s="9">
        <v>1560722.15</v>
      </c>
      <c r="CR154" s="9">
        <v>1089776.17</v>
      </c>
      <c r="CS154" s="9">
        <v>290638.51</v>
      </c>
      <c r="CT154" s="9">
        <v>799137.65999999992</v>
      </c>
      <c r="CU154" s="9">
        <v>869807.34</v>
      </c>
      <c r="CV154" s="9">
        <v>108222.85</v>
      </c>
      <c r="CW154" s="9">
        <v>761584.49</v>
      </c>
      <c r="CX154" s="9">
        <v>4235359.26</v>
      </c>
      <c r="CY154" s="9">
        <v>3593344.21</v>
      </c>
      <c r="CZ154" s="9">
        <v>642015.04999999993</v>
      </c>
      <c r="DA154" s="9">
        <v>2894127.75</v>
      </c>
      <c r="DB154" s="9">
        <v>2767784.57</v>
      </c>
      <c r="DC154" s="9">
        <v>126343.18</v>
      </c>
      <c r="DD154" s="9">
        <v>1341231.51</v>
      </c>
      <c r="DE154" s="9">
        <v>825559.6399999999</v>
      </c>
      <c r="DF154" s="9">
        <v>515671.87</v>
      </c>
      <c r="DG154" s="9">
        <v>7493760.1100000003</v>
      </c>
      <c r="DH154" s="9">
        <v>1298817.3400000001</v>
      </c>
    </row>
    <row r="155" spans="1:112" x14ac:dyDescent="0.2">
      <c r="A155" s="8" t="s">
        <v>855</v>
      </c>
      <c r="B155" s="8" t="s">
        <v>375</v>
      </c>
      <c r="C155" s="8" t="s">
        <v>376</v>
      </c>
      <c r="D155" s="9">
        <v>6807491.2000000002</v>
      </c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>
        <v>131383.92000000001</v>
      </c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>
        <v>304076.64</v>
      </c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>
        <v>3016753.6999999997</v>
      </c>
      <c r="BB155" s="9"/>
      <c r="BC155" s="9">
        <v>3800945.42</v>
      </c>
      <c r="BD155" s="9"/>
      <c r="BE155" s="9">
        <v>26778.34</v>
      </c>
      <c r="BF155" s="9"/>
      <c r="BG155" s="9">
        <v>104605.58</v>
      </c>
      <c r="BH155" s="9"/>
      <c r="BI155" s="9">
        <v>42881.27</v>
      </c>
      <c r="BJ155" s="9"/>
      <c r="BK155" s="9">
        <v>261195.38</v>
      </c>
      <c r="BL155" s="9"/>
      <c r="BM155" s="9">
        <v>4620554.45</v>
      </c>
      <c r="BN155" s="9">
        <v>2860525.52</v>
      </c>
      <c r="BO155" s="9"/>
      <c r="BP155" s="9">
        <v>1760028.94</v>
      </c>
      <c r="BQ155" s="9"/>
      <c r="BR155" s="9">
        <v>80192.210000000006</v>
      </c>
      <c r="BS155" s="9">
        <v>26248.31</v>
      </c>
      <c r="BT155" s="9"/>
      <c r="BU155" s="9">
        <v>53943.9</v>
      </c>
      <c r="BV155" s="9"/>
      <c r="BW155" s="9">
        <v>202478.44</v>
      </c>
      <c r="BX155" s="9">
        <v>30824.54</v>
      </c>
      <c r="BY155" s="9"/>
      <c r="BZ155" s="9">
        <v>171653.91</v>
      </c>
      <c r="CA155" s="9"/>
      <c r="CB155" s="9">
        <v>27744.28</v>
      </c>
      <c r="CC155" s="9">
        <v>6835235.4800000004</v>
      </c>
      <c r="CD155" s="9"/>
      <c r="CE155" s="9"/>
      <c r="CF155" s="9">
        <v>6174281.1699999999</v>
      </c>
      <c r="CG155" s="9">
        <v>4019424.71</v>
      </c>
      <c r="CH155" s="9">
        <v>2154856.46</v>
      </c>
      <c r="CI155" s="9">
        <v>3983925.5</v>
      </c>
      <c r="CJ155" s="9">
        <v>3075873.77</v>
      </c>
      <c r="CK155" s="9">
        <v>908051.73</v>
      </c>
      <c r="CL155" s="9">
        <v>2190355.67</v>
      </c>
      <c r="CM155" s="9">
        <v>943550.94</v>
      </c>
      <c r="CN155" s="9">
        <v>1246804.73</v>
      </c>
      <c r="CO155" s="9">
        <v>1948985.53</v>
      </c>
      <c r="CP155" s="9">
        <v>398751.23</v>
      </c>
      <c r="CQ155" s="9">
        <v>1550234.2999999998</v>
      </c>
      <c r="CR155" s="9">
        <v>1061529.76</v>
      </c>
      <c r="CS155" s="9">
        <v>284642.69</v>
      </c>
      <c r="CT155" s="9">
        <v>776887.07000000007</v>
      </c>
      <c r="CU155" s="9">
        <v>887455.77</v>
      </c>
      <c r="CV155" s="9">
        <v>114108.54</v>
      </c>
      <c r="CW155" s="9">
        <v>773347.23</v>
      </c>
      <c r="CX155" s="9">
        <v>4225295.6399999997</v>
      </c>
      <c r="CY155" s="9">
        <v>3620673.48</v>
      </c>
      <c r="CZ155" s="9">
        <v>604622.16</v>
      </c>
      <c r="DA155" s="9">
        <v>2922395.74</v>
      </c>
      <c r="DB155" s="9">
        <v>2791231.08</v>
      </c>
      <c r="DC155" s="9">
        <v>131164.66</v>
      </c>
      <c r="DD155" s="9">
        <v>1302899.8999999999</v>
      </c>
      <c r="DE155" s="9">
        <v>829442.39999999991</v>
      </c>
      <c r="DF155" s="9">
        <v>473457.5</v>
      </c>
      <c r="DG155" s="9">
        <v>7587679.9000000004</v>
      </c>
      <c r="DH155" s="9">
        <v>1413398.73</v>
      </c>
    </row>
    <row r="156" spans="1:112" x14ac:dyDescent="0.2">
      <c r="A156" s="8" t="s">
        <v>855</v>
      </c>
      <c r="B156" s="8" t="s">
        <v>375</v>
      </c>
      <c r="C156" s="8" t="s">
        <v>377</v>
      </c>
      <c r="D156" s="9">
        <v>6818470.7000000002</v>
      </c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>
        <v>146692.75</v>
      </c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>
        <v>296792.27</v>
      </c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>
        <v>3033523.7899999996</v>
      </c>
      <c r="BB156" s="9"/>
      <c r="BC156" s="9">
        <v>3794701.85</v>
      </c>
      <c r="BD156" s="9"/>
      <c r="BE156" s="9">
        <v>24252.959999999999</v>
      </c>
      <c r="BF156" s="9"/>
      <c r="BG156" s="9">
        <v>122439.79</v>
      </c>
      <c r="BH156" s="9"/>
      <c r="BI156" s="9">
        <v>43482.61</v>
      </c>
      <c r="BJ156" s="9"/>
      <c r="BK156" s="9">
        <v>253309.66</v>
      </c>
      <c r="BL156" s="9"/>
      <c r="BM156" s="9">
        <v>4606114.58</v>
      </c>
      <c r="BN156" s="9">
        <v>2869946.37</v>
      </c>
      <c r="BO156" s="9"/>
      <c r="BP156" s="9">
        <v>1736168.21</v>
      </c>
      <c r="BQ156" s="9"/>
      <c r="BR156" s="9">
        <v>85561.54</v>
      </c>
      <c r="BS156" s="9">
        <v>23081.18</v>
      </c>
      <c r="BT156" s="9"/>
      <c r="BU156" s="9">
        <v>62480.36</v>
      </c>
      <c r="BV156" s="9"/>
      <c r="BW156" s="9">
        <v>200083.6</v>
      </c>
      <c r="BX156" s="9">
        <v>31492.25</v>
      </c>
      <c r="BY156" s="9"/>
      <c r="BZ156" s="9">
        <v>168591.35</v>
      </c>
      <c r="CA156" s="9"/>
      <c r="CB156" s="9">
        <v>27741.759999999998</v>
      </c>
      <c r="CC156" s="9">
        <v>6846212.46</v>
      </c>
      <c r="CD156" s="9"/>
      <c r="CE156" s="9"/>
      <c r="CF156" s="9">
        <v>6121979.2300000004</v>
      </c>
      <c r="CG156" s="9">
        <v>4043102.77</v>
      </c>
      <c r="CH156" s="9">
        <v>2078876.4599999995</v>
      </c>
      <c r="CI156" s="9">
        <v>3996901.97</v>
      </c>
      <c r="CJ156" s="9">
        <v>3111940.24</v>
      </c>
      <c r="CK156" s="9">
        <v>884961.73</v>
      </c>
      <c r="CL156" s="9">
        <v>2125077.2599999998</v>
      </c>
      <c r="CM156" s="9">
        <v>931162.53</v>
      </c>
      <c r="CN156" s="9">
        <v>1193914.73</v>
      </c>
      <c r="CO156" s="9">
        <v>1919320.15</v>
      </c>
      <c r="CP156" s="9">
        <v>401118.49</v>
      </c>
      <c r="CQ156" s="9">
        <v>1518201.66</v>
      </c>
      <c r="CR156" s="9">
        <v>1043155.5</v>
      </c>
      <c r="CS156" s="9">
        <v>289986.90000000002</v>
      </c>
      <c r="CT156" s="9">
        <v>753168.6</v>
      </c>
      <c r="CU156" s="9">
        <v>876164.65</v>
      </c>
      <c r="CV156" s="9">
        <v>111131.59</v>
      </c>
      <c r="CW156" s="9">
        <v>765033.06</v>
      </c>
      <c r="CX156" s="9">
        <v>4202659.08</v>
      </c>
      <c r="CY156" s="9">
        <v>3641984.28</v>
      </c>
      <c r="CZ156" s="9">
        <v>560674.80000000005</v>
      </c>
      <c r="DA156" s="9">
        <v>2953746.4699999997</v>
      </c>
      <c r="DB156" s="9">
        <v>2821953.34</v>
      </c>
      <c r="DC156" s="9">
        <v>131793.13</v>
      </c>
      <c r="DD156" s="9">
        <v>1248912.6100000001</v>
      </c>
      <c r="DE156" s="9">
        <v>820030.94</v>
      </c>
      <c r="DF156" s="9">
        <v>428881.67</v>
      </c>
      <c r="DG156" s="9">
        <v>7490212.1400000015</v>
      </c>
      <c r="DH156" s="9">
        <v>1368232.91</v>
      </c>
    </row>
    <row r="157" spans="1:112" x14ac:dyDescent="0.2">
      <c r="A157" s="8" t="s">
        <v>855</v>
      </c>
      <c r="B157" s="8" t="s">
        <v>375</v>
      </c>
      <c r="C157" s="8" t="s">
        <v>378</v>
      </c>
      <c r="D157" s="9">
        <v>6941135.2199999997</v>
      </c>
      <c r="E157" s="9">
        <v>6941135.2199999997</v>
      </c>
      <c r="F157" s="9">
        <v>186272.78</v>
      </c>
      <c r="G157" s="9">
        <v>798461.48</v>
      </c>
      <c r="H157" s="9">
        <v>797602.44</v>
      </c>
      <c r="I157" s="9">
        <v>28428.880000000001</v>
      </c>
      <c r="J157" s="9">
        <v>899892.99</v>
      </c>
      <c r="K157" s="9">
        <v>1141812.24</v>
      </c>
      <c r="L157" s="9">
        <v>215072.68</v>
      </c>
      <c r="M157" s="9">
        <v>1100530.08</v>
      </c>
      <c r="N157" s="9">
        <v>38232.81</v>
      </c>
      <c r="O157" s="9">
        <v>41402.699999999997</v>
      </c>
      <c r="P157" s="9">
        <v>34427.25</v>
      </c>
      <c r="Q157" s="9">
        <v>39805.5</v>
      </c>
      <c r="R157" s="9">
        <v>1619193.39</v>
      </c>
      <c r="S157" s="9">
        <v>0</v>
      </c>
      <c r="T157" s="9">
        <v>0</v>
      </c>
      <c r="U157" s="9">
        <v>0</v>
      </c>
      <c r="V157" s="9">
        <v>0</v>
      </c>
      <c r="W157" s="9">
        <v>109655.24</v>
      </c>
      <c r="X157" s="9">
        <v>109480.44</v>
      </c>
      <c r="Y157" s="9">
        <v>2542.71</v>
      </c>
      <c r="Z157" s="9">
        <v>13380.23</v>
      </c>
      <c r="AA157" s="9">
        <v>19153.36</v>
      </c>
      <c r="AB157" s="9">
        <v>3861.45</v>
      </c>
      <c r="AC157" s="9">
        <v>27017.03</v>
      </c>
      <c r="AD157" s="9">
        <v>4797.57</v>
      </c>
      <c r="AE157" s="9">
        <v>14469.51</v>
      </c>
      <c r="AF157" s="9">
        <v>8573.61</v>
      </c>
      <c r="AG157" s="9">
        <v>6.05</v>
      </c>
      <c r="AH157" s="9">
        <v>225.78</v>
      </c>
      <c r="AI157" s="9">
        <v>543.55999999999995</v>
      </c>
      <c r="AJ157" s="9">
        <v>100.7</v>
      </c>
      <c r="AK157" s="9">
        <v>14808.88</v>
      </c>
      <c r="AL157" s="9">
        <v>293437.49</v>
      </c>
      <c r="AM157" s="9">
        <v>293295.81</v>
      </c>
      <c r="AN157" s="9">
        <v>9022.23</v>
      </c>
      <c r="AO157" s="9">
        <v>96202.73</v>
      </c>
      <c r="AP157" s="9">
        <v>22464.48</v>
      </c>
      <c r="AQ157" s="9">
        <v>1910.75</v>
      </c>
      <c r="AR157" s="9">
        <v>53032.4</v>
      </c>
      <c r="AS157" s="9">
        <v>47863.72</v>
      </c>
      <c r="AT157" s="9">
        <v>19368.900000000001</v>
      </c>
      <c r="AU157" s="9">
        <v>17767.84</v>
      </c>
      <c r="AV157" s="9">
        <v>942.94</v>
      </c>
      <c r="AW157" s="9">
        <v>2531.7600000000002</v>
      </c>
      <c r="AX157" s="9">
        <v>6557.02</v>
      </c>
      <c r="AY157" s="9">
        <v>267.16000000000003</v>
      </c>
      <c r="AZ157" s="9">
        <v>15363.89</v>
      </c>
      <c r="BA157" s="9">
        <v>3049825.86</v>
      </c>
      <c r="BB157" s="9"/>
      <c r="BC157" s="9">
        <v>3900974.41</v>
      </c>
      <c r="BD157" s="9"/>
      <c r="BE157" s="9">
        <v>25415.96</v>
      </c>
      <c r="BF157" s="9"/>
      <c r="BG157" s="9">
        <v>84239.3</v>
      </c>
      <c r="BH157" s="9"/>
      <c r="BI157" s="9">
        <v>42183.48</v>
      </c>
      <c r="BJ157" s="9"/>
      <c r="BK157" s="9">
        <v>251254.01</v>
      </c>
      <c r="BL157" s="9"/>
      <c r="BM157" s="9">
        <v>4699019.1999999993</v>
      </c>
      <c r="BN157" s="9">
        <v>2878635.67</v>
      </c>
      <c r="BO157" s="9"/>
      <c r="BP157" s="9">
        <v>1820383.54</v>
      </c>
      <c r="BQ157" s="9"/>
      <c r="BR157" s="9">
        <v>66748.59</v>
      </c>
      <c r="BS157" s="9">
        <v>23808.36</v>
      </c>
      <c r="BT157" s="9"/>
      <c r="BU157" s="9">
        <v>42940.24</v>
      </c>
      <c r="BV157" s="9"/>
      <c r="BW157" s="9">
        <v>195316.88</v>
      </c>
      <c r="BX157" s="9">
        <v>31196.02</v>
      </c>
      <c r="BY157" s="9"/>
      <c r="BZ157" s="9">
        <v>164120.85999999999</v>
      </c>
      <c r="CA157" s="9"/>
      <c r="CB157" s="9">
        <v>20784.2</v>
      </c>
      <c r="CC157" s="9">
        <v>6961919.4199999999</v>
      </c>
      <c r="CD157" s="9"/>
      <c r="CE157" s="9"/>
      <c r="CF157" s="9">
        <v>6422118.5899999999</v>
      </c>
      <c r="CG157" s="9">
        <v>4278779.66</v>
      </c>
      <c r="CH157" s="9">
        <v>2143338.9300000002</v>
      </c>
      <c r="CI157" s="9">
        <v>4335707.26</v>
      </c>
      <c r="CJ157" s="9">
        <v>3358201.5</v>
      </c>
      <c r="CK157" s="9">
        <v>977505.76</v>
      </c>
      <c r="CL157" s="9">
        <v>2086411.33</v>
      </c>
      <c r="CM157" s="9">
        <v>920578.16</v>
      </c>
      <c r="CN157" s="9">
        <v>1165833.17</v>
      </c>
      <c r="CO157" s="9">
        <v>2040423.1</v>
      </c>
      <c r="CP157" s="9">
        <v>464857.34</v>
      </c>
      <c r="CQ157" s="9">
        <v>1575565.76</v>
      </c>
      <c r="CR157" s="9">
        <v>1183361.27</v>
      </c>
      <c r="CS157" s="9">
        <v>341624.89</v>
      </c>
      <c r="CT157" s="9">
        <v>841736.37999999989</v>
      </c>
      <c r="CU157" s="9">
        <v>857061.82999999984</v>
      </c>
      <c r="CV157" s="9">
        <v>123232.45</v>
      </c>
      <c r="CW157" s="9">
        <v>733829.37999999989</v>
      </c>
      <c r="CX157" s="9">
        <v>4381695.49</v>
      </c>
      <c r="CY157" s="9">
        <v>3813922.32</v>
      </c>
      <c r="CZ157" s="9">
        <v>567773.16999999993</v>
      </c>
      <c r="DA157" s="9">
        <v>3152345.99</v>
      </c>
      <c r="DB157" s="9">
        <v>3016576.61</v>
      </c>
      <c r="DC157" s="9">
        <v>135769.38</v>
      </c>
      <c r="DD157" s="9">
        <v>1229349.5</v>
      </c>
      <c r="DE157" s="9">
        <v>797345.71</v>
      </c>
      <c r="DF157" s="9">
        <v>432003.79</v>
      </c>
      <c r="DG157" s="9">
        <v>7975884.5999999996</v>
      </c>
      <c r="DH157" s="9">
        <v>1553766.01</v>
      </c>
    </row>
    <row r="158" spans="1:112" x14ac:dyDescent="0.2">
      <c r="A158" s="8" t="s">
        <v>856</v>
      </c>
      <c r="B158" s="8" t="s">
        <v>379</v>
      </c>
      <c r="C158" s="8" t="s">
        <v>380</v>
      </c>
      <c r="D158" s="9">
        <v>7092594.5099999998</v>
      </c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>
        <v>104533.84</v>
      </c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>
        <v>306126.19</v>
      </c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>
        <v>3149728.36</v>
      </c>
      <c r="BB158" s="9"/>
      <c r="BC158" s="9">
        <v>3950963.86</v>
      </c>
      <c r="BD158" s="9"/>
      <c r="BE158" s="9">
        <v>26590.33</v>
      </c>
      <c r="BF158" s="9"/>
      <c r="BG158" s="9">
        <v>77943.509999999995</v>
      </c>
      <c r="BH158" s="9"/>
      <c r="BI158" s="9">
        <v>42549.08</v>
      </c>
      <c r="BJ158" s="9"/>
      <c r="BK158" s="9">
        <v>263577.11</v>
      </c>
      <c r="BL158" s="9"/>
      <c r="BM158" s="9">
        <v>4812623.0200000005</v>
      </c>
      <c r="BN158" s="9">
        <v>2973281.27</v>
      </c>
      <c r="BO158" s="9"/>
      <c r="BP158" s="9">
        <v>1839341.75</v>
      </c>
      <c r="BQ158" s="9"/>
      <c r="BR158" s="9">
        <v>64520.02</v>
      </c>
      <c r="BS158" s="9">
        <v>25287.51</v>
      </c>
      <c r="BT158" s="9"/>
      <c r="BU158" s="9">
        <v>39232.51</v>
      </c>
      <c r="BV158" s="9"/>
      <c r="BW158" s="9">
        <v>202750.6</v>
      </c>
      <c r="BX158" s="9">
        <v>31443.79</v>
      </c>
      <c r="BY158" s="9"/>
      <c r="BZ158" s="9">
        <v>171306.81</v>
      </c>
      <c r="CA158" s="9"/>
      <c r="CB158" s="9">
        <v>21584.6</v>
      </c>
      <c r="CC158" s="9">
        <v>7114179.1099999994</v>
      </c>
      <c r="CD158" s="9"/>
      <c r="CE158" s="9"/>
      <c r="CF158" s="9">
        <v>6313216.1899999995</v>
      </c>
      <c r="CG158" s="9">
        <v>4250048.7699999996</v>
      </c>
      <c r="CH158" s="9">
        <v>2063167.42</v>
      </c>
      <c r="CI158" s="9">
        <v>4293742.3800000008</v>
      </c>
      <c r="CJ158" s="9">
        <v>3366062.92</v>
      </c>
      <c r="CK158" s="9">
        <v>927679.46</v>
      </c>
      <c r="CL158" s="9">
        <v>2019473.81</v>
      </c>
      <c r="CM158" s="9">
        <v>883985.85</v>
      </c>
      <c r="CN158" s="9">
        <v>1135487.96</v>
      </c>
      <c r="CO158" s="9">
        <v>1870160.05</v>
      </c>
      <c r="CP158" s="9">
        <v>414518.23</v>
      </c>
      <c r="CQ158" s="9">
        <v>1455641.82</v>
      </c>
      <c r="CR158" s="9">
        <v>1048159.68</v>
      </c>
      <c r="CS158" s="9">
        <v>292755.62</v>
      </c>
      <c r="CT158" s="9">
        <v>755404.06</v>
      </c>
      <c r="CU158" s="9">
        <v>822000.37</v>
      </c>
      <c r="CV158" s="9">
        <v>121762.61</v>
      </c>
      <c r="CW158" s="9">
        <v>700237.76</v>
      </c>
      <c r="CX158" s="9">
        <v>4443056.1399999997</v>
      </c>
      <c r="CY158" s="9">
        <v>3835530.540000001</v>
      </c>
      <c r="CZ158" s="9">
        <v>607525.6</v>
      </c>
      <c r="DA158" s="9">
        <v>3245582.7</v>
      </c>
      <c r="DB158" s="9">
        <v>3073307.3</v>
      </c>
      <c r="DC158" s="9">
        <v>172275.4</v>
      </c>
      <c r="DD158" s="9">
        <v>1197473.44</v>
      </c>
      <c r="DE158" s="9">
        <v>762223.24</v>
      </c>
      <c r="DF158" s="9">
        <v>435250.2</v>
      </c>
      <c r="DG158" s="9">
        <v>7794783.9800000004</v>
      </c>
      <c r="DH158" s="9">
        <v>1481567.79</v>
      </c>
    </row>
    <row r="159" spans="1:112" x14ac:dyDescent="0.2">
      <c r="A159" s="8" t="s">
        <v>856</v>
      </c>
      <c r="B159" s="8" t="s">
        <v>379</v>
      </c>
      <c r="C159" s="8" t="s">
        <v>381</v>
      </c>
      <c r="D159" s="9">
        <v>7121233.9199999999</v>
      </c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>
        <v>109610.9</v>
      </c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>
        <v>304879.02</v>
      </c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>
        <v>3193434.1</v>
      </c>
      <c r="BB159" s="9"/>
      <c r="BC159" s="9">
        <v>3936800.52</v>
      </c>
      <c r="BD159" s="9"/>
      <c r="BE159" s="9">
        <v>30404</v>
      </c>
      <c r="BF159" s="9"/>
      <c r="BG159" s="9">
        <v>79206.899999999994</v>
      </c>
      <c r="BH159" s="9"/>
      <c r="BI159" s="9">
        <v>45435.51</v>
      </c>
      <c r="BJ159" s="9"/>
      <c r="BK159" s="9">
        <v>259443.5</v>
      </c>
      <c r="BL159" s="9"/>
      <c r="BM159" s="9">
        <v>4832359.9800000004</v>
      </c>
      <c r="BN159" s="9">
        <v>2997797.62</v>
      </c>
      <c r="BO159" s="9"/>
      <c r="BP159" s="9">
        <v>1834562.37</v>
      </c>
      <c r="BQ159" s="9"/>
      <c r="BR159" s="9">
        <v>67743.360000000001</v>
      </c>
      <c r="BS159" s="9">
        <v>28510.81</v>
      </c>
      <c r="BT159" s="9"/>
      <c r="BU159" s="9">
        <v>39232.550000000003</v>
      </c>
      <c r="BV159" s="9"/>
      <c r="BW159" s="9">
        <v>208653.8</v>
      </c>
      <c r="BX159" s="9">
        <v>33805.43</v>
      </c>
      <c r="BY159" s="9"/>
      <c r="BZ159" s="9">
        <v>174848.37</v>
      </c>
      <c r="CA159" s="9"/>
      <c r="CB159" s="9">
        <v>21602.62</v>
      </c>
      <c r="CC159" s="9">
        <v>7142836.54</v>
      </c>
      <c r="CD159" s="9"/>
      <c r="CE159" s="9"/>
      <c r="CF159" s="9">
        <v>6331355.9000000004</v>
      </c>
      <c r="CG159" s="9">
        <v>4342642.3599999994</v>
      </c>
      <c r="CH159" s="9">
        <v>1988713.54</v>
      </c>
      <c r="CI159" s="9">
        <v>4344611.0899999989</v>
      </c>
      <c r="CJ159" s="9">
        <v>3440229.62</v>
      </c>
      <c r="CK159" s="9">
        <v>904381.47</v>
      </c>
      <c r="CL159" s="9">
        <v>1986744.81</v>
      </c>
      <c r="CM159" s="9">
        <v>902412.74</v>
      </c>
      <c r="CN159" s="9">
        <v>1084332.0699999998</v>
      </c>
      <c r="CO159" s="9">
        <v>1799100.26</v>
      </c>
      <c r="CP159" s="9">
        <v>415582.09</v>
      </c>
      <c r="CQ159" s="9">
        <v>1383518.1700000002</v>
      </c>
      <c r="CR159" s="9">
        <v>998495.51</v>
      </c>
      <c r="CS159" s="9">
        <v>277395.46000000002</v>
      </c>
      <c r="CT159" s="9">
        <v>721100.05</v>
      </c>
      <c r="CU159" s="9">
        <v>800604.74999999988</v>
      </c>
      <c r="CV159" s="9">
        <v>138186.63</v>
      </c>
      <c r="CW159" s="9">
        <v>662418.11999999988</v>
      </c>
      <c r="CX159" s="9">
        <v>4532255.6399999997</v>
      </c>
      <c r="CY159" s="9">
        <v>3927060.27</v>
      </c>
      <c r="CZ159" s="9">
        <v>605195.37</v>
      </c>
      <c r="DA159" s="9">
        <v>3346115.5799999996</v>
      </c>
      <c r="DB159" s="9">
        <v>3162834.1599999997</v>
      </c>
      <c r="DC159" s="9">
        <v>183281.42</v>
      </c>
      <c r="DD159" s="9">
        <v>1186140.06</v>
      </c>
      <c r="DE159" s="9">
        <v>764226.11</v>
      </c>
      <c r="DF159" s="9">
        <v>421913.95</v>
      </c>
      <c r="DG159" s="9">
        <v>7752938.2199999997</v>
      </c>
      <c r="DH159" s="9">
        <v>1421582.32</v>
      </c>
    </row>
    <row r="160" spans="1:112" x14ac:dyDescent="0.2">
      <c r="A160" s="8" t="s">
        <v>856</v>
      </c>
      <c r="B160" s="8" t="s">
        <v>379</v>
      </c>
      <c r="C160" s="8" t="s">
        <v>382</v>
      </c>
      <c r="D160" s="9">
        <v>7336370.3799999999</v>
      </c>
      <c r="E160" s="9">
        <v>7336370.3799999999</v>
      </c>
      <c r="F160" s="9">
        <v>184985.56</v>
      </c>
      <c r="G160" s="9">
        <v>839738.21</v>
      </c>
      <c r="H160" s="9">
        <v>823202.18</v>
      </c>
      <c r="I160" s="9">
        <v>26778.61</v>
      </c>
      <c r="J160" s="9">
        <v>710951.14</v>
      </c>
      <c r="K160" s="9">
        <v>1228891.75</v>
      </c>
      <c r="L160" s="9">
        <v>230526.31</v>
      </c>
      <c r="M160" s="9">
        <v>1301411.78</v>
      </c>
      <c r="N160" s="9">
        <v>33760.089999999997</v>
      </c>
      <c r="O160" s="9">
        <v>50209.440000000002</v>
      </c>
      <c r="P160" s="9">
        <v>55139.6</v>
      </c>
      <c r="Q160" s="9">
        <v>42496.38</v>
      </c>
      <c r="R160" s="9">
        <v>1808279.34</v>
      </c>
      <c r="S160" s="9">
        <v>0</v>
      </c>
      <c r="T160" s="9">
        <v>0</v>
      </c>
      <c r="U160" s="9">
        <v>0</v>
      </c>
      <c r="V160" s="9">
        <v>0</v>
      </c>
      <c r="W160" s="9">
        <v>98591.84</v>
      </c>
      <c r="X160" s="9">
        <v>98446.26</v>
      </c>
      <c r="Y160" s="9">
        <v>1055.54</v>
      </c>
      <c r="Z160" s="9">
        <v>11202.85</v>
      </c>
      <c r="AA160" s="9">
        <v>6757.74</v>
      </c>
      <c r="AB160" s="9">
        <v>3389.29</v>
      </c>
      <c r="AC160" s="9">
        <v>18299.990000000002</v>
      </c>
      <c r="AD160" s="9">
        <v>4716.3999999999996</v>
      </c>
      <c r="AE160" s="9">
        <v>19459.63</v>
      </c>
      <c r="AF160" s="9">
        <v>10988.73</v>
      </c>
      <c r="AG160" s="9">
        <v>4.9000000000000004</v>
      </c>
      <c r="AH160" s="9">
        <v>1328.62</v>
      </c>
      <c r="AI160" s="9">
        <v>567.09</v>
      </c>
      <c r="AJ160" s="9">
        <v>313.64999999999998</v>
      </c>
      <c r="AK160" s="9">
        <v>20361.84</v>
      </c>
      <c r="AL160" s="9">
        <v>307516.78999999998</v>
      </c>
      <c r="AM160" s="9">
        <v>307285.45</v>
      </c>
      <c r="AN160" s="9">
        <v>10780.75</v>
      </c>
      <c r="AO160" s="9">
        <v>103355.13</v>
      </c>
      <c r="AP160" s="9">
        <v>27660.91</v>
      </c>
      <c r="AQ160" s="9">
        <v>2114.14</v>
      </c>
      <c r="AR160" s="9">
        <v>42924.86</v>
      </c>
      <c r="AS160" s="9">
        <v>48584.05</v>
      </c>
      <c r="AT160" s="9">
        <v>15212.03</v>
      </c>
      <c r="AU160" s="9">
        <v>26883.73</v>
      </c>
      <c r="AV160" s="9">
        <v>935.54</v>
      </c>
      <c r="AW160" s="9">
        <v>2449.58</v>
      </c>
      <c r="AX160" s="9">
        <v>6424.81</v>
      </c>
      <c r="AY160" s="9">
        <v>196.5</v>
      </c>
      <c r="AZ160" s="9">
        <v>19763.400000000001</v>
      </c>
      <c r="BA160" s="9">
        <v>3321720.8800000004</v>
      </c>
      <c r="BB160" s="9"/>
      <c r="BC160" s="9">
        <v>4026076.149999999</v>
      </c>
      <c r="BD160" s="9"/>
      <c r="BE160" s="9">
        <v>30049.79</v>
      </c>
      <c r="BF160" s="9"/>
      <c r="BG160" s="9">
        <v>68542.05</v>
      </c>
      <c r="BH160" s="9"/>
      <c r="BI160" s="9">
        <v>47075.05</v>
      </c>
      <c r="BJ160" s="9"/>
      <c r="BK160" s="9">
        <v>260441.73</v>
      </c>
      <c r="BL160" s="9"/>
      <c r="BM160" s="9">
        <v>4996466.1399999997</v>
      </c>
      <c r="BN160" s="9">
        <v>3112675.96</v>
      </c>
      <c r="BO160" s="9"/>
      <c r="BP160" s="9">
        <v>1883790.17</v>
      </c>
      <c r="BQ160" s="9"/>
      <c r="BR160" s="9">
        <v>67693.16</v>
      </c>
      <c r="BS160" s="9">
        <v>27827.75</v>
      </c>
      <c r="BT160" s="9"/>
      <c r="BU160" s="9">
        <v>39865.410000000003</v>
      </c>
      <c r="BV160" s="9"/>
      <c r="BW160" s="9">
        <v>210480.09</v>
      </c>
      <c r="BX160" s="9">
        <v>35642.120000000003</v>
      </c>
      <c r="BY160" s="9"/>
      <c r="BZ160" s="9">
        <v>174837.96</v>
      </c>
      <c r="CA160" s="9"/>
      <c r="CB160" s="9">
        <v>20820.64</v>
      </c>
      <c r="CC160" s="9">
        <v>7357191.0199999996</v>
      </c>
      <c r="CD160" s="9"/>
      <c r="CE160" s="9"/>
      <c r="CF160" s="9">
        <v>6408507.6600000001</v>
      </c>
      <c r="CG160" s="9">
        <v>4347460.3499999996</v>
      </c>
      <c r="CH160" s="9">
        <v>2061047.31</v>
      </c>
      <c r="CI160" s="9">
        <v>4448983.66</v>
      </c>
      <c r="CJ160" s="9">
        <v>3476279.76</v>
      </c>
      <c r="CK160" s="9">
        <v>972703.9</v>
      </c>
      <c r="CL160" s="9">
        <v>1959524</v>
      </c>
      <c r="CM160" s="9">
        <v>871180.59</v>
      </c>
      <c r="CN160" s="9">
        <v>1088343.4099999999</v>
      </c>
      <c r="CO160" s="9">
        <v>1908402.82</v>
      </c>
      <c r="CP160" s="9">
        <v>416697.49</v>
      </c>
      <c r="CQ160" s="9">
        <v>1491705.33</v>
      </c>
      <c r="CR160" s="9">
        <v>1088548.1499999999</v>
      </c>
      <c r="CS160" s="9">
        <v>287607.25</v>
      </c>
      <c r="CT160" s="9">
        <v>800940.89999999991</v>
      </c>
      <c r="CU160" s="9">
        <v>819854.67</v>
      </c>
      <c r="CV160" s="9">
        <v>129090.24000000001</v>
      </c>
      <c r="CW160" s="9">
        <v>690764.43</v>
      </c>
      <c r="CX160" s="9">
        <v>4500104.84</v>
      </c>
      <c r="CY160" s="9">
        <v>3930762.86</v>
      </c>
      <c r="CZ160" s="9">
        <v>569341.98</v>
      </c>
      <c r="DA160" s="9">
        <v>3360435.51</v>
      </c>
      <c r="DB160" s="9">
        <v>3188672.51</v>
      </c>
      <c r="DC160" s="9">
        <v>171763</v>
      </c>
      <c r="DD160" s="9">
        <v>1139669.3299999998</v>
      </c>
      <c r="DE160" s="9">
        <v>742090.35</v>
      </c>
      <c r="DF160" s="9">
        <v>397578.98</v>
      </c>
      <c r="DG160" s="9">
        <v>7814600.1200000001</v>
      </c>
      <c r="DH160" s="9">
        <v>1406092.46</v>
      </c>
    </row>
    <row r="161" spans="1:112" x14ac:dyDescent="0.2">
      <c r="A161" s="8" t="s">
        <v>856</v>
      </c>
      <c r="B161" s="8" t="s">
        <v>383</v>
      </c>
      <c r="C161" s="8" t="s">
        <v>384</v>
      </c>
      <c r="D161" s="9">
        <v>7716802.6100000003</v>
      </c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>
        <v>109612.81</v>
      </c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>
        <v>309411.76</v>
      </c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>
        <v>3449585.59</v>
      </c>
      <c r="BB161" s="9"/>
      <c r="BC161" s="9">
        <v>4278265.96</v>
      </c>
      <c r="BD161" s="9"/>
      <c r="BE161" s="9">
        <v>31495.72</v>
      </c>
      <c r="BF161" s="9"/>
      <c r="BG161" s="9">
        <v>78117.09</v>
      </c>
      <c r="BH161" s="9"/>
      <c r="BI161" s="9">
        <v>47551.4</v>
      </c>
      <c r="BJ161" s="9"/>
      <c r="BK161" s="9">
        <v>261860.37</v>
      </c>
      <c r="BL161" s="9"/>
      <c r="BM161" s="9">
        <v>5208212.6100000003</v>
      </c>
      <c r="BN161" s="9">
        <v>3246330.59</v>
      </c>
      <c r="BO161" s="9"/>
      <c r="BP161" s="9">
        <v>1961882.0200000005</v>
      </c>
      <c r="BQ161" s="9"/>
      <c r="BR161" s="9">
        <v>66202.399999999994</v>
      </c>
      <c r="BS161" s="9">
        <v>29153.15</v>
      </c>
      <c r="BT161" s="9"/>
      <c r="BU161" s="9">
        <v>37049.25</v>
      </c>
      <c r="BV161" s="9"/>
      <c r="BW161" s="9">
        <v>211344.58</v>
      </c>
      <c r="BX161" s="9">
        <v>35807.67</v>
      </c>
      <c r="BY161" s="9"/>
      <c r="BZ161" s="9">
        <v>175536.91</v>
      </c>
      <c r="CA161" s="9"/>
      <c r="CB161" s="9">
        <v>20866.62</v>
      </c>
      <c r="CC161" s="9">
        <v>7737669.2300000004</v>
      </c>
      <c r="CD161" s="9"/>
      <c r="CE161" s="9"/>
      <c r="CF161" s="9">
        <v>6268173.7899999991</v>
      </c>
      <c r="CG161" s="9">
        <v>4404702.4800000004</v>
      </c>
      <c r="CH161" s="9">
        <v>1863471.31</v>
      </c>
      <c r="CI161" s="9">
        <v>4460143.97</v>
      </c>
      <c r="CJ161" s="9">
        <v>3482304</v>
      </c>
      <c r="CK161" s="9">
        <v>977839.97</v>
      </c>
      <c r="CL161" s="9">
        <v>1808029.82</v>
      </c>
      <c r="CM161" s="9">
        <v>922398.48</v>
      </c>
      <c r="CN161" s="9">
        <v>885631.34</v>
      </c>
      <c r="CO161" s="9">
        <v>1932769.9499999995</v>
      </c>
      <c r="CP161" s="9">
        <v>453236.89</v>
      </c>
      <c r="CQ161" s="9">
        <v>1479533.06</v>
      </c>
      <c r="CR161" s="9">
        <v>1121144.1299999999</v>
      </c>
      <c r="CS161" s="9">
        <v>309703.59999999998</v>
      </c>
      <c r="CT161" s="9">
        <v>811440.53</v>
      </c>
      <c r="CU161" s="9">
        <v>811625.82</v>
      </c>
      <c r="CV161" s="9">
        <v>143533.29</v>
      </c>
      <c r="CW161" s="9">
        <v>668092.52999999991</v>
      </c>
      <c r="CX161" s="9">
        <v>4335403.84</v>
      </c>
      <c r="CY161" s="9">
        <v>3951465.59</v>
      </c>
      <c r="CZ161" s="9">
        <v>383938.25</v>
      </c>
      <c r="DA161" s="9">
        <v>3338999.84</v>
      </c>
      <c r="DB161" s="9">
        <v>3172600.4</v>
      </c>
      <c r="DC161" s="9">
        <v>166399.44</v>
      </c>
      <c r="DD161" s="9">
        <v>996404</v>
      </c>
      <c r="DE161" s="9">
        <v>778865.19</v>
      </c>
      <c r="DF161" s="9">
        <v>217538.81</v>
      </c>
      <c r="DG161" s="9">
        <v>7717490.2300000004</v>
      </c>
      <c r="DH161" s="9">
        <v>1449316.44</v>
      </c>
    </row>
    <row r="162" spans="1:112" x14ac:dyDescent="0.2">
      <c r="A162" s="8" t="s">
        <v>856</v>
      </c>
      <c r="B162" s="8" t="s">
        <v>383</v>
      </c>
      <c r="C162" s="8" t="s">
        <v>385</v>
      </c>
      <c r="D162" s="9">
        <v>8172160.29</v>
      </c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>
        <v>145104.19</v>
      </c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>
        <v>316684.36</v>
      </c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>
        <v>3618956.61</v>
      </c>
      <c r="BB162" s="9"/>
      <c r="BC162" s="9">
        <v>4564054.1399999997</v>
      </c>
      <c r="BD162" s="9"/>
      <c r="BE162" s="9">
        <v>30335.96</v>
      </c>
      <c r="BF162" s="9"/>
      <c r="BG162" s="9">
        <v>114768.22</v>
      </c>
      <c r="BH162" s="9"/>
      <c r="BI162" s="9">
        <v>47451.519999999997</v>
      </c>
      <c r="BJ162" s="9"/>
      <c r="BK162" s="9">
        <v>269232.84000000003</v>
      </c>
      <c r="BL162" s="9"/>
      <c r="BM162" s="9">
        <v>5594624.2600000007</v>
      </c>
      <c r="BN162" s="9">
        <v>3410328.4000000004</v>
      </c>
      <c r="BO162" s="9"/>
      <c r="BP162" s="9">
        <v>2184295.84</v>
      </c>
      <c r="BQ162" s="9"/>
      <c r="BR162" s="9">
        <v>57976.59</v>
      </c>
      <c r="BS162" s="9">
        <v>28210.45</v>
      </c>
      <c r="BT162" s="9"/>
      <c r="BU162" s="9">
        <v>29766.13</v>
      </c>
      <c r="BV162" s="9"/>
      <c r="BW162" s="9">
        <v>213020.11</v>
      </c>
      <c r="BX162" s="9">
        <v>35606.47</v>
      </c>
      <c r="BY162" s="9"/>
      <c r="BZ162" s="9">
        <v>177413.64</v>
      </c>
      <c r="CA162" s="9"/>
      <c r="CB162" s="9">
        <v>20961.89</v>
      </c>
      <c r="CC162" s="9">
        <v>8193122.1799999997</v>
      </c>
      <c r="CD162" s="9"/>
      <c r="CE162" s="9"/>
      <c r="CF162" s="9">
        <v>6519622.9900000002</v>
      </c>
      <c r="CG162" s="9">
        <v>4470118.96</v>
      </c>
      <c r="CH162" s="9">
        <v>2049504.03</v>
      </c>
      <c r="CI162" s="9">
        <v>4515986.92</v>
      </c>
      <c r="CJ162" s="9">
        <v>3537786.6500000004</v>
      </c>
      <c r="CK162" s="9">
        <v>978200.27</v>
      </c>
      <c r="CL162" s="9">
        <v>2003636.07</v>
      </c>
      <c r="CM162" s="9">
        <v>932332.31</v>
      </c>
      <c r="CN162" s="9">
        <v>1071303.76</v>
      </c>
      <c r="CO162" s="9">
        <v>2141327.4900000002</v>
      </c>
      <c r="CP162" s="9">
        <v>465026.01</v>
      </c>
      <c r="CQ162" s="9">
        <v>1676301.4800000002</v>
      </c>
      <c r="CR162" s="9">
        <v>1154295.8500000001</v>
      </c>
      <c r="CS162" s="9">
        <v>340084.32</v>
      </c>
      <c r="CT162" s="9">
        <v>814211.53</v>
      </c>
      <c r="CU162" s="9">
        <v>987031.64</v>
      </c>
      <c r="CV162" s="9">
        <v>124941.69</v>
      </c>
      <c r="CW162" s="9">
        <v>862089.95</v>
      </c>
      <c r="CX162" s="9">
        <v>4378295.5</v>
      </c>
      <c r="CY162" s="9">
        <v>4005092.95</v>
      </c>
      <c r="CZ162" s="9">
        <v>373202.55</v>
      </c>
      <c r="DA162" s="9">
        <v>3361691.0700000003</v>
      </c>
      <c r="DB162" s="9">
        <v>3197702.33</v>
      </c>
      <c r="DC162" s="9">
        <v>163988.74</v>
      </c>
      <c r="DD162" s="9">
        <v>1016604.43</v>
      </c>
      <c r="DE162" s="9">
        <v>807390.62</v>
      </c>
      <c r="DF162" s="9">
        <v>209213.81</v>
      </c>
      <c r="DG162" s="9">
        <v>8438129.790000001</v>
      </c>
      <c r="DH162" s="9">
        <v>1918506.8</v>
      </c>
    </row>
    <row r="163" spans="1:112" x14ac:dyDescent="0.2">
      <c r="A163" s="8" t="s">
        <v>856</v>
      </c>
      <c r="B163" s="8" t="s">
        <v>383</v>
      </c>
      <c r="C163" s="8" t="s">
        <v>386</v>
      </c>
      <c r="D163" s="9">
        <v>8553473.8499999996</v>
      </c>
      <c r="E163" s="9">
        <v>8553473.8499999996</v>
      </c>
      <c r="F163" s="9">
        <v>214239.79</v>
      </c>
      <c r="G163" s="9">
        <v>925445.73</v>
      </c>
      <c r="H163" s="9">
        <v>919901.52</v>
      </c>
      <c r="I163" s="9">
        <v>45262.91</v>
      </c>
      <c r="J163" s="9">
        <v>1195358.46</v>
      </c>
      <c r="K163" s="9">
        <v>1513032.48</v>
      </c>
      <c r="L163" s="9">
        <v>236398.4</v>
      </c>
      <c r="M163" s="9">
        <v>1323684.56</v>
      </c>
      <c r="N163" s="9">
        <v>47354.400000000001</v>
      </c>
      <c r="O163" s="9">
        <v>50524.87</v>
      </c>
      <c r="P163" s="9">
        <v>37476.550000000003</v>
      </c>
      <c r="Q163" s="9">
        <v>52235.47</v>
      </c>
      <c r="R163" s="9">
        <v>1992558.72</v>
      </c>
      <c r="S163" s="9">
        <v>0</v>
      </c>
      <c r="T163" s="9">
        <v>0</v>
      </c>
      <c r="U163" s="9">
        <v>0</v>
      </c>
      <c r="V163" s="9">
        <v>0</v>
      </c>
      <c r="W163" s="9">
        <v>148420.20000000001</v>
      </c>
      <c r="X163" s="9">
        <v>148022.13</v>
      </c>
      <c r="Y163" s="9">
        <v>1176.5</v>
      </c>
      <c r="Z163" s="9">
        <v>51132.27</v>
      </c>
      <c r="AA163" s="9">
        <v>13134.02</v>
      </c>
      <c r="AB163" s="9">
        <v>134.24</v>
      </c>
      <c r="AC163" s="9">
        <v>18108.03</v>
      </c>
      <c r="AD163" s="9">
        <v>9588.52</v>
      </c>
      <c r="AE163" s="9">
        <v>19192.59</v>
      </c>
      <c r="AF163" s="9">
        <v>15276.1</v>
      </c>
      <c r="AG163" s="9">
        <v>2.2400000000000002</v>
      </c>
      <c r="AH163" s="9">
        <v>1273.46</v>
      </c>
      <c r="AI163" s="9">
        <v>126.9</v>
      </c>
      <c r="AJ163" s="9">
        <v>424.11</v>
      </c>
      <c r="AK163" s="9">
        <v>18453.14</v>
      </c>
      <c r="AL163" s="9">
        <v>315255.75</v>
      </c>
      <c r="AM163" s="9">
        <v>314803.05</v>
      </c>
      <c r="AN163" s="9">
        <v>10837.85</v>
      </c>
      <c r="AO163" s="9">
        <v>106965.31</v>
      </c>
      <c r="AP163" s="9">
        <v>32157.79</v>
      </c>
      <c r="AQ163" s="9">
        <v>5343.04</v>
      </c>
      <c r="AR163" s="9">
        <v>37837.730000000003</v>
      </c>
      <c r="AS163" s="9">
        <v>52071.78</v>
      </c>
      <c r="AT163" s="9">
        <v>15146.13</v>
      </c>
      <c r="AU163" s="9">
        <v>21803.27</v>
      </c>
      <c r="AV163" s="9">
        <v>936.7</v>
      </c>
      <c r="AW163" s="9">
        <v>2401.77</v>
      </c>
      <c r="AX163" s="9">
        <v>5976.51</v>
      </c>
      <c r="AY163" s="9">
        <v>292.56</v>
      </c>
      <c r="AZ163" s="9">
        <v>23032.63</v>
      </c>
      <c r="BA163" s="9">
        <v>3757091.38</v>
      </c>
      <c r="BB163" s="9"/>
      <c r="BC163" s="9">
        <v>4807235.9000000004</v>
      </c>
      <c r="BD163" s="9"/>
      <c r="BE163" s="9">
        <v>33145.730000000003</v>
      </c>
      <c r="BF163" s="9"/>
      <c r="BG163" s="9">
        <v>115274.46</v>
      </c>
      <c r="BH163" s="9"/>
      <c r="BI163" s="9">
        <v>47967.47</v>
      </c>
      <c r="BJ163" s="9"/>
      <c r="BK163" s="9">
        <v>267288.28999999992</v>
      </c>
      <c r="BL163" s="9"/>
      <c r="BM163" s="9">
        <v>6009812.3999999985</v>
      </c>
      <c r="BN163" s="9">
        <v>3538781.4800000004</v>
      </c>
      <c r="BO163" s="9"/>
      <c r="BP163" s="9">
        <v>2471030.9299999997</v>
      </c>
      <c r="BQ163" s="9"/>
      <c r="BR163" s="9">
        <v>57491.06</v>
      </c>
      <c r="BS163" s="9">
        <v>28535.72</v>
      </c>
      <c r="BT163" s="9"/>
      <c r="BU163" s="9">
        <v>28955.34</v>
      </c>
      <c r="BV163" s="9"/>
      <c r="BW163" s="9">
        <v>215793.23</v>
      </c>
      <c r="BX163" s="9">
        <v>35878.99</v>
      </c>
      <c r="BY163" s="9"/>
      <c r="BZ163" s="9">
        <v>179914.23999999999</v>
      </c>
      <c r="CA163" s="9"/>
      <c r="CB163" s="9">
        <v>20976.12</v>
      </c>
      <c r="CC163" s="9">
        <v>8574449.9699999988</v>
      </c>
      <c r="CD163" s="9"/>
      <c r="CE163" s="9"/>
      <c r="CF163" s="9">
        <v>6773923.54</v>
      </c>
      <c r="CG163" s="9">
        <v>4550986.42</v>
      </c>
      <c r="CH163" s="9">
        <v>2222937.1199999996</v>
      </c>
      <c r="CI163" s="9">
        <v>4823279.330000001</v>
      </c>
      <c r="CJ163" s="9">
        <v>3621561.81</v>
      </c>
      <c r="CK163" s="9">
        <v>1201717.52</v>
      </c>
      <c r="CL163" s="9">
        <v>1950644.2099999995</v>
      </c>
      <c r="CM163" s="9">
        <v>929424.61</v>
      </c>
      <c r="CN163" s="9">
        <v>1021219.6</v>
      </c>
      <c r="CO163" s="9">
        <v>2332723.2400000002</v>
      </c>
      <c r="CP163" s="9">
        <v>499968.56</v>
      </c>
      <c r="CQ163" s="9">
        <v>1832754.68</v>
      </c>
      <c r="CR163" s="9">
        <v>1400533.14</v>
      </c>
      <c r="CS163" s="9">
        <v>380807.39</v>
      </c>
      <c r="CT163" s="9">
        <v>1019725.75</v>
      </c>
      <c r="CU163" s="9">
        <v>932190.1</v>
      </c>
      <c r="CV163" s="9">
        <v>119161.17</v>
      </c>
      <c r="CW163" s="9">
        <v>813028.92999999993</v>
      </c>
      <c r="CX163" s="9">
        <v>4441200.3</v>
      </c>
      <c r="CY163" s="9">
        <v>4051017.86</v>
      </c>
      <c r="CZ163" s="9">
        <v>390182.44</v>
      </c>
      <c r="DA163" s="9">
        <v>3422746.1900000004</v>
      </c>
      <c r="DB163" s="9">
        <v>3240754.42</v>
      </c>
      <c r="DC163" s="9">
        <v>181991.77</v>
      </c>
      <c r="DD163" s="9">
        <v>1018454.11</v>
      </c>
      <c r="DE163" s="9">
        <v>810263.44</v>
      </c>
      <c r="DF163" s="9">
        <v>208190.67</v>
      </c>
      <c r="DG163" s="9">
        <v>8561120.0499999989</v>
      </c>
      <c r="DH163" s="9">
        <v>1787196.51</v>
      </c>
    </row>
    <row r="164" spans="1:112" x14ac:dyDescent="0.2">
      <c r="A164" s="8" t="s">
        <v>856</v>
      </c>
      <c r="B164" s="8" t="s">
        <v>387</v>
      </c>
      <c r="C164" s="8" t="s">
        <v>388</v>
      </c>
      <c r="D164" s="9">
        <v>9062907.5899999999</v>
      </c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>
        <v>159957.1</v>
      </c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>
        <v>451383.1</v>
      </c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>
        <v>3962304.31</v>
      </c>
      <c r="BB164" s="9"/>
      <c r="BC164" s="9">
        <v>5112860.3000000007</v>
      </c>
      <c r="BD164" s="9"/>
      <c r="BE164" s="9">
        <v>36023.29</v>
      </c>
      <c r="BF164" s="9"/>
      <c r="BG164" s="9">
        <v>123933.81</v>
      </c>
      <c r="BH164" s="9"/>
      <c r="BI164" s="9">
        <v>48012.08</v>
      </c>
      <c r="BJ164" s="9"/>
      <c r="BK164" s="9">
        <v>403371.02</v>
      </c>
      <c r="BL164" s="9"/>
      <c r="BM164" s="9">
        <v>6394540.5999999996</v>
      </c>
      <c r="BN164" s="9">
        <v>3743170.6</v>
      </c>
      <c r="BO164" s="9"/>
      <c r="BP164" s="9">
        <v>2651370.0000000005</v>
      </c>
      <c r="BQ164" s="9"/>
      <c r="BR164" s="9">
        <v>57276.65</v>
      </c>
      <c r="BS164" s="9">
        <v>31475.81</v>
      </c>
      <c r="BT164" s="9"/>
      <c r="BU164" s="9">
        <v>25800.84</v>
      </c>
      <c r="BV164" s="9"/>
      <c r="BW164" s="9">
        <v>316468.65000000002</v>
      </c>
      <c r="BX164" s="9">
        <v>36588.26</v>
      </c>
      <c r="BY164" s="9"/>
      <c r="BZ164" s="9">
        <v>279880.38</v>
      </c>
      <c r="CA164" s="9"/>
      <c r="CB164" s="9">
        <v>21083.89</v>
      </c>
      <c r="CC164" s="9">
        <v>9083991.4800000004</v>
      </c>
      <c r="CD164" s="9"/>
      <c r="CE164" s="9"/>
      <c r="CF164" s="9">
        <v>6713382.8399999999</v>
      </c>
      <c r="CG164" s="9">
        <v>4590744.1500000004</v>
      </c>
      <c r="CH164" s="9">
        <v>2122638.6900000004</v>
      </c>
      <c r="CI164" s="9">
        <v>4703478.74</v>
      </c>
      <c r="CJ164" s="9">
        <v>3608780.32</v>
      </c>
      <c r="CK164" s="9">
        <v>1094698.42</v>
      </c>
      <c r="CL164" s="9">
        <v>2009904.1</v>
      </c>
      <c r="CM164" s="9">
        <v>981963.83</v>
      </c>
      <c r="CN164" s="9">
        <v>1027940.27</v>
      </c>
      <c r="CO164" s="9">
        <v>2222826.69</v>
      </c>
      <c r="CP164" s="9">
        <v>509517.14</v>
      </c>
      <c r="CQ164" s="9">
        <v>1713309.55</v>
      </c>
      <c r="CR164" s="9">
        <v>1307898.76</v>
      </c>
      <c r="CS164" s="9">
        <v>389256.56</v>
      </c>
      <c r="CT164" s="9">
        <v>918642.2</v>
      </c>
      <c r="CU164" s="9">
        <v>914927.93</v>
      </c>
      <c r="CV164" s="9">
        <v>120260.58</v>
      </c>
      <c r="CW164" s="9">
        <v>794667.35</v>
      </c>
      <c r="CX164" s="9">
        <v>4490556.1500000004</v>
      </c>
      <c r="CY164" s="9">
        <v>4081227.01</v>
      </c>
      <c r="CZ164" s="9">
        <v>409329.14</v>
      </c>
      <c r="DA164" s="9">
        <v>3395579.9799999995</v>
      </c>
      <c r="DB164" s="9">
        <v>3219523.76</v>
      </c>
      <c r="DC164" s="9">
        <v>176056.22</v>
      </c>
      <c r="DD164" s="9">
        <v>1094976.17</v>
      </c>
      <c r="DE164" s="9">
        <v>861703.25</v>
      </c>
      <c r="DF164" s="9">
        <v>233272.92</v>
      </c>
      <c r="DG164" s="9">
        <v>8702551.3699999992</v>
      </c>
      <c r="DH164" s="9">
        <v>1989168.53</v>
      </c>
    </row>
    <row r="165" spans="1:112" x14ac:dyDescent="0.2">
      <c r="A165" s="8" t="s">
        <v>856</v>
      </c>
      <c r="B165" s="8" t="s">
        <v>387</v>
      </c>
      <c r="C165" s="8" t="s">
        <v>389</v>
      </c>
      <c r="D165" s="9">
        <v>9728320.2400000002</v>
      </c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>
        <v>185052.98</v>
      </c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>
        <v>463269.99</v>
      </c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>
        <v>4310267.3499999996</v>
      </c>
      <c r="BB165" s="9"/>
      <c r="BC165" s="9">
        <v>5431856.3299999991</v>
      </c>
      <c r="BD165" s="9"/>
      <c r="BE165" s="9">
        <v>39257.120000000003</v>
      </c>
      <c r="BF165" s="9"/>
      <c r="BG165" s="9">
        <v>145795.85</v>
      </c>
      <c r="BH165" s="9"/>
      <c r="BI165" s="9">
        <v>48852.37</v>
      </c>
      <c r="BJ165" s="9"/>
      <c r="BK165" s="9">
        <v>414417.62000000011</v>
      </c>
      <c r="BL165" s="9"/>
      <c r="BM165" s="9">
        <v>6869390.2899999991</v>
      </c>
      <c r="BN165" s="9">
        <v>4090587.92</v>
      </c>
      <c r="BO165" s="9"/>
      <c r="BP165" s="9">
        <v>2778802.3599999994</v>
      </c>
      <c r="BQ165" s="9"/>
      <c r="BR165" s="9">
        <v>59656.42</v>
      </c>
      <c r="BS165" s="9">
        <v>32494.95</v>
      </c>
      <c r="BT165" s="9"/>
      <c r="BU165" s="9">
        <v>27161.47</v>
      </c>
      <c r="BV165" s="9"/>
      <c r="BW165" s="9">
        <v>324582.01</v>
      </c>
      <c r="BX165" s="9">
        <v>37565.19</v>
      </c>
      <c r="BY165" s="9"/>
      <c r="BZ165" s="9">
        <v>287016.81000000011</v>
      </c>
      <c r="CA165" s="9"/>
      <c r="CB165" s="9">
        <v>21248.959999999999</v>
      </c>
      <c r="CC165" s="9">
        <v>9749569.2000000011</v>
      </c>
      <c r="CD165" s="9"/>
      <c r="CE165" s="9"/>
      <c r="CF165" s="9">
        <v>6942966.7199999997</v>
      </c>
      <c r="CG165" s="9">
        <v>4691698.37</v>
      </c>
      <c r="CH165" s="9">
        <v>2251268.35</v>
      </c>
      <c r="CI165" s="9">
        <v>4607332.9800000004</v>
      </c>
      <c r="CJ165" s="9">
        <v>3541540.3899999997</v>
      </c>
      <c r="CK165" s="9">
        <v>1065792.5900000001</v>
      </c>
      <c r="CL165" s="9">
        <v>2335633.7400000002</v>
      </c>
      <c r="CM165" s="9">
        <v>1150157.98</v>
      </c>
      <c r="CN165" s="9">
        <v>1185475.76</v>
      </c>
      <c r="CO165" s="9">
        <v>2368226.5700000003</v>
      </c>
      <c r="CP165" s="9">
        <v>540820.74</v>
      </c>
      <c r="CQ165" s="9">
        <v>1827405.8300000003</v>
      </c>
      <c r="CR165" s="9">
        <v>1282410.3</v>
      </c>
      <c r="CS165" s="9">
        <v>391702.44</v>
      </c>
      <c r="CT165" s="9">
        <v>890707.86</v>
      </c>
      <c r="CU165" s="9">
        <v>1085816.2700000005</v>
      </c>
      <c r="CV165" s="9">
        <v>149118.29999999999</v>
      </c>
      <c r="CW165" s="9">
        <v>936697.97</v>
      </c>
      <c r="CX165" s="9">
        <v>4574740.1499999994</v>
      </c>
      <c r="CY165" s="9">
        <v>4150877.63</v>
      </c>
      <c r="CZ165" s="9">
        <v>423862.52</v>
      </c>
      <c r="DA165" s="9">
        <v>3324922.6799999997</v>
      </c>
      <c r="DB165" s="9">
        <v>3149837.9499999997</v>
      </c>
      <c r="DC165" s="9">
        <v>175084.73</v>
      </c>
      <c r="DD165" s="9">
        <v>1249817.47</v>
      </c>
      <c r="DE165" s="9">
        <v>1001039.68</v>
      </c>
      <c r="DF165" s="9">
        <v>248777.79</v>
      </c>
      <c r="DG165" s="9">
        <v>8998470.7799999993</v>
      </c>
      <c r="DH165" s="9">
        <v>2055504.06</v>
      </c>
    </row>
    <row r="166" spans="1:112" x14ac:dyDescent="0.2">
      <c r="A166" s="8" t="s">
        <v>856</v>
      </c>
      <c r="B166" s="8" t="s">
        <v>387</v>
      </c>
      <c r="C166" s="8" t="s">
        <v>390</v>
      </c>
      <c r="D166" s="9">
        <v>10098616.779999999</v>
      </c>
      <c r="E166" s="9">
        <v>10098616.789999999</v>
      </c>
      <c r="F166" s="9">
        <v>223520.14</v>
      </c>
      <c r="G166" s="9">
        <v>1114092.43</v>
      </c>
      <c r="H166" s="9">
        <v>1026690.46</v>
      </c>
      <c r="I166" s="9">
        <v>89654.27</v>
      </c>
      <c r="J166" s="9">
        <v>1390459.15</v>
      </c>
      <c r="K166" s="9">
        <v>1590777.37</v>
      </c>
      <c r="L166" s="9">
        <v>247570.66</v>
      </c>
      <c r="M166" s="9">
        <v>1955157.7</v>
      </c>
      <c r="N166" s="9">
        <v>45851.13</v>
      </c>
      <c r="O166" s="9">
        <v>57916.160000000003</v>
      </c>
      <c r="P166" s="9">
        <v>33621.79</v>
      </c>
      <c r="Q166" s="9">
        <v>59024.87</v>
      </c>
      <c r="R166" s="9">
        <v>2264280.6599999997</v>
      </c>
      <c r="S166" s="9">
        <v>0</v>
      </c>
      <c r="T166" s="9">
        <v>0</v>
      </c>
      <c r="U166" s="9">
        <v>0</v>
      </c>
      <c r="V166" s="9">
        <v>0</v>
      </c>
      <c r="W166" s="9">
        <v>152085.72</v>
      </c>
      <c r="X166" s="9">
        <v>152085.72</v>
      </c>
      <c r="Y166" s="9">
        <v>1335.77</v>
      </c>
      <c r="Z166" s="9">
        <v>51773.51</v>
      </c>
      <c r="AA166" s="9">
        <v>13014.79</v>
      </c>
      <c r="AB166" s="9">
        <v>135.36000000000001</v>
      </c>
      <c r="AC166" s="9">
        <v>12132.25</v>
      </c>
      <c r="AD166" s="9">
        <v>10156.44</v>
      </c>
      <c r="AE166" s="9">
        <v>21166.47</v>
      </c>
      <c r="AF166" s="9">
        <v>17499.32</v>
      </c>
      <c r="AG166" s="9">
        <v>570.07000000000005</v>
      </c>
      <c r="AH166" s="9">
        <v>1693.74</v>
      </c>
      <c r="AI166" s="9">
        <v>84.67</v>
      </c>
      <c r="AJ166" s="9">
        <v>525.55999999999995</v>
      </c>
      <c r="AK166" s="9">
        <v>21997.77</v>
      </c>
      <c r="AL166" s="9">
        <v>535597.15999999992</v>
      </c>
      <c r="AM166" s="9">
        <v>535597.16</v>
      </c>
      <c r="AN166" s="9">
        <v>10539.98</v>
      </c>
      <c r="AO166" s="9">
        <v>211497.34</v>
      </c>
      <c r="AP166" s="9">
        <v>134312.71</v>
      </c>
      <c r="AQ166" s="9">
        <v>6081.46</v>
      </c>
      <c r="AR166" s="9">
        <v>45786.28</v>
      </c>
      <c r="AS166" s="9">
        <v>50950.73</v>
      </c>
      <c r="AT166" s="9">
        <v>15288.26</v>
      </c>
      <c r="AU166" s="9">
        <v>23668.080000000002</v>
      </c>
      <c r="AV166" s="9">
        <v>940.64</v>
      </c>
      <c r="AW166" s="9">
        <v>2440.15</v>
      </c>
      <c r="AX166" s="9">
        <v>6562.27</v>
      </c>
      <c r="AY166" s="9">
        <v>279.41000000000003</v>
      </c>
      <c r="AZ166" s="9">
        <v>27249.86</v>
      </c>
      <c r="BA166" s="9">
        <v>4512644.71</v>
      </c>
      <c r="BB166" s="9"/>
      <c r="BC166" s="9">
        <v>5605376.459999999</v>
      </c>
      <c r="BD166" s="9"/>
      <c r="BE166" s="9">
        <v>40374.07</v>
      </c>
      <c r="BF166" s="9"/>
      <c r="BG166" s="9">
        <v>111711.64</v>
      </c>
      <c r="BH166" s="9"/>
      <c r="BI166" s="9">
        <v>50168.44</v>
      </c>
      <c r="BJ166" s="9"/>
      <c r="BK166" s="9">
        <v>485428.74</v>
      </c>
      <c r="BL166" s="9"/>
      <c r="BM166" s="9">
        <v>7156578.2800000003</v>
      </c>
      <c r="BN166" s="9">
        <v>4299635.59</v>
      </c>
      <c r="BO166" s="9"/>
      <c r="BP166" s="9">
        <v>2856942.7099999995</v>
      </c>
      <c r="BQ166" s="9"/>
      <c r="BR166" s="9">
        <v>58743.34</v>
      </c>
      <c r="BS166" s="9">
        <v>33016.21</v>
      </c>
      <c r="BT166" s="9"/>
      <c r="BU166" s="9">
        <v>25727.13</v>
      </c>
      <c r="BV166" s="9"/>
      <c r="BW166" s="9">
        <v>326311.49</v>
      </c>
      <c r="BX166" s="9">
        <v>38633.86</v>
      </c>
      <c r="BY166" s="9"/>
      <c r="BZ166" s="9">
        <v>287677.64</v>
      </c>
      <c r="CA166" s="9"/>
      <c r="CB166" s="9">
        <v>22035.61</v>
      </c>
      <c r="CC166" s="9">
        <v>10120652.389999999</v>
      </c>
      <c r="CD166" s="9"/>
      <c r="CE166" s="9"/>
      <c r="CF166" s="9">
        <v>7129431.3600000003</v>
      </c>
      <c r="CG166" s="9">
        <v>4797167.2700000005</v>
      </c>
      <c r="CH166" s="9">
        <v>2332264.09</v>
      </c>
      <c r="CI166" s="9">
        <v>4856014.7399999993</v>
      </c>
      <c r="CJ166" s="9">
        <v>3675489.46</v>
      </c>
      <c r="CK166" s="9">
        <v>1180525.2799999998</v>
      </c>
      <c r="CL166" s="9">
        <v>2273416.62</v>
      </c>
      <c r="CM166" s="9">
        <v>1121677.81</v>
      </c>
      <c r="CN166" s="9">
        <v>1151738.81</v>
      </c>
      <c r="CO166" s="9">
        <v>2494430.29</v>
      </c>
      <c r="CP166" s="9">
        <v>531649.03</v>
      </c>
      <c r="CQ166" s="9">
        <v>1962781.26</v>
      </c>
      <c r="CR166" s="9">
        <v>1360894.21</v>
      </c>
      <c r="CS166" s="9">
        <v>388679.99</v>
      </c>
      <c r="CT166" s="9">
        <v>972214.22</v>
      </c>
      <c r="CU166" s="9">
        <v>1133536.0799999998</v>
      </c>
      <c r="CV166" s="9">
        <v>142969.04</v>
      </c>
      <c r="CW166" s="9">
        <v>990567.04</v>
      </c>
      <c r="CX166" s="9">
        <v>4635001.0699999994</v>
      </c>
      <c r="CY166" s="9">
        <v>4265518.24</v>
      </c>
      <c r="CZ166" s="9">
        <v>369482.83</v>
      </c>
      <c r="DA166" s="9">
        <v>3495120.5299999993</v>
      </c>
      <c r="DB166" s="9">
        <v>3286809.4699999997</v>
      </c>
      <c r="DC166" s="9">
        <v>208311.06</v>
      </c>
      <c r="DD166" s="9">
        <v>1139880.54</v>
      </c>
      <c r="DE166" s="9">
        <v>978708.77</v>
      </c>
      <c r="DF166" s="9">
        <v>161171.76999999999</v>
      </c>
      <c r="DG166" s="9">
        <v>9199639.7300000004</v>
      </c>
      <c r="DH166" s="9">
        <v>2070208.37</v>
      </c>
    </row>
    <row r="167" spans="1:112" x14ac:dyDescent="0.2">
      <c r="A167" s="8" t="s">
        <v>856</v>
      </c>
      <c r="B167" s="8" t="s">
        <v>391</v>
      </c>
      <c r="C167" s="8" t="s">
        <v>392</v>
      </c>
      <c r="D167" s="9">
        <v>10435093.109999999</v>
      </c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>
        <v>168361.31</v>
      </c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>
        <v>558816.82999999996</v>
      </c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>
        <v>4692821.9700000007</v>
      </c>
      <c r="BB167" s="9"/>
      <c r="BC167" s="9">
        <v>5762191.6200000001</v>
      </c>
      <c r="BD167" s="9"/>
      <c r="BE167" s="9">
        <v>44640.95</v>
      </c>
      <c r="BF167" s="9"/>
      <c r="BG167" s="9">
        <v>123720.35</v>
      </c>
      <c r="BH167" s="9"/>
      <c r="BI167" s="9">
        <v>56593.760000000002</v>
      </c>
      <c r="BJ167" s="9"/>
      <c r="BK167" s="9">
        <v>502223.05999999988</v>
      </c>
      <c r="BL167" s="9"/>
      <c r="BM167" s="9">
        <v>7359910.6500000013</v>
      </c>
      <c r="BN167" s="9">
        <v>4472085.53</v>
      </c>
      <c r="BO167" s="9"/>
      <c r="BP167" s="9">
        <v>2887825.1100000003</v>
      </c>
      <c r="BQ167" s="9"/>
      <c r="BR167" s="9">
        <v>75241.33</v>
      </c>
      <c r="BS167" s="9">
        <v>36288.949999999997</v>
      </c>
      <c r="BT167" s="9"/>
      <c r="BU167" s="9">
        <v>38952.370000000003</v>
      </c>
      <c r="BV167" s="9"/>
      <c r="BW167" s="9">
        <v>325195.26</v>
      </c>
      <c r="BX167" s="9">
        <v>38477.480000000003</v>
      </c>
      <c r="BY167" s="9"/>
      <c r="BZ167" s="9">
        <v>286717.78000000003</v>
      </c>
      <c r="CA167" s="9"/>
      <c r="CB167" s="9">
        <v>4320.6099999999997</v>
      </c>
      <c r="CC167" s="9">
        <v>10439413.719999999</v>
      </c>
      <c r="CD167" s="9"/>
      <c r="CE167" s="9"/>
      <c r="CF167" s="9">
        <v>7190951.8099999996</v>
      </c>
      <c r="CG167" s="9">
        <v>4871756.1800000006</v>
      </c>
      <c r="CH167" s="9">
        <v>2319195.6300000004</v>
      </c>
      <c r="CI167" s="9">
        <v>4824978.75</v>
      </c>
      <c r="CJ167" s="9">
        <v>3643036.09</v>
      </c>
      <c r="CK167" s="9">
        <v>1181942.6599999999</v>
      </c>
      <c r="CL167" s="9">
        <v>2365973.06</v>
      </c>
      <c r="CM167" s="9">
        <v>1228720.0900000001</v>
      </c>
      <c r="CN167" s="9">
        <v>1137252.97</v>
      </c>
      <c r="CO167" s="9">
        <v>2386490.94</v>
      </c>
      <c r="CP167" s="9">
        <v>535481.10000000009</v>
      </c>
      <c r="CQ167" s="9">
        <v>1851009.84</v>
      </c>
      <c r="CR167" s="9">
        <v>1300814.6499999999</v>
      </c>
      <c r="CS167" s="9">
        <v>377678.4</v>
      </c>
      <c r="CT167" s="9">
        <v>923136.25</v>
      </c>
      <c r="CU167" s="9">
        <v>1085676.29</v>
      </c>
      <c r="CV167" s="9">
        <v>157802.70000000001</v>
      </c>
      <c r="CW167" s="9">
        <v>927873.59</v>
      </c>
      <c r="CX167" s="9">
        <v>4804460.8699999992</v>
      </c>
      <c r="CY167" s="9">
        <v>4336275.08</v>
      </c>
      <c r="CZ167" s="9">
        <v>468185.79</v>
      </c>
      <c r="DA167" s="9">
        <v>3524164.0999999996</v>
      </c>
      <c r="DB167" s="9">
        <v>3265357.69</v>
      </c>
      <c r="DC167" s="9">
        <v>258806.41</v>
      </c>
      <c r="DD167" s="9">
        <v>1280296.77</v>
      </c>
      <c r="DE167" s="9">
        <v>1070917.3899999999</v>
      </c>
      <c r="DF167" s="9">
        <v>209379.38</v>
      </c>
      <c r="DG167" s="9">
        <v>9509482.6500000004</v>
      </c>
      <c r="DH167" s="9">
        <v>2318530.84</v>
      </c>
    </row>
    <row r="168" spans="1:112" x14ac:dyDescent="0.2">
      <c r="A168" s="8" t="s">
        <v>856</v>
      </c>
      <c r="B168" s="8" t="s">
        <v>391</v>
      </c>
      <c r="C168" s="8" t="s">
        <v>393</v>
      </c>
      <c r="D168" s="9">
        <v>10768736.99</v>
      </c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>
        <v>160048.28</v>
      </c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>
        <v>570791.4</v>
      </c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>
        <v>4777983.870000001</v>
      </c>
      <c r="BB168" s="9"/>
      <c r="BC168" s="9">
        <v>6012289.879999999</v>
      </c>
      <c r="BD168" s="9"/>
      <c r="BE168" s="9">
        <v>47853.4</v>
      </c>
      <c r="BF168" s="9"/>
      <c r="BG168" s="9">
        <v>112194.89</v>
      </c>
      <c r="BH168" s="9"/>
      <c r="BI168" s="9">
        <v>59174.89</v>
      </c>
      <c r="BJ168" s="9"/>
      <c r="BK168" s="9">
        <v>511616.51</v>
      </c>
      <c r="BL168" s="9"/>
      <c r="BM168" s="9">
        <v>7718078.9400000004</v>
      </c>
      <c r="BN168" s="9">
        <v>4568576.9500000011</v>
      </c>
      <c r="BO168" s="9"/>
      <c r="BP168" s="9">
        <v>3149501.98</v>
      </c>
      <c r="BQ168" s="9"/>
      <c r="BR168" s="9">
        <v>69543.72</v>
      </c>
      <c r="BS168" s="9">
        <v>38387.440000000002</v>
      </c>
      <c r="BT168" s="9"/>
      <c r="BU168" s="9">
        <v>31156.29</v>
      </c>
      <c r="BV168" s="9"/>
      <c r="BW168" s="9">
        <v>325039.05</v>
      </c>
      <c r="BX168" s="9">
        <v>41005.57</v>
      </c>
      <c r="BY168" s="9"/>
      <c r="BZ168" s="9">
        <v>284033.48</v>
      </c>
      <c r="CA168" s="9"/>
      <c r="CB168" s="9">
        <v>3292.96</v>
      </c>
      <c r="CC168" s="9">
        <v>10772029.950000001</v>
      </c>
      <c r="CD168" s="9"/>
      <c r="CE168" s="9"/>
      <c r="CF168" s="9">
        <v>7160259.5799999991</v>
      </c>
      <c r="CG168" s="9">
        <v>4848884.71</v>
      </c>
      <c r="CH168" s="9">
        <v>2311374.87</v>
      </c>
      <c r="CI168" s="9">
        <v>4753163.62</v>
      </c>
      <c r="CJ168" s="9">
        <v>3610936.03</v>
      </c>
      <c r="CK168" s="9">
        <v>1142227.5900000001</v>
      </c>
      <c r="CL168" s="9">
        <v>2407095.9600000004</v>
      </c>
      <c r="CM168" s="9">
        <v>1237948.6800000002</v>
      </c>
      <c r="CN168" s="9">
        <v>1169147.28</v>
      </c>
      <c r="CO168" s="9">
        <v>2327370.27</v>
      </c>
      <c r="CP168" s="9">
        <v>495900.5</v>
      </c>
      <c r="CQ168" s="9">
        <v>1831469.77</v>
      </c>
      <c r="CR168" s="9">
        <v>1245298.92</v>
      </c>
      <c r="CS168" s="9">
        <v>341465.61</v>
      </c>
      <c r="CT168" s="9">
        <v>903833.31</v>
      </c>
      <c r="CU168" s="9">
        <v>1082071.3500000001</v>
      </c>
      <c r="CV168" s="9">
        <v>154434.89000000001</v>
      </c>
      <c r="CW168" s="9">
        <v>927636.46</v>
      </c>
      <c r="CX168" s="9">
        <v>4832889.3099999996</v>
      </c>
      <c r="CY168" s="9">
        <v>4352984.21</v>
      </c>
      <c r="CZ168" s="9">
        <v>479905.1</v>
      </c>
      <c r="DA168" s="9">
        <v>3507864.7</v>
      </c>
      <c r="DB168" s="9">
        <v>3269470.42</v>
      </c>
      <c r="DC168" s="9">
        <v>238394.28</v>
      </c>
      <c r="DD168" s="9">
        <v>1325024.6100000001</v>
      </c>
      <c r="DE168" s="9">
        <v>1083513.79</v>
      </c>
      <c r="DF168" s="9">
        <v>241510.82</v>
      </c>
      <c r="DG168" s="9">
        <v>9917619.0099999998</v>
      </c>
      <c r="DH168" s="9">
        <v>2757359.43</v>
      </c>
    </row>
    <row r="169" spans="1:112" x14ac:dyDescent="0.2">
      <c r="A169" s="8" t="s">
        <v>856</v>
      </c>
      <c r="B169" s="8" t="s">
        <v>391</v>
      </c>
      <c r="C169" s="8" t="s">
        <v>394</v>
      </c>
      <c r="D169" s="9">
        <v>10715632.67</v>
      </c>
      <c r="E169" s="9">
        <v>10715632.67</v>
      </c>
      <c r="F169" s="9">
        <v>226988.58</v>
      </c>
      <c r="G169" s="9">
        <v>1328438.25</v>
      </c>
      <c r="H169" s="9">
        <v>1085049.97</v>
      </c>
      <c r="I169" s="9">
        <v>102743.63</v>
      </c>
      <c r="J169" s="9">
        <v>1457204.87</v>
      </c>
      <c r="K169" s="9">
        <v>1746285.84</v>
      </c>
      <c r="L169" s="9">
        <v>196160.31</v>
      </c>
      <c r="M169" s="9">
        <v>1941731.9</v>
      </c>
      <c r="N169" s="9">
        <v>46259.7</v>
      </c>
      <c r="O169" s="9">
        <v>58013.06</v>
      </c>
      <c r="P169" s="9">
        <v>49180.44</v>
      </c>
      <c r="Q169" s="9">
        <v>70264.259999999995</v>
      </c>
      <c r="R169" s="9">
        <v>2407311.8600000003</v>
      </c>
      <c r="S169" s="9">
        <v>0</v>
      </c>
      <c r="T169" s="9">
        <v>0</v>
      </c>
      <c r="U169" s="9">
        <v>0</v>
      </c>
      <c r="V169" s="9">
        <v>0</v>
      </c>
      <c r="W169" s="9">
        <v>117146.61</v>
      </c>
      <c r="X169" s="9">
        <v>117146.61</v>
      </c>
      <c r="Y169" s="9">
        <v>2561.23</v>
      </c>
      <c r="Z169" s="9">
        <v>14915.11</v>
      </c>
      <c r="AA169" s="9">
        <v>13587.08</v>
      </c>
      <c r="AB169" s="9">
        <v>319.06</v>
      </c>
      <c r="AC169" s="9">
        <v>18277.21</v>
      </c>
      <c r="AD169" s="9">
        <v>18457.28</v>
      </c>
      <c r="AE169" s="9">
        <v>11989.4</v>
      </c>
      <c r="AF169" s="9">
        <v>11236.13</v>
      </c>
      <c r="AG169" s="9">
        <v>110.08</v>
      </c>
      <c r="AH169" s="9">
        <v>1538.58</v>
      </c>
      <c r="AI169" s="9">
        <v>38.869999999999997</v>
      </c>
      <c r="AJ169" s="9">
        <v>125.65</v>
      </c>
      <c r="AK169" s="9">
        <v>23990.94</v>
      </c>
      <c r="AL169" s="9">
        <v>564260.39</v>
      </c>
      <c r="AM169" s="9">
        <v>564260.39</v>
      </c>
      <c r="AN169" s="9">
        <v>10504.51</v>
      </c>
      <c r="AO169" s="9">
        <v>239753.86</v>
      </c>
      <c r="AP169" s="9">
        <v>139780.92000000001</v>
      </c>
      <c r="AQ169" s="9">
        <v>5786.66</v>
      </c>
      <c r="AR169" s="9">
        <v>43097.13</v>
      </c>
      <c r="AS169" s="9">
        <v>54214.080000000002</v>
      </c>
      <c r="AT169" s="9">
        <v>14170.07</v>
      </c>
      <c r="AU169" s="9">
        <v>20007.2</v>
      </c>
      <c r="AV169" s="9">
        <v>913.8</v>
      </c>
      <c r="AW169" s="9">
        <v>2417.9899999999998</v>
      </c>
      <c r="AX169" s="9">
        <v>6024.64</v>
      </c>
      <c r="AY169" s="9">
        <v>376.55</v>
      </c>
      <c r="AZ169" s="9">
        <v>27212.97</v>
      </c>
      <c r="BA169" s="9">
        <v>4609741.9800000004</v>
      </c>
      <c r="BB169" s="9"/>
      <c r="BC169" s="9">
        <v>6124958.4899999993</v>
      </c>
      <c r="BD169" s="9"/>
      <c r="BE169" s="9">
        <v>43750.13</v>
      </c>
      <c r="BF169" s="9"/>
      <c r="BG169" s="9">
        <v>73396.479999999996</v>
      </c>
      <c r="BH169" s="9"/>
      <c r="BI169" s="9">
        <v>56080.06</v>
      </c>
      <c r="BJ169" s="9"/>
      <c r="BK169" s="9">
        <v>508180.33</v>
      </c>
      <c r="BL169" s="9"/>
      <c r="BM169" s="9">
        <v>7785230.6600000001</v>
      </c>
      <c r="BN169" s="9">
        <v>4405697.58</v>
      </c>
      <c r="BO169" s="9"/>
      <c r="BP169" s="9">
        <v>3379533.09</v>
      </c>
      <c r="BQ169" s="9"/>
      <c r="BR169" s="9">
        <v>65460.62</v>
      </c>
      <c r="BS169" s="9">
        <v>33607.93</v>
      </c>
      <c r="BT169" s="9"/>
      <c r="BU169" s="9">
        <v>31852.69</v>
      </c>
      <c r="BV169" s="9"/>
      <c r="BW169" s="9">
        <v>325532.7</v>
      </c>
      <c r="BX169" s="9">
        <v>39003.11</v>
      </c>
      <c r="BY169" s="9"/>
      <c r="BZ169" s="9">
        <v>286529.59000000003</v>
      </c>
      <c r="CA169" s="9"/>
      <c r="CB169" s="9">
        <v>3292.96</v>
      </c>
      <c r="CC169" s="9">
        <v>10718925.630000001</v>
      </c>
      <c r="CD169" s="9"/>
      <c r="CE169" s="9"/>
      <c r="CF169" s="9">
        <v>7506966.3399999999</v>
      </c>
      <c r="CG169" s="9">
        <v>5101112.53</v>
      </c>
      <c r="CH169" s="9">
        <v>2405853.81</v>
      </c>
      <c r="CI169" s="9">
        <v>5264308.46</v>
      </c>
      <c r="CJ169" s="9">
        <v>3922564.34</v>
      </c>
      <c r="CK169" s="9">
        <v>1341744.1200000001</v>
      </c>
      <c r="CL169" s="9">
        <v>2242657.88</v>
      </c>
      <c r="CM169" s="9">
        <v>1178548.19</v>
      </c>
      <c r="CN169" s="9">
        <v>1064109.6900000002</v>
      </c>
      <c r="CO169" s="9">
        <v>2409753.4300000002</v>
      </c>
      <c r="CP169" s="9">
        <v>529910.40999999992</v>
      </c>
      <c r="CQ169" s="9">
        <v>1879843.02</v>
      </c>
      <c r="CR169" s="9">
        <v>1445376.49</v>
      </c>
      <c r="CS169" s="9">
        <v>394392.05</v>
      </c>
      <c r="CT169" s="9">
        <v>1050984.44</v>
      </c>
      <c r="CU169" s="9">
        <v>964376.94</v>
      </c>
      <c r="CV169" s="9">
        <v>135518.35999999999</v>
      </c>
      <c r="CW169" s="9">
        <v>828858.58000000007</v>
      </c>
      <c r="CX169" s="9">
        <v>5097212.91</v>
      </c>
      <c r="CY169" s="9">
        <v>4571202.12</v>
      </c>
      <c r="CZ169" s="9">
        <v>526010.79</v>
      </c>
      <c r="DA169" s="9">
        <v>3818931.97</v>
      </c>
      <c r="DB169" s="9">
        <v>3528172.29</v>
      </c>
      <c r="DC169" s="9">
        <v>290759.67999999999</v>
      </c>
      <c r="DD169" s="9">
        <v>1278280.94</v>
      </c>
      <c r="DE169" s="9">
        <v>1043029.83</v>
      </c>
      <c r="DF169" s="9">
        <v>235251.11</v>
      </c>
      <c r="DG169" s="9">
        <v>10148219.460000001</v>
      </c>
      <c r="DH169" s="9">
        <v>2641253.12</v>
      </c>
    </row>
    <row r="170" spans="1:112" x14ac:dyDescent="0.2">
      <c r="A170" s="8" t="s">
        <v>857</v>
      </c>
      <c r="B170" s="8" t="s">
        <v>395</v>
      </c>
      <c r="C170" s="8" t="s">
        <v>396</v>
      </c>
      <c r="D170" s="9">
        <v>10961226.880000001</v>
      </c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>
        <v>151062.42000000001</v>
      </c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>
        <v>580243.93999999994</v>
      </c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>
        <v>4804389.45</v>
      </c>
      <c r="BB170" s="9"/>
      <c r="BC170" s="9">
        <v>6176137.8399999989</v>
      </c>
      <c r="BD170" s="9"/>
      <c r="BE170" s="9">
        <v>55202.61</v>
      </c>
      <c r="BF170" s="9"/>
      <c r="BG170" s="9">
        <v>95859.81</v>
      </c>
      <c r="BH170" s="9"/>
      <c r="BI170" s="9">
        <v>57980</v>
      </c>
      <c r="BJ170" s="9"/>
      <c r="BK170" s="9">
        <v>522263.93</v>
      </c>
      <c r="BL170" s="9"/>
      <c r="BM170" s="9">
        <v>7838376.4999999981</v>
      </c>
      <c r="BN170" s="9">
        <v>4596885.1100000003</v>
      </c>
      <c r="BO170" s="9"/>
      <c r="BP170" s="9">
        <v>3241491.4099999997</v>
      </c>
      <c r="BQ170" s="9"/>
      <c r="BR170" s="9">
        <v>90196.11</v>
      </c>
      <c r="BS170" s="9">
        <v>43665.53</v>
      </c>
      <c r="BT170" s="9"/>
      <c r="BU170" s="9">
        <v>46530.59</v>
      </c>
      <c r="BV170" s="9"/>
      <c r="BW170" s="9">
        <v>325821.31999999989</v>
      </c>
      <c r="BX170" s="9">
        <v>40220.54</v>
      </c>
      <c r="BY170" s="9"/>
      <c r="BZ170" s="9">
        <v>285600.78000000003</v>
      </c>
      <c r="CA170" s="9"/>
      <c r="CB170" s="9">
        <v>3292.96</v>
      </c>
      <c r="CC170" s="9">
        <v>10964519.840000002</v>
      </c>
      <c r="CD170" s="9"/>
      <c r="CE170" s="9"/>
      <c r="CF170" s="9">
        <v>7584184.6299999999</v>
      </c>
      <c r="CG170" s="9">
        <v>5110917.62</v>
      </c>
      <c r="CH170" s="9">
        <v>2473267.0099999998</v>
      </c>
      <c r="CI170" s="9">
        <v>5200997.7299999995</v>
      </c>
      <c r="CJ170" s="9">
        <v>3952588.42</v>
      </c>
      <c r="CK170" s="9">
        <v>1248409.31</v>
      </c>
      <c r="CL170" s="9">
        <v>2383186.899999999</v>
      </c>
      <c r="CM170" s="9">
        <v>1158329.2</v>
      </c>
      <c r="CN170" s="9">
        <v>1224857.7</v>
      </c>
      <c r="CO170" s="9">
        <v>2392086.8199999998</v>
      </c>
      <c r="CP170" s="9">
        <v>487067.23</v>
      </c>
      <c r="CQ170" s="9">
        <v>1905019.59</v>
      </c>
      <c r="CR170" s="9">
        <v>1305460.48</v>
      </c>
      <c r="CS170" s="9">
        <v>349774.9</v>
      </c>
      <c r="CT170" s="9">
        <v>955685.58</v>
      </c>
      <c r="CU170" s="9">
        <v>1086626.3400000001</v>
      </c>
      <c r="CV170" s="9">
        <v>137292.32999999999</v>
      </c>
      <c r="CW170" s="9">
        <v>949334.01</v>
      </c>
      <c r="CX170" s="9">
        <v>5192097.8100000005</v>
      </c>
      <c r="CY170" s="9">
        <v>4623850.3899999997</v>
      </c>
      <c r="CZ170" s="9">
        <v>568247.41999999993</v>
      </c>
      <c r="DA170" s="9">
        <v>3895537.25</v>
      </c>
      <c r="DB170" s="9">
        <v>3602813.52</v>
      </c>
      <c r="DC170" s="9">
        <v>292723.73</v>
      </c>
      <c r="DD170" s="9">
        <v>1296560.56</v>
      </c>
      <c r="DE170" s="9">
        <v>1021036.87</v>
      </c>
      <c r="DF170" s="9">
        <v>275523.69</v>
      </c>
      <c r="DG170" s="9">
        <v>10685808.99</v>
      </c>
      <c r="DH170" s="9">
        <v>3101624.3600000003</v>
      </c>
    </row>
    <row r="171" spans="1:112" x14ac:dyDescent="0.2">
      <c r="A171" s="8" t="s">
        <v>857</v>
      </c>
      <c r="B171" s="8" t="s">
        <v>395</v>
      </c>
      <c r="C171" s="8" t="s">
        <v>397</v>
      </c>
      <c r="D171" s="9">
        <v>11105377.049999999</v>
      </c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>
        <v>197737.59</v>
      </c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>
        <v>596338.66</v>
      </c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>
        <v>4876836.6099999994</v>
      </c>
      <c r="BB171" s="9"/>
      <c r="BC171" s="9">
        <v>6249113.0599999996</v>
      </c>
      <c r="BD171" s="9"/>
      <c r="BE171" s="9">
        <v>58430.36</v>
      </c>
      <c r="BF171" s="9"/>
      <c r="BG171" s="9">
        <v>139307.23000000001</v>
      </c>
      <c r="BH171" s="9"/>
      <c r="BI171" s="9">
        <v>59110.41</v>
      </c>
      <c r="BJ171" s="9"/>
      <c r="BK171" s="9">
        <v>537228.25</v>
      </c>
      <c r="BL171" s="9"/>
      <c r="BM171" s="9">
        <v>7965208.5300000003</v>
      </c>
      <c r="BN171" s="9">
        <v>4666284.8099999996</v>
      </c>
      <c r="BO171" s="9"/>
      <c r="BP171" s="9">
        <v>3298923.7199999997</v>
      </c>
      <c r="BQ171" s="9"/>
      <c r="BR171" s="9">
        <v>106036.88</v>
      </c>
      <c r="BS171" s="9">
        <v>46491.56</v>
      </c>
      <c r="BT171" s="9"/>
      <c r="BU171" s="9">
        <v>59545.32</v>
      </c>
      <c r="BV171" s="9"/>
      <c r="BW171" s="9">
        <v>363890.44</v>
      </c>
      <c r="BX171" s="9">
        <v>39432.93</v>
      </c>
      <c r="BY171" s="9"/>
      <c r="BZ171" s="9">
        <v>324457.5</v>
      </c>
      <c r="CA171" s="9"/>
      <c r="CB171" s="9">
        <v>3342.96</v>
      </c>
      <c r="CC171" s="9">
        <v>11108720.01</v>
      </c>
      <c r="CD171" s="9"/>
      <c r="CE171" s="9"/>
      <c r="CF171" s="9">
        <v>7587794.7400000002</v>
      </c>
      <c r="CG171" s="9">
        <v>5153486.97</v>
      </c>
      <c r="CH171" s="9">
        <v>2434307.77</v>
      </c>
      <c r="CI171" s="9">
        <v>5100734.8699999992</v>
      </c>
      <c r="CJ171" s="9">
        <v>3931822.78</v>
      </c>
      <c r="CK171" s="9">
        <v>1168912.0900000001</v>
      </c>
      <c r="CL171" s="9">
        <v>2487059.87</v>
      </c>
      <c r="CM171" s="9">
        <v>1221664.19</v>
      </c>
      <c r="CN171" s="9">
        <v>1265395.68</v>
      </c>
      <c r="CO171" s="9">
        <v>2337501.0299999998</v>
      </c>
      <c r="CP171" s="9">
        <v>506136.33</v>
      </c>
      <c r="CQ171" s="9">
        <v>1831364.7</v>
      </c>
      <c r="CR171" s="9">
        <v>1198145.05</v>
      </c>
      <c r="CS171" s="9">
        <v>347467.22</v>
      </c>
      <c r="CT171" s="9">
        <v>850677.83</v>
      </c>
      <c r="CU171" s="9">
        <v>1139355.98</v>
      </c>
      <c r="CV171" s="9">
        <v>158669.10999999999</v>
      </c>
      <c r="CW171" s="9">
        <v>980686.87</v>
      </c>
      <c r="CX171" s="9">
        <v>5250293.709999999</v>
      </c>
      <c r="CY171" s="9">
        <v>4647350.6399999997</v>
      </c>
      <c r="CZ171" s="9">
        <v>602943.06999999995</v>
      </c>
      <c r="DA171" s="9">
        <v>3902589.82</v>
      </c>
      <c r="DB171" s="9">
        <v>3584355.5599999996</v>
      </c>
      <c r="DC171" s="9">
        <v>318234.26</v>
      </c>
      <c r="DD171" s="9">
        <v>1347703.89</v>
      </c>
      <c r="DE171" s="9">
        <v>1062995.08</v>
      </c>
      <c r="DF171" s="9">
        <v>284708.81</v>
      </c>
      <c r="DG171" s="9">
        <v>10925588.969999999</v>
      </c>
      <c r="DH171" s="9">
        <v>3337794.2300000004</v>
      </c>
    </row>
    <row r="172" spans="1:112" x14ac:dyDescent="0.2">
      <c r="A172" s="8" t="s">
        <v>857</v>
      </c>
      <c r="B172" s="8" t="s">
        <v>395</v>
      </c>
      <c r="C172" s="8" t="s">
        <v>398</v>
      </c>
      <c r="D172" s="9">
        <v>11332387.32</v>
      </c>
      <c r="E172" s="9">
        <v>11332387.33</v>
      </c>
      <c r="F172" s="9">
        <v>235119.62</v>
      </c>
      <c r="G172" s="9">
        <v>1370698.93</v>
      </c>
      <c r="H172" s="9">
        <v>995845.27</v>
      </c>
      <c r="I172" s="9">
        <v>70695</v>
      </c>
      <c r="J172" s="9">
        <v>1550035.95</v>
      </c>
      <c r="K172" s="9">
        <v>1889050.64</v>
      </c>
      <c r="L172" s="9">
        <v>227733.02</v>
      </c>
      <c r="M172" s="9">
        <v>2184038.9</v>
      </c>
      <c r="N172" s="9">
        <v>114066.07</v>
      </c>
      <c r="O172" s="9">
        <v>58452.18</v>
      </c>
      <c r="P172" s="9">
        <v>36418.730000000003</v>
      </c>
      <c r="Q172" s="9">
        <v>67894.710000000006</v>
      </c>
      <c r="R172" s="9">
        <v>2532338.31</v>
      </c>
      <c r="S172" s="9">
        <v>0</v>
      </c>
      <c r="T172" s="9">
        <v>0</v>
      </c>
      <c r="U172" s="9">
        <v>0</v>
      </c>
      <c r="V172" s="9">
        <v>0</v>
      </c>
      <c r="W172" s="9">
        <v>278377.98</v>
      </c>
      <c r="X172" s="9">
        <v>278377.98</v>
      </c>
      <c r="Y172" s="9">
        <v>10329.209999999999</v>
      </c>
      <c r="Z172" s="9">
        <v>79020.789999999994</v>
      </c>
      <c r="AA172" s="9">
        <v>26882.33</v>
      </c>
      <c r="AB172" s="9">
        <v>770.7</v>
      </c>
      <c r="AC172" s="9">
        <v>43754.29</v>
      </c>
      <c r="AD172" s="9">
        <v>31191.74</v>
      </c>
      <c r="AE172" s="9">
        <v>5302.34</v>
      </c>
      <c r="AF172" s="9">
        <v>19520.59</v>
      </c>
      <c r="AG172" s="9">
        <v>103.97</v>
      </c>
      <c r="AH172" s="9">
        <v>1470.57</v>
      </c>
      <c r="AI172" s="9">
        <v>12303.1</v>
      </c>
      <c r="AJ172" s="9">
        <v>130.33000000000001</v>
      </c>
      <c r="AK172" s="9">
        <v>47598.03</v>
      </c>
      <c r="AL172" s="9">
        <v>592915.39999999991</v>
      </c>
      <c r="AM172" s="9">
        <v>592915.39</v>
      </c>
      <c r="AN172" s="9">
        <v>10694.11</v>
      </c>
      <c r="AO172" s="9">
        <v>248535.45</v>
      </c>
      <c r="AP172" s="9">
        <v>59243.7</v>
      </c>
      <c r="AQ172" s="9">
        <v>5932.35</v>
      </c>
      <c r="AR172" s="9">
        <v>44472.36</v>
      </c>
      <c r="AS172" s="9">
        <v>148956.59</v>
      </c>
      <c r="AT172" s="9">
        <v>14463.27</v>
      </c>
      <c r="AU172" s="9">
        <v>20863.939999999999</v>
      </c>
      <c r="AV172" s="9">
        <v>1026.94</v>
      </c>
      <c r="AW172" s="9">
        <v>2384.33</v>
      </c>
      <c r="AX172" s="9">
        <v>6161.7</v>
      </c>
      <c r="AY172" s="9">
        <v>352.69</v>
      </c>
      <c r="AZ172" s="9">
        <v>29827.95</v>
      </c>
      <c r="BA172" s="9">
        <v>5030628.8900000015</v>
      </c>
      <c r="BB172" s="9"/>
      <c r="BC172" s="9">
        <v>6321569.3400000008</v>
      </c>
      <c r="BD172" s="9"/>
      <c r="BE172" s="9">
        <v>59060.44</v>
      </c>
      <c r="BF172" s="9"/>
      <c r="BG172" s="9">
        <v>219317.53</v>
      </c>
      <c r="BH172" s="9"/>
      <c r="BI172" s="9">
        <v>56532.82</v>
      </c>
      <c r="BJ172" s="9"/>
      <c r="BK172" s="9">
        <v>536382.59</v>
      </c>
      <c r="BL172" s="9"/>
      <c r="BM172" s="9">
        <v>8199695.7300000004</v>
      </c>
      <c r="BN172" s="9">
        <v>4828851.4700000007</v>
      </c>
      <c r="BO172" s="9"/>
      <c r="BP172" s="9">
        <v>3370844.2500000005</v>
      </c>
      <c r="BQ172" s="9"/>
      <c r="BR172" s="9">
        <v>136158.70000000001</v>
      </c>
      <c r="BS172" s="9">
        <v>46658.36</v>
      </c>
      <c r="BT172" s="9"/>
      <c r="BU172" s="9">
        <v>89500.33</v>
      </c>
      <c r="BV172" s="9"/>
      <c r="BW172" s="9">
        <v>357676.17</v>
      </c>
      <c r="BX172" s="9">
        <v>38481.67</v>
      </c>
      <c r="BY172" s="9"/>
      <c r="BZ172" s="9">
        <v>319194.51</v>
      </c>
      <c r="CA172" s="9"/>
      <c r="CB172" s="9">
        <v>3292.96</v>
      </c>
      <c r="CC172" s="9">
        <v>11335680.280000001</v>
      </c>
      <c r="CD172" s="9"/>
      <c r="CE172" s="9"/>
      <c r="CF172" s="9">
        <v>7375987.6699999999</v>
      </c>
      <c r="CG172" s="9">
        <v>5112774.75</v>
      </c>
      <c r="CH172" s="9">
        <v>2263212.92</v>
      </c>
      <c r="CI172" s="9">
        <v>4997536.38</v>
      </c>
      <c r="CJ172" s="9">
        <v>3898982.23</v>
      </c>
      <c r="CK172" s="9">
        <v>1098554.1499999999</v>
      </c>
      <c r="CL172" s="9">
        <v>2378451.2899999996</v>
      </c>
      <c r="CM172" s="9">
        <v>1213792.52</v>
      </c>
      <c r="CN172" s="9">
        <v>1164658.77</v>
      </c>
      <c r="CO172" s="9">
        <v>2175526.86</v>
      </c>
      <c r="CP172" s="9">
        <v>496243.64</v>
      </c>
      <c r="CQ172" s="9">
        <v>1679283.22</v>
      </c>
      <c r="CR172" s="9">
        <v>1150319.9400000002</v>
      </c>
      <c r="CS172" s="9">
        <v>340264.9</v>
      </c>
      <c r="CT172" s="9">
        <v>810055.04</v>
      </c>
      <c r="CU172" s="9">
        <v>1025206.92</v>
      </c>
      <c r="CV172" s="9">
        <v>155978.74</v>
      </c>
      <c r="CW172" s="9">
        <v>869228.18</v>
      </c>
      <c r="CX172" s="9">
        <v>5200460.8100000005</v>
      </c>
      <c r="CY172" s="9">
        <v>4616531.1099999994</v>
      </c>
      <c r="CZ172" s="9">
        <v>583929.69999999984</v>
      </c>
      <c r="DA172" s="9">
        <v>3847216.44</v>
      </c>
      <c r="DB172" s="9">
        <v>3558717.33</v>
      </c>
      <c r="DC172" s="9">
        <v>288499.10999999993</v>
      </c>
      <c r="DD172" s="9">
        <v>1353244.37</v>
      </c>
      <c r="DE172" s="9">
        <v>1057813.78</v>
      </c>
      <c r="DF172" s="9">
        <v>295430.59000000003</v>
      </c>
      <c r="DG172" s="9">
        <v>11008783.770000001</v>
      </c>
      <c r="DH172" s="9">
        <v>3632796.1</v>
      </c>
    </row>
    <row r="173" spans="1:112" x14ac:dyDescent="0.2">
      <c r="A173" s="8" t="s">
        <v>857</v>
      </c>
      <c r="B173" s="8" t="s">
        <v>399</v>
      </c>
      <c r="C173" s="8" t="s">
        <v>400</v>
      </c>
      <c r="D173" s="9">
        <v>11689209.309999999</v>
      </c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>
        <v>297802.14</v>
      </c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>
        <v>614610.94999999995</v>
      </c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>
        <v>5196839.1900000004</v>
      </c>
      <c r="BB173" s="9"/>
      <c r="BC173" s="9">
        <v>6517504.9299999997</v>
      </c>
      <c r="BD173" s="9"/>
      <c r="BE173" s="9">
        <v>60132.15</v>
      </c>
      <c r="BF173" s="9"/>
      <c r="BG173" s="9">
        <v>237669.99</v>
      </c>
      <c r="BH173" s="9"/>
      <c r="BI173" s="9">
        <v>60303.59</v>
      </c>
      <c r="BJ173" s="9"/>
      <c r="BK173" s="9">
        <v>554307.36</v>
      </c>
      <c r="BL173" s="9"/>
      <c r="BM173" s="9">
        <v>8469000.4500000011</v>
      </c>
      <c r="BN173" s="9">
        <v>4999569.67</v>
      </c>
      <c r="BO173" s="9"/>
      <c r="BP173" s="9">
        <v>3469430.8</v>
      </c>
      <c r="BQ173" s="9"/>
      <c r="BR173" s="9">
        <v>203457.41</v>
      </c>
      <c r="BS173" s="9">
        <v>48264.32</v>
      </c>
      <c r="BT173" s="9"/>
      <c r="BU173" s="9">
        <v>155193.09</v>
      </c>
      <c r="BV173" s="9"/>
      <c r="BW173" s="9">
        <v>368359.37</v>
      </c>
      <c r="BX173" s="9">
        <v>40684.559999999998</v>
      </c>
      <c r="BY173" s="9"/>
      <c r="BZ173" s="9">
        <v>327674.81</v>
      </c>
      <c r="CA173" s="9"/>
      <c r="CB173" s="9">
        <v>3292.96</v>
      </c>
      <c r="CC173" s="9">
        <v>11692502.27</v>
      </c>
      <c r="CD173" s="9"/>
      <c r="CE173" s="9"/>
      <c r="CF173" s="9">
        <v>7560863.5300000003</v>
      </c>
      <c r="CG173" s="9">
        <v>5210629.99</v>
      </c>
      <c r="CH173" s="9">
        <v>2350233.54</v>
      </c>
      <c r="CI173" s="9">
        <v>5021694.49</v>
      </c>
      <c r="CJ173" s="9">
        <v>3929014.1</v>
      </c>
      <c r="CK173" s="9">
        <v>1092680.3899999999</v>
      </c>
      <c r="CL173" s="9">
        <v>2539169.04</v>
      </c>
      <c r="CM173" s="9">
        <v>1281615.8899999999</v>
      </c>
      <c r="CN173" s="9">
        <v>1257553.1499999999</v>
      </c>
      <c r="CO173" s="9">
        <v>2380671.9299999997</v>
      </c>
      <c r="CP173" s="9">
        <v>539571.34</v>
      </c>
      <c r="CQ173" s="9">
        <v>1841100.59</v>
      </c>
      <c r="CR173" s="9">
        <v>1221800.6200000001</v>
      </c>
      <c r="CS173" s="9">
        <v>383931.01</v>
      </c>
      <c r="CT173" s="9">
        <v>837869.61</v>
      </c>
      <c r="CU173" s="9">
        <v>1158871.31</v>
      </c>
      <c r="CV173" s="9">
        <v>155640.32999999999</v>
      </c>
      <c r="CW173" s="9">
        <v>1003230.98</v>
      </c>
      <c r="CX173" s="9">
        <v>5180191.5999999996</v>
      </c>
      <c r="CY173" s="9">
        <v>4671058.6500000004</v>
      </c>
      <c r="CZ173" s="9">
        <v>509132.95</v>
      </c>
      <c r="DA173" s="9">
        <v>3799893.87</v>
      </c>
      <c r="DB173" s="9">
        <v>3545083.09</v>
      </c>
      <c r="DC173" s="9">
        <v>254810.78</v>
      </c>
      <c r="DD173" s="9">
        <v>1380297.73</v>
      </c>
      <c r="DE173" s="9">
        <v>1125975.56</v>
      </c>
      <c r="DF173" s="9">
        <v>254322.17</v>
      </c>
      <c r="DG173" s="9">
        <v>11345326.539999997</v>
      </c>
      <c r="DH173" s="9">
        <v>3784463.01</v>
      </c>
    </row>
    <row r="174" spans="1:112" x14ac:dyDescent="0.2">
      <c r="A174" s="8" t="s">
        <v>857</v>
      </c>
      <c r="B174" s="8" t="s">
        <v>399</v>
      </c>
      <c r="C174" s="8" t="s">
        <v>401</v>
      </c>
      <c r="D174" s="9">
        <v>12004820.43</v>
      </c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>
        <v>379380.32</v>
      </c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>
        <v>618124.32000000007</v>
      </c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>
        <v>5363318.3500000006</v>
      </c>
      <c r="BB174" s="9"/>
      <c r="BC174" s="9">
        <v>6656402.1200000001</v>
      </c>
      <c r="BD174" s="9"/>
      <c r="BE174" s="9">
        <v>62510.69</v>
      </c>
      <c r="BF174" s="9"/>
      <c r="BG174" s="9">
        <v>316869.65000000002</v>
      </c>
      <c r="BH174" s="9"/>
      <c r="BI174" s="9">
        <v>57402.63</v>
      </c>
      <c r="BJ174" s="9"/>
      <c r="BK174" s="9">
        <v>560721.70000000007</v>
      </c>
      <c r="BL174" s="9"/>
      <c r="BM174" s="9">
        <v>8767075.4800000004</v>
      </c>
      <c r="BN174" s="9">
        <v>5182181.66</v>
      </c>
      <c r="BO174" s="9"/>
      <c r="BP174" s="9">
        <v>3584893.83</v>
      </c>
      <c r="BQ174" s="9"/>
      <c r="BR174" s="9">
        <v>218641.79</v>
      </c>
      <c r="BS174" s="9">
        <v>50644.57</v>
      </c>
      <c r="BT174" s="9"/>
      <c r="BU174" s="9">
        <v>167997.23</v>
      </c>
      <c r="BV174" s="9"/>
      <c r="BW174" s="9">
        <v>372834.19</v>
      </c>
      <c r="BX174" s="9">
        <v>43574.21</v>
      </c>
      <c r="BY174" s="9"/>
      <c r="BZ174" s="9">
        <v>329259.98</v>
      </c>
      <c r="CA174" s="9"/>
      <c r="CB174" s="9">
        <v>3292.96</v>
      </c>
      <c r="CC174" s="9">
        <v>12008113.390000001</v>
      </c>
      <c r="CD174" s="9"/>
      <c r="CE174" s="9"/>
      <c r="CF174" s="9">
        <v>7680175.9400000004</v>
      </c>
      <c r="CG174" s="9">
        <v>5260188.5</v>
      </c>
      <c r="CH174" s="9">
        <v>2419987.44</v>
      </c>
      <c r="CI174" s="9">
        <v>5025144.68</v>
      </c>
      <c r="CJ174" s="9">
        <v>3901826.78</v>
      </c>
      <c r="CK174" s="9">
        <v>1123317.8999999999</v>
      </c>
      <c r="CL174" s="9">
        <v>2655031.2599999998</v>
      </c>
      <c r="CM174" s="9">
        <v>1358361.72</v>
      </c>
      <c r="CN174" s="9">
        <v>1296669.54</v>
      </c>
      <c r="CO174" s="9">
        <v>2472606.2300000004</v>
      </c>
      <c r="CP174" s="9">
        <v>542580.4</v>
      </c>
      <c r="CQ174" s="9">
        <v>1930025.83</v>
      </c>
      <c r="CR174" s="9">
        <v>1199221.72</v>
      </c>
      <c r="CS174" s="9">
        <v>384253.68</v>
      </c>
      <c r="CT174" s="9">
        <v>814968.04</v>
      </c>
      <c r="CU174" s="9">
        <v>1273384.51</v>
      </c>
      <c r="CV174" s="9">
        <v>158326.72</v>
      </c>
      <c r="CW174" s="9">
        <v>1115057.79</v>
      </c>
      <c r="CX174" s="9">
        <v>5207569.71</v>
      </c>
      <c r="CY174" s="9">
        <v>4717608.0999999996</v>
      </c>
      <c r="CZ174" s="9">
        <v>489961.61</v>
      </c>
      <c r="DA174" s="9">
        <v>3825922.96</v>
      </c>
      <c r="DB174" s="9">
        <v>3517573.0999999996</v>
      </c>
      <c r="DC174" s="9">
        <v>308349.86</v>
      </c>
      <c r="DD174" s="9">
        <v>1381646.75</v>
      </c>
      <c r="DE174" s="9">
        <v>1200035</v>
      </c>
      <c r="DF174" s="9">
        <v>181611.75</v>
      </c>
      <c r="DG174" s="9">
        <v>11384415.34</v>
      </c>
      <c r="DH174" s="9">
        <v>3704239.4</v>
      </c>
    </row>
    <row r="175" spans="1:112" x14ac:dyDescent="0.2">
      <c r="A175" s="8" t="s">
        <v>857</v>
      </c>
      <c r="B175" s="8" t="s">
        <v>399</v>
      </c>
      <c r="C175" s="8" t="s">
        <v>402</v>
      </c>
      <c r="D175" s="9">
        <v>12241976.4</v>
      </c>
      <c r="E175" s="9">
        <v>12241976.4</v>
      </c>
      <c r="F175" s="9">
        <v>265868.61</v>
      </c>
      <c r="G175" s="9">
        <v>1408959.65</v>
      </c>
      <c r="H175" s="9">
        <v>1046778.43</v>
      </c>
      <c r="I175" s="9">
        <v>64514.720000000001</v>
      </c>
      <c r="J175" s="9">
        <v>1713837.89</v>
      </c>
      <c r="K175" s="9">
        <v>1953185.53</v>
      </c>
      <c r="L175" s="9">
        <v>223417.88</v>
      </c>
      <c r="M175" s="9">
        <v>2498470.63</v>
      </c>
      <c r="N175" s="9">
        <v>86821.74</v>
      </c>
      <c r="O175" s="9">
        <v>77361.960000000006</v>
      </c>
      <c r="P175" s="9">
        <v>37050.18</v>
      </c>
      <c r="Q175" s="9">
        <v>71800.570000000007</v>
      </c>
      <c r="R175" s="9">
        <v>2793908.61</v>
      </c>
      <c r="S175" s="9">
        <v>0</v>
      </c>
      <c r="T175" s="9">
        <v>0</v>
      </c>
      <c r="U175" s="9">
        <v>0</v>
      </c>
      <c r="V175" s="9">
        <v>0</v>
      </c>
      <c r="W175" s="9">
        <v>436418.72</v>
      </c>
      <c r="X175" s="9">
        <v>436418.72</v>
      </c>
      <c r="Y175" s="9">
        <v>5855.07</v>
      </c>
      <c r="Z175" s="9">
        <v>60411.78</v>
      </c>
      <c r="AA175" s="9">
        <v>64837.86</v>
      </c>
      <c r="AB175" s="9">
        <v>1341.19</v>
      </c>
      <c r="AC175" s="9">
        <v>52234.61</v>
      </c>
      <c r="AD175" s="9">
        <v>93901.79</v>
      </c>
      <c r="AE175" s="9">
        <v>27801.34</v>
      </c>
      <c r="AF175" s="9">
        <v>30151.43</v>
      </c>
      <c r="AG175" s="9">
        <v>4743.3100000000004</v>
      </c>
      <c r="AH175" s="9">
        <v>1959.94</v>
      </c>
      <c r="AI175" s="9">
        <v>91.58</v>
      </c>
      <c r="AJ175" s="9">
        <v>267.51</v>
      </c>
      <c r="AK175" s="9">
        <v>92821.33</v>
      </c>
      <c r="AL175" s="9">
        <v>565318.23</v>
      </c>
      <c r="AM175" s="9">
        <v>565318.23</v>
      </c>
      <c r="AN175" s="9">
        <v>10922.03</v>
      </c>
      <c r="AO175" s="9">
        <v>227303.01</v>
      </c>
      <c r="AP175" s="9">
        <v>53088.93</v>
      </c>
      <c r="AQ175" s="9">
        <v>5443.6</v>
      </c>
      <c r="AR175" s="9">
        <v>54101.9</v>
      </c>
      <c r="AS175" s="9">
        <v>139604.78</v>
      </c>
      <c r="AT175" s="9">
        <v>8562.7800000000007</v>
      </c>
      <c r="AU175" s="9">
        <v>12383.68</v>
      </c>
      <c r="AV175" s="9">
        <v>374.81</v>
      </c>
      <c r="AW175" s="9">
        <v>230.61</v>
      </c>
      <c r="AX175" s="9">
        <v>12932.98</v>
      </c>
      <c r="AY175" s="9">
        <v>315.56</v>
      </c>
      <c r="AZ175" s="9">
        <v>40053.58</v>
      </c>
      <c r="BA175" s="9">
        <v>5542360.9000000013</v>
      </c>
      <c r="BB175" s="9"/>
      <c r="BC175" s="9">
        <v>6725837.9299999997</v>
      </c>
      <c r="BD175" s="9"/>
      <c r="BE175" s="9">
        <v>64607.72</v>
      </c>
      <c r="BF175" s="9"/>
      <c r="BG175" s="9">
        <v>371811</v>
      </c>
      <c r="BH175" s="9"/>
      <c r="BI175" s="9">
        <v>49489.97</v>
      </c>
      <c r="BJ175" s="9"/>
      <c r="BK175" s="9">
        <v>515828.27</v>
      </c>
      <c r="BL175" s="9"/>
      <c r="BM175" s="9">
        <v>9044057.5099999998</v>
      </c>
      <c r="BN175" s="9">
        <v>5360042.6400000006</v>
      </c>
      <c r="BO175" s="9"/>
      <c r="BP175" s="9">
        <v>3684014.8700000006</v>
      </c>
      <c r="BQ175" s="9"/>
      <c r="BR175" s="9">
        <v>224624.64000000001</v>
      </c>
      <c r="BS175" s="9">
        <v>53641.32</v>
      </c>
      <c r="BT175" s="9"/>
      <c r="BU175" s="9">
        <v>170983.32</v>
      </c>
      <c r="BV175" s="9"/>
      <c r="BW175" s="9">
        <v>318692.71999999997</v>
      </c>
      <c r="BX175" s="9">
        <v>38567.03</v>
      </c>
      <c r="BY175" s="9"/>
      <c r="BZ175" s="9">
        <v>280125.69</v>
      </c>
      <c r="CA175" s="9"/>
      <c r="CB175" s="9">
        <v>7440.96</v>
      </c>
      <c r="CC175" s="9">
        <v>12249417.360000001</v>
      </c>
      <c r="CD175" s="9"/>
      <c r="CE175" s="9"/>
      <c r="CF175" s="9">
        <v>7616338.6399999997</v>
      </c>
      <c r="CG175" s="9">
        <v>5350684.63</v>
      </c>
      <c r="CH175" s="9">
        <v>2265654.0099999998</v>
      </c>
      <c r="CI175" s="9">
        <v>5086919.0999999996</v>
      </c>
      <c r="CJ175" s="9">
        <v>3975002.78</v>
      </c>
      <c r="CK175" s="9">
        <v>1111916.3199999998</v>
      </c>
      <c r="CL175" s="9">
        <v>2529419.5400000005</v>
      </c>
      <c r="CM175" s="9">
        <v>1375681.85</v>
      </c>
      <c r="CN175" s="9">
        <v>1153737.69</v>
      </c>
      <c r="CO175" s="9">
        <v>2347522.75</v>
      </c>
      <c r="CP175" s="9">
        <v>577616.37</v>
      </c>
      <c r="CQ175" s="9">
        <v>1769906.38</v>
      </c>
      <c r="CR175" s="9">
        <v>1246582.93</v>
      </c>
      <c r="CS175" s="9">
        <v>437074.35</v>
      </c>
      <c r="CT175" s="9">
        <v>809508.58</v>
      </c>
      <c r="CU175" s="9">
        <v>1100939.82</v>
      </c>
      <c r="CV175" s="9">
        <v>140542.01999999999</v>
      </c>
      <c r="CW175" s="9">
        <v>960397.8</v>
      </c>
      <c r="CX175" s="9">
        <v>5268815.8899999997</v>
      </c>
      <c r="CY175" s="9">
        <v>4773068.26</v>
      </c>
      <c r="CZ175" s="9">
        <v>495747.63</v>
      </c>
      <c r="DA175" s="9">
        <v>3840336.17</v>
      </c>
      <c r="DB175" s="9">
        <v>3537928.4299999997</v>
      </c>
      <c r="DC175" s="9">
        <v>302407.74</v>
      </c>
      <c r="DD175" s="9">
        <v>1428479.7200000002</v>
      </c>
      <c r="DE175" s="9">
        <v>1235139.83</v>
      </c>
      <c r="DF175" s="9">
        <v>193339.89</v>
      </c>
      <c r="DG175" s="9">
        <v>11289385.310000001</v>
      </c>
      <c r="DH175" s="9">
        <v>3673046.67</v>
      </c>
    </row>
    <row r="176" spans="1:112" x14ac:dyDescent="0.2">
      <c r="A176" s="8" t="s">
        <v>857</v>
      </c>
      <c r="B176" s="8" t="s">
        <v>403</v>
      </c>
      <c r="C176" s="8" t="s">
        <v>404</v>
      </c>
      <c r="D176" s="9">
        <v>12165328.309999999</v>
      </c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>
        <v>548279.4</v>
      </c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>
        <v>598061.65</v>
      </c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>
        <v>5433384.3400000017</v>
      </c>
      <c r="BB176" s="9"/>
      <c r="BC176" s="9">
        <v>6744706.6900000004</v>
      </c>
      <c r="BD176" s="9"/>
      <c r="BE176" s="9">
        <v>97682.15</v>
      </c>
      <c r="BF176" s="9"/>
      <c r="BG176" s="9">
        <v>450597.25</v>
      </c>
      <c r="BH176" s="9"/>
      <c r="BI176" s="9">
        <v>52481.68</v>
      </c>
      <c r="BJ176" s="9"/>
      <c r="BK176" s="9">
        <v>545579.97</v>
      </c>
      <c r="BL176" s="9"/>
      <c r="BM176" s="9">
        <v>9064582.8000000007</v>
      </c>
      <c r="BN176" s="9">
        <v>5251207.4200000009</v>
      </c>
      <c r="BO176" s="9"/>
      <c r="BP176" s="9">
        <v>3813375.37</v>
      </c>
      <c r="BQ176" s="9"/>
      <c r="BR176" s="9">
        <v>316419.42</v>
      </c>
      <c r="BS176" s="9">
        <v>84108.36</v>
      </c>
      <c r="BT176" s="9"/>
      <c r="BU176" s="9">
        <v>232311.06</v>
      </c>
      <c r="BV176" s="9"/>
      <c r="BW176" s="9">
        <v>348884.1</v>
      </c>
      <c r="BX176" s="9">
        <v>42366.2</v>
      </c>
      <c r="BY176" s="9"/>
      <c r="BZ176" s="9">
        <v>306517.89</v>
      </c>
      <c r="CA176" s="9"/>
      <c r="CB176" s="9">
        <v>7449.02</v>
      </c>
      <c r="CC176" s="9">
        <v>12172777.329999998</v>
      </c>
      <c r="CD176" s="9"/>
      <c r="CE176" s="9"/>
      <c r="CF176" s="9">
        <v>7748382.21</v>
      </c>
      <c r="CG176" s="9">
        <v>5401364.0699999994</v>
      </c>
      <c r="CH176" s="9">
        <v>2347018.14</v>
      </c>
      <c r="CI176" s="9">
        <v>4944535.93</v>
      </c>
      <c r="CJ176" s="9">
        <v>3892253.21</v>
      </c>
      <c r="CK176" s="9">
        <v>1052282.72</v>
      </c>
      <c r="CL176" s="9">
        <v>2803846.2800000003</v>
      </c>
      <c r="CM176" s="9">
        <v>1509110.86</v>
      </c>
      <c r="CN176" s="9">
        <v>1294735.4200000002</v>
      </c>
      <c r="CO176" s="9">
        <v>2463251.2599999998</v>
      </c>
      <c r="CP176" s="9">
        <v>593181.11</v>
      </c>
      <c r="CQ176" s="9">
        <v>1870070.15</v>
      </c>
      <c r="CR176" s="9">
        <v>1204513.8700000001</v>
      </c>
      <c r="CS176" s="9">
        <v>417988.06</v>
      </c>
      <c r="CT176" s="9">
        <v>786525.80999999994</v>
      </c>
      <c r="CU176" s="9">
        <v>1258737.3899999999</v>
      </c>
      <c r="CV176" s="9">
        <v>175193.05</v>
      </c>
      <c r="CW176" s="9">
        <v>1083544.3400000001</v>
      </c>
      <c r="CX176" s="9">
        <v>5285130.9499999993</v>
      </c>
      <c r="CY176" s="9">
        <v>4808182.96</v>
      </c>
      <c r="CZ176" s="9">
        <v>476947.99</v>
      </c>
      <c r="DA176" s="9">
        <v>3740022.06</v>
      </c>
      <c r="DB176" s="9">
        <v>3474265.15</v>
      </c>
      <c r="DC176" s="9">
        <v>265756.90999999997</v>
      </c>
      <c r="DD176" s="9">
        <v>1545108.89</v>
      </c>
      <c r="DE176" s="9">
        <v>1333917.81</v>
      </c>
      <c r="DF176" s="9">
        <v>211191.08</v>
      </c>
      <c r="DG176" s="9">
        <v>11367479.359999999</v>
      </c>
      <c r="DH176" s="9">
        <v>3619097.15</v>
      </c>
    </row>
    <row r="177" spans="1:112" x14ac:dyDescent="0.2">
      <c r="A177" s="8" t="s">
        <v>857</v>
      </c>
      <c r="B177" s="8" t="s">
        <v>403</v>
      </c>
      <c r="C177" s="8" t="s">
        <v>405</v>
      </c>
      <c r="D177" s="9">
        <v>12278012.460000001</v>
      </c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>
        <v>525251.69999999995</v>
      </c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>
        <v>618186.65</v>
      </c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>
        <v>5601307.0099999998</v>
      </c>
      <c r="BB177" s="9"/>
      <c r="BC177" s="9">
        <v>6692604.7599999988</v>
      </c>
      <c r="BD177" s="9"/>
      <c r="BE177" s="9">
        <v>89463.58</v>
      </c>
      <c r="BF177" s="9"/>
      <c r="BG177" s="9">
        <v>435788.10999999993</v>
      </c>
      <c r="BH177" s="9"/>
      <c r="BI177" s="9">
        <v>57929.440000000002</v>
      </c>
      <c r="BJ177" s="9"/>
      <c r="BK177" s="9">
        <v>560257.21</v>
      </c>
      <c r="BL177" s="9"/>
      <c r="BM177" s="9">
        <v>9343501.2100000009</v>
      </c>
      <c r="BN177" s="9">
        <v>5432792.7000000002</v>
      </c>
      <c r="BO177" s="9"/>
      <c r="BP177" s="9">
        <v>3910708.51</v>
      </c>
      <c r="BQ177" s="9"/>
      <c r="BR177" s="9">
        <v>294970.61</v>
      </c>
      <c r="BS177" s="9">
        <v>78471.13</v>
      </c>
      <c r="BT177" s="9"/>
      <c r="BU177" s="9">
        <v>216499.47</v>
      </c>
      <c r="BV177" s="9"/>
      <c r="BW177" s="9">
        <v>376209.31</v>
      </c>
      <c r="BX177" s="9">
        <v>47181.09</v>
      </c>
      <c r="BY177" s="9"/>
      <c r="BZ177" s="9">
        <v>329028.23</v>
      </c>
      <c r="CA177" s="9"/>
      <c r="CB177" s="9">
        <v>83721.05</v>
      </c>
      <c r="CC177" s="9">
        <v>12361733.510000002</v>
      </c>
      <c r="CD177" s="9"/>
      <c r="CE177" s="9"/>
      <c r="CF177" s="9">
        <v>7742161.1600000001</v>
      </c>
      <c r="CG177" s="9">
        <v>5276671.6500000004</v>
      </c>
      <c r="CH177" s="9">
        <v>2465489.5099999998</v>
      </c>
      <c r="CI177" s="9">
        <v>4948494.74</v>
      </c>
      <c r="CJ177" s="9">
        <v>3840817.95</v>
      </c>
      <c r="CK177" s="9">
        <v>1107676.79</v>
      </c>
      <c r="CL177" s="9">
        <v>2793666.42</v>
      </c>
      <c r="CM177" s="9">
        <v>1435853.7</v>
      </c>
      <c r="CN177" s="9">
        <v>1357812.72</v>
      </c>
      <c r="CO177" s="9">
        <v>2522146.0300000003</v>
      </c>
      <c r="CP177" s="9">
        <v>558851.57999999996</v>
      </c>
      <c r="CQ177" s="9">
        <v>1963294.45</v>
      </c>
      <c r="CR177" s="9">
        <v>1228872.77</v>
      </c>
      <c r="CS177" s="9">
        <v>403867.93</v>
      </c>
      <c r="CT177" s="9">
        <v>825004.84000000008</v>
      </c>
      <c r="CU177" s="9">
        <v>1293273.26</v>
      </c>
      <c r="CV177" s="9">
        <v>154983.65</v>
      </c>
      <c r="CW177" s="9">
        <v>1138289.6100000001</v>
      </c>
      <c r="CX177" s="9">
        <v>5220015.13</v>
      </c>
      <c r="CY177" s="9">
        <v>4717820.07</v>
      </c>
      <c r="CZ177" s="9">
        <v>502195.06</v>
      </c>
      <c r="DA177" s="9">
        <v>3719621.97</v>
      </c>
      <c r="DB177" s="9">
        <v>3436950.0199999996</v>
      </c>
      <c r="DC177" s="9">
        <v>282671.95</v>
      </c>
      <c r="DD177" s="9">
        <v>1500393.16</v>
      </c>
      <c r="DE177" s="9">
        <v>1280870.05</v>
      </c>
      <c r="DF177" s="9">
        <v>219523.11</v>
      </c>
      <c r="DG177" s="9">
        <v>11318413.520000001</v>
      </c>
      <c r="DH177" s="9">
        <v>3576252.36</v>
      </c>
    </row>
    <row r="178" spans="1:112" x14ac:dyDescent="0.2">
      <c r="A178" s="8" t="s">
        <v>857</v>
      </c>
      <c r="B178" s="8" t="s">
        <v>403</v>
      </c>
      <c r="C178" s="8" t="s">
        <v>406</v>
      </c>
      <c r="D178" s="9">
        <v>12551158.66</v>
      </c>
      <c r="E178" s="9">
        <v>12551158.66</v>
      </c>
      <c r="F178" s="9">
        <v>288170.23999999999</v>
      </c>
      <c r="G178" s="9">
        <v>1212383.6499999999</v>
      </c>
      <c r="H178" s="9">
        <v>1255441.6499999999</v>
      </c>
      <c r="I178" s="9">
        <v>89542.12</v>
      </c>
      <c r="J178" s="9">
        <v>1666361.38</v>
      </c>
      <c r="K178" s="9">
        <v>1891293.92</v>
      </c>
      <c r="L178" s="9">
        <v>205426.87</v>
      </c>
      <c r="M178" s="9">
        <v>2513715.48</v>
      </c>
      <c r="N178" s="9">
        <v>110492.12</v>
      </c>
      <c r="O178" s="9">
        <v>174342.26</v>
      </c>
      <c r="P178" s="9">
        <v>41065.74</v>
      </c>
      <c r="Q178" s="9">
        <v>79147.97</v>
      </c>
      <c r="R178" s="9">
        <v>3023775.26</v>
      </c>
      <c r="S178" s="9">
        <v>0</v>
      </c>
      <c r="T178" s="9">
        <v>0</v>
      </c>
      <c r="U178" s="9">
        <v>0</v>
      </c>
      <c r="V178" s="9">
        <v>0</v>
      </c>
      <c r="W178" s="9">
        <v>462745.23</v>
      </c>
      <c r="X178" s="9">
        <v>462745.23</v>
      </c>
      <c r="Y178" s="9">
        <v>6078.75</v>
      </c>
      <c r="Z178" s="9">
        <v>54377.74</v>
      </c>
      <c r="AA178" s="9">
        <v>91218.22</v>
      </c>
      <c r="AB178" s="9">
        <v>3691.8</v>
      </c>
      <c r="AC178" s="9">
        <v>75853.679999999993</v>
      </c>
      <c r="AD178" s="9">
        <v>85609.26</v>
      </c>
      <c r="AE178" s="9">
        <v>31080.240000000002</v>
      </c>
      <c r="AF178" s="9">
        <v>40152.800000000003</v>
      </c>
      <c r="AG178" s="9">
        <v>8029.74</v>
      </c>
      <c r="AH178" s="9">
        <v>887.24</v>
      </c>
      <c r="AI178" s="9">
        <v>12878.7</v>
      </c>
      <c r="AJ178" s="9">
        <v>1450.13</v>
      </c>
      <c r="AK178" s="9">
        <v>51436.92</v>
      </c>
      <c r="AL178" s="9">
        <v>588623.71</v>
      </c>
      <c r="AM178" s="9">
        <v>588623.71</v>
      </c>
      <c r="AN178" s="9">
        <v>12881.03</v>
      </c>
      <c r="AO178" s="9">
        <v>215585.51</v>
      </c>
      <c r="AP178" s="9">
        <v>70626.399999999994</v>
      </c>
      <c r="AQ178" s="9">
        <v>5768.39</v>
      </c>
      <c r="AR178" s="9">
        <v>63597.58</v>
      </c>
      <c r="AS178" s="9">
        <v>141191.20000000001</v>
      </c>
      <c r="AT178" s="9">
        <v>11618.1</v>
      </c>
      <c r="AU178" s="9">
        <v>19886.919999999998</v>
      </c>
      <c r="AV178" s="9">
        <v>346.13</v>
      </c>
      <c r="AW178" s="9">
        <v>128.9</v>
      </c>
      <c r="AX178" s="9">
        <v>949.17</v>
      </c>
      <c r="AY178" s="9">
        <v>386.53</v>
      </c>
      <c r="AZ178" s="9">
        <v>45657.85</v>
      </c>
      <c r="BA178" s="9">
        <v>5717966.3399999999</v>
      </c>
      <c r="BB178" s="9"/>
      <c r="BC178" s="9">
        <v>6857754.3300000001</v>
      </c>
      <c r="BD178" s="9"/>
      <c r="BE178" s="9">
        <v>88140.22</v>
      </c>
      <c r="BF178" s="9"/>
      <c r="BG178" s="9">
        <v>374605.01</v>
      </c>
      <c r="BH178" s="9"/>
      <c r="BI178" s="9">
        <v>63358.3</v>
      </c>
      <c r="BJ178" s="9"/>
      <c r="BK178" s="9">
        <v>525265.40999999992</v>
      </c>
      <c r="BL178" s="9"/>
      <c r="BM178" s="9">
        <v>9575990.1900000013</v>
      </c>
      <c r="BN178" s="9">
        <v>5551326.5199999996</v>
      </c>
      <c r="BO178" s="9"/>
      <c r="BP178" s="9">
        <v>4024663.68</v>
      </c>
      <c r="BQ178" s="9"/>
      <c r="BR178" s="9">
        <v>284147.96999999997</v>
      </c>
      <c r="BS178" s="9">
        <v>78441.56</v>
      </c>
      <c r="BT178" s="9"/>
      <c r="BU178" s="9">
        <v>205706.41</v>
      </c>
      <c r="BV178" s="9"/>
      <c r="BW178" s="9">
        <v>357561.14</v>
      </c>
      <c r="BX178" s="9">
        <v>50624.52</v>
      </c>
      <c r="BY178" s="9"/>
      <c r="BZ178" s="9">
        <v>306936.62</v>
      </c>
      <c r="CA178" s="9"/>
      <c r="CB178" s="9">
        <v>85267.839999999997</v>
      </c>
      <c r="CC178" s="9">
        <v>12636426.5</v>
      </c>
      <c r="CD178" s="9"/>
      <c r="CE178" s="9"/>
      <c r="CF178" s="9">
        <v>7792654</v>
      </c>
      <c r="CG178" s="9">
        <v>5301607.76</v>
      </c>
      <c r="CH178" s="9">
        <v>2491046.2400000002</v>
      </c>
      <c r="CI178" s="9">
        <v>4988622.7700000005</v>
      </c>
      <c r="CJ178" s="9">
        <v>3847955.5</v>
      </c>
      <c r="CK178" s="9">
        <v>1140667.27</v>
      </c>
      <c r="CL178" s="9">
        <v>2804031.2299999995</v>
      </c>
      <c r="CM178" s="9">
        <v>1453652.26</v>
      </c>
      <c r="CN178" s="9">
        <v>1350378.9700000002</v>
      </c>
      <c r="CO178" s="9">
        <v>2522615.08</v>
      </c>
      <c r="CP178" s="9">
        <v>542171.27</v>
      </c>
      <c r="CQ178" s="9">
        <v>1980443.81</v>
      </c>
      <c r="CR178" s="9">
        <v>1262192.77</v>
      </c>
      <c r="CS178" s="9">
        <v>400711.41</v>
      </c>
      <c r="CT178" s="9">
        <v>861481.36</v>
      </c>
      <c r="CU178" s="9">
        <v>1260422.31</v>
      </c>
      <c r="CV178" s="9">
        <v>141459.85999999999</v>
      </c>
      <c r="CW178" s="9">
        <v>1118962.4500000002</v>
      </c>
      <c r="CX178" s="9">
        <v>5270038.92</v>
      </c>
      <c r="CY178" s="9">
        <v>4759436.49</v>
      </c>
      <c r="CZ178" s="9">
        <v>510602.43</v>
      </c>
      <c r="DA178" s="9">
        <v>3726430</v>
      </c>
      <c r="DB178" s="9">
        <v>3447244.09</v>
      </c>
      <c r="DC178" s="9">
        <v>279185.90999999997</v>
      </c>
      <c r="DD178" s="9">
        <v>1543608.9200000002</v>
      </c>
      <c r="DE178" s="9">
        <v>1312192.3999999999</v>
      </c>
      <c r="DF178" s="9">
        <v>231416.52</v>
      </c>
      <c r="DG178" s="9">
        <v>11388429.039999999</v>
      </c>
      <c r="DH178" s="9">
        <v>3595775.04</v>
      </c>
    </row>
    <row r="179" spans="1:112" x14ac:dyDescent="0.2">
      <c r="A179" s="8" t="s">
        <v>857</v>
      </c>
      <c r="B179" s="8" t="s">
        <v>407</v>
      </c>
      <c r="C179" s="8" t="s">
        <v>408</v>
      </c>
      <c r="D179" s="9">
        <v>12771857.92</v>
      </c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>
        <v>448883.34</v>
      </c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>
        <v>604539.46</v>
      </c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>
        <v>5834321.3300000001</v>
      </c>
      <c r="BB179" s="9"/>
      <c r="BC179" s="9">
        <v>6962848.0899999989</v>
      </c>
      <c r="BD179" s="9"/>
      <c r="BE179" s="9">
        <v>116305.79</v>
      </c>
      <c r="BF179" s="9"/>
      <c r="BG179" s="9">
        <v>332577.53999999998</v>
      </c>
      <c r="BH179" s="9"/>
      <c r="BI179" s="9">
        <v>67259.600000000006</v>
      </c>
      <c r="BJ179" s="9"/>
      <c r="BK179" s="9">
        <v>537279.86999999988</v>
      </c>
      <c r="BL179" s="9"/>
      <c r="BM179" s="9">
        <v>9695095.9199999999</v>
      </c>
      <c r="BN179" s="9">
        <v>5658526.9900000002</v>
      </c>
      <c r="BO179" s="9"/>
      <c r="BP179" s="9">
        <v>4036568.92</v>
      </c>
      <c r="BQ179" s="9"/>
      <c r="BR179" s="9">
        <v>308273.13</v>
      </c>
      <c r="BS179" s="9">
        <v>105241.58</v>
      </c>
      <c r="BT179" s="9"/>
      <c r="BU179" s="9">
        <v>203031.54</v>
      </c>
      <c r="BV179" s="9"/>
      <c r="BW179" s="9">
        <v>375660.89</v>
      </c>
      <c r="BX179" s="9">
        <v>56330.32</v>
      </c>
      <c r="BY179" s="9"/>
      <c r="BZ179" s="9">
        <v>319330.58</v>
      </c>
      <c r="CA179" s="9"/>
      <c r="CB179" s="9">
        <v>86437.31</v>
      </c>
      <c r="CC179" s="9">
        <v>12858295.23</v>
      </c>
      <c r="CD179" s="9"/>
      <c r="CE179" s="9"/>
      <c r="CF179" s="9">
        <v>7959841.9699999988</v>
      </c>
      <c r="CG179" s="9">
        <v>5336070.7799999993</v>
      </c>
      <c r="CH179" s="9">
        <v>2623771.1900000004</v>
      </c>
      <c r="CI179" s="9">
        <v>4954785.91</v>
      </c>
      <c r="CJ179" s="9">
        <v>3874318.97</v>
      </c>
      <c r="CK179" s="9">
        <v>1080466.94</v>
      </c>
      <c r="CL179" s="9">
        <v>3005056.0600000005</v>
      </c>
      <c r="CM179" s="9">
        <v>1461751.81</v>
      </c>
      <c r="CN179" s="9">
        <v>1543304.25</v>
      </c>
      <c r="CO179" s="9">
        <v>2678547.73</v>
      </c>
      <c r="CP179" s="9">
        <v>560128.76</v>
      </c>
      <c r="CQ179" s="9">
        <v>2118418.9700000002</v>
      </c>
      <c r="CR179" s="9">
        <v>1215887.3600000001</v>
      </c>
      <c r="CS179" s="9">
        <v>420371.53</v>
      </c>
      <c r="CT179" s="9">
        <v>795515.83</v>
      </c>
      <c r="CU179" s="9">
        <v>1462660.37</v>
      </c>
      <c r="CV179" s="9">
        <v>139757.23000000001</v>
      </c>
      <c r="CW179" s="9">
        <v>1322903.1399999999</v>
      </c>
      <c r="CX179" s="9">
        <v>5281294.24</v>
      </c>
      <c r="CY179" s="9">
        <v>4775942.0199999996</v>
      </c>
      <c r="CZ179" s="9">
        <v>505352.22</v>
      </c>
      <c r="DA179" s="9">
        <v>3738898.55</v>
      </c>
      <c r="DB179" s="9">
        <v>3453947.44</v>
      </c>
      <c r="DC179" s="9">
        <v>284951.11</v>
      </c>
      <c r="DD179" s="9">
        <v>1542395.6900000002</v>
      </c>
      <c r="DE179" s="9">
        <v>1321994.58</v>
      </c>
      <c r="DF179" s="9">
        <v>220401.11</v>
      </c>
      <c r="DG179" s="9">
        <v>11326726.699999999</v>
      </c>
      <c r="DH179" s="9">
        <v>3366884.73</v>
      </c>
    </row>
    <row r="180" spans="1:112" x14ac:dyDescent="0.2">
      <c r="A180" s="8" t="s">
        <v>857</v>
      </c>
      <c r="B180" s="8" t="s">
        <v>407</v>
      </c>
      <c r="C180" s="8" t="s">
        <v>409</v>
      </c>
      <c r="D180" s="9">
        <v>12586772.09</v>
      </c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>
        <v>442973.74</v>
      </c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>
        <v>618265.62</v>
      </c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>
        <v>5580933.1000000006</v>
      </c>
      <c r="BB180" s="9"/>
      <c r="BC180" s="9">
        <v>7034104.8199999994</v>
      </c>
      <c r="BD180" s="9"/>
      <c r="BE180" s="9">
        <v>120486.17</v>
      </c>
      <c r="BF180" s="9"/>
      <c r="BG180" s="9">
        <v>322487.57</v>
      </c>
      <c r="BH180" s="9"/>
      <c r="BI180" s="9">
        <v>75999.960000000006</v>
      </c>
      <c r="BJ180" s="9"/>
      <c r="BK180" s="9">
        <v>542265.66999999993</v>
      </c>
      <c r="BL180" s="9"/>
      <c r="BM180" s="9">
        <v>9414995.5700000003</v>
      </c>
      <c r="BN180" s="9">
        <v>5400560.9400000004</v>
      </c>
      <c r="BO180" s="9"/>
      <c r="BP180" s="9">
        <v>4014434.64</v>
      </c>
      <c r="BQ180" s="9"/>
      <c r="BR180" s="9">
        <v>313287.15000000002</v>
      </c>
      <c r="BS180" s="9">
        <v>112163.65</v>
      </c>
      <c r="BT180" s="9"/>
      <c r="BU180" s="9">
        <v>201123.5</v>
      </c>
      <c r="BV180" s="9"/>
      <c r="BW180" s="9">
        <v>372937.66</v>
      </c>
      <c r="BX180" s="9">
        <v>61200.800000000003</v>
      </c>
      <c r="BY180" s="9"/>
      <c r="BZ180" s="9">
        <v>311736.87</v>
      </c>
      <c r="CA180" s="9"/>
      <c r="CB180" s="9">
        <v>88171.08</v>
      </c>
      <c r="CC180" s="9">
        <v>12674943.17</v>
      </c>
      <c r="CD180" s="9"/>
      <c r="CE180" s="9"/>
      <c r="CF180" s="9">
        <v>8051095.8399999999</v>
      </c>
      <c r="CG180" s="9">
        <v>5364688.0999999996</v>
      </c>
      <c r="CH180" s="9">
        <v>2686407.7400000007</v>
      </c>
      <c r="CI180" s="9">
        <v>5058453.1400000006</v>
      </c>
      <c r="CJ180" s="9">
        <v>3832157.8</v>
      </c>
      <c r="CK180" s="9">
        <v>1226295.3400000001</v>
      </c>
      <c r="CL180" s="9">
        <v>2992642.6999999997</v>
      </c>
      <c r="CM180" s="9">
        <v>1532530.3</v>
      </c>
      <c r="CN180" s="9">
        <v>1460112.4</v>
      </c>
      <c r="CO180" s="9">
        <v>2593299.4500000002</v>
      </c>
      <c r="CP180" s="9">
        <v>526003.51</v>
      </c>
      <c r="CQ180" s="9">
        <v>2067295.94</v>
      </c>
      <c r="CR180" s="9">
        <v>1214141.05</v>
      </c>
      <c r="CS180" s="9">
        <v>383466.55</v>
      </c>
      <c r="CT180" s="9">
        <v>830674.5</v>
      </c>
      <c r="CU180" s="9">
        <v>1379158.4</v>
      </c>
      <c r="CV180" s="9">
        <v>142536.95999999999</v>
      </c>
      <c r="CW180" s="9">
        <v>1236621.44</v>
      </c>
      <c r="CX180" s="9">
        <v>5457796.3899999997</v>
      </c>
      <c r="CY180" s="9">
        <v>4838684.59</v>
      </c>
      <c r="CZ180" s="9">
        <v>619111.79999999993</v>
      </c>
      <c r="DA180" s="9">
        <v>3844312.09</v>
      </c>
      <c r="DB180" s="9">
        <v>3448691.25</v>
      </c>
      <c r="DC180" s="9">
        <v>395620.84</v>
      </c>
      <c r="DD180" s="9">
        <v>1613484.2999999998</v>
      </c>
      <c r="DE180" s="9">
        <v>1389993.34</v>
      </c>
      <c r="DF180" s="9">
        <v>223490.96</v>
      </c>
      <c r="DG180" s="9">
        <v>11290403.4</v>
      </c>
      <c r="DH180" s="9">
        <v>3239307.56</v>
      </c>
    </row>
    <row r="181" spans="1:112" x14ac:dyDescent="0.2">
      <c r="A181" s="8" t="s">
        <v>857</v>
      </c>
      <c r="B181" s="8" t="s">
        <v>407</v>
      </c>
      <c r="C181" s="8" t="s">
        <v>410</v>
      </c>
      <c r="D181" s="9">
        <v>12440925.890000001</v>
      </c>
      <c r="E181" s="9">
        <v>12440925.890000001</v>
      </c>
      <c r="F181" s="9">
        <v>316834.44</v>
      </c>
      <c r="G181" s="9">
        <v>1129537.67</v>
      </c>
      <c r="H181" s="9">
        <v>1317763.24</v>
      </c>
      <c r="I181" s="9">
        <v>77080.259999999995</v>
      </c>
      <c r="J181" s="9">
        <v>1647369.65</v>
      </c>
      <c r="K181" s="9">
        <v>1803763.67</v>
      </c>
      <c r="L181" s="9">
        <v>174815.33</v>
      </c>
      <c r="M181" s="9">
        <v>2435462.09</v>
      </c>
      <c r="N181" s="9">
        <v>118098.68</v>
      </c>
      <c r="O181" s="9">
        <v>232479.38</v>
      </c>
      <c r="P181" s="9">
        <v>40501.29</v>
      </c>
      <c r="Q181" s="9">
        <v>73482.399999999994</v>
      </c>
      <c r="R181" s="9">
        <v>3073737.78</v>
      </c>
      <c r="S181" s="9">
        <v>0</v>
      </c>
      <c r="T181" s="9">
        <v>0</v>
      </c>
      <c r="U181" s="9">
        <v>0</v>
      </c>
      <c r="V181" s="9">
        <v>0</v>
      </c>
      <c r="W181" s="9">
        <v>267801.39</v>
      </c>
      <c r="X181" s="9">
        <v>267801.39</v>
      </c>
      <c r="Y181" s="9">
        <v>6701.8</v>
      </c>
      <c r="Z181" s="9">
        <v>22555.25</v>
      </c>
      <c r="AA181" s="9">
        <v>65548.289999999994</v>
      </c>
      <c r="AB181" s="9">
        <v>850.64</v>
      </c>
      <c r="AC181" s="9">
        <v>58755.72</v>
      </c>
      <c r="AD181" s="9">
        <v>24011.56</v>
      </c>
      <c r="AE181" s="9">
        <v>5597.32</v>
      </c>
      <c r="AF181" s="9">
        <v>25431.51</v>
      </c>
      <c r="AG181" s="9">
        <v>4230.4399999999996</v>
      </c>
      <c r="AH181" s="9">
        <v>492.03</v>
      </c>
      <c r="AI181" s="9">
        <v>11886.23</v>
      </c>
      <c r="AJ181" s="9">
        <v>1531.71</v>
      </c>
      <c r="AK181" s="9">
        <v>40208.879999999997</v>
      </c>
      <c r="AL181" s="9">
        <v>623937.93999999994</v>
      </c>
      <c r="AM181" s="9">
        <v>623937.93999999994</v>
      </c>
      <c r="AN181" s="9">
        <v>12816.26</v>
      </c>
      <c r="AO181" s="9">
        <v>198598.87</v>
      </c>
      <c r="AP181" s="9">
        <v>52843.16</v>
      </c>
      <c r="AQ181" s="9">
        <v>2506.6</v>
      </c>
      <c r="AR181" s="9">
        <v>63866.74</v>
      </c>
      <c r="AS181" s="9">
        <v>172866.82</v>
      </c>
      <c r="AT181" s="9">
        <v>23294.82</v>
      </c>
      <c r="AU181" s="9">
        <v>28659.72</v>
      </c>
      <c r="AV181" s="9">
        <v>3592.89</v>
      </c>
      <c r="AW181" s="9">
        <v>142.26</v>
      </c>
      <c r="AX181" s="9">
        <v>870.34</v>
      </c>
      <c r="AY181" s="9">
        <v>700.35</v>
      </c>
      <c r="AZ181" s="9">
        <v>63179.12</v>
      </c>
      <c r="BA181" s="9">
        <v>5648914.4299999997</v>
      </c>
      <c r="BB181" s="9"/>
      <c r="BC181" s="9">
        <v>6825987.8800000008</v>
      </c>
      <c r="BD181" s="9"/>
      <c r="BE181" s="9">
        <v>69176.13</v>
      </c>
      <c r="BF181" s="9"/>
      <c r="BG181" s="9">
        <v>198625.27</v>
      </c>
      <c r="BH181" s="9"/>
      <c r="BI181" s="9">
        <v>69121.990000000005</v>
      </c>
      <c r="BJ181" s="9"/>
      <c r="BK181" s="9">
        <v>554815.97000000009</v>
      </c>
      <c r="BL181" s="9"/>
      <c r="BM181" s="9">
        <v>9564409.0000000019</v>
      </c>
      <c r="BN181" s="9">
        <v>5490120.1299999999</v>
      </c>
      <c r="BO181" s="9"/>
      <c r="BP181" s="9">
        <v>4074288.88</v>
      </c>
      <c r="BQ181" s="9"/>
      <c r="BR181" s="9">
        <v>208012.89</v>
      </c>
      <c r="BS181" s="9">
        <v>63894.62</v>
      </c>
      <c r="BT181" s="9"/>
      <c r="BU181" s="9">
        <v>144118.26999999999</v>
      </c>
      <c r="BV181" s="9"/>
      <c r="BW181" s="9">
        <v>363880.22</v>
      </c>
      <c r="BX181" s="9">
        <v>54631.16</v>
      </c>
      <c r="BY181" s="9"/>
      <c r="BZ181" s="9">
        <v>309249.07</v>
      </c>
      <c r="CA181" s="9"/>
      <c r="CB181" s="9">
        <v>87907.76</v>
      </c>
      <c r="CC181" s="9">
        <v>12528833.65</v>
      </c>
      <c r="CD181" s="9"/>
      <c r="CE181" s="9"/>
      <c r="CF181" s="9">
        <v>8502678.3200000003</v>
      </c>
      <c r="CG181" s="9">
        <v>5654200.2400000002</v>
      </c>
      <c r="CH181" s="9">
        <v>2848478.08</v>
      </c>
      <c r="CI181" s="9">
        <v>5399300.9799999995</v>
      </c>
      <c r="CJ181" s="9">
        <v>4079051.19</v>
      </c>
      <c r="CK181" s="9">
        <v>1320249.79</v>
      </c>
      <c r="CL181" s="9">
        <v>3103377.34</v>
      </c>
      <c r="CM181" s="9">
        <v>1575149.0499999998</v>
      </c>
      <c r="CN181" s="9">
        <v>1528228.29</v>
      </c>
      <c r="CO181" s="9">
        <v>2692141.24</v>
      </c>
      <c r="CP181" s="9">
        <v>552297.81000000006</v>
      </c>
      <c r="CQ181" s="9">
        <v>2139843.4299999997</v>
      </c>
      <c r="CR181" s="9">
        <v>1259055.9099999999</v>
      </c>
      <c r="CS181" s="9">
        <v>404461.06</v>
      </c>
      <c r="CT181" s="9">
        <v>854594.84999999986</v>
      </c>
      <c r="CU181" s="9">
        <v>1433085.33</v>
      </c>
      <c r="CV181" s="9">
        <v>147836.75</v>
      </c>
      <c r="CW181" s="9">
        <v>1285248.58</v>
      </c>
      <c r="CX181" s="9">
        <v>5810537.0800000001</v>
      </c>
      <c r="CY181" s="9">
        <v>5101902.43</v>
      </c>
      <c r="CZ181" s="9">
        <v>708634.65</v>
      </c>
      <c r="DA181" s="9">
        <v>4140245.07</v>
      </c>
      <c r="DB181" s="9">
        <v>3674590.13</v>
      </c>
      <c r="DC181" s="9">
        <v>465654.94</v>
      </c>
      <c r="DD181" s="9">
        <v>1670292.01</v>
      </c>
      <c r="DE181" s="9">
        <v>1427312.3</v>
      </c>
      <c r="DF181" s="9">
        <v>242979.71</v>
      </c>
      <c r="DG181" s="9">
        <v>11663322.15</v>
      </c>
      <c r="DH181" s="9">
        <v>3160643.83</v>
      </c>
    </row>
    <row r="182" spans="1:112" x14ac:dyDescent="0.2">
      <c r="A182" s="8" t="s">
        <v>858</v>
      </c>
      <c r="B182" s="8" t="s">
        <v>411</v>
      </c>
      <c r="C182" s="8" t="s">
        <v>412</v>
      </c>
      <c r="D182" s="9">
        <v>12027220.74</v>
      </c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>
        <v>316032.95</v>
      </c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>
        <v>655653.36</v>
      </c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>
        <v>5300916.8199999994</v>
      </c>
      <c r="BB182" s="9"/>
      <c r="BC182" s="9">
        <v>6755544.9999999991</v>
      </c>
      <c r="BD182" s="9"/>
      <c r="BE182" s="9">
        <v>114323.63</v>
      </c>
      <c r="BF182" s="9"/>
      <c r="BG182" s="9">
        <v>201709.31</v>
      </c>
      <c r="BH182" s="9"/>
      <c r="BI182" s="9">
        <v>77791.759999999995</v>
      </c>
      <c r="BJ182" s="9"/>
      <c r="BK182" s="9">
        <v>577861.6</v>
      </c>
      <c r="BL182" s="9"/>
      <c r="BM182" s="9">
        <v>9133124.0199999977</v>
      </c>
      <c r="BN182" s="9">
        <v>5142519.1100000003</v>
      </c>
      <c r="BO182" s="9"/>
      <c r="BP182" s="9">
        <v>3990604.9</v>
      </c>
      <c r="BQ182" s="9"/>
      <c r="BR182" s="9">
        <v>243750.29</v>
      </c>
      <c r="BS182" s="9">
        <v>101918.12</v>
      </c>
      <c r="BT182" s="9"/>
      <c r="BU182" s="9">
        <v>141832.17000000001</v>
      </c>
      <c r="BV182" s="9"/>
      <c r="BW182" s="9">
        <v>391129.54</v>
      </c>
      <c r="BX182" s="9">
        <v>63124.33</v>
      </c>
      <c r="BY182" s="9"/>
      <c r="BZ182" s="9">
        <v>328005.21000000002</v>
      </c>
      <c r="CA182" s="9"/>
      <c r="CB182" s="9">
        <v>90750.17</v>
      </c>
      <c r="CC182" s="9">
        <v>12117970.91</v>
      </c>
      <c r="CD182" s="9"/>
      <c r="CE182" s="9"/>
      <c r="CF182" s="9">
        <v>8229803.8499999996</v>
      </c>
      <c r="CG182" s="9">
        <v>5573011.1499999994</v>
      </c>
      <c r="CH182" s="9">
        <v>2656792.7000000002</v>
      </c>
      <c r="CI182" s="9">
        <v>5245994.99</v>
      </c>
      <c r="CJ182" s="9">
        <v>3979513.16</v>
      </c>
      <c r="CK182" s="9">
        <v>1266481.83</v>
      </c>
      <c r="CL182" s="9">
        <v>2983808.86</v>
      </c>
      <c r="CM182" s="9">
        <v>1593497.99</v>
      </c>
      <c r="CN182" s="9">
        <v>1390310.87</v>
      </c>
      <c r="CO182" s="9">
        <v>2232848.89</v>
      </c>
      <c r="CP182" s="9">
        <v>491768.22</v>
      </c>
      <c r="CQ182" s="9">
        <v>1741080.6700000002</v>
      </c>
      <c r="CR182" s="9">
        <v>1063264.43</v>
      </c>
      <c r="CS182" s="9">
        <v>349014.62</v>
      </c>
      <c r="CT182" s="9">
        <v>714249.81</v>
      </c>
      <c r="CU182" s="9">
        <v>1169584.46</v>
      </c>
      <c r="CV182" s="9">
        <v>142753.60000000001</v>
      </c>
      <c r="CW182" s="9">
        <v>1026830.86</v>
      </c>
      <c r="CX182" s="9">
        <v>5996954.96</v>
      </c>
      <c r="CY182" s="9">
        <v>5081242.93</v>
      </c>
      <c r="CZ182" s="9">
        <v>915712.03</v>
      </c>
      <c r="DA182" s="9">
        <v>4182730.56</v>
      </c>
      <c r="DB182" s="9">
        <v>3630498.54</v>
      </c>
      <c r="DC182" s="9">
        <v>552232.02</v>
      </c>
      <c r="DD182" s="9">
        <v>1814224.4</v>
      </c>
      <c r="DE182" s="9">
        <v>1450744.39</v>
      </c>
      <c r="DF182" s="9">
        <v>363480.01</v>
      </c>
      <c r="DG182" s="9">
        <v>11340061.860000001</v>
      </c>
      <c r="DH182" s="9">
        <v>3110258.01</v>
      </c>
    </row>
    <row r="183" spans="1:112" x14ac:dyDescent="0.2">
      <c r="A183" s="8" t="s">
        <v>858</v>
      </c>
      <c r="B183" s="8" t="s">
        <v>411</v>
      </c>
      <c r="C183" s="8" t="s">
        <v>413</v>
      </c>
      <c r="D183" s="9">
        <v>12113251.309999999</v>
      </c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>
        <v>395954.3</v>
      </c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>
        <v>661272.76</v>
      </c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>
        <v>5391449.8699999992</v>
      </c>
      <c r="BB183" s="9"/>
      <c r="BC183" s="9">
        <v>6746161.1599999992</v>
      </c>
      <c r="BD183" s="9"/>
      <c r="BE183" s="9">
        <v>139162.63</v>
      </c>
      <c r="BF183" s="9"/>
      <c r="BG183" s="9">
        <v>256791.67</v>
      </c>
      <c r="BH183" s="9"/>
      <c r="BI183" s="9">
        <v>81731.06</v>
      </c>
      <c r="BJ183" s="9"/>
      <c r="BK183" s="9">
        <v>579541.71000000008</v>
      </c>
      <c r="BL183" s="9"/>
      <c r="BM183" s="9">
        <v>9195069.6199999992</v>
      </c>
      <c r="BN183" s="9">
        <v>5244997.17</v>
      </c>
      <c r="BO183" s="9"/>
      <c r="BP183" s="9">
        <v>3950072.47</v>
      </c>
      <c r="BQ183" s="9"/>
      <c r="BR183" s="9">
        <v>320122.23</v>
      </c>
      <c r="BS183" s="9">
        <v>124400.95</v>
      </c>
      <c r="BT183" s="9"/>
      <c r="BU183" s="9">
        <v>195721.29</v>
      </c>
      <c r="BV183" s="9"/>
      <c r="BW183" s="9">
        <v>393101.84</v>
      </c>
      <c r="BX183" s="9">
        <v>66381.460000000006</v>
      </c>
      <c r="BY183" s="9"/>
      <c r="BZ183" s="9">
        <v>326720.39</v>
      </c>
      <c r="CA183" s="9"/>
      <c r="CB183" s="9">
        <v>92356.2</v>
      </c>
      <c r="CC183" s="9">
        <v>12205607.509999998</v>
      </c>
      <c r="CD183" s="9"/>
      <c r="CE183" s="9"/>
      <c r="CF183" s="9">
        <v>8232997.5999999996</v>
      </c>
      <c r="CG183" s="9">
        <v>5704133.6200000001</v>
      </c>
      <c r="CH183" s="9">
        <v>2528863.98</v>
      </c>
      <c r="CI183" s="9">
        <v>5313520.4000000004</v>
      </c>
      <c r="CJ183" s="9">
        <v>4097546.37</v>
      </c>
      <c r="CK183" s="9">
        <v>1215974.0300000005</v>
      </c>
      <c r="CL183" s="9">
        <v>2919477.1999999997</v>
      </c>
      <c r="CM183" s="9">
        <v>1606587.25</v>
      </c>
      <c r="CN183" s="9">
        <v>1312889.95</v>
      </c>
      <c r="CO183" s="9">
        <v>2168328.4699999997</v>
      </c>
      <c r="CP183" s="9">
        <v>536521.93999999994</v>
      </c>
      <c r="CQ183" s="9">
        <v>1631806.5299999998</v>
      </c>
      <c r="CR183" s="9">
        <v>1084751.0900000001</v>
      </c>
      <c r="CS183" s="9">
        <v>368276.35</v>
      </c>
      <c r="CT183" s="9">
        <v>716474.74</v>
      </c>
      <c r="CU183" s="9">
        <v>1083577.3799999999</v>
      </c>
      <c r="CV183" s="9">
        <v>168245.59</v>
      </c>
      <c r="CW183" s="9">
        <v>915331.79</v>
      </c>
      <c r="CX183" s="9">
        <v>6064669.1300000008</v>
      </c>
      <c r="CY183" s="9">
        <v>5167611.68</v>
      </c>
      <c r="CZ183" s="9">
        <v>897057.45</v>
      </c>
      <c r="DA183" s="9">
        <v>4228769.3100000005</v>
      </c>
      <c r="DB183" s="9">
        <v>3729270.02</v>
      </c>
      <c r="DC183" s="9">
        <v>499499.29</v>
      </c>
      <c r="DD183" s="9">
        <v>1835899.82</v>
      </c>
      <c r="DE183" s="9">
        <v>1438341.66</v>
      </c>
      <c r="DF183" s="9">
        <v>397558.16</v>
      </c>
      <c r="DG183" s="9">
        <v>11267092.090000002</v>
      </c>
      <c r="DH183" s="9">
        <v>3034094.49</v>
      </c>
    </row>
    <row r="184" spans="1:112" x14ac:dyDescent="0.2">
      <c r="A184" s="8" t="s">
        <v>858</v>
      </c>
      <c r="B184" s="8" t="s">
        <v>411</v>
      </c>
      <c r="C184" s="8" t="s">
        <v>414</v>
      </c>
      <c r="D184" s="9">
        <v>12211911.299999999</v>
      </c>
      <c r="E184" s="9">
        <v>12210963.73</v>
      </c>
      <c r="F184" s="9">
        <v>332979.20000000001</v>
      </c>
      <c r="G184" s="9">
        <v>1123063.8899999999</v>
      </c>
      <c r="H184" s="9">
        <v>1361867.72</v>
      </c>
      <c r="I184" s="9">
        <v>61947.06</v>
      </c>
      <c r="J184" s="9">
        <v>1550179.95</v>
      </c>
      <c r="K184" s="9">
        <v>1740357.79</v>
      </c>
      <c r="L184" s="9">
        <v>169563.13</v>
      </c>
      <c r="M184" s="9">
        <v>2166822.4299999997</v>
      </c>
      <c r="N184" s="9">
        <v>110728.53</v>
      </c>
      <c r="O184" s="9">
        <v>228042.83</v>
      </c>
      <c r="P184" s="9">
        <v>75595.16</v>
      </c>
      <c r="Q184" s="9">
        <v>72891.100000000006</v>
      </c>
      <c r="R184" s="9">
        <v>3216924.94</v>
      </c>
      <c r="S184" s="9">
        <v>0</v>
      </c>
      <c r="T184" s="9">
        <v>0</v>
      </c>
      <c r="U184" s="9">
        <v>0</v>
      </c>
      <c r="V184" s="9">
        <v>0</v>
      </c>
      <c r="W184" s="9">
        <v>557505.62</v>
      </c>
      <c r="X184" s="9">
        <v>557505.62</v>
      </c>
      <c r="Y184" s="9">
        <v>6005.55</v>
      </c>
      <c r="Z184" s="9">
        <v>171923.09</v>
      </c>
      <c r="AA184" s="9">
        <v>85264.22</v>
      </c>
      <c r="AB184" s="9">
        <v>995.47</v>
      </c>
      <c r="AC184" s="9">
        <v>87048.89</v>
      </c>
      <c r="AD184" s="9">
        <v>45259.24</v>
      </c>
      <c r="AE184" s="9">
        <v>8982.3799999999992</v>
      </c>
      <c r="AF184" s="9">
        <v>37259.68</v>
      </c>
      <c r="AG184" s="9">
        <v>215.54</v>
      </c>
      <c r="AH184" s="9">
        <v>34896.639999999999</v>
      </c>
      <c r="AI184" s="9">
        <v>12651.24</v>
      </c>
      <c r="AJ184" s="9">
        <v>1176.8699999999999</v>
      </c>
      <c r="AK184" s="9">
        <v>65826.8</v>
      </c>
      <c r="AL184" s="9">
        <v>701393.36</v>
      </c>
      <c r="AM184" s="9">
        <v>701393.36</v>
      </c>
      <c r="AN184" s="9">
        <v>15692.76</v>
      </c>
      <c r="AO184" s="9">
        <v>254557.9</v>
      </c>
      <c r="AP184" s="9">
        <v>72577.94</v>
      </c>
      <c r="AQ184" s="9">
        <v>1717.39</v>
      </c>
      <c r="AR184" s="9">
        <v>70004.31</v>
      </c>
      <c r="AS184" s="9">
        <v>155952.23000000001</v>
      </c>
      <c r="AT184" s="9">
        <v>23788.42</v>
      </c>
      <c r="AU184" s="9">
        <v>34929.72</v>
      </c>
      <c r="AV184" s="9">
        <v>3509.4</v>
      </c>
      <c r="AW184" s="9">
        <v>143.84</v>
      </c>
      <c r="AX184" s="9">
        <v>812.95</v>
      </c>
      <c r="AY184" s="9">
        <v>1031.3399999999999</v>
      </c>
      <c r="AZ184" s="9">
        <v>66675.149999999994</v>
      </c>
      <c r="BA184" s="9">
        <v>5480296.6000000015</v>
      </c>
      <c r="BB184" s="9"/>
      <c r="BC184" s="9">
        <v>6760422.9699999997</v>
      </c>
      <c r="BD184" s="9"/>
      <c r="BE184" s="9">
        <v>107804.68</v>
      </c>
      <c r="BF184" s="9"/>
      <c r="BG184" s="9">
        <v>449700.95</v>
      </c>
      <c r="BH184" s="9"/>
      <c r="BI184" s="9">
        <v>84580.81</v>
      </c>
      <c r="BJ184" s="9"/>
      <c r="BK184" s="9">
        <v>616812.56000000006</v>
      </c>
      <c r="BL184" s="9"/>
      <c r="BM184" s="9">
        <v>9315301.5599999987</v>
      </c>
      <c r="BN184" s="9">
        <v>5328873.4300000006</v>
      </c>
      <c r="BO184" s="9"/>
      <c r="BP184" s="9">
        <v>3986428.14</v>
      </c>
      <c r="BQ184" s="9"/>
      <c r="BR184" s="9">
        <v>301489.65000000002</v>
      </c>
      <c r="BS184" s="9">
        <v>93345.19</v>
      </c>
      <c r="BT184" s="9"/>
      <c r="BU184" s="9">
        <v>208144.47</v>
      </c>
      <c r="BV184" s="9"/>
      <c r="BW184" s="9">
        <v>406984.87</v>
      </c>
      <c r="BX184" s="9">
        <v>69330.28</v>
      </c>
      <c r="BY184" s="9"/>
      <c r="BZ184" s="9">
        <v>337654.6</v>
      </c>
      <c r="CA184" s="9"/>
      <c r="CB184" s="9">
        <v>93820.47</v>
      </c>
      <c r="CC184" s="9">
        <v>12305731.77</v>
      </c>
      <c r="CD184" s="9"/>
      <c r="CE184" s="9"/>
      <c r="CF184" s="9">
        <v>8010082.7400000002</v>
      </c>
      <c r="CG184" s="9">
        <v>5621321.209999999</v>
      </c>
      <c r="CH184" s="9">
        <v>2388761.5300000003</v>
      </c>
      <c r="CI184" s="9">
        <v>5111614.2399999993</v>
      </c>
      <c r="CJ184" s="9">
        <v>3999364.31</v>
      </c>
      <c r="CK184" s="9">
        <v>1112249.93</v>
      </c>
      <c r="CL184" s="9">
        <v>2898468.5</v>
      </c>
      <c r="CM184" s="9">
        <v>1621956.9</v>
      </c>
      <c r="CN184" s="9">
        <v>1276511.6000000001</v>
      </c>
      <c r="CO184" s="9">
        <v>2060087.59</v>
      </c>
      <c r="CP184" s="9">
        <v>494517.76000000001</v>
      </c>
      <c r="CQ184" s="9">
        <v>1565569.83</v>
      </c>
      <c r="CR184" s="9">
        <v>995380.92000000016</v>
      </c>
      <c r="CS184" s="9">
        <v>329080.2</v>
      </c>
      <c r="CT184" s="9">
        <v>666300.72</v>
      </c>
      <c r="CU184" s="9">
        <v>1064706.67</v>
      </c>
      <c r="CV184" s="9">
        <v>165437.56</v>
      </c>
      <c r="CW184" s="9">
        <v>899269.1100000001</v>
      </c>
      <c r="CX184" s="9">
        <v>5949995.1499999994</v>
      </c>
      <c r="CY184" s="9">
        <v>5126803.4499999993</v>
      </c>
      <c r="CZ184" s="9">
        <v>823191.7</v>
      </c>
      <c r="DA184" s="9">
        <v>4116233.32</v>
      </c>
      <c r="DB184" s="9">
        <v>3670284.11</v>
      </c>
      <c r="DC184" s="9">
        <v>445949.21</v>
      </c>
      <c r="DD184" s="9">
        <v>1833761.83</v>
      </c>
      <c r="DE184" s="9">
        <v>1456519.34</v>
      </c>
      <c r="DF184" s="9">
        <v>377242.49</v>
      </c>
      <c r="DG184" s="9">
        <v>10998153.130000001</v>
      </c>
      <c r="DH184" s="9">
        <v>2988070.39</v>
      </c>
    </row>
    <row r="185" spans="1:112" x14ac:dyDescent="0.2">
      <c r="A185" s="8" t="s">
        <v>858</v>
      </c>
      <c r="B185" s="8" t="s">
        <v>415</v>
      </c>
      <c r="C185" s="8" t="s">
        <v>416</v>
      </c>
      <c r="D185" s="9">
        <v>12237222.529999999</v>
      </c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>
        <v>585638.41</v>
      </c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>
        <v>745479.39</v>
      </c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>
        <v>5550659.8399999999</v>
      </c>
      <c r="BB185" s="9"/>
      <c r="BC185" s="9">
        <v>6717558.459999999</v>
      </c>
      <c r="BD185" s="9"/>
      <c r="BE185" s="9">
        <v>112280.07</v>
      </c>
      <c r="BF185" s="9"/>
      <c r="BG185" s="9">
        <v>473358.34</v>
      </c>
      <c r="BH185" s="9"/>
      <c r="BI185" s="9">
        <v>95637.96</v>
      </c>
      <c r="BJ185" s="9"/>
      <c r="BK185" s="9">
        <v>649841.42999999993</v>
      </c>
      <c r="BL185" s="9"/>
      <c r="BM185" s="9">
        <v>9342935.6199999992</v>
      </c>
      <c r="BN185" s="9">
        <v>5404752.9299999997</v>
      </c>
      <c r="BO185" s="9"/>
      <c r="BP185" s="9">
        <v>3938182.6800000006</v>
      </c>
      <c r="BQ185" s="9"/>
      <c r="BR185" s="9">
        <v>315080.87</v>
      </c>
      <c r="BS185" s="9">
        <v>101256.99</v>
      </c>
      <c r="BT185" s="9"/>
      <c r="BU185" s="9">
        <v>213823.87</v>
      </c>
      <c r="BV185" s="9"/>
      <c r="BW185" s="9">
        <v>447064.82</v>
      </c>
      <c r="BX185" s="9">
        <v>75867.56</v>
      </c>
      <c r="BY185" s="9"/>
      <c r="BZ185" s="9">
        <v>371197.26</v>
      </c>
      <c r="CA185" s="9"/>
      <c r="CB185" s="9">
        <v>93290.14</v>
      </c>
      <c r="CC185" s="9">
        <v>12330512.67</v>
      </c>
      <c r="CD185" s="9"/>
      <c r="CE185" s="9"/>
      <c r="CF185" s="9">
        <v>7819166.4000000004</v>
      </c>
      <c r="CG185" s="9">
        <v>5649186.0700000003</v>
      </c>
      <c r="CH185" s="9">
        <v>2169980.33</v>
      </c>
      <c r="CI185" s="9">
        <v>5135962.1900000004</v>
      </c>
      <c r="CJ185" s="9">
        <v>4066568.69</v>
      </c>
      <c r="CK185" s="9">
        <v>1069393.5</v>
      </c>
      <c r="CL185" s="9">
        <v>2683204.21</v>
      </c>
      <c r="CM185" s="9">
        <v>1582617.38</v>
      </c>
      <c r="CN185" s="9">
        <v>1100586.8299999998</v>
      </c>
      <c r="CO185" s="9">
        <v>2038677.9</v>
      </c>
      <c r="CP185" s="9">
        <v>531871.81000000006</v>
      </c>
      <c r="CQ185" s="9">
        <v>1506806.09</v>
      </c>
      <c r="CR185" s="9">
        <v>1037515.32</v>
      </c>
      <c r="CS185" s="9">
        <v>369115.93</v>
      </c>
      <c r="CT185" s="9">
        <v>668399.39</v>
      </c>
      <c r="CU185" s="9">
        <v>1001162.58</v>
      </c>
      <c r="CV185" s="9">
        <v>162755.88</v>
      </c>
      <c r="CW185" s="9">
        <v>838406.70000000007</v>
      </c>
      <c r="CX185" s="9">
        <v>5780488.5</v>
      </c>
      <c r="CY185" s="9">
        <v>5117314.2600000007</v>
      </c>
      <c r="CZ185" s="9">
        <v>663174.24</v>
      </c>
      <c r="DA185" s="9">
        <v>4098446.87</v>
      </c>
      <c r="DB185" s="9">
        <v>3697452.76</v>
      </c>
      <c r="DC185" s="9">
        <v>400994.11</v>
      </c>
      <c r="DD185" s="9">
        <v>1682041.63</v>
      </c>
      <c r="DE185" s="9">
        <v>1419861.5</v>
      </c>
      <c r="DF185" s="9">
        <v>262180.13</v>
      </c>
      <c r="DG185" s="9">
        <v>10763620.199999999</v>
      </c>
      <c r="DH185" s="9">
        <v>2944453.8</v>
      </c>
    </row>
    <row r="186" spans="1:112" x14ac:dyDescent="0.2">
      <c r="A186" s="8" t="s">
        <v>858</v>
      </c>
      <c r="B186" s="8" t="s">
        <v>415</v>
      </c>
      <c r="C186" s="8" t="s">
        <v>417</v>
      </c>
      <c r="D186" s="9">
        <v>12110369.220000001</v>
      </c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>
        <v>598441.52999999991</v>
      </c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>
        <v>737032.42</v>
      </c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>
        <v>5612308.4500000002</v>
      </c>
      <c r="BB186" s="9"/>
      <c r="BC186" s="9">
        <v>6529106.6700000009</v>
      </c>
      <c r="BD186" s="9"/>
      <c r="BE186" s="9">
        <v>115542.42</v>
      </c>
      <c r="BF186" s="9"/>
      <c r="BG186" s="9">
        <v>482899.11</v>
      </c>
      <c r="BH186" s="9"/>
      <c r="BI186" s="9">
        <v>101573.28</v>
      </c>
      <c r="BJ186" s="9"/>
      <c r="BK186" s="9">
        <v>635459.13</v>
      </c>
      <c r="BL186" s="9"/>
      <c r="BM186" s="9">
        <v>9292009.1000000015</v>
      </c>
      <c r="BN186" s="9">
        <v>5458663.2299999995</v>
      </c>
      <c r="BO186" s="9"/>
      <c r="BP186" s="9">
        <v>3833345.8699999992</v>
      </c>
      <c r="BQ186" s="9"/>
      <c r="BR186" s="9">
        <v>312778.61</v>
      </c>
      <c r="BS186" s="9">
        <v>103516.33</v>
      </c>
      <c r="BT186" s="9"/>
      <c r="BU186" s="9">
        <v>209262.29</v>
      </c>
      <c r="BV186" s="9"/>
      <c r="BW186" s="9">
        <v>448614.96</v>
      </c>
      <c r="BX186" s="9">
        <v>83979.05</v>
      </c>
      <c r="BY186" s="9"/>
      <c r="BZ186" s="9">
        <v>364635.9</v>
      </c>
      <c r="CA186" s="9"/>
      <c r="CB186" s="9">
        <v>91381.46</v>
      </c>
      <c r="CC186" s="9">
        <v>12201750.680000002</v>
      </c>
      <c r="CD186" s="9"/>
      <c r="CE186" s="9"/>
      <c r="CF186" s="9">
        <v>7795822.9699999997</v>
      </c>
      <c r="CG186" s="9">
        <v>5604296.7299999995</v>
      </c>
      <c r="CH186" s="9">
        <v>2191526.2400000002</v>
      </c>
      <c r="CI186" s="9">
        <v>5323851.43</v>
      </c>
      <c r="CJ186" s="9">
        <v>4190460.49</v>
      </c>
      <c r="CK186" s="9">
        <v>1133390.94</v>
      </c>
      <c r="CL186" s="9">
        <v>2471971.54</v>
      </c>
      <c r="CM186" s="9">
        <v>1413836.24</v>
      </c>
      <c r="CN186" s="9">
        <v>1058135.3</v>
      </c>
      <c r="CO186" s="9">
        <v>2032671.94</v>
      </c>
      <c r="CP186" s="9">
        <v>501356.97</v>
      </c>
      <c r="CQ186" s="9">
        <v>1531314.97</v>
      </c>
      <c r="CR186" s="9">
        <v>1100206.4800000002</v>
      </c>
      <c r="CS186" s="9">
        <v>369769.36</v>
      </c>
      <c r="CT186" s="9">
        <v>730437.12</v>
      </c>
      <c r="CU186" s="9">
        <v>932465.46</v>
      </c>
      <c r="CV186" s="9">
        <v>131587.60999999999</v>
      </c>
      <c r="CW186" s="9">
        <v>800877.85</v>
      </c>
      <c r="CX186" s="9">
        <v>5763151.0300000003</v>
      </c>
      <c r="CY186" s="9">
        <v>5102939.76</v>
      </c>
      <c r="CZ186" s="9">
        <v>660211.27</v>
      </c>
      <c r="DA186" s="9">
        <v>4223644.95</v>
      </c>
      <c r="DB186" s="9">
        <v>3820691.13</v>
      </c>
      <c r="DC186" s="9">
        <v>402953.82000000012</v>
      </c>
      <c r="DD186" s="9">
        <v>1539506.0799999998</v>
      </c>
      <c r="DE186" s="9">
        <v>1282248.6299999999</v>
      </c>
      <c r="DF186" s="9">
        <v>257257.45</v>
      </c>
      <c r="DG186" s="9">
        <v>10785612.390000001</v>
      </c>
      <c r="DH186" s="9">
        <v>2989789.42</v>
      </c>
    </row>
    <row r="187" spans="1:112" x14ac:dyDescent="0.2">
      <c r="A187" s="8" t="s">
        <v>858</v>
      </c>
      <c r="B187" s="8" t="s">
        <v>415</v>
      </c>
      <c r="C187" s="8" t="s">
        <v>418</v>
      </c>
      <c r="D187" s="9">
        <v>11881967.27</v>
      </c>
      <c r="E187" s="9">
        <v>11881968.050000001</v>
      </c>
      <c r="F187" s="9">
        <v>337772.61</v>
      </c>
      <c r="G187" s="9">
        <v>1077217.95</v>
      </c>
      <c r="H187" s="9">
        <v>1333944.3</v>
      </c>
      <c r="I187" s="9">
        <v>60682.400000000001</v>
      </c>
      <c r="J187" s="9">
        <v>1487985.23</v>
      </c>
      <c r="K187" s="9">
        <v>1675968.52</v>
      </c>
      <c r="L187" s="9">
        <v>151923.67000000001</v>
      </c>
      <c r="M187" s="9">
        <v>2064325.66</v>
      </c>
      <c r="N187" s="9">
        <v>99110.57</v>
      </c>
      <c r="O187" s="9">
        <v>224000.64000000001</v>
      </c>
      <c r="P187" s="9">
        <v>79895.37</v>
      </c>
      <c r="Q187" s="9">
        <v>67867.31</v>
      </c>
      <c r="R187" s="9">
        <v>3221273.83</v>
      </c>
      <c r="S187" s="9">
        <v>0</v>
      </c>
      <c r="T187" s="9">
        <v>0</v>
      </c>
      <c r="U187" s="9">
        <v>0</v>
      </c>
      <c r="V187" s="9">
        <v>0</v>
      </c>
      <c r="W187" s="9">
        <v>601689.39</v>
      </c>
      <c r="X187" s="9">
        <v>601689.39</v>
      </c>
      <c r="Y187" s="9">
        <v>8619.14</v>
      </c>
      <c r="Z187" s="9">
        <v>184542.95</v>
      </c>
      <c r="AA187" s="9">
        <v>102675.86</v>
      </c>
      <c r="AB187" s="9">
        <v>851.46</v>
      </c>
      <c r="AC187" s="9">
        <v>93062.74</v>
      </c>
      <c r="AD187" s="9">
        <v>52847.199999999997</v>
      </c>
      <c r="AE187" s="9">
        <v>5142.2</v>
      </c>
      <c r="AF187" s="9">
        <v>42170.29</v>
      </c>
      <c r="AG187" s="9">
        <v>399.59</v>
      </c>
      <c r="AH187" s="9">
        <v>35159.65</v>
      </c>
      <c r="AI187" s="9">
        <v>13668.49</v>
      </c>
      <c r="AJ187" s="9">
        <v>1314.34</v>
      </c>
      <c r="AK187" s="9">
        <v>61235.46</v>
      </c>
      <c r="AL187" s="9">
        <v>771939.88</v>
      </c>
      <c r="AM187" s="9">
        <v>771939.87</v>
      </c>
      <c r="AN187" s="9">
        <v>20490.86</v>
      </c>
      <c r="AO187" s="9">
        <v>260180.44</v>
      </c>
      <c r="AP187" s="9">
        <v>88922.08</v>
      </c>
      <c r="AQ187" s="9">
        <v>5476.84</v>
      </c>
      <c r="AR187" s="9">
        <v>77221.850000000006</v>
      </c>
      <c r="AS187" s="9">
        <v>172274.04</v>
      </c>
      <c r="AT187" s="9">
        <v>26596.91</v>
      </c>
      <c r="AU187" s="9">
        <v>40273.11</v>
      </c>
      <c r="AV187" s="9">
        <v>3610.42</v>
      </c>
      <c r="AW187" s="9">
        <v>174.16</v>
      </c>
      <c r="AX187" s="9">
        <v>467.63</v>
      </c>
      <c r="AY187" s="9">
        <v>1096.01</v>
      </c>
      <c r="AZ187" s="9">
        <v>75155.520000000004</v>
      </c>
      <c r="BA187" s="9">
        <v>5392009.7600000007</v>
      </c>
      <c r="BB187" s="9"/>
      <c r="BC187" s="9">
        <v>6516424.8399999999</v>
      </c>
      <c r="BD187" s="9"/>
      <c r="BE187" s="9">
        <v>108076.55</v>
      </c>
      <c r="BF187" s="9"/>
      <c r="BG187" s="9">
        <v>493612.83</v>
      </c>
      <c r="BH187" s="9"/>
      <c r="BI187" s="9">
        <v>106024.18</v>
      </c>
      <c r="BJ187" s="9"/>
      <c r="BK187" s="9">
        <v>665915.68000000005</v>
      </c>
      <c r="BL187" s="9"/>
      <c r="BM187" s="9">
        <v>9009262.3399999999</v>
      </c>
      <c r="BN187" s="9">
        <v>5235440.3500000006</v>
      </c>
      <c r="BO187" s="9"/>
      <c r="BP187" s="9">
        <v>3773821.97</v>
      </c>
      <c r="BQ187" s="9"/>
      <c r="BR187" s="9">
        <v>311501.27</v>
      </c>
      <c r="BS187" s="9">
        <v>100155.63</v>
      </c>
      <c r="BT187" s="9"/>
      <c r="BU187" s="9">
        <v>211345.63</v>
      </c>
      <c r="BV187" s="9"/>
      <c r="BW187" s="9">
        <v>471095.34</v>
      </c>
      <c r="BX187" s="9">
        <v>87068.73</v>
      </c>
      <c r="BY187" s="9"/>
      <c r="BZ187" s="9">
        <v>384026.60999999993</v>
      </c>
      <c r="CA187" s="9"/>
      <c r="CB187" s="9">
        <v>93605.24</v>
      </c>
      <c r="CC187" s="9">
        <v>11975572.51</v>
      </c>
      <c r="CD187" s="9"/>
      <c r="CE187" s="9"/>
      <c r="CF187" s="9">
        <v>8113221.7599999998</v>
      </c>
      <c r="CG187" s="9">
        <v>5810193.6200000001</v>
      </c>
      <c r="CH187" s="9">
        <v>2303028.14</v>
      </c>
      <c r="CI187" s="9">
        <v>5492980</v>
      </c>
      <c r="CJ187" s="9">
        <v>4350194.01</v>
      </c>
      <c r="CK187" s="9">
        <v>1142785.99</v>
      </c>
      <c r="CL187" s="9">
        <v>2620241.7599999998</v>
      </c>
      <c r="CM187" s="9">
        <v>1459999.61</v>
      </c>
      <c r="CN187" s="9">
        <v>1160242.1499999999</v>
      </c>
      <c r="CO187" s="9">
        <v>2183280.83</v>
      </c>
      <c r="CP187" s="9">
        <v>574351.72</v>
      </c>
      <c r="CQ187" s="9">
        <v>1608929.11</v>
      </c>
      <c r="CR187" s="9">
        <v>1173084.27</v>
      </c>
      <c r="CS187" s="9">
        <v>427028.93</v>
      </c>
      <c r="CT187" s="9">
        <v>746055.34</v>
      </c>
      <c r="CU187" s="9">
        <v>1010196.56</v>
      </c>
      <c r="CV187" s="9">
        <v>147322.79</v>
      </c>
      <c r="CW187" s="9">
        <v>862873.7699999999</v>
      </c>
      <c r="CX187" s="9">
        <v>5929940.9299999997</v>
      </c>
      <c r="CY187" s="9">
        <v>5235841.9000000004</v>
      </c>
      <c r="CZ187" s="9">
        <v>694099.02999999991</v>
      </c>
      <c r="DA187" s="9">
        <v>4319895.7300000004</v>
      </c>
      <c r="DB187" s="9">
        <v>3923165.08</v>
      </c>
      <c r="DC187" s="9">
        <v>396730.65</v>
      </c>
      <c r="DD187" s="9">
        <v>1610045.2</v>
      </c>
      <c r="DE187" s="9">
        <v>1312676.8199999998</v>
      </c>
      <c r="DF187" s="9">
        <v>297368.38</v>
      </c>
      <c r="DG187" s="9">
        <v>11055452.880000001</v>
      </c>
      <c r="DH187" s="9">
        <v>2942231.12</v>
      </c>
    </row>
    <row r="188" spans="1:112" x14ac:dyDescent="0.2">
      <c r="A188" s="8" t="s">
        <v>858</v>
      </c>
      <c r="B188" s="8" t="s">
        <v>419</v>
      </c>
      <c r="C188" s="8" t="s">
        <v>420</v>
      </c>
      <c r="D188" s="9">
        <v>11927125.08</v>
      </c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>
        <v>714255.63</v>
      </c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>
        <v>822666.20000000007</v>
      </c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>
        <v>5402127.1000000006</v>
      </c>
      <c r="BB188" s="9"/>
      <c r="BC188" s="9">
        <v>6556527.5099999988</v>
      </c>
      <c r="BD188" s="9"/>
      <c r="BE188" s="9">
        <v>124294.07</v>
      </c>
      <c r="BF188" s="9"/>
      <c r="BG188" s="9">
        <v>589961.55000000005</v>
      </c>
      <c r="BH188" s="9"/>
      <c r="BI188" s="9">
        <v>117715.82</v>
      </c>
      <c r="BJ188" s="9"/>
      <c r="BK188" s="9">
        <v>704950.38000000012</v>
      </c>
      <c r="BL188" s="9"/>
      <c r="BM188" s="9">
        <v>8991513.2699999996</v>
      </c>
      <c r="BN188" s="9">
        <v>5251067.57</v>
      </c>
      <c r="BO188" s="9"/>
      <c r="BP188" s="9">
        <v>3740445.69</v>
      </c>
      <c r="BQ188" s="9"/>
      <c r="BR188" s="9">
        <v>384590.19</v>
      </c>
      <c r="BS188" s="9">
        <v>113149.63</v>
      </c>
      <c r="BT188" s="9"/>
      <c r="BU188" s="9">
        <v>271440.56</v>
      </c>
      <c r="BV188" s="9"/>
      <c r="BW188" s="9">
        <v>493079.34</v>
      </c>
      <c r="BX188" s="9">
        <v>97934.57</v>
      </c>
      <c r="BY188" s="9"/>
      <c r="BZ188" s="9">
        <v>395144.77</v>
      </c>
      <c r="CA188" s="9"/>
      <c r="CB188" s="9">
        <v>95336.47</v>
      </c>
      <c r="CC188" s="9">
        <v>12022461.550000001</v>
      </c>
      <c r="CD188" s="9"/>
      <c r="CE188" s="9"/>
      <c r="CF188" s="9">
        <v>8076758.3499999996</v>
      </c>
      <c r="CG188" s="9">
        <v>5859939.4700000007</v>
      </c>
      <c r="CH188" s="9">
        <v>2216818.88</v>
      </c>
      <c r="CI188" s="9">
        <v>5447762.1200000001</v>
      </c>
      <c r="CJ188" s="9">
        <v>4404321.6500000004</v>
      </c>
      <c r="CK188" s="9">
        <v>1043440.47</v>
      </c>
      <c r="CL188" s="9">
        <v>2628996.23</v>
      </c>
      <c r="CM188" s="9">
        <v>1455617.8199999998</v>
      </c>
      <c r="CN188" s="9">
        <v>1173378.4099999999</v>
      </c>
      <c r="CO188" s="9">
        <v>2144513.5099999998</v>
      </c>
      <c r="CP188" s="9">
        <v>566976.61</v>
      </c>
      <c r="CQ188" s="9">
        <v>1577536.9</v>
      </c>
      <c r="CR188" s="9">
        <v>1140895.5299999998</v>
      </c>
      <c r="CS188" s="9">
        <v>411189.37</v>
      </c>
      <c r="CT188" s="9">
        <v>729706.15999999992</v>
      </c>
      <c r="CU188" s="9">
        <v>1003617.98</v>
      </c>
      <c r="CV188" s="9">
        <v>155787.24</v>
      </c>
      <c r="CW188" s="9">
        <v>847830.74</v>
      </c>
      <c r="CX188" s="9">
        <v>5932244.8400000008</v>
      </c>
      <c r="CY188" s="9">
        <v>5292962.8599999994</v>
      </c>
      <c r="CZ188" s="9">
        <v>639281.98</v>
      </c>
      <c r="DA188" s="9">
        <v>4306866.59</v>
      </c>
      <c r="DB188" s="9">
        <v>3993132.28</v>
      </c>
      <c r="DC188" s="9">
        <v>313734.31</v>
      </c>
      <c r="DD188" s="9">
        <v>1625378.25</v>
      </c>
      <c r="DE188" s="9">
        <v>1299830.58</v>
      </c>
      <c r="DF188" s="9">
        <v>325547.67</v>
      </c>
      <c r="DG188" s="9">
        <v>10808887.690000001</v>
      </c>
      <c r="DH188" s="9">
        <v>2732129.34</v>
      </c>
    </row>
    <row r="189" spans="1:112" x14ac:dyDescent="0.2">
      <c r="A189" s="8" t="s">
        <v>858</v>
      </c>
      <c r="B189" s="8" t="s">
        <v>419</v>
      </c>
      <c r="C189" s="8" t="s">
        <v>421</v>
      </c>
      <c r="D189" s="9">
        <v>11775464.550000001</v>
      </c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>
        <v>777996.7</v>
      </c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>
        <v>863233.54</v>
      </c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>
        <v>5230662.41</v>
      </c>
      <c r="BB189" s="9"/>
      <c r="BC189" s="9">
        <v>6574198.9799999986</v>
      </c>
      <c r="BD189" s="9"/>
      <c r="BE189" s="9">
        <v>136769.59</v>
      </c>
      <c r="BF189" s="9"/>
      <c r="BG189" s="9">
        <v>641227.1100000001</v>
      </c>
      <c r="BH189" s="9"/>
      <c r="BI189" s="9">
        <v>123639.6</v>
      </c>
      <c r="BJ189" s="9"/>
      <c r="BK189" s="9">
        <v>739593.94000000006</v>
      </c>
      <c r="BL189" s="9"/>
      <c r="BM189" s="9">
        <v>8833852.0299999993</v>
      </c>
      <c r="BN189" s="9">
        <v>5088426.92</v>
      </c>
      <c r="BO189" s="9"/>
      <c r="BP189" s="9">
        <v>3745425.12</v>
      </c>
      <c r="BQ189" s="9"/>
      <c r="BR189" s="9">
        <v>420715.8</v>
      </c>
      <c r="BS189" s="9">
        <v>125652.47</v>
      </c>
      <c r="BT189" s="9"/>
      <c r="BU189" s="9">
        <v>295063.33</v>
      </c>
      <c r="BV189" s="9"/>
      <c r="BW189" s="9">
        <v>545298.36</v>
      </c>
      <c r="BX189" s="9">
        <v>103456.2</v>
      </c>
      <c r="BY189" s="9"/>
      <c r="BZ189" s="9">
        <v>441842.16</v>
      </c>
      <c r="CA189" s="9"/>
      <c r="CB189" s="9">
        <v>95975.33</v>
      </c>
      <c r="CC189" s="9">
        <v>11871439.880000001</v>
      </c>
      <c r="CD189" s="9"/>
      <c r="CE189" s="9"/>
      <c r="CF189" s="9">
        <v>8214799.6399999997</v>
      </c>
      <c r="CG189" s="9">
        <v>5785279.8900000006</v>
      </c>
      <c r="CH189" s="9">
        <v>2429519.75</v>
      </c>
      <c r="CI189" s="9">
        <v>5460204.5999999996</v>
      </c>
      <c r="CJ189" s="9">
        <v>4344493.5600000005</v>
      </c>
      <c r="CK189" s="9">
        <v>1115711.04</v>
      </c>
      <c r="CL189" s="9">
        <v>2754595.0399999996</v>
      </c>
      <c r="CM189" s="9">
        <v>1440786.33</v>
      </c>
      <c r="CN189" s="9">
        <v>1313808.71</v>
      </c>
      <c r="CO189" s="9">
        <v>2230268.8899999997</v>
      </c>
      <c r="CP189" s="9">
        <v>531469.53</v>
      </c>
      <c r="CQ189" s="9">
        <v>1698799.36</v>
      </c>
      <c r="CR189" s="9">
        <v>1173974.7200000002</v>
      </c>
      <c r="CS189" s="9">
        <v>384366.79</v>
      </c>
      <c r="CT189" s="9">
        <v>789607.93</v>
      </c>
      <c r="CU189" s="9">
        <v>1056294.17</v>
      </c>
      <c r="CV189" s="9">
        <v>147102.74</v>
      </c>
      <c r="CW189" s="9">
        <v>909191.43</v>
      </c>
      <c r="CX189" s="9">
        <v>5984530.75</v>
      </c>
      <c r="CY189" s="9">
        <v>5253810.3599999994</v>
      </c>
      <c r="CZ189" s="9">
        <v>730720.3899999999</v>
      </c>
      <c r="DA189" s="9">
        <v>4286229.88</v>
      </c>
      <c r="DB189" s="9">
        <v>3960126.77</v>
      </c>
      <c r="DC189" s="9">
        <v>326103.11</v>
      </c>
      <c r="DD189" s="9">
        <v>1698300.87</v>
      </c>
      <c r="DE189" s="9">
        <v>1293683.5900000001</v>
      </c>
      <c r="DF189" s="9">
        <v>404617.28</v>
      </c>
      <c r="DG189" s="9">
        <v>10890058.970000003</v>
      </c>
      <c r="DH189" s="9">
        <v>2675259.33</v>
      </c>
    </row>
    <row r="190" spans="1:112" x14ac:dyDescent="0.2">
      <c r="A190" s="8" t="s">
        <v>858</v>
      </c>
      <c r="B190" s="8" t="s">
        <v>419</v>
      </c>
      <c r="C190" s="8" t="s">
        <v>422</v>
      </c>
      <c r="D190" s="9">
        <v>11873157.609999999</v>
      </c>
      <c r="E190" s="9">
        <v>11873147.630000001</v>
      </c>
      <c r="F190" s="9">
        <v>355258.3</v>
      </c>
      <c r="G190" s="9">
        <v>1113382.1200000001</v>
      </c>
      <c r="H190" s="9">
        <v>1289457.3999999999</v>
      </c>
      <c r="I190" s="9">
        <v>58496.15</v>
      </c>
      <c r="J190" s="9">
        <v>1593023.72</v>
      </c>
      <c r="K190" s="9">
        <v>1625007.44</v>
      </c>
      <c r="L190" s="9">
        <v>154669.59</v>
      </c>
      <c r="M190" s="9">
        <v>1908716.84</v>
      </c>
      <c r="N190" s="9">
        <v>94103.99</v>
      </c>
      <c r="O190" s="9">
        <v>225379.69</v>
      </c>
      <c r="P190" s="9">
        <v>83310.740000000005</v>
      </c>
      <c r="Q190" s="9">
        <v>72037.5</v>
      </c>
      <c r="R190" s="9">
        <v>3300304.14</v>
      </c>
      <c r="S190" s="9">
        <v>0</v>
      </c>
      <c r="T190" s="9">
        <v>0</v>
      </c>
      <c r="U190" s="9">
        <v>0</v>
      </c>
      <c r="V190" s="9">
        <v>0</v>
      </c>
      <c r="W190" s="9">
        <v>826307.96000000008</v>
      </c>
      <c r="X190" s="9">
        <v>826307.97</v>
      </c>
      <c r="Y190" s="9">
        <v>15897.7</v>
      </c>
      <c r="Z190" s="9">
        <v>293504.01</v>
      </c>
      <c r="AA190" s="9">
        <v>128971.46</v>
      </c>
      <c r="AB190" s="9">
        <v>1120.06</v>
      </c>
      <c r="AC190" s="9">
        <v>95289.27</v>
      </c>
      <c r="AD190" s="9">
        <v>79114.070000000007</v>
      </c>
      <c r="AE190" s="9">
        <v>4905.24</v>
      </c>
      <c r="AF190" s="9">
        <v>42806.99</v>
      </c>
      <c r="AG190" s="9">
        <v>167.56</v>
      </c>
      <c r="AH190" s="9">
        <v>52096.77</v>
      </c>
      <c r="AI190" s="9">
        <v>12225.55</v>
      </c>
      <c r="AJ190" s="9">
        <v>2468.48</v>
      </c>
      <c r="AK190" s="9">
        <v>97740.82</v>
      </c>
      <c r="AL190" s="9">
        <v>850226.98</v>
      </c>
      <c r="AM190" s="9">
        <v>834586.98</v>
      </c>
      <c r="AN190" s="9">
        <v>16440.740000000002</v>
      </c>
      <c r="AO190" s="9">
        <v>261578.83</v>
      </c>
      <c r="AP190" s="9">
        <v>96181.71</v>
      </c>
      <c r="AQ190" s="9">
        <v>4757.79</v>
      </c>
      <c r="AR190" s="9">
        <v>86639.35</v>
      </c>
      <c r="AS190" s="9">
        <v>200165.62</v>
      </c>
      <c r="AT190" s="9">
        <v>22128.65</v>
      </c>
      <c r="AU190" s="9">
        <v>55170.27</v>
      </c>
      <c r="AV190" s="9">
        <v>3816.29</v>
      </c>
      <c r="AW190" s="9">
        <v>190.5</v>
      </c>
      <c r="AX190" s="9">
        <v>560.96</v>
      </c>
      <c r="AY190" s="9">
        <v>668.05</v>
      </c>
      <c r="AZ190" s="9">
        <v>86288.2</v>
      </c>
      <c r="BA190" s="9">
        <v>5265065.7899999991</v>
      </c>
      <c r="BB190" s="9"/>
      <c r="BC190" s="9">
        <v>6635356.7599999998</v>
      </c>
      <c r="BD190" s="9"/>
      <c r="BE190" s="9">
        <v>120231.07</v>
      </c>
      <c r="BF190" s="9"/>
      <c r="BG190" s="9">
        <v>706076.9</v>
      </c>
      <c r="BH190" s="9"/>
      <c r="BI190" s="9">
        <v>127339.37</v>
      </c>
      <c r="BJ190" s="9"/>
      <c r="BK190" s="9">
        <v>722887.6</v>
      </c>
      <c r="BL190" s="9"/>
      <c r="BM190" s="9">
        <v>8986030.3899999987</v>
      </c>
      <c r="BN190" s="9">
        <v>5122450.0999999996</v>
      </c>
      <c r="BO190" s="9"/>
      <c r="BP190" s="9">
        <v>3863580.28</v>
      </c>
      <c r="BQ190" s="9"/>
      <c r="BR190" s="9">
        <v>392154.95</v>
      </c>
      <c r="BS190" s="9">
        <v>111033.64</v>
      </c>
      <c r="BT190" s="9"/>
      <c r="BU190" s="9">
        <v>281121.31</v>
      </c>
      <c r="BV190" s="9"/>
      <c r="BW190" s="9">
        <v>531518.97</v>
      </c>
      <c r="BX190" s="9">
        <v>106753.69</v>
      </c>
      <c r="BY190" s="9"/>
      <c r="BZ190" s="9">
        <v>424765.27</v>
      </c>
      <c r="CA190" s="9"/>
      <c r="CB190" s="9">
        <v>96525.53</v>
      </c>
      <c r="CC190" s="9">
        <v>11969683.139999999</v>
      </c>
      <c r="CD190" s="9"/>
      <c r="CE190" s="9"/>
      <c r="CF190" s="9">
        <v>8293895.2699999996</v>
      </c>
      <c r="CG190" s="9">
        <v>5900213.3200000003</v>
      </c>
      <c r="CH190" s="9">
        <v>2393681.9500000002</v>
      </c>
      <c r="CI190" s="9">
        <v>5530729.9100000001</v>
      </c>
      <c r="CJ190" s="9">
        <v>4434315.1500000004</v>
      </c>
      <c r="CK190" s="9">
        <v>1096414.7599999998</v>
      </c>
      <c r="CL190" s="9">
        <v>2763165.36</v>
      </c>
      <c r="CM190" s="9">
        <v>1465898.17</v>
      </c>
      <c r="CN190" s="9">
        <v>1297267.19</v>
      </c>
      <c r="CO190" s="9">
        <v>2196459.33</v>
      </c>
      <c r="CP190" s="9">
        <v>544970.41</v>
      </c>
      <c r="CQ190" s="9">
        <v>1651488.92</v>
      </c>
      <c r="CR190" s="9">
        <v>1160484.1499999999</v>
      </c>
      <c r="CS190" s="9">
        <v>400315.77</v>
      </c>
      <c r="CT190" s="9">
        <v>760168.38</v>
      </c>
      <c r="CU190" s="9">
        <v>1035975.18</v>
      </c>
      <c r="CV190" s="9">
        <v>144654.64000000001</v>
      </c>
      <c r="CW190" s="9">
        <v>891320.54</v>
      </c>
      <c r="CX190" s="9">
        <v>6097435.9400000004</v>
      </c>
      <c r="CY190" s="9">
        <v>5355242.91</v>
      </c>
      <c r="CZ190" s="9">
        <v>742193.02999999991</v>
      </c>
      <c r="DA190" s="9">
        <v>4370245.76</v>
      </c>
      <c r="DB190" s="9">
        <v>4033999.38</v>
      </c>
      <c r="DC190" s="9">
        <v>336246.38</v>
      </c>
      <c r="DD190" s="9">
        <v>1727190.1800000002</v>
      </c>
      <c r="DE190" s="9">
        <v>1321243.53</v>
      </c>
      <c r="DF190" s="9">
        <v>405946.65</v>
      </c>
      <c r="DG190" s="9">
        <v>11104756.07</v>
      </c>
      <c r="DH190" s="9">
        <v>2810860.8</v>
      </c>
    </row>
    <row r="191" spans="1:112" x14ac:dyDescent="0.2">
      <c r="A191" s="8" t="s">
        <v>858</v>
      </c>
      <c r="B191" s="8" t="s">
        <v>423</v>
      </c>
      <c r="C191" s="8" t="s">
        <v>424</v>
      </c>
      <c r="D191" s="9">
        <v>11847871.57</v>
      </c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>
        <v>858406.47</v>
      </c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>
        <v>868871.29999999993</v>
      </c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>
        <v>5251749.28</v>
      </c>
      <c r="BB191" s="9"/>
      <c r="BC191" s="9">
        <v>6621871.6900000004</v>
      </c>
      <c r="BD191" s="9"/>
      <c r="BE191" s="9">
        <v>117213.13</v>
      </c>
      <c r="BF191" s="9"/>
      <c r="BG191" s="9">
        <v>741193.33</v>
      </c>
      <c r="BH191" s="9"/>
      <c r="BI191" s="9">
        <v>137665.89000000001</v>
      </c>
      <c r="BJ191" s="9"/>
      <c r="BK191" s="9">
        <v>731205.41</v>
      </c>
      <c r="BL191" s="9"/>
      <c r="BM191" s="9">
        <v>9020920.8699999992</v>
      </c>
      <c r="BN191" s="9">
        <v>5116815.76</v>
      </c>
      <c r="BO191" s="9"/>
      <c r="BP191" s="9">
        <v>3904105.11</v>
      </c>
      <c r="BQ191" s="9"/>
      <c r="BR191" s="9">
        <v>424167.97</v>
      </c>
      <c r="BS191" s="9">
        <v>108657.06</v>
      </c>
      <c r="BT191" s="9"/>
      <c r="BU191" s="9">
        <v>315510.90999999997</v>
      </c>
      <c r="BV191" s="9"/>
      <c r="BW191" s="9">
        <v>586230.76</v>
      </c>
      <c r="BX191" s="9">
        <v>117872.86</v>
      </c>
      <c r="BY191" s="9"/>
      <c r="BZ191" s="9">
        <v>468357.9</v>
      </c>
      <c r="CA191" s="9"/>
      <c r="CB191" s="9">
        <v>96586.59</v>
      </c>
      <c r="CC191" s="9">
        <v>11944458.16</v>
      </c>
      <c r="CD191" s="9"/>
      <c r="CE191" s="9"/>
      <c r="CF191" s="9">
        <v>8218017.4100000001</v>
      </c>
      <c r="CG191" s="9">
        <v>5861868.25</v>
      </c>
      <c r="CH191" s="9">
        <v>2356149.16</v>
      </c>
      <c r="CI191" s="9">
        <v>5512263.8900000006</v>
      </c>
      <c r="CJ191" s="9">
        <v>4400998.3499999996</v>
      </c>
      <c r="CK191" s="9">
        <v>1111265.5400000005</v>
      </c>
      <c r="CL191" s="9">
        <v>2705753.5199999996</v>
      </c>
      <c r="CM191" s="9">
        <v>1460869.9</v>
      </c>
      <c r="CN191" s="9">
        <v>1244883.6200000001</v>
      </c>
      <c r="CO191" s="9">
        <v>2107210.88</v>
      </c>
      <c r="CP191" s="9">
        <v>512277.11</v>
      </c>
      <c r="CQ191" s="9">
        <v>1594933.7700000005</v>
      </c>
      <c r="CR191" s="9">
        <v>1125700.55</v>
      </c>
      <c r="CS191" s="9">
        <v>371176.76</v>
      </c>
      <c r="CT191" s="9">
        <v>754523.79000000015</v>
      </c>
      <c r="CU191" s="9">
        <v>981510.33</v>
      </c>
      <c r="CV191" s="9">
        <v>141100.35</v>
      </c>
      <c r="CW191" s="9">
        <v>840409.98</v>
      </c>
      <c r="CX191" s="9">
        <v>6110806.5299999993</v>
      </c>
      <c r="CY191" s="9">
        <v>5349591.1400000006</v>
      </c>
      <c r="CZ191" s="9">
        <v>761215.3899999999</v>
      </c>
      <c r="DA191" s="9">
        <v>4386563.34</v>
      </c>
      <c r="DB191" s="9">
        <v>4029821.59</v>
      </c>
      <c r="DC191" s="9">
        <v>356741.75</v>
      </c>
      <c r="DD191" s="9">
        <v>1724243.19</v>
      </c>
      <c r="DE191" s="9">
        <v>1319769.55</v>
      </c>
      <c r="DF191" s="9">
        <v>404473.64</v>
      </c>
      <c r="DG191" s="9">
        <v>10974530.859999999</v>
      </c>
      <c r="DH191" s="9">
        <v>2756513.4499999997</v>
      </c>
    </row>
    <row r="192" spans="1:112" x14ac:dyDescent="0.2">
      <c r="A192" s="8" t="s">
        <v>858</v>
      </c>
      <c r="B192" s="8" t="s">
        <v>423</v>
      </c>
      <c r="C192" s="8" t="s">
        <v>425</v>
      </c>
      <c r="D192" s="9">
        <v>11827124.289999999</v>
      </c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>
        <v>896208.04999999993</v>
      </c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>
        <v>862891.97</v>
      </c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>
        <v>5259120.9000000004</v>
      </c>
      <c r="BB192" s="9"/>
      <c r="BC192" s="9">
        <v>6593803.8899999997</v>
      </c>
      <c r="BD192" s="9"/>
      <c r="BE192" s="9">
        <v>127891</v>
      </c>
      <c r="BF192" s="9"/>
      <c r="BG192" s="9">
        <v>768317.06</v>
      </c>
      <c r="BH192" s="9"/>
      <c r="BI192" s="9">
        <v>141341.41</v>
      </c>
      <c r="BJ192" s="9"/>
      <c r="BK192" s="9">
        <v>721550.55999999994</v>
      </c>
      <c r="BL192" s="9"/>
      <c r="BM192" s="9">
        <v>9058675.5999999996</v>
      </c>
      <c r="BN192" s="9">
        <v>5122514.68</v>
      </c>
      <c r="BO192" s="9"/>
      <c r="BP192" s="9">
        <v>3936160.939999999</v>
      </c>
      <c r="BQ192" s="9"/>
      <c r="BR192" s="9">
        <v>453634.6</v>
      </c>
      <c r="BS192" s="9">
        <v>120329.96</v>
      </c>
      <c r="BT192" s="9"/>
      <c r="BU192" s="9">
        <v>333304.65000000002</v>
      </c>
      <c r="BV192" s="9"/>
      <c r="BW192" s="9">
        <v>580150.02</v>
      </c>
      <c r="BX192" s="9">
        <v>120831.72</v>
      </c>
      <c r="BY192" s="9"/>
      <c r="BZ192" s="9">
        <v>459318.3</v>
      </c>
      <c r="CA192" s="9"/>
      <c r="CB192" s="9">
        <v>97065.01</v>
      </c>
      <c r="CC192" s="9">
        <v>11924189.300000001</v>
      </c>
      <c r="CD192" s="9"/>
      <c r="CE192" s="9"/>
      <c r="CF192" s="9">
        <v>8199341.0899999999</v>
      </c>
      <c r="CG192" s="9">
        <v>5859187.1499999994</v>
      </c>
      <c r="CH192" s="9">
        <v>2340153.94</v>
      </c>
      <c r="CI192" s="9">
        <v>5482247.3300000001</v>
      </c>
      <c r="CJ192" s="9">
        <v>4392746.71</v>
      </c>
      <c r="CK192" s="9">
        <v>1089500.6200000001</v>
      </c>
      <c r="CL192" s="9">
        <v>2717093.7600000007</v>
      </c>
      <c r="CM192" s="9">
        <v>1466440.44</v>
      </c>
      <c r="CN192" s="9">
        <v>1250653.32</v>
      </c>
      <c r="CO192" s="9">
        <v>2097898.71</v>
      </c>
      <c r="CP192" s="9">
        <v>487817.84</v>
      </c>
      <c r="CQ192" s="9">
        <v>1610080.87</v>
      </c>
      <c r="CR192" s="9">
        <v>1093732.08</v>
      </c>
      <c r="CS192" s="9">
        <v>350020.44</v>
      </c>
      <c r="CT192" s="9">
        <v>743711.64</v>
      </c>
      <c r="CU192" s="9">
        <v>1004166.63</v>
      </c>
      <c r="CV192" s="9">
        <v>137797.4</v>
      </c>
      <c r="CW192" s="9">
        <v>866369.2300000001</v>
      </c>
      <c r="CX192" s="9">
        <v>6101442.3799999999</v>
      </c>
      <c r="CY192" s="9">
        <v>5371369.3099999996</v>
      </c>
      <c r="CZ192" s="9">
        <v>730073.07</v>
      </c>
      <c r="DA192" s="9">
        <v>4388515.25</v>
      </c>
      <c r="DB192" s="9">
        <v>4042726.27</v>
      </c>
      <c r="DC192" s="9">
        <v>345788.98</v>
      </c>
      <c r="DD192" s="9">
        <v>1712927.13</v>
      </c>
      <c r="DE192" s="9">
        <v>1328643.04</v>
      </c>
      <c r="DF192" s="9">
        <v>384284.09</v>
      </c>
      <c r="DG192" s="9">
        <v>11004113.57</v>
      </c>
      <c r="DH192" s="9">
        <v>2804772.48</v>
      </c>
    </row>
    <row r="193" spans="1:112" x14ac:dyDescent="0.2">
      <c r="A193" s="8" t="s">
        <v>858</v>
      </c>
      <c r="B193" s="8" t="s">
        <v>423</v>
      </c>
      <c r="C193" s="8" t="s">
        <v>426</v>
      </c>
      <c r="D193" s="9">
        <v>11633582.600000001</v>
      </c>
      <c r="E193" s="9">
        <v>11633573.720000001</v>
      </c>
      <c r="F193" s="9">
        <v>241298.94</v>
      </c>
      <c r="G193" s="9">
        <v>1163609.8999999999</v>
      </c>
      <c r="H193" s="9">
        <v>1285940.82</v>
      </c>
      <c r="I193" s="9">
        <v>60664.52</v>
      </c>
      <c r="J193" s="9">
        <v>1526770.17</v>
      </c>
      <c r="K193" s="9">
        <v>1678457.74</v>
      </c>
      <c r="L193" s="9">
        <v>133683.04</v>
      </c>
      <c r="M193" s="9">
        <v>1765980.23</v>
      </c>
      <c r="N193" s="9">
        <v>90252.42</v>
      </c>
      <c r="O193" s="9">
        <v>240680.23</v>
      </c>
      <c r="P193" s="9">
        <v>86405.25</v>
      </c>
      <c r="Q193" s="9">
        <v>74065.38</v>
      </c>
      <c r="R193" s="9">
        <v>3285765.09</v>
      </c>
      <c r="S193" s="9">
        <v>0</v>
      </c>
      <c r="T193" s="9">
        <v>0</v>
      </c>
      <c r="U193" s="9">
        <v>0</v>
      </c>
      <c r="V193" s="9">
        <v>0</v>
      </c>
      <c r="W193" s="9">
        <v>850667.68</v>
      </c>
      <c r="X193" s="9">
        <v>857894.45</v>
      </c>
      <c r="Y193" s="9">
        <v>17825.14</v>
      </c>
      <c r="Z193" s="9">
        <v>302954.52</v>
      </c>
      <c r="AA193" s="9">
        <v>115027.92</v>
      </c>
      <c r="AB193" s="9">
        <v>6032.78</v>
      </c>
      <c r="AC193" s="9">
        <v>144786.04999999999</v>
      </c>
      <c r="AD193" s="9">
        <v>62803.58</v>
      </c>
      <c r="AE193" s="9">
        <v>4815.53</v>
      </c>
      <c r="AF193" s="9">
        <v>52183.53</v>
      </c>
      <c r="AG193" s="9">
        <v>153.97</v>
      </c>
      <c r="AH193" s="9">
        <v>51661.85</v>
      </c>
      <c r="AI193" s="9">
        <v>11597.1</v>
      </c>
      <c r="AJ193" s="9">
        <v>1170.8900000000001</v>
      </c>
      <c r="AK193" s="9">
        <v>86881.59</v>
      </c>
      <c r="AL193" s="9">
        <v>867288.64999999991</v>
      </c>
      <c r="AM193" s="9">
        <v>822397.94</v>
      </c>
      <c r="AN193" s="9">
        <v>12750.71</v>
      </c>
      <c r="AO193" s="9">
        <v>284245.34999999998</v>
      </c>
      <c r="AP193" s="9">
        <v>99537.919999999998</v>
      </c>
      <c r="AQ193" s="9">
        <v>4523.12</v>
      </c>
      <c r="AR193" s="9">
        <v>69677.679999999993</v>
      </c>
      <c r="AS193" s="9">
        <v>201147.63</v>
      </c>
      <c r="AT193" s="9">
        <v>13595.15</v>
      </c>
      <c r="AU193" s="9">
        <v>50705.2</v>
      </c>
      <c r="AV193" s="9">
        <v>3603.03</v>
      </c>
      <c r="AW193" s="9">
        <v>203.11</v>
      </c>
      <c r="AX193" s="9">
        <v>733.62</v>
      </c>
      <c r="AY193" s="9">
        <v>767.19</v>
      </c>
      <c r="AZ193" s="9">
        <v>80908.240000000005</v>
      </c>
      <c r="BA193" s="9">
        <v>4963957.38</v>
      </c>
      <c r="BB193" s="9"/>
      <c r="BC193" s="9">
        <v>6697816.4799999995</v>
      </c>
      <c r="BD193" s="9"/>
      <c r="BE193" s="9">
        <v>96572.7</v>
      </c>
      <c r="BF193" s="9"/>
      <c r="BG193" s="9">
        <v>754094.9800000001</v>
      </c>
      <c r="BH193" s="9"/>
      <c r="BI193" s="9">
        <v>129696.08</v>
      </c>
      <c r="BJ193" s="9"/>
      <c r="BK193" s="9">
        <v>737592.57000000007</v>
      </c>
      <c r="BL193" s="9"/>
      <c r="BM193" s="9">
        <v>8857639.7199999988</v>
      </c>
      <c r="BN193" s="9">
        <v>4827495.6599999992</v>
      </c>
      <c r="BO193" s="9"/>
      <c r="BP193" s="9">
        <v>4030144.06</v>
      </c>
      <c r="BQ193" s="9"/>
      <c r="BR193" s="9">
        <v>408826.82</v>
      </c>
      <c r="BS193" s="9">
        <v>90570.880000000005</v>
      </c>
      <c r="BT193" s="9"/>
      <c r="BU193" s="9">
        <v>318255.94</v>
      </c>
      <c r="BV193" s="9"/>
      <c r="BW193" s="9">
        <v>546407.1</v>
      </c>
      <c r="BX193" s="9">
        <v>110349.47</v>
      </c>
      <c r="BY193" s="9"/>
      <c r="BZ193" s="9">
        <v>436057.63000000012</v>
      </c>
      <c r="CA193" s="9"/>
      <c r="CB193" s="9">
        <v>97127.99</v>
      </c>
      <c r="CC193" s="9">
        <v>11730710.590000002</v>
      </c>
      <c r="CD193" s="9"/>
      <c r="CE193" s="9"/>
      <c r="CF193" s="9">
        <v>8391736.3399999999</v>
      </c>
      <c r="CG193" s="9">
        <v>6083482.8599999994</v>
      </c>
      <c r="CH193" s="9">
        <v>2308253.4799999995</v>
      </c>
      <c r="CI193" s="9">
        <v>5735249.540000001</v>
      </c>
      <c r="CJ193" s="9">
        <v>4589023.5199999996</v>
      </c>
      <c r="CK193" s="9">
        <v>1146226.02</v>
      </c>
      <c r="CL193" s="9">
        <v>2656486.7999999998</v>
      </c>
      <c r="CM193" s="9">
        <v>1494459.34</v>
      </c>
      <c r="CN193" s="9">
        <v>1162027.46</v>
      </c>
      <c r="CO193" s="9">
        <v>2056058.92</v>
      </c>
      <c r="CP193" s="9">
        <v>497908.9</v>
      </c>
      <c r="CQ193" s="9">
        <v>1558150.0200000005</v>
      </c>
      <c r="CR193" s="9">
        <v>1115639.8400000001</v>
      </c>
      <c r="CS193" s="9">
        <v>358747.51</v>
      </c>
      <c r="CT193" s="9">
        <v>756892.33000000007</v>
      </c>
      <c r="CU193" s="9">
        <v>940419.08</v>
      </c>
      <c r="CV193" s="9">
        <v>139161.39000000001</v>
      </c>
      <c r="CW193" s="9">
        <v>801257.69</v>
      </c>
      <c r="CX193" s="9">
        <v>6335677.419999999</v>
      </c>
      <c r="CY193" s="9">
        <v>5585573.9600000009</v>
      </c>
      <c r="CZ193" s="9">
        <v>750103.46</v>
      </c>
      <c r="DA193" s="9">
        <v>4619609.7</v>
      </c>
      <c r="DB193" s="9">
        <v>4230276.01</v>
      </c>
      <c r="DC193" s="9">
        <v>389333.68999999989</v>
      </c>
      <c r="DD193" s="9">
        <v>1716067.72</v>
      </c>
      <c r="DE193" s="9">
        <v>1355297.95</v>
      </c>
      <c r="DF193" s="9">
        <v>360769.77</v>
      </c>
      <c r="DG193" s="9">
        <v>11182829.310000001</v>
      </c>
      <c r="DH193" s="9">
        <v>2791092.9699999997</v>
      </c>
    </row>
    <row r="194" spans="1:112" x14ac:dyDescent="0.2">
      <c r="A194" s="8" t="s">
        <v>859</v>
      </c>
      <c r="B194" s="8" t="s">
        <v>427</v>
      </c>
      <c r="C194" s="8" t="s">
        <v>428</v>
      </c>
      <c r="D194" s="9">
        <v>11716306.059999999</v>
      </c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>
        <v>935424.14</v>
      </c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>
        <v>891398.15</v>
      </c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>
        <v>5066029.4499999993</v>
      </c>
      <c r="BB194" s="9"/>
      <c r="BC194" s="9">
        <v>6676893.9199999999</v>
      </c>
      <c r="BD194" s="9"/>
      <c r="BE194" s="9">
        <v>137940.21</v>
      </c>
      <c r="BF194" s="9"/>
      <c r="BG194" s="9">
        <v>797483.92999999993</v>
      </c>
      <c r="BH194" s="9"/>
      <c r="BI194" s="9">
        <v>137864.07999999999</v>
      </c>
      <c r="BJ194" s="9"/>
      <c r="BK194" s="9">
        <v>753534.07000000007</v>
      </c>
      <c r="BL194" s="9"/>
      <c r="BM194" s="9">
        <v>8991168.2699999996</v>
      </c>
      <c r="BN194" s="9">
        <v>4924566.46</v>
      </c>
      <c r="BO194" s="9"/>
      <c r="BP194" s="9">
        <v>4066601.82</v>
      </c>
      <c r="BQ194" s="9"/>
      <c r="BR194" s="9">
        <v>498072.71</v>
      </c>
      <c r="BS194" s="9">
        <v>130173.95</v>
      </c>
      <c r="BT194" s="9"/>
      <c r="BU194" s="9">
        <v>367898.76</v>
      </c>
      <c r="BV194" s="9"/>
      <c r="BW194" s="9">
        <v>564941.56000000006</v>
      </c>
      <c r="BX194" s="9">
        <v>118284.99</v>
      </c>
      <c r="BY194" s="9"/>
      <c r="BZ194" s="9">
        <v>446656.58</v>
      </c>
      <c r="CA194" s="9"/>
      <c r="CB194" s="9">
        <v>102687.98</v>
      </c>
      <c r="CC194" s="9">
        <v>11818994.039999999</v>
      </c>
      <c r="CD194" s="9"/>
      <c r="CE194" s="9"/>
      <c r="CF194" s="9">
        <v>8291971.1399999997</v>
      </c>
      <c r="CG194" s="9">
        <v>6023578.9100000001</v>
      </c>
      <c r="CH194" s="9">
        <v>2268392.2300000004</v>
      </c>
      <c r="CI194" s="9">
        <v>5599287.6899999995</v>
      </c>
      <c r="CJ194" s="9">
        <v>4507655.2</v>
      </c>
      <c r="CK194" s="9">
        <v>1091632.49</v>
      </c>
      <c r="CL194" s="9">
        <v>2692683.45</v>
      </c>
      <c r="CM194" s="9">
        <v>1515923.71</v>
      </c>
      <c r="CN194" s="9">
        <v>1176759.74</v>
      </c>
      <c r="CO194" s="9">
        <v>1985847.37</v>
      </c>
      <c r="CP194" s="9">
        <v>467077.91</v>
      </c>
      <c r="CQ194" s="9">
        <v>1518769.46</v>
      </c>
      <c r="CR194" s="9">
        <v>1050938.51</v>
      </c>
      <c r="CS194" s="9">
        <v>334057.99</v>
      </c>
      <c r="CT194" s="9">
        <v>716880.52</v>
      </c>
      <c r="CU194" s="9">
        <v>934908.86</v>
      </c>
      <c r="CV194" s="9">
        <v>133019.92000000001</v>
      </c>
      <c r="CW194" s="9">
        <v>801888.94</v>
      </c>
      <c r="CX194" s="9">
        <v>6306123.7700000005</v>
      </c>
      <c r="CY194" s="9">
        <v>5556501</v>
      </c>
      <c r="CZ194" s="9">
        <v>749622.77</v>
      </c>
      <c r="DA194" s="9">
        <v>4548349.18</v>
      </c>
      <c r="DB194" s="9">
        <v>4173597.21</v>
      </c>
      <c r="DC194" s="9">
        <v>374751.97</v>
      </c>
      <c r="DD194" s="9">
        <v>1757774.59</v>
      </c>
      <c r="DE194" s="9">
        <v>1382903.79</v>
      </c>
      <c r="DF194" s="9">
        <v>374870.8</v>
      </c>
      <c r="DG194" s="9">
        <v>10999869.609999999</v>
      </c>
      <c r="DH194" s="9">
        <v>2707898.4699999997</v>
      </c>
    </row>
    <row r="195" spans="1:112" x14ac:dyDescent="0.2">
      <c r="A195" s="8" t="s">
        <v>859</v>
      </c>
      <c r="B195" s="8" t="s">
        <v>427</v>
      </c>
      <c r="C195" s="8" t="s">
        <v>429</v>
      </c>
      <c r="D195" s="9">
        <v>11560654.82</v>
      </c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>
        <v>987780.18</v>
      </c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>
        <v>907607.46</v>
      </c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>
        <v>4898236.3800000008</v>
      </c>
      <c r="BB195" s="9"/>
      <c r="BC195" s="9">
        <v>6690285.29</v>
      </c>
      <c r="BD195" s="9"/>
      <c r="BE195" s="9">
        <v>152580.82999999999</v>
      </c>
      <c r="BF195" s="9"/>
      <c r="BG195" s="9">
        <v>835199.36</v>
      </c>
      <c r="BH195" s="9"/>
      <c r="BI195" s="9">
        <v>147174.25</v>
      </c>
      <c r="BJ195" s="9"/>
      <c r="BK195" s="9">
        <v>760433.2</v>
      </c>
      <c r="BL195" s="9"/>
      <c r="BM195" s="9">
        <v>8823625.5600000005</v>
      </c>
      <c r="BN195" s="9">
        <v>4767495.74</v>
      </c>
      <c r="BO195" s="9"/>
      <c r="BP195" s="9">
        <v>4056129.8199999994</v>
      </c>
      <c r="BQ195" s="9"/>
      <c r="BR195" s="9">
        <v>539773.18999999994</v>
      </c>
      <c r="BS195" s="9">
        <v>143697.85</v>
      </c>
      <c r="BT195" s="9"/>
      <c r="BU195" s="9">
        <v>396075.34</v>
      </c>
      <c r="BV195" s="9"/>
      <c r="BW195" s="9">
        <v>578281.33000000007</v>
      </c>
      <c r="BX195" s="9">
        <v>126777.24</v>
      </c>
      <c r="BY195" s="9"/>
      <c r="BZ195" s="9">
        <v>451504.09</v>
      </c>
      <c r="CA195" s="9"/>
      <c r="CB195" s="9">
        <v>127726.25</v>
      </c>
      <c r="CC195" s="9">
        <v>11688381.07</v>
      </c>
      <c r="CD195" s="9"/>
      <c r="CE195" s="9"/>
      <c r="CF195" s="9">
        <v>8462805.9899999984</v>
      </c>
      <c r="CG195" s="9">
        <v>6128982.6100000003</v>
      </c>
      <c r="CH195" s="9">
        <v>2333823.38</v>
      </c>
      <c r="CI195" s="9">
        <v>5600247.7699999996</v>
      </c>
      <c r="CJ195" s="9">
        <v>4546369.96</v>
      </c>
      <c r="CK195" s="9">
        <v>1053877.81</v>
      </c>
      <c r="CL195" s="9">
        <v>2862558.2199999997</v>
      </c>
      <c r="CM195" s="9">
        <v>1582612.65</v>
      </c>
      <c r="CN195" s="9">
        <v>1279945.57</v>
      </c>
      <c r="CO195" s="9">
        <v>2022294.22</v>
      </c>
      <c r="CP195" s="9">
        <v>451587.28</v>
      </c>
      <c r="CQ195" s="9">
        <v>1570706.94</v>
      </c>
      <c r="CR195" s="9">
        <v>991404.94</v>
      </c>
      <c r="CS195" s="9">
        <v>316980.03000000003</v>
      </c>
      <c r="CT195" s="9">
        <v>674424.90999999992</v>
      </c>
      <c r="CU195" s="9">
        <v>1030889.28</v>
      </c>
      <c r="CV195" s="9">
        <v>134607.25</v>
      </c>
      <c r="CW195" s="9">
        <v>896282.03</v>
      </c>
      <c r="CX195" s="9">
        <v>6440511.7699999996</v>
      </c>
      <c r="CY195" s="9">
        <v>5677395.330000001</v>
      </c>
      <c r="CZ195" s="9">
        <v>763116.44000000006</v>
      </c>
      <c r="DA195" s="9">
        <v>4608842.83</v>
      </c>
      <c r="DB195" s="9">
        <v>4229389.93</v>
      </c>
      <c r="DC195" s="9">
        <v>379452.9</v>
      </c>
      <c r="DD195" s="9">
        <v>1831668.94</v>
      </c>
      <c r="DE195" s="9">
        <v>1448005.4</v>
      </c>
      <c r="DF195" s="9">
        <v>383663.54</v>
      </c>
      <c r="DG195" s="9">
        <v>11257186.09</v>
      </c>
      <c r="DH195" s="9">
        <v>2794380.0999999996</v>
      </c>
    </row>
    <row r="196" spans="1:112" x14ac:dyDescent="0.2">
      <c r="A196" s="8" t="s">
        <v>859</v>
      </c>
      <c r="B196" s="8" t="s">
        <v>427</v>
      </c>
      <c r="C196" s="8" t="s">
        <v>430</v>
      </c>
      <c r="D196" s="9">
        <v>11759942.34</v>
      </c>
      <c r="E196" s="9">
        <v>11764549.57</v>
      </c>
      <c r="F196" s="9">
        <v>237210.56</v>
      </c>
      <c r="G196" s="9">
        <v>1184322.3600000001</v>
      </c>
      <c r="H196" s="9">
        <v>1285011.76</v>
      </c>
      <c r="I196" s="9">
        <v>56667.44</v>
      </c>
      <c r="J196" s="9">
        <v>1525136.32</v>
      </c>
      <c r="K196" s="9">
        <v>1644221.52</v>
      </c>
      <c r="L196" s="9">
        <v>127650.6</v>
      </c>
      <c r="M196" s="9">
        <v>293753.15999999997</v>
      </c>
      <c r="N196" s="9">
        <v>87960.45</v>
      </c>
      <c r="O196" s="9">
        <v>232701.1</v>
      </c>
      <c r="P196" s="9">
        <v>90801.04</v>
      </c>
      <c r="Q196" s="9">
        <v>69967.199999999997</v>
      </c>
      <c r="R196" s="9">
        <v>3477354.1799999997</v>
      </c>
      <c r="S196" s="9">
        <v>0</v>
      </c>
      <c r="T196" s="9">
        <v>0</v>
      </c>
      <c r="U196" s="9">
        <v>0</v>
      </c>
      <c r="V196" s="9">
        <v>0</v>
      </c>
      <c r="W196" s="9">
        <v>962194.85</v>
      </c>
      <c r="X196" s="9">
        <v>962961.09</v>
      </c>
      <c r="Y196" s="9">
        <v>29414.63</v>
      </c>
      <c r="Z196" s="9">
        <v>311233.84999999998</v>
      </c>
      <c r="AA196" s="9">
        <v>90172.07</v>
      </c>
      <c r="AB196" s="9">
        <v>7239.04</v>
      </c>
      <c r="AC196" s="9">
        <v>210811.58</v>
      </c>
      <c r="AD196" s="9">
        <v>89987.520000000004</v>
      </c>
      <c r="AE196" s="9">
        <v>7004.1</v>
      </c>
      <c r="AF196" s="9">
        <v>65235.51</v>
      </c>
      <c r="AG196" s="9">
        <v>659</v>
      </c>
      <c r="AH196" s="9">
        <v>28147.74</v>
      </c>
      <c r="AI196" s="9">
        <v>11915.72</v>
      </c>
      <c r="AJ196" s="9">
        <v>10875.41</v>
      </c>
      <c r="AK196" s="9">
        <v>100264.91</v>
      </c>
      <c r="AL196" s="9">
        <v>964396.53</v>
      </c>
      <c r="AM196" s="9">
        <v>963631.62</v>
      </c>
      <c r="AN196" s="9">
        <v>21753.919999999998</v>
      </c>
      <c r="AO196" s="9">
        <v>294547</v>
      </c>
      <c r="AP196" s="9">
        <v>136562.67000000001</v>
      </c>
      <c r="AQ196" s="9">
        <v>3058.05</v>
      </c>
      <c r="AR196" s="9">
        <v>80233.39</v>
      </c>
      <c r="AS196" s="9">
        <v>206512.79</v>
      </c>
      <c r="AT196" s="9">
        <v>15390.43</v>
      </c>
      <c r="AU196" s="9">
        <v>63207.77</v>
      </c>
      <c r="AV196" s="9">
        <v>3600.45</v>
      </c>
      <c r="AW196" s="9">
        <v>46159.11</v>
      </c>
      <c r="AX196" s="9">
        <v>773.6</v>
      </c>
      <c r="AY196" s="9">
        <v>843.76</v>
      </c>
      <c r="AZ196" s="9">
        <v>90988.7</v>
      </c>
      <c r="BA196" s="9">
        <v>5047116.6100000013</v>
      </c>
      <c r="BB196" s="9"/>
      <c r="BC196" s="9">
        <v>6741150.0799999982</v>
      </c>
      <c r="BD196" s="9"/>
      <c r="BE196" s="9">
        <v>148227.89000000001</v>
      </c>
      <c r="BF196" s="9"/>
      <c r="BG196" s="9">
        <v>813966.96999999986</v>
      </c>
      <c r="BH196" s="9"/>
      <c r="BI196" s="9">
        <v>148028.99</v>
      </c>
      <c r="BJ196" s="9"/>
      <c r="BK196" s="9">
        <v>816367.54</v>
      </c>
      <c r="BL196" s="9"/>
      <c r="BM196" s="9">
        <v>9052928.8800000008</v>
      </c>
      <c r="BN196" s="9">
        <v>4918746.37</v>
      </c>
      <c r="BO196" s="9"/>
      <c r="BP196" s="9">
        <v>4134182.5200000009</v>
      </c>
      <c r="BQ196" s="9"/>
      <c r="BR196" s="9">
        <v>557285.43999999994</v>
      </c>
      <c r="BS196" s="9">
        <v>140390.66</v>
      </c>
      <c r="BT196" s="9"/>
      <c r="BU196" s="9">
        <v>416894.79</v>
      </c>
      <c r="BV196" s="9"/>
      <c r="BW196" s="9">
        <v>614511.89</v>
      </c>
      <c r="BX196" s="9">
        <v>130882.01</v>
      </c>
      <c r="BY196" s="9"/>
      <c r="BZ196" s="9">
        <v>483629.88</v>
      </c>
      <c r="CA196" s="9"/>
      <c r="CB196" s="9">
        <v>128945.78</v>
      </c>
      <c r="CC196" s="9">
        <v>11888888.119999999</v>
      </c>
      <c r="CD196" s="9">
        <v>946043</v>
      </c>
      <c r="CE196" s="9">
        <v>0</v>
      </c>
      <c r="CF196" s="9">
        <v>8620773.709999999</v>
      </c>
      <c r="CG196" s="9">
        <v>6328292.9299999997</v>
      </c>
      <c r="CH196" s="9">
        <v>2292480.7800000003</v>
      </c>
      <c r="CI196" s="9">
        <v>5775105.1600000001</v>
      </c>
      <c r="CJ196" s="9">
        <v>4688374.1999999993</v>
      </c>
      <c r="CK196" s="9">
        <v>1086730.96</v>
      </c>
      <c r="CL196" s="9">
        <v>2845668.5500000003</v>
      </c>
      <c r="CM196" s="9">
        <v>1639918.73</v>
      </c>
      <c r="CN196" s="9">
        <v>1205749.82</v>
      </c>
      <c r="CO196" s="9">
        <v>2025700.26</v>
      </c>
      <c r="CP196" s="9">
        <v>494114.96</v>
      </c>
      <c r="CQ196" s="9">
        <v>1531585.3</v>
      </c>
      <c r="CR196" s="9">
        <v>1083932.6800000002</v>
      </c>
      <c r="CS196" s="9">
        <v>351730.55</v>
      </c>
      <c r="CT196" s="9">
        <v>732202.13</v>
      </c>
      <c r="CU196" s="9">
        <v>941767.58</v>
      </c>
      <c r="CV196" s="9">
        <v>142384.41</v>
      </c>
      <c r="CW196" s="9">
        <v>799383.17</v>
      </c>
      <c r="CX196" s="9">
        <v>6595073.4499999993</v>
      </c>
      <c r="CY196" s="9">
        <v>5834177.9699999997</v>
      </c>
      <c r="CZ196" s="9">
        <v>760895.47999999986</v>
      </c>
      <c r="DA196" s="9">
        <v>4691172.4800000004</v>
      </c>
      <c r="DB196" s="9">
        <v>4336643.6499999994</v>
      </c>
      <c r="DC196" s="9">
        <v>354528.83</v>
      </c>
      <c r="DD196" s="9">
        <v>1903900.97</v>
      </c>
      <c r="DE196" s="9">
        <v>1497534.32</v>
      </c>
      <c r="DF196" s="9">
        <v>406366.65</v>
      </c>
      <c r="DG196" s="9">
        <v>12082933.529999997</v>
      </c>
      <c r="DH196" s="9">
        <v>3462159.8200000003</v>
      </c>
    </row>
    <row r="197" spans="1:112" x14ac:dyDescent="0.2">
      <c r="A197" s="8" t="s">
        <v>859</v>
      </c>
      <c r="B197" s="8" t="s">
        <v>431</v>
      </c>
      <c r="C197" s="8" t="s">
        <v>432</v>
      </c>
      <c r="D197" s="9">
        <v>11561733.77</v>
      </c>
      <c r="E197" s="9">
        <v>11566291.300000001</v>
      </c>
      <c r="F197" s="9">
        <v>292337.90000000002</v>
      </c>
      <c r="G197" s="9">
        <v>1085366.6000000001</v>
      </c>
      <c r="H197" s="9">
        <v>1295928.3999999999</v>
      </c>
      <c r="I197" s="9">
        <v>42695.3</v>
      </c>
      <c r="J197" s="9">
        <v>1510349.7</v>
      </c>
      <c r="K197" s="9">
        <v>1638614.4</v>
      </c>
      <c r="L197" s="9">
        <v>126330.3</v>
      </c>
      <c r="M197" s="9">
        <v>1722585.2</v>
      </c>
      <c r="N197" s="9">
        <v>84843.199999999997</v>
      </c>
      <c r="O197" s="9">
        <v>206195.3</v>
      </c>
      <c r="P197" s="9">
        <v>90934.5</v>
      </c>
      <c r="Q197" s="9">
        <v>68955.600000000006</v>
      </c>
      <c r="R197" s="9">
        <v>3401154.9</v>
      </c>
      <c r="S197" s="9">
        <v>2396230.7999999998</v>
      </c>
      <c r="T197" s="9">
        <v>0</v>
      </c>
      <c r="U197" s="9">
        <v>0</v>
      </c>
      <c r="V197" s="9">
        <v>0</v>
      </c>
      <c r="W197" s="9">
        <v>908457.61</v>
      </c>
      <c r="X197" s="9">
        <v>914378.4</v>
      </c>
      <c r="Y197" s="9">
        <v>28649.1</v>
      </c>
      <c r="Z197" s="9">
        <v>274815</v>
      </c>
      <c r="AA197" s="9">
        <v>105439</v>
      </c>
      <c r="AB197" s="9">
        <v>2716.1</v>
      </c>
      <c r="AC197" s="9">
        <v>223067.6</v>
      </c>
      <c r="AD197" s="9">
        <v>72586.600000000006</v>
      </c>
      <c r="AE197" s="9">
        <v>5732.1</v>
      </c>
      <c r="AF197" s="9">
        <v>69345.3</v>
      </c>
      <c r="AG197" s="9">
        <v>623.5</v>
      </c>
      <c r="AH197" s="9">
        <v>13794.5</v>
      </c>
      <c r="AI197" s="9">
        <v>1051.3</v>
      </c>
      <c r="AJ197" s="9">
        <v>11044.4</v>
      </c>
      <c r="AK197" s="9">
        <v>105513.7</v>
      </c>
      <c r="AL197" s="9">
        <v>1070353.78</v>
      </c>
      <c r="AM197" s="9">
        <v>1061165.7</v>
      </c>
      <c r="AN197" s="9">
        <v>27277.4</v>
      </c>
      <c r="AO197" s="9">
        <v>350721.6</v>
      </c>
      <c r="AP197" s="9">
        <v>118358.8</v>
      </c>
      <c r="AQ197" s="9">
        <v>2882.5</v>
      </c>
      <c r="AR197" s="9">
        <v>86553.3</v>
      </c>
      <c r="AS197" s="9">
        <v>234757.3</v>
      </c>
      <c r="AT197" s="9">
        <v>20259.900000000001</v>
      </c>
      <c r="AU197" s="9">
        <v>73770.7</v>
      </c>
      <c r="AV197" s="9">
        <v>3697.5</v>
      </c>
      <c r="AW197" s="9">
        <v>45452.5</v>
      </c>
      <c r="AX197" s="9">
        <v>1566.2</v>
      </c>
      <c r="AY197" s="9">
        <v>805.7</v>
      </c>
      <c r="AZ197" s="9">
        <v>95062.2</v>
      </c>
      <c r="BA197" s="9">
        <v>4997549.32</v>
      </c>
      <c r="BB197" s="9"/>
      <c r="BC197" s="9">
        <v>6591373.049999998</v>
      </c>
      <c r="BD197" s="9"/>
      <c r="BE197" s="9">
        <v>154141.04</v>
      </c>
      <c r="BF197" s="9"/>
      <c r="BG197" s="9">
        <v>754316.57000000007</v>
      </c>
      <c r="BH197" s="9"/>
      <c r="BI197" s="9">
        <v>166328.07999999999</v>
      </c>
      <c r="BJ197" s="9"/>
      <c r="BK197" s="9">
        <v>904025.7</v>
      </c>
      <c r="BL197" s="9"/>
      <c r="BM197" s="9">
        <v>9004138.5700000022</v>
      </c>
      <c r="BN197" s="9">
        <v>4877219.88</v>
      </c>
      <c r="BO197" s="9"/>
      <c r="BP197" s="9">
        <v>4126918.69</v>
      </c>
      <c r="BQ197" s="9"/>
      <c r="BR197" s="9">
        <v>579385.44000000006</v>
      </c>
      <c r="BS197" s="9">
        <v>149333.95000000001</v>
      </c>
      <c r="BT197" s="9"/>
      <c r="BU197" s="9">
        <v>430051.49</v>
      </c>
      <c r="BV197" s="9"/>
      <c r="BW197" s="9">
        <v>671735.99000000011</v>
      </c>
      <c r="BX197" s="9">
        <v>149793.18</v>
      </c>
      <c r="BY197" s="9"/>
      <c r="BZ197" s="9">
        <v>521942.81</v>
      </c>
      <c r="CA197" s="9"/>
      <c r="CB197" s="9">
        <v>127037.87</v>
      </c>
      <c r="CC197" s="9">
        <v>11688771.639999999</v>
      </c>
      <c r="CD197" s="9">
        <v>924919</v>
      </c>
      <c r="CE197" s="9">
        <v>0</v>
      </c>
      <c r="CF197" s="9">
        <v>8867682.1600000001</v>
      </c>
      <c r="CG197" s="9">
        <v>6451981.7399999993</v>
      </c>
      <c r="CH197" s="9">
        <v>2415700.42</v>
      </c>
      <c r="CI197" s="9">
        <v>5856505.96</v>
      </c>
      <c r="CJ197" s="9">
        <v>4786272.21</v>
      </c>
      <c r="CK197" s="9">
        <v>1070233.75</v>
      </c>
      <c r="CL197" s="9">
        <v>3011176.1999999997</v>
      </c>
      <c r="CM197" s="9">
        <v>1665709.5299999998</v>
      </c>
      <c r="CN197" s="9">
        <v>1345466.67</v>
      </c>
      <c r="CO197" s="9">
        <v>2158701.52</v>
      </c>
      <c r="CP197" s="9">
        <v>515555.33</v>
      </c>
      <c r="CQ197" s="9">
        <v>1643146.1900000002</v>
      </c>
      <c r="CR197" s="9">
        <v>1113803.3600000001</v>
      </c>
      <c r="CS197" s="9">
        <v>378147.32</v>
      </c>
      <c r="CT197" s="9">
        <v>735656.04</v>
      </c>
      <c r="CU197" s="9">
        <v>1044898.16</v>
      </c>
      <c r="CV197" s="9">
        <v>137408.01</v>
      </c>
      <c r="CW197" s="9">
        <v>907490.15</v>
      </c>
      <c r="CX197" s="9">
        <v>6708980.6399999997</v>
      </c>
      <c r="CY197" s="9">
        <v>5936426.4099999992</v>
      </c>
      <c r="CZ197" s="9">
        <v>772554.23</v>
      </c>
      <c r="DA197" s="9">
        <v>4742702.6000000006</v>
      </c>
      <c r="DB197" s="9">
        <v>4408124.8899999997</v>
      </c>
      <c r="DC197" s="9">
        <v>334577.71000000002</v>
      </c>
      <c r="DD197" s="9">
        <v>1966278.0399999996</v>
      </c>
      <c r="DE197" s="9">
        <v>1528301.52</v>
      </c>
      <c r="DF197" s="9">
        <v>437976.52</v>
      </c>
      <c r="DG197" s="9">
        <v>12499571.52</v>
      </c>
      <c r="DH197" s="9">
        <v>3631889.36</v>
      </c>
    </row>
    <row r="198" spans="1:112" x14ac:dyDescent="0.2">
      <c r="A198" s="8" t="s">
        <v>859</v>
      </c>
      <c r="B198" s="8" t="s">
        <v>431</v>
      </c>
      <c r="C198" s="8" t="s">
        <v>433</v>
      </c>
      <c r="D198" s="9">
        <v>11369180.49</v>
      </c>
      <c r="E198" s="9">
        <v>11370374.1</v>
      </c>
      <c r="F198" s="9">
        <v>277086.40000000002</v>
      </c>
      <c r="G198" s="9">
        <v>915623</v>
      </c>
      <c r="H198" s="9">
        <v>1299219.8</v>
      </c>
      <c r="I198" s="9">
        <v>45218.5</v>
      </c>
      <c r="J198" s="9">
        <v>1418736.3</v>
      </c>
      <c r="K198" s="9">
        <v>1611859.1</v>
      </c>
      <c r="L198" s="9">
        <v>126785.60000000001</v>
      </c>
      <c r="M198" s="9">
        <v>1802859.1</v>
      </c>
      <c r="N198" s="9">
        <v>84589</v>
      </c>
      <c r="O198" s="9">
        <v>243240.6</v>
      </c>
      <c r="P198" s="9">
        <v>89989.5</v>
      </c>
      <c r="Q198" s="9">
        <v>69979.100000000006</v>
      </c>
      <c r="R198" s="9">
        <v>3385188.1</v>
      </c>
      <c r="S198" s="9">
        <v>2437236.5</v>
      </c>
      <c r="T198" s="9">
        <v>0</v>
      </c>
      <c r="U198" s="9">
        <v>0</v>
      </c>
      <c r="V198" s="9">
        <v>0</v>
      </c>
      <c r="W198" s="9">
        <v>881863.85</v>
      </c>
      <c r="X198" s="9">
        <v>885738.8</v>
      </c>
      <c r="Y198" s="9">
        <v>28372</v>
      </c>
      <c r="Z198" s="9">
        <v>315812.5</v>
      </c>
      <c r="AA198" s="9">
        <v>107614.9</v>
      </c>
      <c r="AB198" s="9">
        <v>2162.8000000000002</v>
      </c>
      <c r="AC198" s="9">
        <v>173218.3</v>
      </c>
      <c r="AD198" s="9">
        <v>61927.199999999997</v>
      </c>
      <c r="AE198" s="9">
        <v>11421.5</v>
      </c>
      <c r="AF198" s="9">
        <v>66342.3</v>
      </c>
      <c r="AG198" s="9">
        <v>266</v>
      </c>
      <c r="AH198" s="9">
        <v>16627.400000000001</v>
      </c>
      <c r="AI198" s="9">
        <v>1441.4</v>
      </c>
      <c r="AJ198" s="9">
        <v>9952.4</v>
      </c>
      <c r="AK198" s="9">
        <v>90580.1</v>
      </c>
      <c r="AL198" s="9">
        <v>1059236.1200000001</v>
      </c>
      <c r="AM198" s="9">
        <v>1061702.1000000001</v>
      </c>
      <c r="AN198" s="9">
        <v>25805.3</v>
      </c>
      <c r="AO198" s="9">
        <v>370758.8</v>
      </c>
      <c r="AP198" s="9">
        <v>126414.7</v>
      </c>
      <c r="AQ198" s="9">
        <v>2813.3</v>
      </c>
      <c r="AR198" s="9">
        <v>80197</v>
      </c>
      <c r="AS198" s="9">
        <v>211099.6</v>
      </c>
      <c r="AT198" s="9">
        <v>19926.3</v>
      </c>
      <c r="AU198" s="9">
        <v>74445.600000000006</v>
      </c>
      <c r="AV198" s="9">
        <v>3731.7</v>
      </c>
      <c r="AW198" s="9">
        <v>45079.199999999997</v>
      </c>
      <c r="AX198" s="9">
        <v>1287.5999999999999</v>
      </c>
      <c r="AY198" s="9">
        <v>1420.6</v>
      </c>
      <c r="AZ198" s="9">
        <v>98722.3</v>
      </c>
      <c r="BA198" s="9">
        <v>5072059.28</v>
      </c>
      <c r="BB198" s="9"/>
      <c r="BC198" s="9">
        <v>6327466.8599999994</v>
      </c>
      <c r="BD198" s="9"/>
      <c r="BE198" s="9">
        <v>151839.31</v>
      </c>
      <c r="BF198" s="9"/>
      <c r="BG198" s="9">
        <v>730024.53</v>
      </c>
      <c r="BH198" s="9"/>
      <c r="BI198" s="9">
        <v>173525.79</v>
      </c>
      <c r="BJ198" s="9"/>
      <c r="BK198" s="9">
        <v>885710.34</v>
      </c>
      <c r="BL198" s="9"/>
      <c r="BM198" s="9">
        <v>9055197.9699999988</v>
      </c>
      <c r="BN198" s="9">
        <v>4957726.2</v>
      </c>
      <c r="BO198" s="9"/>
      <c r="BP198" s="9">
        <v>4097471.7700000009</v>
      </c>
      <c r="BQ198" s="9"/>
      <c r="BR198" s="9">
        <v>546045.88</v>
      </c>
      <c r="BS198" s="9">
        <v>140713.49</v>
      </c>
      <c r="BT198" s="9"/>
      <c r="BU198" s="9">
        <v>405332.39000000007</v>
      </c>
      <c r="BV198" s="9"/>
      <c r="BW198" s="9">
        <v>656804.85</v>
      </c>
      <c r="BX198" s="9">
        <v>156717.91</v>
      </c>
      <c r="BY198" s="9"/>
      <c r="BZ198" s="9">
        <v>500086.94</v>
      </c>
      <c r="CA198" s="9"/>
      <c r="CB198" s="9">
        <v>122797.45</v>
      </c>
      <c r="CC198" s="9">
        <v>11491977.939999999</v>
      </c>
      <c r="CD198" s="9">
        <v>903780</v>
      </c>
      <c r="CE198" s="9">
        <v>0</v>
      </c>
      <c r="CF198" s="9">
        <v>9041565.0599999987</v>
      </c>
      <c r="CG198" s="9">
        <v>6607720.4199999999</v>
      </c>
      <c r="CH198" s="9">
        <v>2433844.64</v>
      </c>
      <c r="CI198" s="9">
        <v>6049186.2999999998</v>
      </c>
      <c r="CJ198" s="9">
        <v>4942386.71</v>
      </c>
      <c r="CK198" s="9">
        <v>1106799.5900000001</v>
      </c>
      <c r="CL198" s="9">
        <v>2992378.76</v>
      </c>
      <c r="CM198" s="9">
        <v>1665333.71</v>
      </c>
      <c r="CN198" s="9">
        <v>1327045.0499999998</v>
      </c>
      <c r="CO198" s="9">
        <v>2316589.92</v>
      </c>
      <c r="CP198" s="9">
        <v>553171.84</v>
      </c>
      <c r="CQ198" s="9">
        <v>1763418.08</v>
      </c>
      <c r="CR198" s="9">
        <v>1181182.25</v>
      </c>
      <c r="CS198" s="9">
        <v>417973.36</v>
      </c>
      <c r="CT198" s="9">
        <v>763208.89</v>
      </c>
      <c r="CU198" s="9">
        <v>1135407.67</v>
      </c>
      <c r="CV198" s="9">
        <v>135198.48000000001</v>
      </c>
      <c r="CW198" s="9">
        <v>1000209.19</v>
      </c>
      <c r="CX198" s="9">
        <v>6724975.1399999987</v>
      </c>
      <c r="CY198" s="9">
        <v>6054548.5800000001</v>
      </c>
      <c r="CZ198" s="9">
        <v>670426.56000000017</v>
      </c>
      <c r="DA198" s="9">
        <v>4868004.05</v>
      </c>
      <c r="DB198" s="9">
        <v>4524413.3499999996</v>
      </c>
      <c r="DC198" s="9">
        <v>343590.7</v>
      </c>
      <c r="DD198" s="9">
        <v>1856971.09</v>
      </c>
      <c r="DE198" s="9">
        <v>1530135.23</v>
      </c>
      <c r="DF198" s="9">
        <v>326835.86</v>
      </c>
      <c r="DG198" s="9">
        <v>12857527.049999999</v>
      </c>
      <c r="DH198" s="9">
        <v>3815961.9899999993</v>
      </c>
    </row>
    <row r="199" spans="1:112" x14ac:dyDescent="0.2">
      <c r="A199" s="8" t="s">
        <v>859</v>
      </c>
      <c r="B199" s="8" t="s">
        <v>431</v>
      </c>
      <c r="C199" s="8" t="s">
        <v>434</v>
      </c>
      <c r="D199" s="9">
        <v>11949799.539999999</v>
      </c>
      <c r="E199" s="9">
        <v>11949791.1</v>
      </c>
      <c r="F199" s="9">
        <v>280055.5</v>
      </c>
      <c r="G199" s="9">
        <v>887389.7</v>
      </c>
      <c r="H199" s="9">
        <v>1308065.2</v>
      </c>
      <c r="I199" s="9">
        <v>188636.1</v>
      </c>
      <c r="J199" s="9">
        <v>1391474.6</v>
      </c>
      <c r="K199" s="9">
        <v>1779334.3</v>
      </c>
      <c r="L199" s="9">
        <v>127305.9</v>
      </c>
      <c r="M199" s="9">
        <v>1892961.5</v>
      </c>
      <c r="N199" s="9">
        <v>82789.3</v>
      </c>
      <c r="O199" s="9">
        <v>388200.8</v>
      </c>
      <c r="P199" s="9">
        <v>93507.1</v>
      </c>
      <c r="Q199" s="9">
        <v>72828</v>
      </c>
      <c r="R199" s="9">
        <v>3457243.1999999997</v>
      </c>
      <c r="S199" s="9">
        <v>2440345.7000000002</v>
      </c>
      <c r="T199" s="9">
        <v>0</v>
      </c>
      <c r="U199" s="9">
        <v>0</v>
      </c>
      <c r="V199" s="9">
        <v>0</v>
      </c>
      <c r="W199" s="9">
        <v>828010.57000000007</v>
      </c>
      <c r="X199" s="9">
        <v>828010.6</v>
      </c>
      <c r="Y199" s="9">
        <v>30561.200000000001</v>
      </c>
      <c r="Z199" s="9">
        <v>310014.59999999998</v>
      </c>
      <c r="AA199" s="9">
        <v>82947.3</v>
      </c>
      <c r="AB199" s="9">
        <v>1788.5</v>
      </c>
      <c r="AC199" s="9">
        <v>165586.20000000001</v>
      </c>
      <c r="AD199" s="9">
        <v>65996.399999999994</v>
      </c>
      <c r="AE199" s="9">
        <v>10781.3</v>
      </c>
      <c r="AF199" s="9">
        <v>57998.9</v>
      </c>
      <c r="AG199" s="9">
        <v>197.5</v>
      </c>
      <c r="AH199" s="9">
        <v>13787.8</v>
      </c>
      <c r="AI199" s="9">
        <v>382.3</v>
      </c>
      <c r="AJ199" s="9">
        <v>1552.3</v>
      </c>
      <c r="AK199" s="9">
        <v>86416.5</v>
      </c>
      <c r="AL199" s="9">
        <v>1032111.36</v>
      </c>
      <c r="AM199" s="9">
        <v>1032111.4</v>
      </c>
      <c r="AN199" s="9">
        <v>21613.8</v>
      </c>
      <c r="AO199" s="9">
        <v>345262.5</v>
      </c>
      <c r="AP199" s="9">
        <v>132804</v>
      </c>
      <c r="AQ199" s="9">
        <v>3054.3</v>
      </c>
      <c r="AR199" s="9">
        <v>78000.7</v>
      </c>
      <c r="AS199" s="9">
        <v>207064.6</v>
      </c>
      <c r="AT199" s="9">
        <v>20409.400000000001</v>
      </c>
      <c r="AU199" s="9">
        <v>76031.100000000006</v>
      </c>
      <c r="AV199" s="9">
        <v>3699.7</v>
      </c>
      <c r="AW199" s="9">
        <v>44572.3</v>
      </c>
      <c r="AX199" s="9">
        <v>1794.6</v>
      </c>
      <c r="AY199" s="9">
        <v>1403.6</v>
      </c>
      <c r="AZ199" s="9">
        <v>96400.7</v>
      </c>
      <c r="BA199" s="9">
        <v>5205650.0599999996</v>
      </c>
      <c r="BB199" s="9"/>
      <c r="BC199" s="9">
        <v>6775492.0399999991</v>
      </c>
      <c r="BD199" s="9"/>
      <c r="BE199" s="9">
        <v>134062</v>
      </c>
      <c r="BF199" s="9"/>
      <c r="BG199" s="9">
        <v>693948.57</v>
      </c>
      <c r="BH199" s="9"/>
      <c r="BI199" s="9">
        <v>175983.94</v>
      </c>
      <c r="BJ199" s="9"/>
      <c r="BK199" s="9">
        <v>856127.43</v>
      </c>
      <c r="BL199" s="9"/>
      <c r="BM199" s="9">
        <v>9287983.4900000021</v>
      </c>
      <c r="BN199" s="9">
        <v>5088499.1399999997</v>
      </c>
      <c r="BO199" s="9"/>
      <c r="BP199" s="9">
        <v>4199484.3500000006</v>
      </c>
      <c r="BQ199" s="9"/>
      <c r="BR199" s="9">
        <v>509489.02</v>
      </c>
      <c r="BS199" s="9">
        <v>123682.01</v>
      </c>
      <c r="BT199" s="9"/>
      <c r="BU199" s="9">
        <v>385807.01</v>
      </c>
      <c r="BV199" s="9"/>
      <c r="BW199" s="9">
        <v>661854.96</v>
      </c>
      <c r="BX199" s="9">
        <v>159122.88</v>
      </c>
      <c r="BY199" s="9"/>
      <c r="BZ199" s="9">
        <v>502732.08</v>
      </c>
      <c r="CA199" s="9"/>
      <c r="CB199" s="9">
        <v>121385.58</v>
      </c>
      <c r="CC199" s="9">
        <v>12071185.119999999</v>
      </c>
      <c r="CD199" s="9">
        <v>889935</v>
      </c>
      <c r="CE199" s="9">
        <v>0</v>
      </c>
      <c r="CF199" s="9">
        <v>9288927.1800000016</v>
      </c>
      <c r="CG199" s="9">
        <v>6963099.0500000007</v>
      </c>
      <c r="CH199" s="9">
        <v>2325828.1300000004</v>
      </c>
      <c r="CI199" s="9">
        <v>6305789.6699999999</v>
      </c>
      <c r="CJ199" s="9">
        <v>5147550.9600000009</v>
      </c>
      <c r="CK199" s="9">
        <v>1158238.71</v>
      </c>
      <c r="CL199" s="9">
        <v>2983137.51</v>
      </c>
      <c r="CM199" s="9">
        <v>1815548.09</v>
      </c>
      <c r="CN199" s="9">
        <v>1167589.42</v>
      </c>
      <c r="CO199" s="9">
        <v>2404273.9500000002</v>
      </c>
      <c r="CP199" s="9">
        <v>727558.47</v>
      </c>
      <c r="CQ199" s="9">
        <v>1676715.48</v>
      </c>
      <c r="CR199" s="9">
        <v>1373811.58</v>
      </c>
      <c r="CS199" s="9">
        <v>553203.89</v>
      </c>
      <c r="CT199" s="9">
        <v>820607.69000000006</v>
      </c>
      <c r="CU199" s="9">
        <v>1030462.37</v>
      </c>
      <c r="CV199" s="9">
        <v>174354.58</v>
      </c>
      <c r="CW199" s="9">
        <v>856107.79</v>
      </c>
      <c r="CX199" s="9">
        <v>6884653.2300000004</v>
      </c>
      <c r="CY199" s="9">
        <v>6235540.5800000001</v>
      </c>
      <c r="CZ199" s="9">
        <v>649112.64999999991</v>
      </c>
      <c r="DA199" s="9">
        <v>4931978.0900000008</v>
      </c>
      <c r="DB199" s="9">
        <v>4594347.07</v>
      </c>
      <c r="DC199" s="9">
        <v>337631.02</v>
      </c>
      <c r="DD199" s="9">
        <v>1952675.1399999997</v>
      </c>
      <c r="DE199" s="9">
        <v>1641193.5099999998</v>
      </c>
      <c r="DF199" s="9">
        <v>311481.63</v>
      </c>
      <c r="DG199" s="9">
        <v>13332125.5</v>
      </c>
      <c r="DH199" s="9">
        <v>4043198.32</v>
      </c>
    </row>
    <row r="200" spans="1:112" x14ac:dyDescent="0.2">
      <c r="A200" s="8" t="s">
        <v>859</v>
      </c>
      <c r="B200" s="8" t="s">
        <v>435</v>
      </c>
      <c r="C200" s="8" t="s">
        <v>436</v>
      </c>
      <c r="D200" s="9">
        <v>12023962.82</v>
      </c>
      <c r="E200" s="9">
        <v>12023956.9</v>
      </c>
      <c r="F200" s="9">
        <v>292937.5</v>
      </c>
      <c r="G200" s="9">
        <v>885998.7</v>
      </c>
      <c r="H200" s="9">
        <v>1318112.2</v>
      </c>
      <c r="I200" s="9">
        <v>197665.7</v>
      </c>
      <c r="J200" s="9">
        <v>1396364.3</v>
      </c>
      <c r="K200" s="9">
        <v>1759254.3</v>
      </c>
      <c r="L200" s="9">
        <v>129038.5</v>
      </c>
      <c r="M200" s="9">
        <v>1961001.3</v>
      </c>
      <c r="N200" s="9">
        <v>81989.8</v>
      </c>
      <c r="O200" s="9">
        <v>408214</v>
      </c>
      <c r="P200" s="9">
        <v>98904.2</v>
      </c>
      <c r="Q200" s="9">
        <v>73777.899999999994</v>
      </c>
      <c r="R200" s="9">
        <v>3420698.2</v>
      </c>
      <c r="S200" s="9">
        <v>2395783.9</v>
      </c>
      <c r="T200" s="9">
        <v>0</v>
      </c>
      <c r="U200" s="9">
        <v>0</v>
      </c>
      <c r="V200" s="9">
        <v>0</v>
      </c>
      <c r="W200" s="9">
        <v>833128.71</v>
      </c>
      <c r="X200" s="9">
        <v>833128.7</v>
      </c>
      <c r="Y200" s="9">
        <v>27201.599999999999</v>
      </c>
      <c r="Z200" s="9">
        <v>318318.59999999998</v>
      </c>
      <c r="AA200" s="9">
        <v>79311.399999999994</v>
      </c>
      <c r="AB200" s="9">
        <v>7628</v>
      </c>
      <c r="AC200" s="9">
        <v>148594.6</v>
      </c>
      <c r="AD200" s="9">
        <v>52024.9</v>
      </c>
      <c r="AE200" s="9">
        <v>10475.799999999999</v>
      </c>
      <c r="AF200" s="9">
        <v>70378.7</v>
      </c>
      <c r="AG200" s="9">
        <v>52.2</v>
      </c>
      <c r="AH200" s="9">
        <v>15765.3</v>
      </c>
      <c r="AI200" s="9">
        <v>736.4</v>
      </c>
      <c r="AJ200" s="9">
        <v>2712.6</v>
      </c>
      <c r="AK200" s="9">
        <v>99928.9</v>
      </c>
      <c r="AL200" s="9">
        <v>1026134.62</v>
      </c>
      <c r="AM200" s="9">
        <v>1026134.6</v>
      </c>
      <c r="AN200" s="9">
        <v>22027.7</v>
      </c>
      <c r="AO200" s="9">
        <v>319116.5</v>
      </c>
      <c r="AP200" s="9">
        <v>136980.70000000001</v>
      </c>
      <c r="AQ200" s="9">
        <v>3238.2</v>
      </c>
      <c r="AR200" s="9">
        <v>78698.899999999994</v>
      </c>
      <c r="AS200" s="9">
        <v>212618.1</v>
      </c>
      <c r="AT200" s="9">
        <v>22288.400000000001</v>
      </c>
      <c r="AU200" s="9">
        <v>77149.100000000006</v>
      </c>
      <c r="AV200" s="9">
        <v>3855.7</v>
      </c>
      <c r="AW200" s="9">
        <v>47835.6</v>
      </c>
      <c r="AX200" s="9">
        <v>1789.8</v>
      </c>
      <c r="AY200" s="9">
        <v>1396.1</v>
      </c>
      <c r="AZ200" s="9">
        <v>99139.8</v>
      </c>
      <c r="BA200" s="9">
        <v>5220720.1900000004</v>
      </c>
      <c r="BB200" s="9"/>
      <c r="BC200" s="9">
        <v>6834879.1900000004</v>
      </c>
      <c r="BD200" s="9"/>
      <c r="BE200" s="9">
        <v>156605.68</v>
      </c>
      <c r="BF200" s="9"/>
      <c r="BG200" s="9">
        <v>676523.02</v>
      </c>
      <c r="BH200" s="9"/>
      <c r="BI200" s="9">
        <v>188432.49</v>
      </c>
      <c r="BJ200" s="9"/>
      <c r="BK200" s="9">
        <v>837702.14</v>
      </c>
      <c r="BL200" s="9"/>
      <c r="BM200" s="9">
        <v>9340538.1500000004</v>
      </c>
      <c r="BN200" s="9">
        <v>5104847.71</v>
      </c>
      <c r="BO200" s="9"/>
      <c r="BP200" s="9">
        <v>4235690.4300000006</v>
      </c>
      <c r="BQ200" s="9"/>
      <c r="BR200" s="9">
        <v>494848.23</v>
      </c>
      <c r="BS200" s="9">
        <v>144463.17000000001</v>
      </c>
      <c r="BT200" s="9"/>
      <c r="BU200" s="9">
        <v>350385.06</v>
      </c>
      <c r="BV200" s="9"/>
      <c r="BW200" s="9">
        <v>670479.16999999993</v>
      </c>
      <c r="BX200" s="9">
        <v>171886.46</v>
      </c>
      <c r="BY200" s="9"/>
      <c r="BZ200" s="9">
        <v>498592.71</v>
      </c>
      <c r="CA200" s="9"/>
      <c r="CB200" s="9">
        <v>128993.31</v>
      </c>
      <c r="CC200" s="9">
        <v>12152956.130000001</v>
      </c>
      <c r="CD200" s="9">
        <v>878048</v>
      </c>
      <c r="CE200" s="9">
        <v>0</v>
      </c>
      <c r="CF200" s="9">
        <v>9680533.7899999991</v>
      </c>
      <c r="CG200" s="9">
        <v>7163684.3200000003</v>
      </c>
      <c r="CH200" s="9">
        <v>2516849.4699999997</v>
      </c>
      <c r="CI200" s="9">
        <v>6434194.25</v>
      </c>
      <c r="CJ200" s="9">
        <v>5236478.1100000003</v>
      </c>
      <c r="CK200" s="9">
        <v>1197716.1399999999</v>
      </c>
      <c r="CL200" s="9">
        <v>3246339.54</v>
      </c>
      <c r="CM200" s="9">
        <v>1927206.21</v>
      </c>
      <c r="CN200" s="9">
        <v>1319133.33</v>
      </c>
      <c r="CO200" s="9">
        <v>2479707.7400000002</v>
      </c>
      <c r="CP200" s="9">
        <v>671527.77</v>
      </c>
      <c r="CQ200" s="9">
        <v>1808179.97</v>
      </c>
      <c r="CR200" s="9">
        <v>1333388.24</v>
      </c>
      <c r="CS200" s="9">
        <v>493004.14</v>
      </c>
      <c r="CT200" s="9">
        <v>840384.1</v>
      </c>
      <c r="CU200" s="9">
        <v>1146319.5</v>
      </c>
      <c r="CV200" s="9">
        <v>178523.63</v>
      </c>
      <c r="CW200" s="9">
        <v>967795.87</v>
      </c>
      <c r="CX200" s="9">
        <v>7200826.0499999998</v>
      </c>
      <c r="CY200" s="9">
        <v>6492156.5500000007</v>
      </c>
      <c r="CZ200" s="9">
        <v>708669.5</v>
      </c>
      <c r="DA200" s="9">
        <v>5100806.01</v>
      </c>
      <c r="DB200" s="9">
        <v>4743473.9700000007</v>
      </c>
      <c r="DC200" s="9">
        <v>357332.04</v>
      </c>
      <c r="DD200" s="9">
        <v>2100020.04</v>
      </c>
      <c r="DE200" s="9">
        <v>1748682.58</v>
      </c>
      <c r="DF200" s="9">
        <v>351337.46</v>
      </c>
      <c r="DG200" s="9">
        <v>13441199.82</v>
      </c>
      <c r="DH200" s="9">
        <v>3760666.03</v>
      </c>
    </row>
    <row r="201" spans="1:112" x14ac:dyDescent="0.2">
      <c r="A201" s="8" t="s">
        <v>859</v>
      </c>
      <c r="B201" s="8" t="s">
        <v>435</v>
      </c>
      <c r="C201" s="8" t="s">
        <v>437</v>
      </c>
      <c r="D201" s="9">
        <v>12360525.1</v>
      </c>
      <c r="E201" s="9">
        <v>12359511.199999999</v>
      </c>
      <c r="F201" s="9">
        <v>309037.7</v>
      </c>
      <c r="G201" s="9">
        <v>995872.2</v>
      </c>
      <c r="H201" s="9">
        <v>1321200.3</v>
      </c>
      <c r="I201" s="9">
        <v>210087.9</v>
      </c>
      <c r="J201" s="9">
        <v>1409612.9</v>
      </c>
      <c r="K201" s="9">
        <v>1683747.3</v>
      </c>
      <c r="L201" s="9">
        <v>154462.70000000001</v>
      </c>
      <c r="M201" s="9">
        <v>2016539.5</v>
      </c>
      <c r="N201" s="9">
        <v>84895.9</v>
      </c>
      <c r="O201" s="9">
        <v>472758.8</v>
      </c>
      <c r="P201" s="9">
        <v>106199.2</v>
      </c>
      <c r="Q201" s="9">
        <v>75873.399999999994</v>
      </c>
      <c r="R201" s="9">
        <v>3519223.5</v>
      </c>
      <c r="S201" s="9">
        <v>2489998.6</v>
      </c>
      <c r="T201" s="9">
        <v>0</v>
      </c>
      <c r="U201" s="9">
        <v>0</v>
      </c>
      <c r="V201" s="9">
        <v>0</v>
      </c>
      <c r="W201" s="9">
        <v>823941.94000000006</v>
      </c>
      <c r="X201" s="9">
        <v>823941.9</v>
      </c>
      <c r="Y201" s="9">
        <v>23525.4</v>
      </c>
      <c r="Z201" s="9">
        <v>288813.3</v>
      </c>
      <c r="AA201" s="9">
        <v>73200.7</v>
      </c>
      <c r="AB201" s="9">
        <v>7024.5</v>
      </c>
      <c r="AC201" s="9">
        <v>146026.6</v>
      </c>
      <c r="AD201" s="9">
        <v>109232.5</v>
      </c>
      <c r="AE201" s="9">
        <v>11102.8</v>
      </c>
      <c r="AF201" s="9">
        <v>70758.399999999994</v>
      </c>
      <c r="AG201" s="9">
        <v>76.2</v>
      </c>
      <c r="AH201" s="9">
        <v>2679.6</v>
      </c>
      <c r="AI201" s="9">
        <v>1343.6</v>
      </c>
      <c r="AJ201" s="9">
        <v>2381</v>
      </c>
      <c r="AK201" s="9">
        <v>87777.5</v>
      </c>
      <c r="AL201" s="9">
        <v>1122155.0900000001</v>
      </c>
      <c r="AM201" s="9">
        <v>1122145.7</v>
      </c>
      <c r="AN201" s="9">
        <v>24833</v>
      </c>
      <c r="AO201" s="9">
        <v>354400</v>
      </c>
      <c r="AP201" s="9">
        <v>141807.20000000001</v>
      </c>
      <c r="AQ201" s="9">
        <v>4102</v>
      </c>
      <c r="AR201" s="9">
        <v>86257.1</v>
      </c>
      <c r="AS201" s="9">
        <v>236016.9</v>
      </c>
      <c r="AT201" s="9">
        <v>22383</v>
      </c>
      <c r="AU201" s="9">
        <v>83040.100000000006</v>
      </c>
      <c r="AV201" s="9">
        <v>3841.6</v>
      </c>
      <c r="AW201" s="9">
        <v>63939.6</v>
      </c>
      <c r="AX201" s="9">
        <v>1775.7</v>
      </c>
      <c r="AY201" s="9">
        <v>1397.5</v>
      </c>
      <c r="AZ201" s="9">
        <v>98352</v>
      </c>
      <c r="BA201" s="9">
        <v>5397138.4399999995</v>
      </c>
      <c r="BB201" s="9"/>
      <c r="BC201" s="9">
        <v>6996394.8800000008</v>
      </c>
      <c r="BD201" s="9"/>
      <c r="BE201" s="9">
        <v>157696.31</v>
      </c>
      <c r="BF201" s="9"/>
      <c r="BG201" s="9">
        <v>666245.63</v>
      </c>
      <c r="BH201" s="9"/>
      <c r="BI201" s="9">
        <v>196309.05</v>
      </c>
      <c r="BJ201" s="9"/>
      <c r="BK201" s="9">
        <v>925846.05</v>
      </c>
      <c r="BL201" s="9"/>
      <c r="BM201" s="9">
        <v>9772431.7899999991</v>
      </c>
      <c r="BN201" s="9">
        <v>5272756.26</v>
      </c>
      <c r="BO201" s="9"/>
      <c r="BP201" s="9">
        <v>4499675.540000001</v>
      </c>
      <c r="BQ201" s="9"/>
      <c r="BR201" s="9">
        <v>606035.63</v>
      </c>
      <c r="BS201" s="9">
        <v>141415.22</v>
      </c>
      <c r="BT201" s="9"/>
      <c r="BU201" s="9">
        <v>464620.41</v>
      </c>
      <c r="BV201" s="9"/>
      <c r="BW201" s="9">
        <v>756805.84</v>
      </c>
      <c r="BX201" s="9">
        <v>178542.17</v>
      </c>
      <c r="BY201" s="9"/>
      <c r="BZ201" s="9">
        <v>578263.66999999993</v>
      </c>
      <c r="CA201" s="9"/>
      <c r="CB201" s="9">
        <v>132344.35</v>
      </c>
      <c r="CC201" s="9">
        <v>12492869.449999999</v>
      </c>
      <c r="CD201" s="9">
        <v>902013</v>
      </c>
      <c r="CE201" s="9">
        <v>0</v>
      </c>
      <c r="CF201" s="9">
        <v>9872783.4800000004</v>
      </c>
      <c r="CG201" s="9">
        <v>7186109.5100000007</v>
      </c>
      <c r="CH201" s="9">
        <v>2686673.97</v>
      </c>
      <c r="CI201" s="9">
        <v>6460797.1200000001</v>
      </c>
      <c r="CJ201" s="9">
        <v>5235382.6500000004</v>
      </c>
      <c r="CK201" s="9">
        <v>1225414.4700000002</v>
      </c>
      <c r="CL201" s="9">
        <v>3411986.3600000003</v>
      </c>
      <c r="CM201" s="9">
        <v>1950726.86</v>
      </c>
      <c r="CN201" s="9">
        <v>1461259.5</v>
      </c>
      <c r="CO201" s="9">
        <v>2608621.83</v>
      </c>
      <c r="CP201" s="9">
        <v>646435.51</v>
      </c>
      <c r="CQ201" s="9">
        <v>1962186.32</v>
      </c>
      <c r="CR201" s="9">
        <v>1339800.31</v>
      </c>
      <c r="CS201" s="9">
        <v>477067.07</v>
      </c>
      <c r="CT201" s="9">
        <v>862733.24</v>
      </c>
      <c r="CU201" s="9">
        <v>1268821.52</v>
      </c>
      <c r="CV201" s="9">
        <v>169368.44</v>
      </c>
      <c r="CW201" s="9">
        <v>1099453.08</v>
      </c>
      <c r="CX201" s="9">
        <v>7264161.6500000004</v>
      </c>
      <c r="CY201" s="9">
        <v>6539674</v>
      </c>
      <c r="CZ201" s="9">
        <v>724487.65</v>
      </c>
      <c r="DA201" s="9">
        <v>5120996.8100000005</v>
      </c>
      <c r="DB201" s="9">
        <v>4758315.58</v>
      </c>
      <c r="DC201" s="9">
        <v>362681.23</v>
      </c>
      <c r="DD201" s="9">
        <v>2143164.84</v>
      </c>
      <c r="DE201" s="9">
        <v>1781358.42</v>
      </c>
      <c r="DF201" s="9">
        <v>361806.42</v>
      </c>
      <c r="DG201" s="9">
        <v>13582277.250000002</v>
      </c>
      <c r="DH201" s="9">
        <v>3709493.7700000009</v>
      </c>
    </row>
    <row r="202" spans="1:112" x14ac:dyDescent="0.2">
      <c r="A202" s="8" t="s">
        <v>859</v>
      </c>
      <c r="B202" s="8" t="s">
        <v>435</v>
      </c>
      <c r="C202" s="8" t="s">
        <v>438</v>
      </c>
      <c r="D202" s="9">
        <v>12409420.68</v>
      </c>
      <c r="E202" s="9">
        <v>12409420.699999999</v>
      </c>
      <c r="F202" s="9">
        <v>308523.2</v>
      </c>
      <c r="G202" s="9">
        <v>970279.9</v>
      </c>
      <c r="H202" s="9">
        <v>1285001.7</v>
      </c>
      <c r="I202" s="9">
        <v>214418.6</v>
      </c>
      <c r="J202" s="9">
        <v>1382596.6</v>
      </c>
      <c r="K202" s="9">
        <v>1643303.8</v>
      </c>
      <c r="L202" s="9">
        <v>163075.9</v>
      </c>
      <c r="M202" s="9">
        <v>2061951.2</v>
      </c>
      <c r="N202" s="9">
        <v>102222.5</v>
      </c>
      <c r="O202" s="9">
        <v>475438.8</v>
      </c>
      <c r="P202" s="9">
        <v>107860.1</v>
      </c>
      <c r="Q202" s="9">
        <v>76682.3</v>
      </c>
      <c r="R202" s="9">
        <v>3618066.1</v>
      </c>
      <c r="S202" s="9">
        <v>2541830.2999999998</v>
      </c>
      <c r="T202" s="9">
        <v>0</v>
      </c>
      <c r="U202" s="9">
        <v>0</v>
      </c>
      <c r="V202" s="9">
        <v>0</v>
      </c>
      <c r="W202" s="9">
        <v>784995.95000000007</v>
      </c>
      <c r="X202" s="9">
        <v>784996</v>
      </c>
      <c r="Y202" s="9">
        <v>24025.7</v>
      </c>
      <c r="Z202" s="9">
        <v>277540.3</v>
      </c>
      <c r="AA202" s="9">
        <v>60782.2</v>
      </c>
      <c r="AB202" s="9">
        <v>7097.1</v>
      </c>
      <c r="AC202" s="9">
        <v>109428.9</v>
      </c>
      <c r="AD202" s="9">
        <v>96668.4</v>
      </c>
      <c r="AE202" s="9">
        <v>10944.3</v>
      </c>
      <c r="AF202" s="9">
        <v>77741.600000000006</v>
      </c>
      <c r="AG202" s="9">
        <v>73</v>
      </c>
      <c r="AH202" s="9">
        <v>3450.9</v>
      </c>
      <c r="AI202" s="9">
        <v>14023.9</v>
      </c>
      <c r="AJ202" s="9">
        <v>2339.4</v>
      </c>
      <c r="AK202" s="9">
        <v>100880.4</v>
      </c>
      <c r="AL202" s="9">
        <v>1115283.79</v>
      </c>
      <c r="AM202" s="9">
        <v>1115274.3999999999</v>
      </c>
      <c r="AN202" s="9">
        <v>23754.2</v>
      </c>
      <c r="AO202" s="9">
        <v>358923.1</v>
      </c>
      <c r="AP202" s="9">
        <v>142852.4</v>
      </c>
      <c r="AQ202" s="9">
        <v>4100.2</v>
      </c>
      <c r="AR202" s="9">
        <v>88499</v>
      </c>
      <c r="AS202" s="9">
        <v>229206.6</v>
      </c>
      <c r="AT202" s="9">
        <v>19787</v>
      </c>
      <c r="AU202" s="9">
        <v>75853.5</v>
      </c>
      <c r="AV202" s="9">
        <v>3715.1</v>
      </c>
      <c r="AW202" s="9">
        <v>64935.4</v>
      </c>
      <c r="AX202" s="9">
        <v>1689.7</v>
      </c>
      <c r="AY202" s="9">
        <v>1346.5</v>
      </c>
      <c r="AZ202" s="9">
        <v>100611.6</v>
      </c>
      <c r="BA202" s="9">
        <v>5490573.6099999994</v>
      </c>
      <c r="BB202" s="9"/>
      <c r="BC202" s="9">
        <v>6943565.2399999993</v>
      </c>
      <c r="BD202" s="9"/>
      <c r="BE202" s="9">
        <v>136285.73000000001</v>
      </c>
      <c r="BF202" s="9"/>
      <c r="BG202" s="9">
        <v>648710.22</v>
      </c>
      <c r="BH202" s="9"/>
      <c r="BI202" s="9">
        <v>188070.52</v>
      </c>
      <c r="BJ202" s="9"/>
      <c r="BK202" s="9">
        <v>927213.28</v>
      </c>
      <c r="BL202" s="9"/>
      <c r="BM202" s="9">
        <v>9816965.5499999989</v>
      </c>
      <c r="BN202" s="9">
        <v>5350790.6099999994</v>
      </c>
      <c r="BO202" s="9"/>
      <c r="BP202" s="9">
        <v>4466174.9399999995</v>
      </c>
      <c r="BQ202" s="9"/>
      <c r="BR202" s="9">
        <v>555283.19000000006</v>
      </c>
      <c r="BS202" s="9">
        <v>122556.56</v>
      </c>
      <c r="BT202" s="9"/>
      <c r="BU202" s="9">
        <v>432726.63</v>
      </c>
      <c r="BV202" s="9"/>
      <c r="BW202" s="9">
        <v>743287.93</v>
      </c>
      <c r="BX202" s="9">
        <v>166087.03</v>
      </c>
      <c r="BY202" s="9"/>
      <c r="BZ202" s="9">
        <v>577200.9</v>
      </c>
      <c r="CA202" s="9"/>
      <c r="CB202" s="9">
        <v>135793.35</v>
      </c>
      <c r="CC202" s="9">
        <v>12545214.029999999</v>
      </c>
      <c r="CD202" s="9">
        <v>904864</v>
      </c>
      <c r="CE202" s="9">
        <v>0</v>
      </c>
      <c r="CF202" s="9">
        <v>10152976.469999999</v>
      </c>
      <c r="CG202" s="9">
        <v>7351688</v>
      </c>
      <c r="CH202" s="9">
        <v>2801288.4699999997</v>
      </c>
      <c r="CI202" s="9">
        <v>6623583.540000001</v>
      </c>
      <c r="CJ202" s="9">
        <v>5328911.96</v>
      </c>
      <c r="CK202" s="9">
        <v>1294671.5799999998</v>
      </c>
      <c r="CL202" s="9">
        <v>3529392.9299999997</v>
      </c>
      <c r="CM202" s="9">
        <v>2022776.04</v>
      </c>
      <c r="CN202" s="9">
        <v>1506616.89</v>
      </c>
      <c r="CO202" s="9">
        <v>2703903.2299999995</v>
      </c>
      <c r="CP202" s="9">
        <v>653691.41999999993</v>
      </c>
      <c r="CQ202" s="9">
        <v>2050211.81</v>
      </c>
      <c r="CR202" s="9">
        <v>1417280.5699999998</v>
      </c>
      <c r="CS202" s="9">
        <v>496989.79</v>
      </c>
      <c r="CT202" s="9">
        <v>920290.78</v>
      </c>
      <c r="CU202" s="9">
        <v>1286622.6599999999</v>
      </c>
      <c r="CV202" s="9">
        <v>156701.63</v>
      </c>
      <c r="CW202" s="9">
        <v>1129921.03</v>
      </c>
      <c r="CX202" s="9">
        <v>7449073.2400000002</v>
      </c>
      <c r="CY202" s="9">
        <v>6697996.5800000001</v>
      </c>
      <c r="CZ202" s="9">
        <v>751076.66</v>
      </c>
      <c r="DA202" s="9">
        <v>5206302.97</v>
      </c>
      <c r="DB202" s="9">
        <v>4831922.17</v>
      </c>
      <c r="DC202" s="9">
        <v>374380.79999999999</v>
      </c>
      <c r="DD202" s="9">
        <v>2242770.27</v>
      </c>
      <c r="DE202" s="9">
        <v>1866074.41</v>
      </c>
      <c r="DF202" s="9">
        <v>376695.86</v>
      </c>
      <c r="DG202" s="9">
        <v>13676712.140000001</v>
      </c>
      <c r="DH202" s="9">
        <v>3523735.67</v>
      </c>
    </row>
    <row r="203" spans="1:112" x14ac:dyDescent="0.2">
      <c r="A203" s="8" t="s">
        <v>859</v>
      </c>
      <c r="B203" s="8" t="s">
        <v>439</v>
      </c>
      <c r="C203" s="8" t="s">
        <v>440</v>
      </c>
      <c r="D203" s="9">
        <v>12484508.960000001</v>
      </c>
      <c r="E203" s="9">
        <v>12484508.9</v>
      </c>
      <c r="F203" s="9">
        <v>304917.2</v>
      </c>
      <c r="G203" s="9">
        <v>983581.6</v>
      </c>
      <c r="H203" s="9">
        <v>1270705.3999999999</v>
      </c>
      <c r="I203" s="9">
        <v>219686.1</v>
      </c>
      <c r="J203" s="9">
        <v>1406373.2</v>
      </c>
      <c r="K203" s="9">
        <v>1656501.1</v>
      </c>
      <c r="L203" s="9">
        <v>160791.1</v>
      </c>
      <c r="M203" s="9">
        <v>2088109.8</v>
      </c>
      <c r="N203" s="9">
        <v>101752.4</v>
      </c>
      <c r="O203" s="9">
        <v>505122.4</v>
      </c>
      <c r="P203" s="9">
        <v>107423.3</v>
      </c>
      <c r="Q203" s="9">
        <v>77689.5</v>
      </c>
      <c r="R203" s="9">
        <v>3601855.6999999997</v>
      </c>
      <c r="S203" s="9">
        <v>2532083.9</v>
      </c>
      <c r="T203" s="9">
        <v>0</v>
      </c>
      <c r="U203" s="9">
        <v>0</v>
      </c>
      <c r="V203" s="9">
        <v>0</v>
      </c>
      <c r="W203" s="9">
        <v>886605.93</v>
      </c>
      <c r="X203" s="9">
        <v>886605.9</v>
      </c>
      <c r="Y203" s="9">
        <v>17167.099999999999</v>
      </c>
      <c r="Z203" s="9">
        <v>274739.59999999998</v>
      </c>
      <c r="AA203" s="9">
        <v>83517.600000000006</v>
      </c>
      <c r="AB203" s="9">
        <v>14451.1</v>
      </c>
      <c r="AC203" s="9">
        <v>122799.1</v>
      </c>
      <c r="AD203" s="9">
        <v>117755.5</v>
      </c>
      <c r="AE203" s="9">
        <v>11059.8</v>
      </c>
      <c r="AF203" s="9">
        <v>93587.4</v>
      </c>
      <c r="AG203" s="9">
        <v>51.2</v>
      </c>
      <c r="AH203" s="9">
        <v>6359.4</v>
      </c>
      <c r="AI203" s="9">
        <v>13537.5</v>
      </c>
      <c r="AJ203" s="9">
        <v>2387.1</v>
      </c>
      <c r="AK203" s="9">
        <v>129193.5</v>
      </c>
      <c r="AL203" s="9">
        <v>1136109.31</v>
      </c>
      <c r="AM203" s="9">
        <v>1136109.3</v>
      </c>
      <c r="AN203" s="9">
        <v>22829.5</v>
      </c>
      <c r="AO203" s="9">
        <v>366676.8</v>
      </c>
      <c r="AP203" s="9">
        <v>143990.1</v>
      </c>
      <c r="AQ203" s="9">
        <v>4250.1000000000004</v>
      </c>
      <c r="AR203" s="9">
        <v>89769.4</v>
      </c>
      <c r="AS203" s="9">
        <v>231493.2</v>
      </c>
      <c r="AT203" s="9">
        <v>19692.8</v>
      </c>
      <c r="AU203" s="9">
        <v>79765.399999999994</v>
      </c>
      <c r="AV203" s="9">
        <v>3693.2</v>
      </c>
      <c r="AW203" s="9">
        <v>66656.800000000003</v>
      </c>
      <c r="AX203" s="9">
        <v>2721.8</v>
      </c>
      <c r="AY203" s="9">
        <v>1382.4</v>
      </c>
      <c r="AZ203" s="9">
        <v>103187.7</v>
      </c>
      <c r="BA203" s="9">
        <v>5483875.0699999994</v>
      </c>
      <c r="BB203" s="9"/>
      <c r="BC203" s="9">
        <v>7035360.8799999999</v>
      </c>
      <c r="BD203" s="9"/>
      <c r="BE203" s="9">
        <v>151115.18</v>
      </c>
      <c r="BF203" s="9"/>
      <c r="BG203" s="9">
        <v>735490.75000000012</v>
      </c>
      <c r="BH203" s="9"/>
      <c r="BI203" s="9">
        <v>194107.79</v>
      </c>
      <c r="BJ203" s="9"/>
      <c r="BK203" s="9">
        <v>942001.53</v>
      </c>
      <c r="BL203" s="9"/>
      <c r="BM203" s="9">
        <v>9762690.2899999991</v>
      </c>
      <c r="BN203" s="9">
        <v>5338482.1399999997</v>
      </c>
      <c r="BO203" s="9"/>
      <c r="BP203" s="9">
        <v>4424208.1400000006</v>
      </c>
      <c r="BQ203" s="9"/>
      <c r="BR203" s="9">
        <v>640263.83000000007</v>
      </c>
      <c r="BS203" s="9">
        <v>134148.13</v>
      </c>
      <c r="BT203" s="9"/>
      <c r="BU203" s="9">
        <v>506115.69000000012</v>
      </c>
      <c r="BV203" s="9"/>
      <c r="BW203" s="9">
        <v>747315.53</v>
      </c>
      <c r="BX203" s="9">
        <v>170694.33</v>
      </c>
      <c r="BY203" s="9"/>
      <c r="BZ203" s="9">
        <v>576621.21</v>
      </c>
      <c r="CA203" s="9"/>
      <c r="CB203" s="9">
        <v>141212.28</v>
      </c>
      <c r="CC203" s="9">
        <v>12625721.239999998</v>
      </c>
      <c r="CD203" s="9">
        <v>897244</v>
      </c>
      <c r="CE203" s="9">
        <v>0</v>
      </c>
      <c r="CF203" s="9">
        <v>10294849.99</v>
      </c>
      <c r="CG203" s="9">
        <v>7471793.6200000001</v>
      </c>
      <c r="CH203" s="9">
        <v>2823056.3700000006</v>
      </c>
      <c r="CI203" s="9">
        <v>6719878.0099999998</v>
      </c>
      <c r="CJ203" s="9">
        <v>5364340.07</v>
      </c>
      <c r="CK203" s="9">
        <v>1355537.94</v>
      </c>
      <c r="CL203" s="9">
        <v>3574971.98</v>
      </c>
      <c r="CM203" s="9">
        <v>2107453.5499999998</v>
      </c>
      <c r="CN203" s="9">
        <v>1467518.43</v>
      </c>
      <c r="CO203" s="9">
        <v>2693976.67</v>
      </c>
      <c r="CP203" s="9">
        <v>630475.68999999994</v>
      </c>
      <c r="CQ203" s="9">
        <v>2063500.9799999995</v>
      </c>
      <c r="CR203" s="9">
        <v>1460980.5</v>
      </c>
      <c r="CS203" s="9">
        <v>470312.06</v>
      </c>
      <c r="CT203" s="9">
        <v>990668.44</v>
      </c>
      <c r="CU203" s="9">
        <v>1232996.17</v>
      </c>
      <c r="CV203" s="9">
        <v>160163.63</v>
      </c>
      <c r="CW203" s="9">
        <v>1072832.54</v>
      </c>
      <c r="CX203" s="9">
        <v>7600873.3200000003</v>
      </c>
      <c r="CY203" s="9">
        <v>6841317.9299999997</v>
      </c>
      <c r="CZ203" s="9">
        <v>759555.3899999999</v>
      </c>
      <c r="DA203" s="9">
        <v>5258897.51</v>
      </c>
      <c r="DB203" s="9">
        <v>4894028.01</v>
      </c>
      <c r="DC203" s="9">
        <v>364869.50000000012</v>
      </c>
      <c r="DD203" s="9">
        <v>2341975.81</v>
      </c>
      <c r="DE203" s="9">
        <v>1947289.92</v>
      </c>
      <c r="DF203" s="9">
        <v>394685.89</v>
      </c>
      <c r="DG203" s="9">
        <v>12869735.030000001</v>
      </c>
      <c r="DH203" s="9">
        <v>2574885.04</v>
      </c>
    </row>
    <row r="204" spans="1:112" x14ac:dyDescent="0.2">
      <c r="A204" s="8" t="s">
        <v>859</v>
      </c>
      <c r="B204" s="8" t="s">
        <v>439</v>
      </c>
      <c r="C204" s="8" t="s">
        <v>441</v>
      </c>
      <c r="D204" s="9">
        <v>12633768.619999999</v>
      </c>
      <c r="E204" s="9">
        <v>12633768.6</v>
      </c>
      <c r="F204" s="9">
        <v>295151.3</v>
      </c>
      <c r="G204" s="9">
        <v>993268.8</v>
      </c>
      <c r="H204" s="9">
        <v>1298767</v>
      </c>
      <c r="I204" s="9">
        <v>231163.6</v>
      </c>
      <c r="J204" s="9">
        <v>1431996.3</v>
      </c>
      <c r="K204" s="9">
        <v>1689230.7</v>
      </c>
      <c r="L204" s="9">
        <v>154285.70000000001</v>
      </c>
      <c r="M204" s="9">
        <v>2134696.5</v>
      </c>
      <c r="N204" s="9">
        <v>103197.7</v>
      </c>
      <c r="O204" s="9">
        <v>514770.5</v>
      </c>
      <c r="P204" s="9">
        <v>132267</v>
      </c>
      <c r="Q204" s="9">
        <v>79397.100000000006</v>
      </c>
      <c r="R204" s="9">
        <v>3575576.4</v>
      </c>
      <c r="S204" s="9">
        <v>2578780.9</v>
      </c>
      <c r="T204" s="9">
        <v>0</v>
      </c>
      <c r="U204" s="9">
        <v>0</v>
      </c>
      <c r="V204" s="9">
        <v>0</v>
      </c>
      <c r="W204" s="9">
        <v>957380.67</v>
      </c>
      <c r="X204" s="9">
        <v>957380.7</v>
      </c>
      <c r="Y204" s="9">
        <v>18424</v>
      </c>
      <c r="Z204" s="9">
        <v>275998</v>
      </c>
      <c r="AA204" s="9">
        <v>112489.8</v>
      </c>
      <c r="AB204" s="9">
        <v>13457.6</v>
      </c>
      <c r="AC204" s="9">
        <v>121999.3</v>
      </c>
      <c r="AD204" s="9">
        <v>158831.29999999999</v>
      </c>
      <c r="AE204" s="9">
        <v>10961.1</v>
      </c>
      <c r="AF204" s="9">
        <v>94817.3</v>
      </c>
      <c r="AG204" s="9">
        <v>259.60000000000002</v>
      </c>
      <c r="AH204" s="9">
        <v>3578.3</v>
      </c>
      <c r="AI204" s="9">
        <v>14454.1</v>
      </c>
      <c r="AJ204" s="9">
        <v>4319.2</v>
      </c>
      <c r="AK204" s="9">
        <v>127791.1</v>
      </c>
      <c r="AL204" s="9">
        <v>1162778.5900000001</v>
      </c>
      <c r="AM204" s="9">
        <v>1162778.6000000001</v>
      </c>
      <c r="AN204" s="9">
        <v>23020.9</v>
      </c>
      <c r="AO204" s="9">
        <v>372893.3</v>
      </c>
      <c r="AP204" s="9">
        <v>163948.9</v>
      </c>
      <c r="AQ204" s="9">
        <v>4333.2</v>
      </c>
      <c r="AR204" s="9">
        <v>89127</v>
      </c>
      <c r="AS204" s="9">
        <v>232093.3</v>
      </c>
      <c r="AT204" s="9">
        <v>19095.400000000001</v>
      </c>
      <c r="AU204" s="9">
        <v>80614.7</v>
      </c>
      <c r="AV204" s="9">
        <v>3625.1</v>
      </c>
      <c r="AW204" s="9">
        <v>68413.7</v>
      </c>
      <c r="AX204" s="9">
        <v>2130.6</v>
      </c>
      <c r="AY204" s="9">
        <v>1337.9</v>
      </c>
      <c r="AZ204" s="9">
        <v>102144.6</v>
      </c>
      <c r="BA204" s="9">
        <v>5551785.25</v>
      </c>
      <c r="BB204" s="9"/>
      <c r="BC204" s="9">
        <v>7116313.5099999998</v>
      </c>
      <c r="BD204" s="9"/>
      <c r="BE204" s="9">
        <v>146448.49</v>
      </c>
      <c r="BF204" s="9"/>
      <c r="BG204" s="9">
        <v>810932.19000000006</v>
      </c>
      <c r="BH204" s="9"/>
      <c r="BI204" s="9">
        <v>192993.75</v>
      </c>
      <c r="BJ204" s="9"/>
      <c r="BK204" s="9">
        <v>969784.84</v>
      </c>
      <c r="BL204" s="9"/>
      <c r="BM204" s="9">
        <v>9807000.7299999986</v>
      </c>
      <c r="BN204" s="9">
        <v>5401122.0699999994</v>
      </c>
      <c r="BO204" s="9"/>
      <c r="BP204" s="9">
        <v>4405878.66</v>
      </c>
      <c r="BQ204" s="9"/>
      <c r="BR204" s="9">
        <v>703236.02999999991</v>
      </c>
      <c r="BS204" s="9">
        <v>132146.92000000001</v>
      </c>
      <c r="BT204" s="9"/>
      <c r="BU204" s="9">
        <v>571089.11</v>
      </c>
      <c r="BV204" s="9"/>
      <c r="BW204" s="9">
        <v>758941.68</v>
      </c>
      <c r="BX204" s="9">
        <v>169662.27</v>
      </c>
      <c r="BY204" s="9"/>
      <c r="BZ204" s="9">
        <v>589279.4</v>
      </c>
      <c r="CA204" s="9"/>
      <c r="CB204" s="9">
        <v>146761.60999999999</v>
      </c>
      <c r="CC204" s="9">
        <v>12780530.23</v>
      </c>
      <c r="CD204" s="9">
        <v>898326</v>
      </c>
      <c r="CE204" s="9">
        <v>0</v>
      </c>
      <c r="CF204" s="9">
        <v>10579800.800000001</v>
      </c>
      <c r="CG204" s="9">
        <v>7657686.1900000004</v>
      </c>
      <c r="CH204" s="9">
        <v>2922114.61</v>
      </c>
      <c r="CI204" s="9">
        <v>6523557.2700000005</v>
      </c>
      <c r="CJ204" s="9">
        <v>5286563.2</v>
      </c>
      <c r="CK204" s="9">
        <v>1236994.07</v>
      </c>
      <c r="CL204" s="9">
        <v>4056243.53</v>
      </c>
      <c r="CM204" s="9">
        <v>2371122.9900000002</v>
      </c>
      <c r="CN204" s="9">
        <v>1685120.54</v>
      </c>
      <c r="CO204" s="9">
        <v>2872292.7</v>
      </c>
      <c r="CP204" s="9">
        <v>677116.58000000007</v>
      </c>
      <c r="CQ204" s="9">
        <v>2195176.12</v>
      </c>
      <c r="CR204" s="9">
        <v>1354190.8</v>
      </c>
      <c r="CS204" s="9">
        <v>464574.78</v>
      </c>
      <c r="CT204" s="9">
        <v>889616.02</v>
      </c>
      <c r="CU204" s="9">
        <v>1518101.9</v>
      </c>
      <c r="CV204" s="9">
        <v>212541.8</v>
      </c>
      <c r="CW204" s="9">
        <v>1305560.1000000001</v>
      </c>
      <c r="CX204" s="9">
        <v>7707508.0999999996</v>
      </c>
      <c r="CY204" s="9">
        <v>6980569.6100000003</v>
      </c>
      <c r="CZ204" s="9">
        <v>726938.49</v>
      </c>
      <c r="DA204" s="9">
        <v>5169366.47</v>
      </c>
      <c r="DB204" s="9">
        <v>4821988.42</v>
      </c>
      <c r="DC204" s="9">
        <v>347378.05</v>
      </c>
      <c r="DD204" s="9">
        <v>2538141.63</v>
      </c>
      <c r="DE204" s="9">
        <v>2158581.19</v>
      </c>
      <c r="DF204" s="9">
        <v>379560.44</v>
      </c>
      <c r="DG204" s="9">
        <v>13047519.99</v>
      </c>
      <c r="DH204" s="9">
        <v>2467719.19</v>
      </c>
    </row>
    <row r="205" spans="1:112" x14ac:dyDescent="0.2">
      <c r="A205" s="8" t="s">
        <v>859</v>
      </c>
      <c r="B205" s="8" t="s">
        <v>439</v>
      </c>
      <c r="C205" s="8" t="s">
        <v>442</v>
      </c>
      <c r="D205" s="9">
        <v>12337992.639999999</v>
      </c>
      <c r="E205" s="9">
        <v>12337508.6</v>
      </c>
      <c r="F205" s="9">
        <v>282881.3</v>
      </c>
      <c r="G205" s="9">
        <v>761703.7</v>
      </c>
      <c r="H205" s="9">
        <v>1294342.7</v>
      </c>
      <c r="I205" s="9">
        <v>123230.7</v>
      </c>
      <c r="J205" s="9">
        <v>1333773.2</v>
      </c>
      <c r="K205" s="9">
        <v>1741980</v>
      </c>
      <c r="L205" s="9">
        <v>155882.9</v>
      </c>
      <c r="M205" s="9">
        <v>2219324.6</v>
      </c>
      <c r="N205" s="9">
        <v>83687.600000000006</v>
      </c>
      <c r="O205" s="9">
        <v>464859.2</v>
      </c>
      <c r="P205" s="9">
        <v>132450.29999999999</v>
      </c>
      <c r="Q205" s="9">
        <v>77976.800000000003</v>
      </c>
      <c r="R205" s="9">
        <v>3665415.7</v>
      </c>
      <c r="S205" s="9">
        <v>2606832.6</v>
      </c>
      <c r="T205" s="9">
        <v>0</v>
      </c>
      <c r="U205" s="9">
        <v>0</v>
      </c>
      <c r="V205" s="9">
        <v>0</v>
      </c>
      <c r="W205" s="9">
        <v>899910.32000000007</v>
      </c>
      <c r="X205" s="9">
        <v>899910.3</v>
      </c>
      <c r="Y205" s="9">
        <v>9162.7999999999993</v>
      </c>
      <c r="Z205" s="9">
        <v>368050.8</v>
      </c>
      <c r="AA205" s="9">
        <v>85605.1</v>
      </c>
      <c r="AB205" s="9">
        <v>9121.2000000000007</v>
      </c>
      <c r="AC205" s="9">
        <v>157991.20000000001</v>
      </c>
      <c r="AD205" s="9">
        <v>50315.199999999997</v>
      </c>
      <c r="AE205" s="9">
        <v>4504.8</v>
      </c>
      <c r="AF205" s="9">
        <v>82715.100000000006</v>
      </c>
      <c r="AG205" s="9">
        <v>20.399999999999999</v>
      </c>
      <c r="AH205" s="9">
        <v>3392.1</v>
      </c>
      <c r="AI205" s="9">
        <v>14074.8</v>
      </c>
      <c r="AJ205" s="9">
        <v>2225.3000000000002</v>
      </c>
      <c r="AK205" s="9">
        <v>112731.5</v>
      </c>
      <c r="AL205" s="9">
        <v>1047453.74</v>
      </c>
      <c r="AM205" s="9">
        <v>1047453.7</v>
      </c>
      <c r="AN205" s="9">
        <v>19218.8</v>
      </c>
      <c r="AO205" s="9">
        <v>227014</v>
      </c>
      <c r="AP205" s="9">
        <v>147753.1</v>
      </c>
      <c r="AQ205" s="9">
        <v>7905.2</v>
      </c>
      <c r="AR205" s="9">
        <v>80485</v>
      </c>
      <c r="AS205" s="9">
        <v>306933.09999999998</v>
      </c>
      <c r="AT205" s="9">
        <v>16459.5</v>
      </c>
      <c r="AU205" s="9">
        <v>79272.800000000003</v>
      </c>
      <c r="AV205" s="9">
        <v>3859.1</v>
      </c>
      <c r="AW205" s="9">
        <v>47752.5</v>
      </c>
      <c r="AX205" s="9">
        <v>2147.6</v>
      </c>
      <c r="AY205" s="9">
        <v>1518.6</v>
      </c>
      <c r="AZ205" s="9">
        <v>107134.39999999999</v>
      </c>
      <c r="BA205" s="9">
        <v>5605062.1999999993</v>
      </c>
      <c r="BB205" s="9"/>
      <c r="BC205" s="9">
        <v>6764460.5600000005</v>
      </c>
      <c r="BD205" s="9"/>
      <c r="BE205" s="9">
        <v>115417.82</v>
      </c>
      <c r="BF205" s="9"/>
      <c r="BG205" s="9">
        <v>784492.50000000012</v>
      </c>
      <c r="BH205" s="9"/>
      <c r="BI205" s="9">
        <v>192469.8</v>
      </c>
      <c r="BJ205" s="9"/>
      <c r="BK205" s="9">
        <v>854983.95</v>
      </c>
      <c r="BL205" s="9"/>
      <c r="BM205" s="9">
        <v>9992247.7800000031</v>
      </c>
      <c r="BN205" s="9">
        <v>5458536.5899999999</v>
      </c>
      <c r="BO205" s="9"/>
      <c r="BP205" s="9">
        <v>4533711.1999999993</v>
      </c>
      <c r="BQ205" s="9"/>
      <c r="BR205" s="9">
        <v>678027.55</v>
      </c>
      <c r="BS205" s="9">
        <v>102423.23</v>
      </c>
      <c r="BT205" s="9"/>
      <c r="BU205" s="9">
        <v>575604.32000000007</v>
      </c>
      <c r="BV205" s="9"/>
      <c r="BW205" s="9">
        <v>713192.12</v>
      </c>
      <c r="BX205" s="9">
        <v>169643.8</v>
      </c>
      <c r="BY205" s="9"/>
      <c r="BZ205" s="9">
        <v>543548.32999999996</v>
      </c>
      <c r="CA205" s="9"/>
      <c r="CB205" s="9">
        <v>148334.76999999999</v>
      </c>
      <c r="CC205" s="9">
        <v>12486327.409999998</v>
      </c>
      <c r="CD205" s="9">
        <v>888298</v>
      </c>
      <c r="CE205" s="9">
        <v>0</v>
      </c>
      <c r="CF205" s="9">
        <v>10924487.41</v>
      </c>
      <c r="CG205" s="9">
        <v>8021616.9299999997</v>
      </c>
      <c r="CH205" s="9">
        <v>2902870.48</v>
      </c>
      <c r="CI205" s="9">
        <v>6944673.6600000001</v>
      </c>
      <c r="CJ205" s="9">
        <v>5535362.8899999997</v>
      </c>
      <c r="CK205" s="9">
        <v>1409310.77</v>
      </c>
      <c r="CL205" s="9">
        <v>3979813.75</v>
      </c>
      <c r="CM205" s="9">
        <v>2486254.04</v>
      </c>
      <c r="CN205" s="9">
        <v>1493559.7100000002</v>
      </c>
      <c r="CO205" s="9">
        <v>2880152.99</v>
      </c>
      <c r="CP205" s="9">
        <v>686212.54</v>
      </c>
      <c r="CQ205" s="9">
        <v>2193940.4500000002</v>
      </c>
      <c r="CR205" s="9">
        <v>1510795.3</v>
      </c>
      <c r="CS205" s="9">
        <v>467988.54</v>
      </c>
      <c r="CT205" s="9">
        <v>1042806.76</v>
      </c>
      <c r="CU205" s="9">
        <v>1369357.69</v>
      </c>
      <c r="CV205" s="9">
        <v>218224</v>
      </c>
      <c r="CW205" s="9">
        <v>1151133.69</v>
      </c>
      <c r="CX205" s="9">
        <v>8044334.4199999999</v>
      </c>
      <c r="CY205" s="9">
        <v>7335404.3899999997</v>
      </c>
      <c r="CZ205" s="9">
        <v>708930.03</v>
      </c>
      <c r="DA205" s="9">
        <v>5433878.3599999994</v>
      </c>
      <c r="DB205" s="9">
        <v>5067374.3499999996</v>
      </c>
      <c r="DC205" s="9">
        <v>366504.01</v>
      </c>
      <c r="DD205" s="9">
        <v>2610456.0599999996</v>
      </c>
      <c r="DE205" s="9">
        <v>2268030.04</v>
      </c>
      <c r="DF205" s="9">
        <v>342426.02</v>
      </c>
      <c r="DG205" s="9">
        <v>13441266.84</v>
      </c>
      <c r="DH205" s="9">
        <v>2516779.4300000002</v>
      </c>
    </row>
    <row r="206" spans="1:112" x14ac:dyDescent="0.2">
      <c r="A206" s="8" t="s">
        <v>860</v>
      </c>
      <c r="B206" s="8" t="s">
        <v>443</v>
      </c>
      <c r="C206" s="8" t="s">
        <v>444</v>
      </c>
      <c r="D206" s="9">
        <v>12295247.93</v>
      </c>
      <c r="E206" s="9">
        <v>12294767.9</v>
      </c>
      <c r="F206" s="9">
        <v>284569.40000000002</v>
      </c>
      <c r="G206" s="9">
        <v>759249.2</v>
      </c>
      <c r="H206" s="9">
        <v>1298850.2</v>
      </c>
      <c r="I206" s="9">
        <v>122689.4</v>
      </c>
      <c r="J206" s="9">
        <v>1263645.3</v>
      </c>
      <c r="K206" s="9">
        <v>1695059.7</v>
      </c>
      <c r="L206" s="9">
        <v>155168.70000000001</v>
      </c>
      <c r="M206" s="9">
        <v>2279017.9</v>
      </c>
      <c r="N206" s="9">
        <v>80692.100000000006</v>
      </c>
      <c r="O206" s="9">
        <v>454205.7</v>
      </c>
      <c r="P206" s="9">
        <v>130321.1</v>
      </c>
      <c r="Q206" s="9">
        <v>76615.7</v>
      </c>
      <c r="R206" s="9">
        <v>3694683.4</v>
      </c>
      <c r="S206" s="9">
        <v>2678389</v>
      </c>
      <c r="T206" s="9">
        <v>0</v>
      </c>
      <c r="U206" s="9">
        <v>0</v>
      </c>
      <c r="V206" s="9">
        <v>0</v>
      </c>
      <c r="W206" s="9">
        <v>941299.16</v>
      </c>
      <c r="X206" s="9">
        <v>941299.19999999995</v>
      </c>
      <c r="Y206" s="9">
        <v>10273.700000000001</v>
      </c>
      <c r="Z206" s="9">
        <v>361498.4</v>
      </c>
      <c r="AA206" s="9">
        <v>93612.5</v>
      </c>
      <c r="AB206" s="9">
        <v>9401.1</v>
      </c>
      <c r="AC206" s="9">
        <v>142946.9</v>
      </c>
      <c r="AD206" s="9">
        <v>89567.7</v>
      </c>
      <c r="AE206" s="9">
        <v>3952.2</v>
      </c>
      <c r="AF206" s="9">
        <v>99631.8</v>
      </c>
      <c r="AG206" s="9">
        <v>139.1</v>
      </c>
      <c r="AH206" s="9">
        <v>3102.5</v>
      </c>
      <c r="AI206" s="9">
        <v>12573.3</v>
      </c>
      <c r="AJ206" s="9">
        <v>3194.9</v>
      </c>
      <c r="AK206" s="9">
        <v>111405.1</v>
      </c>
      <c r="AL206" s="9">
        <v>1051923.6100000001</v>
      </c>
      <c r="AM206" s="9">
        <v>1051923.6000000001</v>
      </c>
      <c r="AN206" s="9">
        <v>17777.8</v>
      </c>
      <c r="AO206" s="9">
        <v>226666.4</v>
      </c>
      <c r="AP206" s="9">
        <v>152332.79999999999</v>
      </c>
      <c r="AQ206" s="9">
        <v>7785.3</v>
      </c>
      <c r="AR206" s="9">
        <v>73147.899999999994</v>
      </c>
      <c r="AS206" s="9">
        <v>307013.09999999998</v>
      </c>
      <c r="AT206" s="9">
        <v>14280.4</v>
      </c>
      <c r="AU206" s="9">
        <v>91975.5</v>
      </c>
      <c r="AV206" s="9">
        <v>4170.6000000000004</v>
      </c>
      <c r="AW206" s="9">
        <v>47457.9</v>
      </c>
      <c r="AX206" s="9">
        <v>2655.7</v>
      </c>
      <c r="AY206" s="9">
        <v>1770.7</v>
      </c>
      <c r="AZ206" s="9">
        <v>104889.3</v>
      </c>
      <c r="BA206" s="9">
        <v>5710945.1700000009</v>
      </c>
      <c r="BB206" s="9">
        <v>688229.4</v>
      </c>
      <c r="BC206" s="9">
        <v>6620697.4300000006</v>
      </c>
      <c r="BD206" s="9">
        <v>1317458.54</v>
      </c>
      <c r="BE206" s="9">
        <v>140062.18</v>
      </c>
      <c r="BF206" s="9">
        <v>41391.599999999999</v>
      </c>
      <c r="BG206" s="9">
        <v>801236.98999999987</v>
      </c>
      <c r="BH206" s="9">
        <v>127593.63</v>
      </c>
      <c r="BI206" s="9">
        <v>201391.74</v>
      </c>
      <c r="BJ206" s="9">
        <v>88343.21</v>
      </c>
      <c r="BK206" s="9">
        <v>850531.88</v>
      </c>
      <c r="BL206" s="9">
        <v>167082.53</v>
      </c>
      <c r="BM206" s="9">
        <v>10024269.710000001</v>
      </c>
      <c r="BN206" s="9">
        <v>5572275.8100000005</v>
      </c>
      <c r="BO206" s="9">
        <v>0</v>
      </c>
      <c r="BP206" s="9">
        <v>4451993.9099999992</v>
      </c>
      <c r="BQ206" s="9">
        <v>0</v>
      </c>
      <c r="BR206" s="9">
        <v>725955.12</v>
      </c>
      <c r="BS206" s="9">
        <v>126127.45</v>
      </c>
      <c r="BT206" s="9">
        <v>0</v>
      </c>
      <c r="BU206" s="9">
        <v>599827.67999999993</v>
      </c>
      <c r="BV206" s="9">
        <v>0</v>
      </c>
      <c r="BW206" s="9">
        <v>725306.78</v>
      </c>
      <c r="BX206" s="9">
        <v>178673.45</v>
      </c>
      <c r="BY206" s="9">
        <v>0</v>
      </c>
      <c r="BZ206" s="9">
        <v>546633.32999999996</v>
      </c>
      <c r="CA206" s="9">
        <v>0</v>
      </c>
      <c r="CB206" s="9">
        <v>147316.18</v>
      </c>
      <c r="CC206" s="9">
        <v>12442564.109999999</v>
      </c>
      <c r="CD206" s="9">
        <v>905679</v>
      </c>
      <c r="CE206" s="9">
        <v>902370</v>
      </c>
      <c r="CF206" s="9">
        <v>10849961.08</v>
      </c>
      <c r="CG206" s="9">
        <v>8018997.2300000004</v>
      </c>
      <c r="CH206" s="9">
        <v>2830963.85</v>
      </c>
      <c r="CI206" s="9">
        <v>7045071.9400000004</v>
      </c>
      <c r="CJ206" s="9">
        <v>5694821.1699999999</v>
      </c>
      <c r="CK206" s="9">
        <v>1350250.7699999998</v>
      </c>
      <c r="CL206" s="9">
        <v>3804889.14</v>
      </c>
      <c r="CM206" s="9">
        <v>2324176.06</v>
      </c>
      <c r="CN206" s="9">
        <v>1480713.0799999998</v>
      </c>
      <c r="CO206" s="9">
        <v>2773771.48</v>
      </c>
      <c r="CP206" s="9">
        <v>644600.30000000005</v>
      </c>
      <c r="CQ206" s="9">
        <v>2129171.1799999997</v>
      </c>
      <c r="CR206" s="9">
        <v>1450114.27</v>
      </c>
      <c r="CS206" s="9">
        <v>462893.15</v>
      </c>
      <c r="CT206" s="9">
        <v>987221.12</v>
      </c>
      <c r="CU206" s="9">
        <v>1323657.21</v>
      </c>
      <c r="CV206" s="9">
        <v>181707.15</v>
      </c>
      <c r="CW206" s="9">
        <v>1141950.06</v>
      </c>
      <c r="CX206" s="9">
        <v>8076189.5999999996</v>
      </c>
      <c r="CY206" s="9">
        <v>7374396.9299999997</v>
      </c>
      <c r="CZ206" s="9">
        <v>701792.66999999993</v>
      </c>
      <c r="DA206" s="9">
        <v>5594957.6699999999</v>
      </c>
      <c r="DB206" s="9">
        <v>5231928.0199999996</v>
      </c>
      <c r="DC206" s="9">
        <v>363029.65</v>
      </c>
      <c r="DD206" s="9">
        <v>2481231.9300000002</v>
      </c>
      <c r="DE206" s="9">
        <v>2142468.91</v>
      </c>
      <c r="DF206" s="9">
        <v>338763.02</v>
      </c>
      <c r="DG206" s="9">
        <v>13299185.23</v>
      </c>
      <c r="DH206" s="9">
        <v>2449224.15</v>
      </c>
    </row>
    <row r="207" spans="1:112" x14ac:dyDescent="0.2">
      <c r="A207" s="8" t="s">
        <v>860</v>
      </c>
      <c r="B207" s="8" t="s">
        <v>443</v>
      </c>
      <c r="C207" s="8" t="s">
        <v>445</v>
      </c>
      <c r="D207" s="9">
        <v>12499109.059999999</v>
      </c>
      <c r="E207" s="9">
        <v>12498632.1</v>
      </c>
      <c r="F207" s="9">
        <v>287319.90000000002</v>
      </c>
      <c r="G207" s="9">
        <v>758556.4</v>
      </c>
      <c r="H207" s="9">
        <v>1315310.8</v>
      </c>
      <c r="I207" s="9">
        <v>124443.7</v>
      </c>
      <c r="J207" s="9">
        <v>1241508.8</v>
      </c>
      <c r="K207" s="9">
        <v>1846801.7</v>
      </c>
      <c r="L207" s="9">
        <v>157797.29999999999</v>
      </c>
      <c r="M207" s="9">
        <v>2157890.2999999998</v>
      </c>
      <c r="N207" s="9">
        <v>78362.600000000006</v>
      </c>
      <c r="O207" s="9">
        <v>455669.1</v>
      </c>
      <c r="P207" s="9">
        <v>129779.7</v>
      </c>
      <c r="Q207" s="9">
        <v>76628.899999999994</v>
      </c>
      <c r="R207" s="9">
        <v>3868562.7</v>
      </c>
      <c r="S207" s="9">
        <v>2844546.1</v>
      </c>
      <c r="T207" s="9">
        <v>0</v>
      </c>
      <c r="U207" s="9">
        <v>0</v>
      </c>
      <c r="V207" s="9">
        <v>0</v>
      </c>
      <c r="W207" s="9">
        <v>1045153.79</v>
      </c>
      <c r="X207" s="9">
        <v>1045153.8</v>
      </c>
      <c r="Y207" s="9">
        <v>23349.1</v>
      </c>
      <c r="Z207" s="9">
        <v>362432.7</v>
      </c>
      <c r="AA207" s="9">
        <v>103096.2</v>
      </c>
      <c r="AB207" s="9">
        <v>9240.4</v>
      </c>
      <c r="AC207" s="9">
        <v>190447.3</v>
      </c>
      <c r="AD207" s="9">
        <v>69361.5</v>
      </c>
      <c r="AE207" s="9">
        <v>4244.1000000000004</v>
      </c>
      <c r="AF207" s="9">
        <v>114694.5</v>
      </c>
      <c r="AG207" s="9">
        <v>7422.3</v>
      </c>
      <c r="AH207" s="9">
        <v>3102.3</v>
      </c>
      <c r="AI207" s="9">
        <v>26855.4</v>
      </c>
      <c r="AJ207" s="9">
        <v>5261</v>
      </c>
      <c r="AK207" s="9">
        <v>125646.9</v>
      </c>
      <c r="AL207" s="9">
        <v>1065479.6000000001</v>
      </c>
      <c r="AM207" s="9">
        <v>1065479.6000000001</v>
      </c>
      <c r="AN207" s="9">
        <v>17283.599999999999</v>
      </c>
      <c r="AO207" s="9">
        <v>229787.6</v>
      </c>
      <c r="AP207" s="9">
        <v>156783.1</v>
      </c>
      <c r="AQ207" s="9">
        <v>7802.7</v>
      </c>
      <c r="AR207" s="9">
        <v>73064.399999999994</v>
      </c>
      <c r="AS207" s="9">
        <v>311889.2</v>
      </c>
      <c r="AT207" s="9">
        <v>13980.4</v>
      </c>
      <c r="AU207" s="9">
        <v>97932.4</v>
      </c>
      <c r="AV207" s="9">
        <v>4167.1000000000004</v>
      </c>
      <c r="AW207" s="9">
        <v>47570</v>
      </c>
      <c r="AX207" s="9">
        <v>2642.5</v>
      </c>
      <c r="AY207" s="9">
        <v>2126.1999999999998</v>
      </c>
      <c r="AZ207" s="9">
        <v>100450.3</v>
      </c>
      <c r="BA207" s="9">
        <v>5781185.8600000003</v>
      </c>
      <c r="BB207" s="9">
        <v>682642.36</v>
      </c>
      <c r="BC207" s="9">
        <v>6753217.5699999994</v>
      </c>
      <c r="BD207" s="9">
        <v>1315982.8799999999</v>
      </c>
      <c r="BE207" s="9">
        <v>163826.46</v>
      </c>
      <c r="BF207" s="9">
        <v>48724.33</v>
      </c>
      <c r="BG207" s="9">
        <v>881327.34</v>
      </c>
      <c r="BH207" s="9">
        <v>139520.67000000001</v>
      </c>
      <c r="BI207" s="9">
        <v>202014.06</v>
      </c>
      <c r="BJ207" s="9">
        <v>88631.96</v>
      </c>
      <c r="BK207" s="9">
        <v>863465.53999999992</v>
      </c>
      <c r="BL207" s="9">
        <v>177039.84</v>
      </c>
      <c r="BM207" s="9">
        <v>10087118.17</v>
      </c>
      <c r="BN207" s="9">
        <v>5645482.0699999994</v>
      </c>
      <c r="BO207" s="9">
        <v>0</v>
      </c>
      <c r="BP207" s="9">
        <v>4441636.1000000006</v>
      </c>
      <c r="BQ207" s="9">
        <v>0</v>
      </c>
      <c r="BR207" s="9">
        <v>810952.26</v>
      </c>
      <c r="BS207" s="9">
        <v>148176.76999999999</v>
      </c>
      <c r="BT207" s="9">
        <v>0</v>
      </c>
      <c r="BU207" s="9">
        <v>662775.5</v>
      </c>
      <c r="BV207" s="9">
        <v>0</v>
      </c>
      <c r="BW207" s="9">
        <v>741911.64</v>
      </c>
      <c r="BX207" s="9">
        <v>178906.37</v>
      </c>
      <c r="BY207" s="9">
        <v>0</v>
      </c>
      <c r="BZ207" s="9">
        <v>563005.2699999999</v>
      </c>
      <c r="CA207" s="9">
        <v>0</v>
      </c>
      <c r="CB207" s="9">
        <v>148154.39000000001</v>
      </c>
      <c r="CC207" s="9">
        <v>12647263.449999999</v>
      </c>
      <c r="CD207" s="9">
        <v>957315</v>
      </c>
      <c r="CE207" s="9">
        <v>953941</v>
      </c>
      <c r="CF207" s="9">
        <v>10986794.789999999</v>
      </c>
      <c r="CG207" s="9">
        <v>8209006.8099999996</v>
      </c>
      <c r="CH207" s="9">
        <v>2777787.9800000004</v>
      </c>
      <c r="CI207" s="9">
        <v>7309357.4900000002</v>
      </c>
      <c r="CJ207" s="9">
        <v>5946571.4199999999</v>
      </c>
      <c r="CK207" s="9">
        <v>1362786.0699999998</v>
      </c>
      <c r="CL207" s="9">
        <v>3677437.3</v>
      </c>
      <c r="CM207" s="9">
        <v>2262435.39</v>
      </c>
      <c r="CN207" s="9">
        <v>1415001.91</v>
      </c>
      <c r="CO207" s="9">
        <v>2771144.13</v>
      </c>
      <c r="CP207" s="9">
        <v>652784.94000000006</v>
      </c>
      <c r="CQ207" s="9">
        <v>2118359.19</v>
      </c>
      <c r="CR207" s="9">
        <v>1458784.54</v>
      </c>
      <c r="CS207" s="9">
        <v>477723.27</v>
      </c>
      <c r="CT207" s="9">
        <v>981061.27</v>
      </c>
      <c r="CU207" s="9">
        <v>1312359.5900000001</v>
      </c>
      <c r="CV207" s="9">
        <v>175061.67</v>
      </c>
      <c r="CW207" s="9">
        <v>1137297.9200000002</v>
      </c>
      <c r="CX207" s="9">
        <v>8215650.6600000001</v>
      </c>
      <c r="CY207" s="9">
        <v>7556221.8700000001</v>
      </c>
      <c r="CZ207" s="9">
        <v>659428.78999999992</v>
      </c>
      <c r="DA207" s="9">
        <v>5850572.9500000002</v>
      </c>
      <c r="DB207" s="9">
        <v>5468848.1500000004</v>
      </c>
      <c r="DC207" s="9">
        <v>381724.8</v>
      </c>
      <c r="DD207" s="9">
        <v>2365077.71</v>
      </c>
      <c r="DE207" s="9">
        <v>2087373.72</v>
      </c>
      <c r="DF207" s="9">
        <v>277703.99</v>
      </c>
      <c r="DG207" s="9">
        <v>13532518.609999999</v>
      </c>
      <c r="DH207" s="9">
        <v>2545723.8200000003</v>
      </c>
    </row>
    <row r="208" spans="1:112" x14ac:dyDescent="0.2">
      <c r="A208" s="8" t="s">
        <v>860</v>
      </c>
      <c r="B208" s="8" t="s">
        <v>443</v>
      </c>
      <c r="C208" s="8" t="s">
        <v>446</v>
      </c>
      <c r="D208" s="9">
        <v>12593618.470000001</v>
      </c>
      <c r="E208" s="9">
        <v>12593146.5</v>
      </c>
      <c r="F208" s="9">
        <v>282636.79999999999</v>
      </c>
      <c r="G208" s="9">
        <v>760837</v>
      </c>
      <c r="H208" s="9">
        <v>1333989.8999999999</v>
      </c>
      <c r="I208" s="9">
        <v>121057.4</v>
      </c>
      <c r="J208" s="9">
        <v>1202833.3999999999</v>
      </c>
      <c r="K208" s="9">
        <v>1819285.4</v>
      </c>
      <c r="L208" s="9">
        <v>182803.9</v>
      </c>
      <c r="M208" s="9">
        <v>2205853.7000000002</v>
      </c>
      <c r="N208" s="9">
        <v>71241</v>
      </c>
      <c r="O208" s="9">
        <v>506190.4</v>
      </c>
      <c r="P208" s="9">
        <v>127220.5</v>
      </c>
      <c r="Q208" s="9">
        <v>73814.8</v>
      </c>
      <c r="R208" s="9">
        <v>3905382.5</v>
      </c>
      <c r="S208" s="9">
        <v>2898400.4</v>
      </c>
      <c r="T208" s="9">
        <v>0</v>
      </c>
      <c r="U208" s="9">
        <v>0</v>
      </c>
      <c r="V208" s="9">
        <v>0</v>
      </c>
      <c r="W208" s="9">
        <v>989923.98</v>
      </c>
      <c r="X208" s="9">
        <v>989924</v>
      </c>
      <c r="Y208" s="9">
        <v>23547.9</v>
      </c>
      <c r="Z208" s="9">
        <v>346807.1</v>
      </c>
      <c r="AA208" s="9">
        <v>97066</v>
      </c>
      <c r="AB208" s="9">
        <v>9330.2999999999993</v>
      </c>
      <c r="AC208" s="9">
        <v>160760.5</v>
      </c>
      <c r="AD208" s="9">
        <v>89385.5</v>
      </c>
      <c r="AE208" s="9">
        <v>5528.6</v>
      </c>
      <c r="AF208" s="9">
        <v>105449.9</v>
      </c>
      <c r="AG208" s="9">
        <v>1081.7</v>
      </c>
      <c r="AH208" s="9">
        <v>2422.6999999999998</v>
      </c>
      <c r="AI208" s="9">
        <v>26537.200000000001</v>
      </c>
      <c r="AJ208" s="9">
        <v>5422.6</v>
      </c>
      <c r="AK208" s="9">
        <v>116584</v>
      </c>
      <c r="AL208" s="9">
        <v>1030854.94</v>
      </c>
      <c r="AM208" s="9">
        <v>1030854.9</v>
      </c>
      <c r="AN208" s="9">
        <v>17529</v>
      </c>
      <c r="AO208" s="9">
        <v>227139</v>
      </c>
      <c r="AP208" s="9">
        <v>165950.39999999999</v>
      </c>
      <c r="AQ208" s="9">
        <v>7830.3</v>
      </c>
      <c r="AR208" s="9">
        <v>72866.899999999994</v>
      </c>
      <c r="AS208" s="9">
        <v>264662.7</v>
      </c>
      <c r="AT208" s="9">
        <v>15081.2</v>
      </c>
      <c r="AU208" s="9">
        <v>100647.3</v>
      </c>
      <c r="AV208" s="9">
        <v>1060.8</v>
      </c>
      <c r="AW208" s="9">
        <v>47264.4</v>
      </c>
      <c r="AX208" s="9">
        <v>2620.4</v>
      </c>
      <c r="AY208" s="9">
        <v>2753.9</v>
      </c>
      <c r="AZ208" s="9">
        <v>105448.5</v>
      </c>
      <c r="BA208" s="9">
        <v>5860811.2199999997</v>
      </c>
      <c r="BB208" s="9">
        <v>691130.7</v>
      </c>
      <c r="BC208" s="9">
        <v>6767440.379999999</v>
      </c>
      <c r="BD208" s="9">
        <v>1308649.3</v>
      </c>
      <c r="BE208" s="9">
        <v>151456.67000000001</v>
      </c>
      <c r="BF208" s="9">
        <v>43311.95</v>
      </c>
      <c r="BG208" s="9">
        <v>838467.32000000007</v>
      </c>
      <c r="BH208" s="9">
        <v>137162.04999999999</v>
      </c>
      <c r="BI208" s="9">
        <v>206119.81</v>
      </c>
      <c r="BJ208" s="9">
        <v>88767.62</v>
      </c>
      <c r="BK208" s="9">
        <v>824735.12999999989</v>
      </c>
      <c r="BL208" s="9">
        <v>182310.24</v>
      </c>
      <c r="BM208" s="9">
        <v>10128171.889999999</v>
      </c>
      <c r="BN208" s="9">
        <v>5723826.8200000003</v>
      </c>
      <c r="BO208" s="9">
        <v>0</v>
      </c>
      <c r="BP208" s="9">
        <v>4404345.08</v>
      </c>
      <c r="BQ208" s="9">
        <v>0</v>
      </c>
      <c r="BR208" s="9">
        <v>760889.68</v>
      </c>
      <c r="BS208" s="9">
        <v>136584.91</v>
      </c>
      <c r="BT208" s="9">
        <v>0</v>
      </c>
      <c r="BU208" s="9">
        <v>624304.78</v>
      </c>
      <c r="BV208" s="9">
        <v>0</v>
      </c>
      <c r="BW208" s="9">
        <v>745750.61</v>
      </c>
      <c r="BX208" s="9">
        <v>183055.76</v>
      </c>
      <c r="BY208" s="9">
        <v>0</v>
      </c>
      <c r="BZ208" s="9">
        <v>562694.84999999986</v>
      </c>
      <c r="CA208" s="9">
        <v>0</v>
      </c>
      <c r="CB208" s="9">
        <v>147237.17000000001</v>
      </c>
      <c r="CC208" s="9">
        <v>12740855.640000001</v>
      </c>
      <c r="CD208" s="9">
        <v>950273</v>
      </c>
      <c r="CE208" s="9">
        <v>947019</v>
      </c>
      <c r="CF208" s="9">
        <v>11096511.699999999</v>
      </c>
      <c r="CG208" s="9">
        <v>8246041.5999999996</v>
      </c>
      <c r="CH208" s="9">
        <v>2850470.1</v>
      </c>
      <c r="CI208" s="9">
        <v>7482429.7699999996</v>
      </c>
      <c r="CJ208" s="9">
        <v>6027721.3399999999</v>
      </c>
      <c r="CK208" s="9">
        <v>1454708.4300000002</v>
      </c>
      <c r="CL208" s="9">
        <v>3614081.93</v>
      </c>
      <c r="CM208" s="9">
        <v>2218320.2599999998</v>
      </c>
      <c r="CN208" s="9">
        <v>1395761.67</v>
      </c>
      <c r="CO208" s="9">
        <v>2827435.92</v>
      </c>
      <c r="CP208" s="9">
        <v>674999.21</v>
      </c>
      <c r="CQ208" s="9">
        <v>2152436.71</v>
      </c>
      <c r="CR208" s="9">
        <v>1513261.73</v>
      </c>
      <c r="CS208" s="9">
        <v>488853.53</v>
      </c>
      <c r="CT208" s="9">
        <v>1024408.2</v>
      </c>
      <c r="CU208" s="9">
        <v>1314174.19</v>
      </c>
      <c r="CV208" s="9">
        <v>186145.68</v>
      </c>
      <c r="CW208" s="9">
        <v>1128028.51</v>
      </c>
      <c r="CX208" s="9">
        <v>8269075.7800000003</v>
      </c>
      <c r="CY208" s="9">
        <v>7571042.3899999997</v>
      </c>
      <c r="CZ208" s="9">
        <v>698033.39</v>
      </c>
      <c r="DA208" s="9">
        <v>5969168.040000001</v>
      </c>
      <c r="DB208" s="9">
        <v>5538867.8099999996</v>
      </c>
      <c r="DC208" s="9">
        <v>430300.23</v>
      </c>
      <c r="DD208" s="9">
        <v>2299907.7400000002</v>
      </c>
      <c r="DE208" s="9">
        <v>2032174.58</v>
      </c>
      <c r="DF208" s="9">
        <v>267733.15999999997</v>
      </c>
      <c r="DG208" s="9">
        <v>13602039.029999999</v>
      </c>
      <c r="DH208" s="9">
        <v>2505527.33</v>
      </c>
    </row>
    <row r="209" spans="1:112" x14ac:dyDescent="0.2">
      <c r="A209" s="8" t="s">
        <v>860</v>
      </c>
      <c r="B209" s="8" t="s">
        <v>447</v>
      </c>
      <c r="C209" s="8" t="s">
        <v>448</v>
      </c>
      <c r="D209" s="9">
        <v>12622260.380000001</v>
      </c>
      <c r="E209" s="9">
        <v>12621792.4</v>
      </c>
      <c r="F209" s="9">
        <v>283646.2</v>
      </c>
      <c r="G209" s="9">
        <v>750202.3</v>
      </c>
      <c r="H209" s="9">
        <v>1331836.7</v>
      </c>
      <c r="I209" s="9">
        <v>112907.9</v>
      </c>
      <c r="J209" s="9">
        <v>1192106.1000000001</v>
      </c>
      <c r="K209" s="9">
        <v>1832263.8</v>
      </c>
      <c r="L209" s="9">
        <v>192125.3</v>
      </c>
      <c r="M209" s="9">
        <v>2288405</v>
      </c>
      <c r="N209" s="9">
        <v>52832.2</v>
      </c>
      <c r="O209" s="9">
        <v>454471.5</v>
      </c>
      <c r="P209" s="9">
        <v>130280.6</v>
      </c>
      <c r="Q209" s="9">
        <v>74117.5</v>
      </c>
      <c r="R209" s="9">
        <v>3926597.2</v>
      </c>
      <c r="S209" s="9">
        <v>2950574</v>
      </c>
      <c r="T209" s="9">
        <v>0</v>
      </c>
      <c r="U209" s="9">
        <v>0</v>
      </c>
      <c r="V209" s="9">
        <v>0</v>
      </c>
      <c r="W209" s="9">
        <v>1004087.15</v>
      </c>
      <c r="X209" s="9">
        <v>1004087.2</v>
      </c>
      <c r="Y209" s="9">
        <v>14820.3</v>
      </c>
      <c r="Z209" s="9">
        <v>343026</v>
      </c>
      <c r="AA209" s="9">
        <v>77581.5</v>
      </c>
      <c r="AB209" s="9">
        <v>1661.4</v>
      </c>
      <c r="AC209" s="9">
        <v>162075</v>
      </c>
      <c r="AD209" s="9">
        <v>115426.6</v>
      </c>
      <c r="AE209" s="9">
        <v>5835.6</v>
      </c>
      <c r="AF209" s="9">
        <v>107610.6</v>
      </c>
      <c r="AG209" s="9">
        <v>1138.2</v>
      </c>
      <c r="AH209" s="9">
        <v>2554.9</v>
      </c>
      <c r="AI209" s="9">
        <v>49792</v>
      </c>
      <c r="AJ209" s="9">
        <v>3784.5</v>
      </c>
      <c r="AK209" s="9">
        <v>118780.6</v>
      </c>
      <c r="AL209" s="9">
        <v>1082637.3500000001</v>
      </c>
      <c r="AM209" s="9">
        <v>1082637.3999999999</v>
      </c>
      <c r="AN209" s="9">
        <v>23905.200000000001</v>
      </c>
      <c r="AO209" s="9">
        <v>226341.8</v>
      </c>
      <c r="AP209" s="9">
        <v>179930.3</v>
      </c>
      <c r="AQ209" s="9">
        <v>7798.7</v>
      </c>
      <c r="AR209" s="9">
        <v>93663.9</v>
      </c>
      <c r="AS209" s="9">
        <v>270828.3</v>
      </c>
      <c r="AT209" s="9">
        <v>14844.3</v>
      </c>
      <c r="AU209" s="9">
        <v>105315.9</v>
      </c>
      <c r="AV209" s="9">
        <v>963.3</v>
      </c>
      <c r="AW209" s="9">
        <v>46666.9</v>
      </c>
      <c r="AX209" s="9">
        <v>2521.6999999999998</v>
      </c>
      <c r="AY209" s="9">
        <v>4507.8</v>
      </c>
      <c r="AZ209" s="9">
        <v>105349.2</v>
      </c>
      <c r="BA209" s="9">
        <v>5958155.1099999994</v>
      </c>
      <c r="BB209" s="9">
        <v>713667.22</v>
      </c>
      <c r="BC209" s="9">
        <v>6699806.3600000013</v>
      </c>
      <c r="BD209" s="9">
        <v>1327781.48</v>
      </c>
      <c r="BE209" s="9">
        <v>152902.37</v>
      </c>
      <c r="BF209" s="9">
        <v>42324.26</v>
      </c>
      <c r="BG209" s="9">
        <v>851184.7699999999</v>
      </c>
      <c r="BH209" s="9">
        <v>139348.31</v>
      </c>
      <c r="BI209" s="9">
        <v>213343.39</v>
      </c>
      <c r="BJ209" s="9">
        <v>90113.83</v>
      </c>
      <c r="BK209" s="9">
        <v>869293.97</v>
      </c>
      <c r="BL209" s="9">
        <v>200463.89</v>
      </c>
      <c r="BM209" s="9">
        <v>10170050.52</v>
      </c>
      <c r="BN209" s="9">
        <v>5820242</v>
      </c>
      <c r="BO209" s="9">
        <v>0</v>
      </c>
      <c r="BP209" s="9">
        <v>4349808.5199999996</v>
      </c>
      <c r="BQ209" s="9">
        <v>0</v>
      </c>
      <c r="BR209" s="9">
        <v>764766</v>
      </c>
      <c r="BS209" s="9">
        <v>134841.29</v>
      </c>
      <c r="BT209" s="9">
        <v>0</v>
      </c>
      <c r="BU209" s="9">
        <v>629924.69999999995</v>
      </c>
      <c r="BV209" s="9">
        <v>0</v>
      </c>
      <c r="BW209" s="9">
        <v>792301.63</v>
      </c>
      <c r="BX209" s="9">
        <v>191380.33</v>
      </c>
      <c r="BY209" s="9">
        <v>0</v>
      </c>
      <c r="BZ209" s="9">
        <v>600921.30999999994</v>
      </c>
      <c r="CA209" s="9">
        <v>0</v>
      </c>
      <c r="CB209" s="9">
        <v>145631.78</v>
      </c>
      <c r="CC209" s="9">
        <v>12767892.159999998</v>
      </c>
      <c r="CD209" s="9">
        <v>966754</v>
      </c>
      <c r="CE209" s="9">
        <v>961763</v>
      </c>
      <c r="CF209" s="9">
        <v>11264834.08</v>
      </c>
      <c r="CG209" s="9">
        <v>8324312.9199999999</v>
      </c>
      <c r="CH209" s="9">
        <v>2940521.1599999997</v>
      </c>
      <c r="CI209" s="9">
        <v>7757908.3799999999</v>
      </c>
      <c r="CJ209" s="9">
        <v>6188407.5499999998</v>
      </c>
      <c r="CK209" s="9">
        <v>1569500.83</v>
      </c>
      <c r="CL209" s="9">
        <v>3506925.7</v>
      </c>
      <c r="CM209" s="9">
        <v>2135905.37</v>
      </c>
      <c r="CN209" s="9">
        <v>1371020.33</v>
      </c>
      <c r="CO209" s="9">
        <v>2929218.12</v>
      </c>
      <c r="CP209" s="9">
        <v>677637.48</v>
      </c>
      <c r="CQ209" s="9">
        <v>2251580.6399999997</v>
      </c>
      <c r="CR209" s="9">
        <v>1647739.28</v>
      </c>
      <c r="CS209" s="9">
        <v>510696.25</v>
      </c>
      <c r="CT209" s="9">
        <v>1137043.03</v>
      </c>
      <c r="CU209" s="9">
        <v>1281478.8400000001</v>
      </c>
      <c r="CV209" s="9">
        <v>166941.23000000001</v>
      </c>
      <c r="CW209" s="9">
        <v>1114537.6100000001</v>
      </c>
      <c r="CX209" s="9">
        <v>8335615.959999999</v>
      </c>
      <c r="CY209" s="9">
        <v>7646675.4400000004</v>
      </c>
      <c r="CZ209" s="9">
        <v>688940.52</v>
      </c>
      <c r="DA209" s="9">
        <v>6110169.0999999996</v>
      </c>
      <c r="DB209" s="9">
        <v>5677711.2999999998</v>
      </c>
      <c r="DC209" s="9">
        <v>432457.8</v>
      </c>
      <c r="DD209" s="9">
        <v>2225446.86</v>
      </c>
      <c r="DE209" s="9">
        <v>1968964.14</v>
      </c>
      <c r="DF209" s="9">
        <v>256482.72</v>
      </c>
      <c r="DG209" s="9">
        <v>13773126.710000001</v>
      </c>
      <c r="DH209" s="9">
        <v>2508292.63</v>
      </c>
    </row>
    <row r="210" spans="1:112" x14ac:dyDescent="0.2">
      <c r="A210" s="8" t="s">
        <v>860</v>
      </c>
      <c r="B210" s="8" t="s">
        <v>447</v>
      </c>
      <c r="C210" s="8" t="s">
        <v>449</v>
      </c>
      <c r="D210" s="9">
        <v>12614293.309999999</v>
      </c>
      <c r="E210" s="9">
        <v>12613829.300000001</v>
      </c>
      <c r="F210" s="9">
        <v>291996.3</v>
      </c>
      <c r="G210" s="9">
        <v>774970.9</v>
      </c>
      <c r="H210" s="9">
        <v>1450774.2</v>
      </c>
      <c r="I210" s="9">
        <v>114079.9</v>
      </c>
      <c r="J210" s="9">
        <v>1167334.3</v>
      </c>
      <c r="K210" s="9">
        <v>1786221.1</v>
      </c>
      <c r="L210" s="9">
        <v>202494.7</v>
      </c>
      <c r="M210" s="9">
        <v>2073369.5</v>
      </c>
      <c r="N210" s="9">
        <v>52899.7</v>
      </c>
      <c r="O210" s="9">
        <v>475891.20000000001</v>
      </c>
      <c r="P210" s="9">
        <v>131448.6</v>
      </c>
      <c r="Q210" s="9">
        <v>75660.800000000003</v>
      </c>
      <c r="R210" s="9">
        <v>4016688</v>
      </c>
      <c r="S210" s="9">
        <v>3053487.8</v>
      </c>
      <c r="T210" s="9">
        <v>0</v>
      </c>
      <c r="U210" s="9">
        <v>0</v>
      </c>
      <c r="V210" s="9">
        <v>0</v>
      </c>
      <c r="W210" s="9">
        <v>925273.61</v>
      </c>
      <c r="X210" s="9">
        <v>925273.59999999998</v>
      </c>
      <c r="Y210" s="9">
        <v>13595.6</v>
      </c>
      <c r="Z210" s="9">
        <v>349765.9</v>
      </c>
      <c r="AA210" s="9">
        <v>101791.7</v>
      </c>
      <c r="AB210" s="9">
        <v>1649.5</v>
      </c>
      <c r="AC210" s="9">
        <v>150788.79999999999</v>
      </c>
      <c r="AD210" s="9">
        <v>78885.2</v>
      </c>
      <c r="AE210" s="9">
        <v>6220.4</v>
      </c>
      <c r="AF210" s="9">
        <v>60962.7</v>
      </c>
      <c r="AG210" s="9">
        <v>863.3</v>
      </c>
      <c r="AH210" s="9">
        <v>2270.5</v>
      </c>
      <c r="AI210" s="9">
        <v>47659.5</v>
      </c>
      <c r="AJ210" s="9">
        <v>3381.1</v>
      </c>
      <c r="AK210" s="9">
        <v>107439.5</v>
      </c>
      <c r="AL210" s="9">
        <v>1153813.47</v>
      </c>
      <c r="AM210" s="9">
        <v>1153813.5</v>
      </c>
      <c r="AN210" s="9">
        <v>27373.599999999999</v>
      </c>
      <c r="AO210" s="9">
        <v>226657.2</v>
      </c>
      <c r="AP210" s="9">
        <v>268019.8</v>
      </c>
      <c r="AQ210" s="9">
        <v>7780.1</v>
      </c>
      <c r="AR210" s="9">
        <v>103777.3</v>
      </c>
      <c r="AS210" s="9">
        <v>185916.1</v>
      </c>
      <c r="AT210" s="9">
        <v>17495.7</v>
      </c>
      <c r="AU210" s="9">
        <v>146825.20000000001</v>
      </c>
      <c r="AV210" s="9">
        <v>1294.2</v>
      </c>
      <c r="AW210" s="9">
        <v>46519.1</v>
      </c>
      <c r="AX210" s="9">
        <v>3723.3</v>
      </c>
      <c r="AY210" s="9">
        <v>4438.7</v>
      </c>
      <c r="AZ210" s="9">
        <v>113993.2</v>
      </c>
      <c r="BA210" s="9">
        <v>5845942.7599999998</v>
      </c>
      <c r="BB210" s="9">
        <v>733546.91</v>
      </c>
      <c r="BC210" s="9">
        <v>6811908.5000000009</v>
      </c>
      <c r="BD210" s="9">
        <v>1347400.46</v>
      </c>
      <c r="BE210" s="9">
        <v>140366.5</v>
      </c>
      <c r="BF210" s="9">
        <v>37211.19</v>
      </c>
      <c r="BG210" s="9">
        <v>784907.11</v>
      </c>
      <c r="BH210" s="9">
        <v>112746.78</v>
      </c>
      <c r="BI210" s="9">
        <v>220629.35</v>
      </c>
      <c r="BJ210" s="9">
        <v>93206.92</v>
      </c>
      <c r="BK210" s="9">
        <v>933184.13</v>
      </c>
      <c r="BL210" s="9">
        <v>212409.36</v>
      </c>
      <c r="BM210" s="9">
        <v>10081802.460000001</v>
      </c>
      <c r="BN210" s="9">
        <v>5707330.0699999994</v>
      </c>
      <c r="BO210" s="9">
        <v>0</v>
      </c>
      <c r="BP210" s="9">
        <v>4374472.3900000006</v>
      </c>
      <c r="BQ210" s="9">
        <v>0</v>
      </c>
      <c r="BR210" s="9">
        <v>730975.05</v>
      </c>
      <c r="BS210" s="9">
        <v>123865.58</v>
      </c>
      <c r="BT210" s="9">
        <v>0</v>
      </c>
      <c r="BU210" s="9">
        <v>607109.47</v>
      </c>
      <c r="BV210" s="9">
        <v>0</v>
      </c>
      <c r="BW210" s="9">
        <v>810177.91</v>
      </c>
      <c r="BX210" s="9">
        <v>196677.31</v>
      </c>
      <c r="BY210" s="9">
        <v>0</v>
      </c>
      <c r="BZ210" s="9">
        <v>613500.61</v>
      </c>
      <c r="CA210" s="9">
        <v>0</v>
      </c>
      <c r="CB210" s="9">
        <v>144874.49</v>
      </c>
      <c r="CC210" s="9">
        <v>12759167.799999999</v>
      </c>
      <c r="CD210" s="9">
        <v>950418</v>
      </c>
      <c r="CE210" s="9">
        <v>945103</v>
      </c>
      <c r="CF210" s="9">
        <v>11511662.050000001</v>
      </c>
      <c r="CG210" s="9">
        <v>8441910.8499999996</v>
      </c>
      <c r="CH210" s="9">
        <v>3069751.1999999997</v>
      </c>
      <c r="CI210" s="9">
        <v>8066943.8499999996</v>
      </c>
      <c r="CJ210" s="9">
        <v>6436372.3399999999</v>
      </c>
      <c r="CK210" s="9">
        <v>1630571.5100000002</v>
      </c>
      <c r="CL210" s="9">
        <v>3444718.1999999997</v>
      </c>
      <c r="CM210" s="9">
        <v>2005538.51</v>
      </c>
      <c r="CN210" s="9">
        <v>1439179.6900000002</v>
      </c>
      <c r="CO210" s="9">
        <v>3095265.73</v>
      </c>
      <c r="CP210" s="9">
        <v>744658.5</v>
      </c>
      <c r="CQ210" s="9">
        <v>2350607.23</v>
      </c>
      <c r="CR210" s="9">
        <v>1771970.43</v>
      </c>
      <c r="CS210" s="9">
        <v>584168.94999999995</v>
      </c>
      <c r="CT210" s="9">
        <v>1187801.48</v>
      </c>
      <c r="CU210" s="9">
        <v>1323295.3</v>
      </c>
      <c r="CV210" s="9">
        <v>160489.54999999999</v>
      </c>
      <c r="CW210" s="9">
        <v>1162805.75</v>
      </c>
      <c r="CX210" s="9">
        <v>8416396.3200000003</v>
      </c>
      <c r="CY210" s="9">
        <v>7697252.3499999996</v>
      </c>
      <c r="CZ210" s="9">
        <v>719143.97000000009</v>
      </c>
      <c r="DA210" s="9">
        <v>6294973.4200000009</v>
      </c>
      <c r="DB210" s="9">
        <v>5852203.3900000006</v>
      </c>
      <c r="DC210" s="9">
        <v>442770.03</v>
      </c>
      <c r="DD210" s="9">
        <v>2121422.9</v>
      </c>
      <c r="DE210" s="9">
        <v>1845048.96</v>
      </c>
      <c r="DF210" s="9">
        <v>276373.94000000012</v>
      </c>
      <c r="DG210" s="9">
        <v>14446819.599999996</v>
      </c>
      <c r="DH210" s="9">
        <v>2935157.55</v>
      </c>
    </row>
    <row r="211" spans="1:112" x14ac:dyDescent="0.2">
      <c r="A211" s="8" t="s">
        <v>860</v>
      </c>
      <c r="B211" s="8" t="s">
        <v>447</v>
      </c>
      <c r="C211" s="8" t="s">
        <v>450</v>
      </c>
      <c r="D211" s="9">
        <v>12805848.9</v>
      </c>
      <c r="E211" s="9">
        <v>12805394</v>
      </c>
      <c r="F211" s="9">
        <v>294147.3</v>
      </c>
      <c r="G211" s="9">
        <v>892332.9</v>
      </c>
      <c r="H211" s="9">
        <v>1427626.1</v>
      </c>
      <c r="I211" s="9">
        <v>125772.7</v>
      </c>
      <c r="J211" s="9">
        <v>1154934</v>
      </c>
      <c r="K211" s="9">
        <v>1781618.4</v>
      </c>
      <c r="L211" s="9">
        <v>201564.7</v>
      </c>
      <c r="M211" s="9">
        <v>2133468.5</v>
      </c>
      <c r="N211" s="9">
        <v>47860.4</v>
      </c>
      <c r="O211" s="9">
        <v>471076</v>
      </c>
      <c r="P211" s="9">
        <v>130622</v>
      </c>
      <c r="Q211" s="9">
        <v>79276.2</v>
      </c>
      <c r="R211" s="9">
        <v>4065094.9</v>
      </c>
      <c r="S211" s="9">
        <v>3115904.7</v>
      </c>
      <c r="T211" s="9">
        <v>0</v>
      </c>
      <c r="U211" s="9">
        <v>0</v>
      </c>
      <c r="V211" s="9">
        <v>0</v>
      </c>
      <c r="W211" s="9">
        <v>791971.26</v>
      </c>
      <c r="X211" s="9">
        <v>791971.3</v>
      </c>
      <c r="Y211" s="9">
        <v>12059.4</v>
      </c>
      <c r="Z211" s="9">
        <v>232106.7</v>
      </c>
      <c r="AA211" s="9">
        <v>101650.9</v>
      </c>
      <c r="AB211" s="9">
        <v>7584.6</v>
      </c>
      <c r="AC211" s="9">
        <v>144235.20000000001</v>
      </c>
      <c r="AD211" s="9">
        <v>84901.3</v>
      </c>
      <c r="AE211" s="9">
        <v>6739.4</v>
      </c>
      <c r="AF211" s="9">
        <v>51801.7</v>
      </c>
      <c r="AG211" s="9">
        <v>279.3</v>
      </c>
      <c r="AH211" s="9">
        <v>2373.1999999999998</v>
      </c>
      <c r="AI211" s="9">
        <v>46625.5</v>
      </c>
      <c r="AJ211" s="9">
        <v>7884.9</v>
      </c>
      <c r="AK211" s="9">
        <v>93729.3</v>
      </c>
      <c r="AL211" s="9">
        <v>1127800.6399999999</v>
      </c>
      <c r="AM211" s="9">
        <v>1127800.6000000001</v>
      </c>
      <c r="AN211" s="9">
        <v>26884.3</v>
      </c>
      <c r="AO211" s="9">
        <v>229043.5</v>
      </c>
      <c r="AP211" s="9">
        <v>242442.4</v>
      </c>
      <c r="AQ211" s="9">
        <v>7691.9</v>
      </c>
      <c r="AR211" s="9">
        <v>104481.7</v>
      </c>
      <c r="AS211" s="9">
        <v>185072.8</v>
      </c>
      <c r="AT211" s="9">
        <v>16153</v>
      </c>
      <c r="AU211" s="9">
        <v>146391.4</v>
      </c>
      <c r="AV211" s="9">
        <v>1078.3</v>
      </c>
      <c r="AW211" s="9">
        <v>43858.6</v>
      </c>
      <c r="AX211" s="9">
        <v>3005.5</v>
      </c>
      <c r="AY211" s="9">
        <v>2544.1999999999998</v>
      </c>
      <c r="AZ211" s="9">
        <v>119153.2</v>
      </c>
      <c r="BA211" s="9">
        <v>6028243.1800000006</v>
      </c>
      <c r="BB211" s="9">
        <v>750548.88</v>
      </c>
      <c r="BC211" s="9">
        <v>6834556.290000001</v>
      </c>
      <c r="BD211" s="9">
        <v>1403949.94</v>
      </c>
      <c r="BE211" s="9">
        <v>135620.22</v>
      </c>
      <c r="BF211" s="9">
        <v>36124.43</v>
      </c>
      <c r="BG211" s="9">
        <v>656351.03999999992</v>
      </c>
      <c r="BH211" s="9">
        <v>106358.43</v>
      </c>
      <c r="BI211" s="9">
        <v>216574.17</v>
      </c>
      <c r="BJ211" s="9">
        <v>93224.3</v>
      </c>
      <c r="BK211" s="9">
        <v>911226.47</v>
      </c>
      <c r="BL211" s="9">
        <v>207569.56</v>
      </c>
      <c r="BM211" s="9">
        <v>10204533.41</v>
      </c>
      <c r="BN211" s="9">
        <v>5895062.0300000012</v>
      </c>
      <c r="BO211" s="9">
        <v>0</v>
      </c>
      <c r="BP211" s="9">
        <v>4309471.3800000008</v>
      </c>
      <c r="BQ211" s="9">
        <v>0</v>
      </c>
      <c r="BR211" s="9">
        <v>672626.84</v>
      </c>
      <c r="BS211" s="9">
        <v>120979.15</v>
      </c>
      <c r="BT211" s="9">
        <v>0</v>
      </c>
      <c r="BU211" s="9">
        <v>551647.68999999994</v>
      </c>
      <c r="BV211" s="9">
        <v>0</v>
      </c>
      <c r="BW211" s="9">
        <v>790576.91</v>
      </c>
      <c r="BX211" s="9">
        <v>192155.4</v>
      </c>
      <c r="BY211" s="9">
        <v>0</v>
      </c>
      <c r="BZ211" s="9">
        <v>598421.51</v>
      </c>
      <c r="CA211" s="9">
        <v>0</v>
      </c>
      <c r="CB211" s="9">
        <v>146196.54</v>
      </c>
      <c r="CC211" s="9">
        <v>12952045.439999999</v>
      </c>
      <c r="CD211" s="9">
        <v>951530</v>
      </c>
      <c r="CE211" s="9">
        <v>946215</v>
      </c>
      <c r="CF211" s="9">
        <v>11734529.190000001</v>
      </c>
      <c r="CG211" s="9">
        <v>8571439.8499999996</v>
      </c>
      <c r="CH211" s="9">
        <v>3163089.3400000003</v>
      </c>
      <c r="CI211" s="9">
        <v>8360753.9600000018</v>
      </c>
      <c r="CJ211" s="9">
        <v>6566665.5500000007</v>
      </c>
      <c r="CK211" s="9">
        <v>1794088.41</v>
      </c>
      <c r="CL211" s="9">
        <v>3373775.2299999995</v>
      </c>
      <c r="CM211" s="9">
        <v>2004774.3</v>
      </c>
      <c r="CN211" s="9">
        <v>1369000.9299999997</v>
      </c>
      <c r="CO211" s="9">
        <v>3271860.42</v>
      </c>
      <c r="CP211" s="9">
        <v>819317.8899999999</v>
      </c>
      <c r="CQ211" s="9">
        <v>2452542.5299999998</v>
      </c>
      <c r="CR211" s="9">
        <v>1992487.16</v>
      </c>
      <c r="CS211" s="9">
        <v>650930.69999999995</v>
      </c>
      <c r="CT211" s="9">
        <v>1341556.46</v>
      </c>
      <c r="CU211" s="9">
        <v>1279373.2599999998</v>
      </c>
      <c r="CV211" s="9">
        <v>168387.19</v>
      </c>
      <c r="CW211" s="9">
        <v>1110986.0699999998</v>
      </c>
      <c r="CX211" s="9">
        <v>8462668.7699999996</v>
      </c>
      <c r="CY211" s="9">
        <v>7752121.9600000018</v>
      </c>
      <c r="CZ211" s="9">
        <v>710546.80999999994</v>
      </c>
      <c r="DA211" s="9">
        <v>6368266.8000000007</v>
      </c>
      <c r="DB211" s="9">
        <v>5915734.8500000006</v>
      </c>
      <c r="DC211" s="9">
        <v>452531.95</v>
      </c>
      <c r="DD211" s="9">
        <v>2094401.9699999995</v>
      </c>
      <c r="DE211" s="9">
        <v>1836387.11</v>
      </c>
      <c r="DF211" s="9">
        <v>258014.86</v>
      </c>
      <c r="DG211" s="9">
        <v>14981161.27</v>
      </c>
      <c r="DH211" s="9">
        <v>3246632.08</v>
      </c>
    </row>
    <row r="212" spans="1:112" x14ac:dyDescent="0.2">
      <c r="A212" s="8" t="s">
        <v>860</v>
      </c>
      <c r="B212" s="8" t="s">
        <v>451</v>
      </c>
      <c r="C212" s="8" t="s">
        <v>452</v>
      </c>
      <c r="D212" s="9">
        <v>12941157.460000001</v>
      </c>
      <c r="E212" s="9">
        <v>12940702.6</v>
      </c>
      <c r="F212" s="9">
        <v>293062.40000000002</v>
      </c>
      <c r="G212" s="9">
        <v>913271.7</v>
      </c>
      <c r="H212" s="9">
        <v>1445661.3</v>
      </c>
      <c r="I212" s="9">
        <v>125501</v>
      </c>
      <c r="J212" s="9">
        <v>1152720.2</v>
      </c>
      <c r="K212" s="9">
        <v>1789998.5</v>
      </c>
      <c r="L212" s="9">
        <v>204410.9</v>
      </c>
      <c r="M212" s="9">
        <v>2168952.4</v>
      </c>
      <c r="N212" s="9">
        <v>45090.7</v>
      </c>
      <c r="O212" s="9">
        <v>472846.7</v>
      </c>
      <c r="P212" s="9">
        <v>134606.79999999999</v>
      </c>
      <c r="Q212" s="9">
        <v>78046.3</v>
      </c>
      <c r="R212" s="9">
        <v>4116533.9</v>
      </c>
      <c r="S212" s="9">
        <v>3165879.8</v>
      </c>
      <c r="T212" s="9">
        <v>0</v>
      </c>
      <c r="U212" s="9">
        <v>0</v>
      </c>
      <c r="V212" s="9">
        <v>0</v>
      </c>
      <c r="W212" s="9">
        <v>887104.07</v>
      </c>
      <c r="X212" s="9">
        <v>887104.1</v>
      </c>
      <c r="Y212" s="9">
        <v>14759.4</v>
      </c>
      <c r="Z212" s="9">
        <v>237595.5</v>
      </c>
      <c r="AA212" s="9">
        <v>104266.8</v>
      </c>
      <c r="AB212" s="9">
        <v>8426.5</v>
      </c>
      <c r="AC212" s="9">
        <v>129074.4</v>
      </c>
      <c r="AD212" s="9">
        <v>152437.70000000001</v>
      </c>
      <c r="AE212" s="9">
        <v>7019</v>
      </c>
      <c r="AF212" s="9">
        <v>65718.2</v>
      </c>
      <c r="AG212" s="9">
        <v>1173.4000000000001</v>
      </c>
      <c r="AH212" s="9">
        <v>2435.3000000000002</v>
      </c>
      <c r="AI212" s="9">
        <v>48469.3</v>
      </c>
      <c r="AJ212" s="9">
        <v>7878.6</v>
      </c>
      <c r="AK212" s="9">
        <v>107850</v>
      </c>
      <c r="AL212" s="9">
        <v>1145234.6200000001</v>
      </c>
      <c r="AM212" s="9">
        <v>1145234.6000000001</v>
      </c>
      <c r="AN212" s="9">
        <v>27219.599999999999</v>
      </c>
      <c r="AO212" s="9">
        <v>233158.3</v>
      </c>
      <c r="AP212" s="9">
        <v>251363.5</v>
      </c>
      <c r="AQ212" s="9">
        <v>7774</v>
      </c>
      <c r="AR212" s="9">
        <v>102044.2</v>
      </c>
      <c r="AS212" s="9">
        <v>183743.4</v>
      </c>
      <c r="AT212" s="9">
        <v>12866.1</v>
      </c>
      <c r="AU212" s="9">
        <v>153037.6</v>
      </c>
      <c r="AV212" s="9">
        <v>844.8</v>
      </c>
      <c r="AW212" s="9">
        <v>45468.1</v>
      </c>
      <c r="AX212" s="9">
        <v>3057.9</v>
      </c>
      <c r="AY212" s="9">
        <v>2793.3</v>
      </c>
      <c r="AZ212" s="9">
        <v>121863.8</v>
      </c>
      <c r="BA212" s="9">
        <v>6094720.4100000001</v>
      </c>
      <c r="BB212" s="9">
        <v>730103.62</v>
      </c>
      <c r="BC212" s="9">
        <v>6893503.3899999997</v>
      </c>
      <c r="BD212" s="9">
        <v>1406191.59</v>
      </c>
      <c r="BE212" s="9">
        <v>147082.29</v>
      </c>
      <c r="BF212" s="9">
        <v>37266.71</v>
      </c>
      <c r="BG212" s="9">
        <v>740021.78999999992</v>
      </c>
      <c r="BH212" s="9">
        <v>110922.91</v>
      </c>
      <c r="BI212" s="9">
        <v>222836.56</v>
      </c>
      <c r="BJ212" s="9">
        <v>95764.07</v>
      </c>
      <c r="BK212" s="9">
        <v>922398.06</v>
      </c>
      <c r="BL212" s="9">
        <v>209454.29</v>
      </c>
      <c r="BM212" s="9">
        <v>10258399.66</v>
      </c>
      <c r="BN212" s="9">
        <v>5957735.1299999999</v>
      </c>
      <c r="BO212" s="9">
        <v>0</v>
      </c>
      <c r="BP212" s="9">
        <v>4300664.54</v>
      </c>
      <c r="BQ212" s="9">
        <v>0</v>
      </c>
      <c r="BR212" s="9">
        <v>723173.25</v>
      </c>
      <c r="BS212" s="9">
        <v>133065.5</v>
      </c>
      <c r="BT212" s="9">
        <v>0</v>
      </c>
      <c r="BU212" s="9">
        <v>590107.76</v>
      </c>
      <c r="BV212" s="9">
        <v>0</v>
      </c>
      <c r="BW212" s="9">
        <v>796803.20000000007</v>
      </c>
      <c r="BX212" s="9">
        <v>197305.27</v>
      </c>
      <c r="BY212" s="9">
        <v>0</v>
      </c>
      <c r="BZ212" s="9">
        <v>599497.93000000005</v>
      </c>
      <c r="CA212" s="9">
        <v>0</v>
      </c>
      <c r="CB212" s="9">
        <v>152511.12</v>
      </c>
      <c r="CC212" s="9">
        <v>13093668.58</v>
      </c>
      <c r="CD212" s="9">
        <v>958106</v>
      </c>
      <c r="CE212" s="9">
        <v>952830</v>
      </c>
      <c r="CF212" s="9">
        <v>12194529.469999999</v>
      </c>
      <c r="CG212" s="9">
        <v>8800783.6799999997</v>
      </c>
      <c r="CH212" s="9">
        <v>3393745.79</v>
      </c>
      <c r="CI212" s="9">
        <v>8362929.459999999</v>
      </c>
      <c r="CJ212" s="9">
        <v>6634610.3399999999</v>
      </c>
      <c r="CK212" s="9">
        <v>1728319.12</v>
      </c>
      <c r="CL212" s="9">
        <v>3831600.01</v>
      </c>
      <c r="CM212" s="9">
        <v>2166173.34</v>
      </c>
      <c r="CN212" s="9">
        <v>1665426.67</v>
      </c>
      <c r="CO212" s="9">
        <v>3480846.37</v>
      </c>
      <c r="CP212" s="9">
        <v>821558.31</v>
      </c>
      <c r="CQ212" s="9">
        <v>2659288.06</v>
      </c>
      <c r="CR212" s="9">
        <v>1875709.19</v>
      </c>
      <c r="CS212" s="9">
        <v>637710.31000000006</v>
      </c>
      <c r="CT212" s="9">
        <v>1237998.8799999999</v>
      </c>
      <c r="CU212" s="9">
        <v>1605137.1800000002</v>
      </c>
      <c r="CV212" s="9">
        <v>183848</v>
      </c>
      <c r="CW212" s="9">
        <v>1421289.1800000002</v>
      </c>
      <c r="CX212" s="9">
        <v>8713683.0999999996</v>
      </c>
      <c r="CY212" s="9">
        <v>7979225.3700000001</v>
      </c>
      <c r="CZ212" s="9">
        <v>734457.73</v>
      </c>
      <c r="DA212" s="9">
        <v>6487220.2699999996</v>
      </c>
      <c r="DB212" s="9">
        <v>5996900.0299999993</v>
      </c>
      <c r="DC212" s="9">
        <v>490320.24</v>
      </c>
      <c r="DD212" s="9">
        <v>2226462.83</v>
      </c>
      <c r="DE212" s="9">
        <v>1982325.34</v>
      </c>
      <c r="DF212" s="9">
        <v>244137.49</v>
      </c>
      <c r="DG212" s="9">
        <v>15564184.51</v>
      </c>
      <c r="DH212" s="9">
        <v>3369655.04</v>
      </c>
    </row>
    <row r="213" spans="1:112" x14ac:dyDescent="0.2">
      <c r="A213" s="8" t="s">
        <v>860</v>
      </c>
      <c r="B213" s="8" t="s">
        <v>451</v>
      </c>
      <c r="C213" s="8" t="s">
        <v>453</v>
      </c>
      <c r="D213" s="9">
        <v>13160051.100000001</v>
      </c>
      <c r="E213" s="9">
        <v>13160054</v>
      </c>
      <c r="F213" s="9">
        <v>350474.3</v>
      </c>
      <c r="G213" s="9">
        <v>911043.4</v>
      </c>
      <c r="H213" s="9">
        <v>1381826.5</v>
      </c>
      <c r="I213" s="9">
        <v>67396.899999999994</v>
      </c>
      <c r="J213" s="9">
        <v>1186769.3999999999</v>
      </c>
      <c r="K213" s="9">
        <v>1718148.9</v>
      </c>
      <c r="L213" s="9">
        <v>189954.6</v>
      </c>
      <c r="M213" s="9">
        <v>2222498</v>
      </c>
      <c r="N213" s="9">
        <v>53366.6</v>
      </c>
      <c r="O213" s="9">
        <v>546554.69999999995</v>
      </c>
      <c r="P213" s="9">
        <v>134266.70000000001</v>
      </c>
      <c r="Q213" s="9">
        <v>80348.600000000006</v>
      </c>
      <c r="R213" s="9">
        <v>4317405.4000000004</v>
      </c>
      <c r="S213" s="9">
        <v>3363710.3</v>
      </c>
      <c r="T213" s="9">
        <v>0</v>
      </c>
      <c r="U213" s="9">
        <v>0</v>
      </c>
      <c r="V213" s="9">
        <v>0</v>
      </c>
      <c r="W213" s="9">
        <v>935256.85</v>
      </c>
      <c r="X213" s="9">
        <v>935256.9</v>
      </c>
      <c r="Y213" s="9">
        <v>42625.599999999999</v>
      </c>
      <c r="Z213" s="9">
        <v>236658.2</v>
      </c>
      <c r="AA213" s="9">
        <v>73370.399999999994</v>
      </c>
      <c r="AB213" s="9">
        <v>1863.2</v>
      </c>
      <c r="AC213" s="9">
        <v>247385.5</v>
      </c>
      <c r="AD213" s="9">
        <v>68826.5</v>
      </c>
      <c r="AE213" s="9">
        <v>10015.6</v>
      </c>
      <c r="AF213" s="9">
        <v>77165.7</v>
      </c>
      <c r="AG213" s="9">
        <v>1015.1</v>
      </c>
      <c r="AH213" s="9">
        <v>3176.4</v>
      </c>
      <c r="AI213" s="9">
        <v>48510.3</v>
      </c>
      <c r="AJ213" s="9">
        <v>5938.4</v>
      </c>
      <c r="AK213" s="9">
        <v>118705.8</v>
      </c>
      <c r="AL213" s="9">
        <v>1166337.4099999999</v>
      </c>
      <c r="AM213" s="9">
        <v>1166337.3999999999</v>
      </c>
      <c r="AN213" s="9">
        <v>31199.8</v>
      </c>
      <c r="AO213" s="9">
        <v>234728.2</v>
      </c>
      <c r="AP213" s="9">
        <v>243347.20000000001</v>
      </c>
      <c r="AQ213" s="9">
        <v>8709.9</v>
      </c>
      <c r="AR213" s="9">
        <v>129855.8</v>
      </c>
      <c r="AS213" s="9">
        <v>166447.70000000001</v>
      </c>
      <c r="AT213" s="9">
        <v>12879.8</v>
      </c>
      <c r="AU213" s="9">
        <v>154124.79999999999</v>
      </c>
      <c r="AV213" s="9">
        <v>4180.8999999999996</v>
      </c>
      <c r="AW213" s="9">
        <v>47300.800000000003</v>
      </c>
      <c r="AX213" s="9">
        <v>3972.8</v>
      </c>
      <c r="AY213" s="9">
        <v>6181.7</v>
      </c>
      <c r="AZ213" s="9">
        <v>123407.8</v>
      </c>
      <c r="BA213" s="9">
        <v>6342826.8099999996</v>
      </c>
      <c r="BB213" s="9">
        <v>746649.96</v>
      </c>
      <c r="BC213" s="9">
        <v>6861097.2199999997</v>
      </c>
      <c r="BD213" s="9">
        <v>1433782.93</v>
      </c>
      <c r="BE213" s="9">
        <v>165945.95000000001</v>
      </c>
      <c r="BF213" s="9">
        <v>39488.75</v>
      </c>
      <c r="BG213" s="9">
        <v>769310.89</v>
      </c>
      <c r="BH213" s="9">
        <v>145157.42000000001</v>
      </c>
      <c r="BI213" s="9">
        <v>221616</v>
      </c>
      <c r="BJ213" s="9">
        <v>97488.02</v>
      </c>
      <c r="BK213" s="9">
        <v>944721.41</v>
      </c>
      <c r="BL213" s="9">
        <v>215417.84</v>
      </c>
      <c r="BM213" s="9">
        <v>10461897.029999997</v>
      </c>
      <c r="BN213" s="9">
        <v>6206772.21</v>
      </c>
      <c r="BO213" s="9">
        <v>0</v>
      </c>
      <c r="BP213" s="9">
        <v>4255124.8100000005</v>
      </c>
      <c r="BQ213" s="9">
        <v>0</v>
      </c>
      <c r="BR213" s="9">
        <v>742003.69</v>
      </c>
      <c r="BS213" s="9">
        <v>150175.31</v>
      </c>
      <c r="BT213" s="9">
        <v>0</v>
      </c>
      <c r="BU213" s="9">
        <v>591828.37</v>
      </c>
      <c r="BV213" s="9">
        <v>0</v>
      </c>
      <c r="BW213" s="9">
        <v>807597.46000000008</v>
      </c>
      <c r="BX213" s="9">
        <v>199764.79</v>
      </c>
      <c r="BY213" s="9">
        <v>0</v>
      </c>
      <c r="BZ213" s="9">
        <v>607832.66</v>
      </c>
      <c r="CA213" s="9">
        <v>0</v>
      </c>
      <c r="CB213" s="9">
        <v>151961.22</v>
      </c>
      <c r="CC213" s="9">
        <v>13312012.320000002</v>
      </c>
      <c r="CD213" s="9">
        <v>988129</v>
      </c>
      <c r="CE213" s="9">
        <v>982815</v>
      </c>
      <c r="CF213" s="9">
        <v>12623483.75</v>
      </c>
      <c r="CG213" s="9">
        <v>8918603.0300000012</v>
      </c>
      <c r="CH213" s="9">
        <v>3704880.72</v>
      </c>
      <c r="CI213" s="9">
        <v>8751705.6699999999</v>
      </c>
      <c r="CJ213" s="9">
        <v>6830447.3300000001</v>
      </c>
      <c r="CK213" s="9">
        <v>1921258.34</v>
      </c>
      <c r="CL213" s="9">
        <v>3871778.08</v>
      </c>
      <c r="CM213" s="9">
        <v>2088155.7</v>
      </c>
      <c r="CN213" s="9">
        <v>1783622.38</v>
      </c>
      <c r="CO213" s="9">
        <v>3750604.69</v>
      </c>
      <c r="CP213" s="9">
        <v>833751.7</v>
      </c>
      <c r="CQ213" s="9">
        <v>2916852.99</v>
      </c>
      <c r="CR213" s="9">
        <v>2033033.76</v>
      </c>
      <c r="CS213" s="9">
        <v>640598.9</v>
      </c>
      <c r="CT213" s="9">
        <v>1392434.86</v>
      </c>
      <c r="CU213" s="9">
        <v>1717570.9300000002</v>
      </c>
      <c r="CV213" s="9">
        <v>193152.8</v>
      </c>
      <c r="CW213" s="9">
        <v>1524418.13</v>
      </c>
      <c r="CX213" s="9">
        <v>8872879.0600000005</v>
      </c>
      <c r="CY213" s="9">
        <v>8084851.3300000001</v>
      </c>
      <c r="CZ213" s="9">
        <v>788027.7300000001</v>
      </c>
      <c r="DA213" s="9">
        <v>6718671.9100000001</v>
      </c>
      <c r="DB213" s="9">
        <v>6189848.4299999997</v>
      </c>
      <c r="DC213" s="9">
        <v>528823.48</v>
      </c>
      <c r="DD213" s="9">
        <v>2154207.15</v>
      </c>
      <c r="DE213" s="9">
        <v>1895002.9</v>
      </c>
      <c r="DF213" s="9">
        <v>259204.25</v>
      </c>
      <c r="DG213" s="9">
        <v>16304527.869999999</v>
      </c>
      <c r="DH213" s="9">
        <v>3681044.12</v>
      </c>
    </row>
    <row r="214" spans="1:112" x14ac:dyDescent="0.2">
      <c r="A214" s="8" t="s">
        <v>860</v>
      </c>
      <c r="B214" s="8" t="s">
        <v>451</v>
      </c>
      <c r="C214" s="8" t="s">
        <v>454</v>
      </c>
      <c r="D214" s="9">
        <v>13316511.42</v>
      </c>
      <c r="E214" s="9">
        <v>13316647.300000001</v>
      </c>
      <c r="F214" s="9">
        <v>344136.6</v>
      </c>
      <c r="G214" s="9">
        <v>933353</v>
      </c>
      <c r="H214" s="9">
        <v>1342582.8</v>
      </c>
      <c r="I214" s="9">
        <v>71412.399999999994</v>
      </c>
      <c r="J214" s="9">
        <v>1206759.3999999999</v>
      </c>
      <c r="K214" s="9">
        <v>1724901</v>
      </c>
      <c r="L214" s="9">
        <v>183482.3</v>
      </c>
      <c r="M214" s="9">
        <v>2255441.1</v>
      </c>
      <c r="N214" s="9">
        <v>55650.400000000001</v>
      </c>
      <c r="O214" s="9">
        <v>557682.69999999995</v>
      </c>
      <c r="P214" s="9">
        <v>133952.79999999999</v>
      </c>
      <c r="Q214" s="9">
        <v>85756.4</v>
      </c>
      <c r="R214" s="9">
        <v>4421536.2</v>
      </c>
      <c r="S214" s="9">
        <v>2735891.7</v>
      </c>
      <c r="T214" s="9">
        <v>98503.8</v>
      </c>
      <c r="U214" s="9">
        <v>174095.4</v>
      </c>
      <c r="V214" s="9">
        <v>422191.2</v>
      </c>
      <c r="W214" s="9">
        <v>823139.82</v>
      </c>
      <c r="X214" s="9">
        <v>823139.8</v>
      </c>
      <c r="Y214" s="9">
        <v>38739.1</v>
      </c>
      <c r="Z214" s="9">
        <v>231557.7</v>
      </c>
      <c r="AA214" s="9">
        <v>79720.3</v>
      </c>
      <c r="AB214" s="9">
        <v>3146.5</v>
      </c>
      <c r="AC214" s="9">
        <v>202858</v>
      </c>
      <c r="AD214" s="9">
        <v>58230.3</v>
      </c>
      <c r="AE214" s="9">
        <v>9227.1</v>
      </c>
      <c r="AF214" s="9">
        <v>69584.800000000003</v>
      </c>
      <c r="AG214" s="9">
        <v>254.9</v>
      </c>
      <c r="AH214" s="9">
        <v>3082.9</v>
      </c>
      <c r="AI214" s="9">
        <v>12150</v>
      </c>
      <c r="AJ214" s="9">
        <v>5817.4</v>
      </c>
      <c r="AK214" s="9">
        <v>108770.7</v>
      </c>
      <c r="AL214" s="9">
        <v>1164679.69</v>
      </c>
      <c r="AM214" s="9">
        <v>1164679.7</v>
      </c>
      <c r="AN214" s="9">
        <v>29795.3</v>
      </c>
      <c r="AO214" s="9">
        <v>231039.5</v>
      </c>
      <c r="AP214" s="9">
        <v>249092.8</v>
      </c>
      <c r="AQ214" s="9">
        <v>8649.2999999999993</v>
      </c>
      <c r="AR214" s="9">
        <v>134167.6</v>
      </c>
      <c r="AS214" s="9">
        <v>157491.9</v>
      </c>
      <c r="AT214" s="9">
        <v>12962.1</v>
      </c>
      <c r="AU214" s="9">
        <v>155822.29999999999</v>
      </c>
      <c r="AV214" s="9">
        <v>4962.3</v>
      </c>
      <c r="AW214" s="9">
        <v>47888.6</v>
      </c>
      <c r="AX214" s="9">
        <v>3793.3</v>
      </c>
      <c r="AY214" s="9">
        <v>3712.5</v>
      </c>
      <c r="AZ214" s="9">
        <v>125301.9</v>
      </c>
      <c r="BA214" s="9">
        <v>6513909.9700000007</v>
      </c>
      <c r="BB214" s="9">
        <v>763186.19</v>
      </c>
      <c r="BC214" s="9">
        <v>6847164.2500000009</v>
      </c>
      <c r="BD214" s="9">
        <v>1407776.35</v>
      </c>
      <c r="BE214" s="9">
        <v>145509.44</v>
      </c>
      <c r="BF214" s="9">
        <v>37404.28</v>
      </c>
      <c r="BG214" s="9">
        <v>677630.38</v>
      </c>
      <c r="BH214" s="9">
        <v>119098.61</v>
      </c>
      <c r="BI214" s="9">
        <v>224493.17</v>
      </c>
      <c r="BJ214" s="9">
        <v>95232.42</v>
      </c>
      <c r="BK214" s="9">
        <v>940186.51</v>
      </c>
      <c r="BL214" s="9">
        <v>217878.28</v>
      </c>
      <c r="BM214" s="9">
        <v>10610844.780000001</v>
      </c>
      <c r="BN214" s="9">
        <v>6359855.1500000004</v>
      </c>
      <c r="BO214" s="9">
        <v>47771.1</v>
      </c>
      <c r="BP214" s="9">
        <v>4250989.6400000006</v>
      </c>
      <c r="BQ214" s="9">
        <v>165369.63</v>
      </c>
      <c r="BR214" s="9">
        <v>670172.48</v>
      </c>
      <c r="BS214" s="9">
        <v>130319.94</v>
      </c>
      <c r="BT214" s="9">
        <v>12394.65</v>
      </c>
      <c r="BU214" s="9">
        <v>539852.54</v>
      </c>
      <c r="BV214" s="9">
        <v>19772.759999999998</v>
      </c>
      <c r="BW214" s="9">
        <v>802687.95000000007</v>
      </c>
      <c r="BX214" s="9">
        <v>202317.76</v>
      </c>
      <c r="BY214" s="9">
        <v>10110.629999999999</v>
      </c>
      <c r="BZ214" s="9">
        <v>600370.19000000006</v>
      </c>
      <c r="CA214" s="9">
        <v>17721.580000000002</v>
      </c>
      <c r="CB214" s="9">
        <v>154370.64000000001</v>
      </c>
      <c r="CC214" s="9">
        <v>13470882.060000001</v>
      </c>
      <c r="CD214" s="9">
        <v>1001240</v>
      </c>
      <c r="CE214" s="9">
        <v>995911</v>
      </c>
      <c r="CF214" s="9">
        <v>12998221.369999999</v>
      </c>
      <c r="CG214" s="9">
        <v>9105518.5999999996</v>
      </c>
      <c r="CH214" s="9">
        <v>3892702.77</v>
      </c>
      <c r="CI214" s="9">
        <v>8781868.6500000004</v>
      </c>
      <c r="CJ214" s="9">
        <v>6845813.5599999996</v>
      </c>
      <c r="CK214" s="9">
        <v>1936055.09</v>
      </c>
      <c r="CL214" s="9">
        <v>4216352.72</v>
      </c>
      <c r="CM214" s="9">
        <v>2259705.04</v>
      </c>
      <c r="CN214" s="9">
        <v>1956647.68</v>
      </c>
      <c r="CO214" s="9">
        <v>3987988.31</v>
      </c>
      <c r="CP214" s="9">
        <v>839368.27999999991</v>
      </c>
      <c r="CQ214" s="9">
        <v>3148620.0300000003</v>
      </c>
      <c r="CR214" s="9">
        <v>2095261.55</v>
      </c>
      <c r="CS214" s="9">
        <v>625804.31999999995</v>
      </c>
      <c r="CT214" s="9">
        <v>1469457.2300000002</v>
      </c>
      <c r="CU214" s="9">
        <v>1892726.76</v>
      </c>
      <c r="CV214" s="9">
        <v>213563.96</v>
      </c>
      <c r="CW214" s="9">
        <v>1679162.7999999998</v>
      </c>
      <c r="CX214" s="9">
        <v>9010233.0599999987</v>
      </c>
      <c r="CY214" s="9">
        <v>8266150.3200000003</v>
      </c>
      <c r="CZ214" s="9">
        <v>744082.73999999987</v>
      </c>
      <c r="DA214" s="9">
        <v>6686607.0999999996</v>
      </c>
      <c r="DB214" s="9">
        <v>6220009.2400000002</v>
      </c>
      <c r="DC214" s="9">
        <v>466597.86</v>
      </c>
      <c r="DD214" s="9">
        <v>2323625.96</v>
      </c>
      <c r="DE214" s="9">
        <v>2046141.08</v>
      </c>
      <c r="DF214" s="9">
        <v>277484.88</v>
      </c>
      <c r="DG214" s="9">
        <v>16606327.699999999</v>
      </c>
      <c r="DH214" s="9">
        <v>3608106.33</v>
      </c>
    </row>
    <row r="215" spans="1:112" x14ac:dyDescent="0.2">
      <c r="A215" s="8" t="s">
        <v>860</v>
      </c>
      <c r="B215" s="8" t="s">
        <v>455</v>
      </c>
      <c r="C215" s="8" t="s">
        <v>456</v>
      </c>
      <c r="D215" s="9">
        <v>13281674.5</v>
      </c>
      <c r="E215" s="9">
        <v>13281673.699999999</v>
      </c>
      <c r="F215" s="9">
        <v>339849.1</v>
      </c>
      <c r="G215" s="9">
        <v>1009551.4</v>
      </c>
      <c r="H215" s="9">
        <v>1324308.2</v>
      </c>
      <c r="I215" s="9">
        <v>68819.600000000006</v>
      </c>
      <c r="J215" s="9">
        <v>1217025.5</v>
      </c>
      <c r="K215" s="9">
        <v>1706675.8</v>
      </c>
      <c r="L215" s="9">
        <v>191721.4</v>
      </c>
      <c r="M215" s="9">
        <v>2109396.3000000003</v>
      </c>
      <c r="N215" s="9">
        <v>53341.7</v>
      </c>
      <c r="O215" s="9">
        <v>549872.4</v>
      </c>
      <c r="P215" s="9">
        <v>119807.1</v>
      </c>
      <c r="Q215" s="9">
        <v>73696</v>
      </c>
      <c r="R215" s="9">
        <v>4517609.4000000004</v>
      </c>
      <c r="S215" s="9">
        <v>2785134.9</v>
      </c>
      <c r="T215" s="9">
        <v>101779.8</v>
      </c>
      <c r="U215" s="9">
        <v>172251.8</v>
      </c>
      <c r="V215" s="9">
        <v>456157.4</v>
      </c>
      <c r="W215" s="9">
        <v>965285.22</v>
      </c>
      <c r="X215" s="9">
        <v>965285.2</v>
      </c>
      <c r="Y215" s="9">
        <v>40637.5</v>
      </c>
      <c r="Z215" s="9">
        <v>262075.3</v>
      </c>
      <c r="AA215" s="9">
        <v>96289.2</v>
      </c>
      <c r="AB215" s="9">
        <v>4906.3</v>
      </c>
      <c r="AC215" s="9">
        <v>250076.6</v>
      </c>
      <c r="AD215" s="9">
        <v>120292.2</v>
      </c>
      <c r="AE215" s="9">
        <v>9090.9</v>
      </c>
      <c r="AF215" s="9">
        <v>60652</v>
      </c>
      <c r="AG215" s="9">
        <v>230.5</v>
      </c>
      <c r="AH215" s="9">
        <v>202.7</v>
      </c>
      <c r="AI215" s="9">
        <v>11192</v>
      </c>
      <c r="AJ215" s="9">
        <v>5548.5</v>
      </c>
      <c r="AK215" s="9">
        <v>104091.6</v>
      </c>
      <c r="AL215" s="9">
        <v>1168965.7</v>
      </c>
      <c r="AM215" s="9">
        <v>1168964.8</v>
      </c>
      <c r="AN215" s="9">
        <v>34498.199999999997</v>
      </c>
      <c r="AO215" s="9">
        <v>232517.1</v>
      </c>
      <c r="AP215" s="9">
        <v>243745</v>
      </c>
      <c r="AQ215" s="9">
        <v>8591.7999999999993</v>
      </c>
      <c r="AR215" s="9">
        <v>131222.79999999999</v>
      </c>
      <c r="AS215" s="9">
        <v>158433</v>
      </c>
      <c r="AT215" s="9">
        <v>16403</v>
      </c>
      <c r="AU215" s="9">
        <v>156097.79999999999</v>
      </c>
      <c r="AV215" s="9">
        <v>4889.1000000000004</v>
      </c>
      <c r="AW215" s="9">
        <v>47782.8</v>
      </c>
      <c r="AX215" s="9">
        <v>4055.7</v>
      </c>
      <c r="AY215" s="9">
        <v>4337.6000000000004</v>
      </c>
      <c r="AZ215" s="9">
        <v>126391</v>
      </c>
      <c r="BA215" s="9">
        <v>6455022.3899999997</v>
      </c>
      <c r="BB215" s="9">
        <v>802597.29</v>
      </c>
      <c r="BC215" s="9">
        <v>6862597.7199999997</v>
      </c>
      <c r="BD215" s="9">
        <v>1611947.12</v>
      </c>
      <c r="BE215" s="9">
        <v>141563.39000000001</v>
      </c>
      <c r="BF215" s="9">
        <v>35385.79</v>
      </c>
      <c r="BG215" s="9">
        <v>823721.82</v>
      </c>
      <c r="BH215" s="9">
        <v>165104.35999999999</v>
      </c>
      <c r="BI215" s="9">
        <v>226380.7</v>
      </c>
      <c r="BJ215" s="9">
        <v>97600.87</v>
      </c>
      <c r="BK215" s="9">
        <v>942584.99</v>
      </c>
      <c r="BL215" s="9">
        <v>247679.09</v>
      </c>
      <c r="BM215" s="9">
        <v>10524638.93</v>
      </c>
      <c r="BN215" s="9">
        <v>6282656.9099999992</v>
      </c>
      <c r="BO215" s="9">
        <v>47501.45</v>
      </c>
      <c r="BP215" s="9">
        <v>4241982.0099999988</v>
      </c>
      <c r="BQ215" s="9">
        <v>387190.95</v>
      </c>
      <c r="BR215" s="9">
        <v>759562.37</v>
      </c>
      <c r="BS215" s="9">
        <v>128414.02</v>
      </c>
      <c r="BT215" s="9">
        <v>10375.34</v>
      </c>
      <c r="BU215" s="9">
        <v>631148.34</v>
      </c>
      <c r="BV215" s="9">
        <v>76006.86</v>
      </c>
      <c r="BW215" s="9">
        <v>816788.32000000007</v>
      </c>
      <c r="BX215" s="9">
        <v>203186.84</v>
      </c>
      <c r="BY215" s="9">
        <v>11588.63</v>
      </c>
      <c r="BZ215" s="9">
        <v>613601.4800000001</v>
      </c>
      <c r="CA215" s="9">
        <v>36070.47</v>
      </c>
      <c r="CB215" s="9">
        <v>153695.79</v>
      </c>
      <c r="CC215" s="9">
        <v>13435370.289999999</v>
      </c>
      <c r="CD215" s="9">
        <v>1005408</v>
      </c>
      <c r="CE215" s="9">
        <v>1000068</v>
      </c>
      <c r="CF215" s="9">
        <v>12640724.940000001</v>
      </c>
      <c r="CG215" s="9">
        <v>9147106.9500000011</v>
      </c>
      <c r="CH215" s="9">
        <v>3493617.99</v>
      </c>
      <c r="CI215" s="9">
        <v>8872728.8300000001</v>
      </c>
      <c r="CJ215" s="9">
        <v>7004972.1000000006</v>
      </c>
      <c r="CK215" s="9">
        <v>1867756.73</v>
      </c>
      <c r="CL215" s="9">
        <v>3767996.11</v>
      </c>
      <c r="CM215" s="9">
        <v>2142134.85</v>
      </c>
      <c r="CN215" s="9">
        <v>1625861.26</v>
      </c>
      <c r="CO215" s="9">
        <v>3520010.44</v>
      </c>
      <c r="CP215" s="9">
        <v>802189.1</v>
      </c>
      <c r="CQ215" s="9">
        <v>2717821.3400000003</v>
      </c>
      <c r="CR215" s="9">
        <v>1968312.38</v>
      </c>
      <c r="CS215" s="9">
        <v>605192.25</v>
      </c>
      <c r="CT215" s="9">
        <v>1363120.13</v>
      </c>
      <c r="CU215" s="9">
        <v>1551698.0600000003</v>
      </c>
      <c r="CV215" s="9">
        <v>196996.85</v>
      </c>
      <c r="CW215" s="9">
        <v>1354701.2100000002</v>
      </c>
      <c r="CX215" s="9">
        <v>9120714.5</v>
      </c>
      <c r="CY215" s="9">
        <v>8344917.8499999996</v>
      </c>
      <c r="CZ215" s="9">
        <v>775796.64999999991</v>
      </c>
      <c r="DA215" s="9">
        <v>6904416.4499999993</v>
      </c>
      <c r="DB215" s="9">
        <v>6399779.8500000006</v>
      </c>
      <c r="DC215" s="9">
        <v>504636.6</v>
      </c>
      <c r="DD215" s="9">
        <v>2216298.0499999998</v>
      </c>
      <c r="DE215" s="9">
        <v>1945138</v>
      </c>
      <c r="DF215" s="9">
        <v>271160.05</v>
      </c>
      <c r="DG215" s="9">
        <v>16316592.109999999</v>
      </c>
      <c r="DH215" s="9">
        <v>3675867.17</v>
      </c>
    </row>
    <row r="216" spans="1:112" x14ac:dyDescent="0.2">
      <c r="A216" s="8" t="s">
        <v>860</v>
      </c>
      <c r="B216" s="8" t="s">
        <v>455</v>
      </c>
      <c r="C216" s="8" t="s">
        <v>457</v>
      </c>
      <c r="D216" s="9">
        <v>13389664.77</v>
      </c>
      <c r="E216" s="9">
        <v>13389664.800000001</v>
      </c>
      <c r="F216" s="9">
        <v>332801.90000000002</v>
      </c>
      <c r="G216" s="9">
        <v>983319.7</v>
      </c>
      <c r="H216" s="9">
        <v>1302261.6000000001</v>
      </c>
      <c r="I216" s="9">
        <v>73451.600000000006</v>
      </c>
      <c r="J216" s="9">
        <v>1226171.8</v>
      </c>
      <c r="K216" s="9">
        <v>1749159.9</v>
      </c>
      <c r="L216" s="9">
        <v>186918.39999999999</v>
      </c>
      <c r="M216" s="9">
        <v>2143479.9</v>
      </c>
      <c r="N216" s="9">
        <v>51619.4</v>
      </c>
      <c r="O216" s="9">
        <v>541255.80000000005</v>
      </c>
      <c r="P216" s="9">
        <v>118075.7</v>
      </c>
      <c r="Q216" s="9">
        <v>74856.899999999994</v>
      </c>
      <c r="R216" s="9">
        <v>4606297.8999999994</v>
      </c>
      <c r="S216" s="9">
        <v>2825296.8</v>
      </c>
      <c r="T216" s="9">
        <v>110417.8</v>
      </c>
      <c r="U216" s="9">
        <v>175951.8</v>
      </c>
      <c r="V216" s="9">
        <v>478770.7</v>
      </c>
      <c r="W216" s="9">
        <v>889895.45</v>
      </c>
      <c r="X216" s="9">
        <v>889895.5</v>
      </c>
      <c r="Y216" s="9">
        <v>59139.6</v>
      </c>
      <c r="Z216" s="9">
        <v>257822</v>
      </c>
      <c r="AA216" s="9">
        <v>95948.3</v>
      </c>
      <c r="AB216" s="9">
        <v>1757.8</v>
      </c>
      <c r="AC216" s="9">
        <v>202544.2</v>
      </c>
      <c r="AD216" s="9">
        <v>80170.3</v>
      </c>
      <c r="AE216" s="9">
        <v>8539.2000000000007</v>
      </c>
      <c r="AF216" s="9">
        <v>52797.599999999999</v>
      </c>
      <c r="AG216" s="9">
        <v>220</v>
      </c>
      <c r="AH216" s="9">
        <v>227</v>
      </c>
      <c r="AI216" s="9">
        <v>11179.1</v>
      </c>
      <c r="AJ216" s="9">
        <v>5717.8</v>
      </c>
      <c r="AK216" s="9">
        <v>113832.6</v>
      </c>
      <c r="AL216" s="9">
        <v>1151498.22</v>
      </c>
      <c r="AM216" s="9">
        <v>1151498.2</v>
      </c>
      <c r="AN216" s="9">
        <v>34020.400000000001</v>
      </c>
      <c r="AO216" s="9">
        <v>231533.8</v>
      </c>
      <c r="AP216" s="9">
        <v>242851.3</v>
      </c>
      <c r="AQ216" s="9">
        <v>9470</v>
      </c>
      <c r="AR216" s="9">
        <v>129230.6</v>
      </c>
      <c r="AS216" s="9">
        <v>155342.5</v>
      </c>
      <c r="AT216" s="9">
        <v>16568.7</v>
      </c>
      <c r="AU216" s="9">
        <v>146304.79999999999</v>
      </c>
      <c r="AV216" s="9">
        <v>4265.8</v>
      </c>
      <c r="AW216" s="9">
        <v>47374.3</v>
      </c>
      <c r="AX216" s="9">
        <v>3703.6</v>
      </c>
      <c r="AY216" s="9">
        <v>4453.3999999999996</v>
      </c>
      <c r="AZ216" s="9">
        <v>126379.2</v>
      </c>
      <c r="BA216" s="9">
        <v>6554203.3900000006</v>
      </c>
      <c r="BB216" s="9">
        <v>802605.96</v>
      </c>
      <c r="BC216" s="9">
        <v>6867828.3100000005</v>
      </c>
      <c r="BD216" s="9">
        <v>1600835.69</v>
      </c>
      <c r="BE216" s="9">
        <v>136139.42000000001</v>
      </c>
      <c r="BF216" s="9">
        <v>32412.880000000001</v>
      </c>
      <c r="BG216" s="9">
        <v>753756.02</v>
      </c>
      <c r="BH216" s="9">
        <v>189910.35</v>
      </c>
      <c r="BI216" s="9">
        <v>218326.36</v>
      </c>
      <c r="BJ216" s="9">
        <v>93293.01</v>
      </c>
      <c r="BK216" s="9">
        <v>933171.85</v>
      </c>
      <c r="BL216" s="9">
        <v>250240.64000000001</v>
      </c>
      <c r="BM216" s="9">
        <v>10615288.259999998</v>
      </c>
      <c r="BN216" s="9">
        <v>6385077.4600000009</v>
      </c>
      <c r="BO216" s="9">
        <v>46272.59</v>
      </c>
      <c r="BP216" s="9">
        <v>4230210.78</v>
      </c>
      <c r="BQ216" s="9">
        <v>180294</v>
      </c>
      <c r="BR216" s="9">
        <v>720909.94</v>
      </c>
      <c r="BS216" s="9">
        <v>121789.86</v>
      </c>
      <c r="BT216" s="9">
        <v>10315.11</v>
      </c>
      <c r="BU216" s="9">
        <v>599120.06999999995</v>
      </c>
      <c r="BV216" s="9">
        <v>15318.73</v>
      </c>
      <c r="BW216" s="9">
        <v>811522.36</v>
      </c>
      <c r="BX216" s="9">
        <v>197325.44</v>
      </c>
      <c r="BY216" s="9">
        <v>9962.91</v>
      </c>
      <c r="BZ216" s="9">
        <v>614196.90999999992</v>
      </c>
      <c r="CA216" s="9">
        <v>17783.05</v>
      </c>
      <c r="CB216" s="9">
        <v>152941.21</v>
      </c>
      <c r="CC216" s="9">
        <v>13542605.98</v>
      </c>
      <c r="CD216" s="9">
        <v>1017221</v>
      </c>
      <c r="CE216" s="9">
        <v>1011780</v>
      </c>
      <c r="CF216" s="9">
        <v>12835803.039999999</v>
      </c>
      <c r="CG216" s="9">
        <v>9272570.5700000003</v>
      </c>
      <c r="CH216" s="9">
        <v>3563232.4699999997</v>
      </c>
      <c r="CI216" s="9">
        <v>9033973.5399999991</v>
      </c>
      <c r="CJ216" s="9">
        <v>7096174.7699999996</v>
      </c>
      <c r="CK216" s="9">
        <v>1937798.77</v>
      </c>
      <c r="CL216" s="9">
        <v>3801829.5</v>
      </c>
      <c r="CM216" s="9">
        <v>2176395.7999999998</v>
      </c>
      <c r="CN216" s="9">
        <v>1625433.7</v>
      </c>
      <c r="CO216" s="9">
        <v>3547121.5700000003</v>
      </c>
      <c r="CP216" s="9">
        <v>815085.5</v>
      </c>
      <c r="CQ216" s="9">
        <v>2732036.07</v>
      </c>
      <c r="CR216" s="9">
        <v>1994304.67</v>
      </c>
      <c r="CS216" s="9">
        <v>620787.07999999996</v>
      </c>
      <c r="CT216" s="9">
        <v>1373517.59</v>
      </c>
      <c r="CU216" s="9">
        <v>1552816.9</v>
      </c>
      <c r="CV216" s="9">
        <v>194298.42</v>
      </c>
      <c r="CW216" s="9">
        <v>1358518.48</v>
      </c>
      <c r="CX216" s="9">
        <v>9288681.4699999988</v>
      </c>
      <c r="CY216" s="9">
        <v>8457485.0700000003</v>
      </c>
      <c r="CZ216" s="9">
        <v>831196.40000000014</v>
      </c>
      <c r="DA216" s="9">
        <v>7039668.8699999992</v>
      </c>
      <c r="DB216" s="9">
        <v>6475387.6899999995</v>
      </c>
      <c r="DC216" s="9">
        <v>564281.18000000005</v>
      </c>
      <c r="DD216" s="9">
        <v>2249012.6</v>
      </c>
      <c r="DE216" s="9">
        <v>1982097.38</v>
      </c>
      <c r="DF216" s="9">
        <v>266915.21999999997</v>
      </c>
      <c r="DG216" s="9">
        <v>16580763.98</v>
      </c>
      <c r="DH216" s="9">
        <v>3744960.94</v>
      </c>
    </row>
    <row r="217" spans="1:112" x14ac:dyDescent="0.2">
      <c r="A217" s="8" t="s">
        <v>860</v>
      </c>
      <c r="B217" s="8" t="s">
        <v>455</v>
      </c>
      <c r="C217" s="8" t="s">
        <v>458</v>
      </c>
      <c r="D217" s="9">
        <v>13506463.450000001</v>
      </c>
      <c r="E217" s="9">
        <v>13506742.5</v>
      </c>
      <c r="F217" s="9">
        <v>310483.09999999998</v>
      </c>
      <c r="G217" s="9">
        <v>1029931.2</v>
      </c>
      <c r="H217" s="9">
        <v>1372624.8</v>
      </c>
      <c r="I217" s="9">
        <v>68740.5</v>
      </c>
      <c r="J217" s="9">
        <v>1261334.2</v>
      </c>
      <c r="K217" s="9">
        <v>1864400.1</v>
      </c>
      <c r="L217" s="9">
        <v>189286.39999999999</v>
      </c>
      <c r="M217" s="9">
        <v>2190987.6</v>
      </c>
      <c r="N217" s="9">
        <v>44157</v>
      </c>
      <c r="O217" s="9">
        <v>387745.5</v>
      </c>
      <c r="P217" s="9">
        <v>112294.2</v>
      </c>
      <c r="Q217" s="9">
        <v>72527.199999999997</v>
      </c>
      <c r="R217" s="9">
        <v>4602070.1000000006</v>
      </c>
      <c r="S217" s="9">
        <v>2829051.4</v>
      </c>
      <c r="T217" s="9">
        <v>116075</v>
      </c>
      <c r="U217" s="9">
        <v>182139.9</v>
      </c>
      <c r="V217" s="9">
        <v>479226.9</v>
      </c>
      <c r="W217" s="9">
        <v>819455.5</v>
      </c>
      <c r="X217" s="9">
        <v>819455.5</v>
      </c>
      <c r="Y217" s="9">
        <v>36114.300000000003</v>
      </c>
      <c r="Z217" s="9">
        <v>177792.1</v>
      </c>
      <c r="AA217" s="9">
        <v>116090.1</v>
      </c>
      <c r="AB217" s="9">
        <v>927.1</v>
      </c>
      <c r="AC217" s="9">
        <v>260242.5</v>
      </c>
      <c r="AD217" s="9">
        <v>48835</v>
      </c>
      <c r="AE217" s="9">
        <v>6738.7</v>
      </c>
      <c r="AF217" s="9">
        <v>50105.7</v>
      </c>
      <c r="AG217" s="9">
        <v>197.8</v>
      </c>
      <c r="AH217" s="9">
        <v>1127.9000000000001</v>
      </c>
      <c r="AI217" s="9">
        <v>11225.1</v>
      </c>
      <c r="AJ217" s="9">
        <v>6061.7</v>
      </c>
      <c r="AK217" s="9">
        <v>103997.4</v>
      </c>
      <c r="AL217" s="9">
        <v>1148473.01</v>
      </c>
      <c r="AM217" s="9">
        <v>1148472.6000000001</v>
      </c>
      <c r="AN217" s="9">
        <v>37893</v>
      </c>
      <c r="AO217" s="9">
        <v>242578.4</v>
      </c>
      <c r="AP217" s="9">
        <v>240672.1</v>
      </c>
      <c r="AQ217" s="9">
        <v>9257.7999999999993</v>
      </c>
      <c r="AR217" s="9">
        <v>128571.1</v>
      </c>
      <c r="AS217" s="9">
        <v>155149.70000000001</v>
      </c>
      <c r="AT217" s="9">
        <v>12986.2</v>
      </c>
      <c r="AU217" s="9">
        <v>141814.6</v>
      </c>
      <c r="AV217" s="9">
        <v>3877.6</v>
      </c>
      <c r="AW217" s="9">
        <v>45426</v>
      </c>
      <c r="AX217" s="9">
        <v>2755</v>
      </c>
      <c r="AY217" s="9">
        <v>3552.6</v>
      </c>
      <c r="AZ217" s="9">
        <v>123938.6</v>
      </c>
      <c r="BA217" s="9">
        <v>6608226.1200000001</v>
      </c>
      <c r="BB217" s="9">
        <v>808541.2</v>
      </c>
      <c r="BC217" s="9">
        <v>6943682.7599999988</v>
      </c>
      <c r="BD217" s="9">
        <v>1661516.14</v>
      </c>
      <c r="BE217" s="9">
        <v>112953.16</v>
      </c>
      <c r="BF217" s="9">
        <v>22253.62</v>
      </c>
      <c r="BG217" s="9">
        <v>706502.35000000009</v>
      </c>
      <c r="BH217" s="9">
        <v>161324.32</v>
      </c>
      <c r="BI217" s="9">
        <v>209368.85</v>
      </c>
      <c r="BJ217" s="9">
        <v>87842.47</v>
      </c>
      <c r="BK217" s="9">
        <v>939104.17</v>
      </c>
      <c r="BL217" s="9">
        <v>254593.07</v>
      </c>
      <c r="BM217" s="9">
        <v>10633563.6</v>
      </c>
      <c r="BN217" s="9">
        <v>6438786.9500000002</v>
      </c>
      <c r="BO217" s="9">
        <v>50444.06</v>
      </c>
      <c r="BP217" s="9">
        <v>4194776.66</v>
      </c>
      <c r="BQ217" s="9">
        <v>206119.85</v>
      </c>
      <c r="BR217" s="9">
        <v>697181.29</v>
      </c>
      <c r="BS217" s="9">
        <v>106542.49</v>
      </c>
      <c r="BT217" s="9">
        <v>3714.75</v>
      </c>
      <c r="BU217" s="9">
        <v>590638.81000000006</v>
      </c>
      <c r="BV217" s="9">
        <v>15240.06</v>
      </c>
      <c r="BW217" s="9">
        <v>800422.92</v>
      </c>
      <c r="BX217" s="9">
        <v>189015.12</v>
      </c>
      <c r="BY217" s="9">
        <v>9811.11</v>
      </c>
      <c r="BZ217" s="9">
        <v>611407.79999999993</v>
      </c>
      <c r="CA217" s="9">
        <v>26192.93</v>
      </c>
      <c r="CB217" s="9">
        <v>151879.31</v>
      </c>
      <c r="CC217" s="9">
        <v>13658342.760000002</v>
      </c>
      <c r="CD217" s="9">
        <v>1014910</v>
      </c>
      <c r="CE217" s="9">
        <v>1009604</v>
      </c>
      <c r="CF217" s="9">
        <v>13487500.109999999</v>
      </c>
      <c r="CG217" s="9">
        <v>9645434.2100000009</v>
      </c>
      <c r="CH217" s="9">
        <v>3842065.9</v>
      </c>
      <c r="CI217" s="9">
        <v>9560378.4199999999</v>
      </c>
      <c r="CJ217" s="9">
        <v>7531039.4699999997</v>
      </c>
      <c r="CK217" s="9">
        <v>2029338.95</v>
      </c>
      <c r="CL217" s="9">
        <v>3927121.69</v>
      </c>
      <c r="CM217" s="9">
        <v>2114394.7400000002</v>
      </c>
      <c r="CN217" s="9">
        <v>1812726.95</v>
      </c>
      <c r="CO217" s="9">
        <v>3871780.42</v>
      </c>
      <c r="CP217" s="9">
        <v>875082.70000000007</v>
      </c>
      <c r="CQ217" s="9">
        <v>2996697.72</v>
      </c>
      <c r="CR217" s="9">
        <v>2113892.02</v>
      </c>
      <c r="CS217" s="9">
        <v>654836.43000000005</v>
      </c>
      <c r="CT217" s="9">
        <v>1459055.59</v>
      </c>
      <c r="CU217" s="9">
        <v>1757888.4</v>
      </c>
      <c r="CV217" s="9">
        <v>220246.27</v>
      </c>
      <c r="CW217" s="9">
        <v>1537642.13</v>
      </c>
      <c r="CX217" s="9">
        <v>9615719.6899999995</v>
      </c>
      <c r="CY217" s="9">
        <v>8770351.5099999998</v>
      </c>
      <c r="CZ217" s="9">
        <v>845368.18</v>
      </c>
      <c r="DA217" s="9">
        <v>7446486.4000000004</v>
      </c>
      <c r="DB217" s="9">
        <v>6876203.04</v>
      </c>
      <c r="DC217" s="9">
        <v>570283.36</v>
      </c>
      <c r="DD217" s="9">
        <v>2169233.29</v>
      </c>
      <c r="DE217" s="9">
        <v>1894148.47</v>
      </c>
      <c r="DF217" s="9">
        <v>275084.82</v>
      </c>
      <c r="DG217" s="9">
        <v>17409916.169999998</v>
      </c>
      <c r="DH217" s="9">
        <v>3922416.06</v>
      </c>
    </row>
    <row r="218" spans="1:112" x14ac:dyDescent="0.2">
      <c r="A218" s="8" t="s">
        <v>861</v>
      </c>
      <c r="B218" s="8" t="s">
        <v>459</v>
      </c>
      <c r="C218" s="8" t="s">
        <v>460</v>
      </c>
      <c r="D218" s="9">
        <v>13548042.449999999</v>
      </c>
      <c r="E218" s="9">
        <v>13548042.5</v>
      </c>
      <c r="F218" s="9">
        <v>306130.5</v>
      </c>
      <c r="G218" s="9">
        <v>1034826.3</v>
      </c>
      <c r="H218" s="9">
        <v>1385147.3</v>
      </c>
      <c r="I218" s="9">
        <v>69150.2</v>
      </c>
      <c r="J218" s="9">
        <v>1240414.8</v>
      </c>
      <c r="K218" s="9">
        <v>1872277.9</v>
      </c>
      <c r="L218" s="9">
        <v>190127.5</v>
      </c>
      <c r="M218" s="9">
        <v>2071847.1</v>
      </c>
      <c r="N218" s="9">
        <v>53294.9</v>
      </c>
      <c r="O218" s="9">
        <v>388971.7</v>
      </c>
      <c r="P218" s="9">
        <v>115278</v>
      </c>
      <c r="Q218" s="9">
        <v>73510.5</v>
      </c>
      <c r="R218" s="9">
        <v>4746780.5999999996</v>
      </c>
      <c r="S218" s="9">
        <v>2933071.8</v>
      </c>
      <c r="T218" s="9">
        <v>127826.9</v>
      </c>
      <c r="U218" s="9">
        <v>197095.2</v>
      </c>
      <c r="V218" s="9">
        <v>470054.6</v>
      </c>
      <c r="W218" s="9">
        <v>931902.89</v>
      </c>
      <c r="X218" s="9">
        <v>931902.9</v>
      </c>
      <c r="Y218" s="9">
        <v>37355.699999999997</v>
      </c>
      <c r="Z218" s="9">
        <v>236894.8</v>
      </c>
      <c r="AA218" s="9">
        <v>103978</v>
      </c>
      <c r="AB218" s="9">
        <v>2381.4</v>
      </c>
      <c r="AC218" s="9">
        <v>278652.90000000002</v>
      </c>
      <c r="AD218" s="9">
        <v>78839.399999999994</v>
      </c>
      <c r="AE218" s="9">
        <v>7266</v>
      </c>
      <c r="AF218" s="9">
        <v>61592.7</v>
      </c>
      <c r="AG218" s="9">
        <v>736.3</v>
      </c>
      <c r="AH218" s="9">
        <v>1127.0999999999999</v>
      </c>
      <c r="AI218" s="9">
        <v>11248.3</v>
      </c>
      <c r="AJ218" s="9">
        <v>4948.8</v>
      </c>
      <c r="AK218" s="9">
        <v>106881.60000000001</v>
      </c>
      <c r="AL218" s="9">
        <v>1189110.8700000001</v>
      </c>
      <c r="AM218" s="9">
        <v>1189110.8999999999</v>
      </c>
      <c r="AN218" s="9">
        <v>37985.800000000003</v>
      </c>
      <c r="AO218" s="9">
        <v>245598.4</v>
      </c>
      <c r="AP218" s="9">
        <v>265788.40000000002</v>
      </c>
      <c r="AQ218" s="9">
        <v>9209.9</v>
      </c>
      <c r="AR218" s="9">
        <v>129372.7</v>
      </c>
      <c r="AS218" s="9">
        <v>155412</v>
      </c>
      <c r="AT218" s="9">
        <v>12500</v>
      </c>
      <c r="AU218" s="9">
        <v>142073.70000000001</v>
      </c>
      <c r="AV218" s="9">
        <v>3868.4</v>
      </c>
      <c r="AW218" s="9">
        <v>45276.3</v>
      </c>
      <c r="AX218" s="9">
        <v>2755.2</v>
      </c>
      <c r="AY218" s="9">
        <v>4610.3999999999996</v>
      </c>
      <c r="AZ218" s="9">
        <v>134659.5</v>
      </c>
      <c r="BA218" s="9">
        <v>6631405.2799999993</v>
      </c>
      <c r="BB218" s="9">
        <v>805952.24</v>
      </c>
      <c r="BC218" s="9">
        <v>6964951.9999999991</v>
      </c>
      <c r="BD218" s="9">
        <v>1663652.52</v>
      </c>
      <c r="BE218" s="9">
        <v>137001.32</v>
      </c>
      <c r="BF218" s="9">
        <v>28427.13</v>
      </c>
      <c r="BG218" s="9">
        <v>794901.59</v>
      </c>
      <c r="BH218" s="9">
        <v>141809.89000000001</v>
      </c>
      <c r="BI218" s="9">
        <v>210646.51</v>
      </c>
      <c r="BJ218" s="9">
        <v>88923.11</v>
      </c>
      <c r="BK218" s="9">
        <v>978464.36</v>
      </c>
      <c r="BL218" s="9">
        <v>283458.83</v>
      </c>
      <c r="BM218" s="9">
        <v>10680686.289999999</v>
      </c>
      <c r="BN218" s="9">
        <v>6456802.5199999996</v>
      </c>
      <c r="BO218" s="9">
        <v>56772.95</v>
      </c>
      <c r="BP218" s="9">
        <v>4223883.79</v>
      </c>
      <c r="BQ218" s="9">
        <v>206688.07</v>
      </c>
      <c r="BR218" s="9">
        <v>767346.12</v>
      </c>
      <c r="BS218" s="9">
        <v>130377.51</v>
      </c>
      <c r="BT218" s="9">
        <v>3688.77</v>
      </c>
      <c r="BU218" s="9">
        <v>636968.63</v>
      </c>
      <c r="BV218" s="9">
        <v>15031.33</v>
      </c>
      <c r="BW218" s="9">
        <v>841946.73</v>
      </c>
      <c r="BX218" s="9">
        <v>190224.17</v>
      </c>
      <c r="BY218" s="9">
        <v>9867.31</v>
      </c>
      <c r="BZ218" s="9">
        <v>651722.56999999995</v>
      </c>
      <c r="CA218" s="9">
        <v>26488.49</v>
      </c>
      <c r="CB218" s="9">
        <v>151482.71</v>
      </c>
      <c r="CC218" s="9">
        <v>13699525.16</v>
      </c>
      <c r="CD218" s="9">
        <v>1030119</v>
      </c>
      <c r="CE218" s="9">
        <v>1024581</v>
      </c>
      <c r="CF218" s="9">
        <v>13597799.369999999</v>
      </c>
      <c r="CG218" s="9">
        <v>9658698.6400000006</v>
      </c>
      <c r="CH218" s="9">
        <v>3939100.73</v>
      </c>
      <c r="CI218" s="9">
        <v>9496454.2999999989</v>
      </c>
      <c r="CJ218" s="9">
        <v>7610724.4000000004</v>
      </c>
      <c r="CK218" s="9">
        <v>1885729.9</v>
      </c>
      <c r="CL218" s="9">
        <v>4101345.07</v>
      </c>
      <c r="CM218" s="9">
        <v>2047974.24</v>
      </c>
      <c r="CN218" s="9">
        <v>2053370.83</v>
      </c>
      <c r="CO218" s="9">
        <v>3954676.77</v>
      </c>
      <c r="CP218" s="9">
        <v>813562.04</v>
      </c>
      <c r="CQ218" s="9">
        <v>3141114.7299999995</v>
      </c>
      <c r="CR218" s="9">
        <v>1984940.46</v>
      </c>
      <c r="CS218" s="9">
        <v>631024.30000000005</v>
      </c>
      <c r="CT218" s="9">
        <v>1353916.16</v>
      </c>
      <c r="CU218" s="9">
        <v>1969736.31</v>
      </c>
      <c r="CV218" s="9">
        <v>182537.74</v>
      </c>
      <c r="CW218" s="9">
        <v>1787198.57</v>
      </c>
      <c r="CX218" s="9">
        <v>9643122.5999999996</v>
      </c>
      <c r="CY218" s="9">
        <v>8845136.5999999996</v>
      </c>
      <c r="CZ218" s="9">
        <v>797986</v>
      </c>
      <c r="DA218" s="9">
        <v>7511513.8399999999</v>
      </c>
      <c r="DB218" s="9">
        <v>6979700.0999999996</v>
      </c>
      <c r="DC218" s="9">
        <v>531813.74</v>
      </c>
      <c r="DD218" s="9">
        <v>2131608.7599999998</v>
      </c>
      <c r="DE218" s="9">
        <v>1865436.5</v>
      </c>
      <c r="DF218" s="9">
        <v>266172.26</v>
      </c>
      <c r="DG218" s="9">
        <v>17381405.979999997</v>
      </c>
      <c r="DH218" s="9">
        <v>3783606.61</v>
      </c>
    </row>
    <row r="219" spans="1:112" x14ac:dyDescent="0.2">
      <c r="A219" s="8" t="s">
        <v>861</v>
      </c>
      <c r="B219" s="8" t="s">
        <v>459</v>
      </c>
      <c r="C219" s="8" t="s">
        <v>461</v>
      </c>
      <c r="D219" s="9">
        <v>13718925.27</v>
      </c>
      <c r="E219" s="9">
        <v>13718925.300000001</v>
      </c>
      <c r="F219" s="9">
        <v>311872.7</v>
      </c>
      <c r="G219" s="9">
        <v>1028004.9</v>
      </c>
      <c r="H219" s="9">
        <v>1365860.8</v>
      </c>
      <c r="I219" s="9">
        <v>70234.8</v>
      </c>
      <c r="J219" s="9">
        <v>1232356.3999999999</v>
      </c>
      <c r="K219" s="9">
        <v>1900999.4</v>
      </c>
      <c r="L219" s="9">
        <v>193004.9</v>
      </c>
      <c r="M219" s="9">
        <v>2087322.7</v>
      </c>
      <c r="N219" s="9">
        <v>53006.3</v>
      </c>
      <c r="O219" s="9">
        <v>391443.3</v>
      </c>
      <c r="P219" s="9">
        <v>114578.8</v>
      </c>
      <c r="Q219" s="9">
        <v>73511.600000000006</v>
      </c>
      <c r="R219" s="9">
        <v>4896728.5999999996</v>
      </c>
      <c r="S219" s="9">
        <v>3055501.7</v>
      </c>
      <c r="T219" s="9">
        <v>124557.1</v>
      </c>
      <c r="U219" s="9">
        <v>223359.6</v>
      </c>
      <c r="V219" s="9">
        <v>454769.8</v>
      </c>
      <c r="W219" s="9">
        <v>987947.25</v>
      </c>
      <c r="X219" s="9">
        <v>987947.2</v>
      </c>
      <c r="Y219" s="9">
        <v>7812.3</v>
      </c>
      <c r="Z219" s="9">
        <v>264719.8</v>
      </c>
      <c r="AA219" s="9">
        <v>98432.9</v>
      </c>
      <c r="AB219" s="9">
        <v>2029.3</v>
      </c>
      <c r="AC219" s="9">
        <v>306919.8</v>
      </c>
      <c r="AD219" s="9">
        <v>72900</v>
      </c>
      <c r="AE219" s="9">
        <v>9847.7000000000007</v>
      </c>
      <c r="AF219" s="9">
        <v>74929.100000000006</v>
      </c>
      <c r="AG219" s="9">
        <v>1268.3</v>
      </c>
      <c r="AH219" s="9">
        <v>1659.9</v>
      </c>
      <c r="AI219" s="9">
        <v>11013.6</v>
      </c>
      <c r="AJ219" s="9">
        <v>5651.2</v>
      </c>
      <c r="AK219" s="9">
        <v>130763.3</v>
      </c>
      <c r="AL219" s="9">
        <v>1261626.77</v>
      </c>
      <c r="AM219" s="9">
        <v>1261626.8</v>
      </c>
      <c r="AN219" s="9">
        <v>69226.100000000006</v>
      </c>
      <c r="AO219" s="9">
        <v>257118.6</v>
      </c>
      <c r="AP219" s="9">
        <v>290334.5</v>
      </c>
      <c r="AQ219" s="9">
        <v>16329.9</v>
      </c>
      <c r="AR219" s="9">
        <v>141019.1</v>
      </c>
      <c r="AS219" s="9">
        <v>145717</v>
      </c>
      <c r="AT219" s="9">
        <v>12344.4</v>
      </c>
      <c r="AU219" s="9">
        <v>144980.20000000001</v>
      </c>
      <c r="AV219" s="9">
        <v>3862.6</v>
      </c>
      <c r="AW219" s="9">
        <v>47672</v>
      </c>
      <c r="AX219" s="9">
        <v>2669.2</v>
      </c>
      <c r="AY219" s="9">
        <v>4316.3999999999996</v>
      </c>
      <c r="AZ219" s="9">
        <v>126036.7</v>
      </c>
      <c r="BA219" s="9">
        <v>6772888.4000000013</v>
      </c>
      <c r="BB219" s="9">
        <v>803442.21</v>
      </c>
      <c r="BC219" s="9">
        <v>6997709.209999999</v>
      </c>
      <c r="BD219" s="9">
        <v>1654066.44</v>
      </c>
      <c r="BE219" s="9">
        <v>141849.38</v>
      </c>
      <c r="BF219" s="9">
        <v>27142.76</v>
      </c>
      <c r="BG219" s="9">
        <v>846097.88000000012</v>
      </c>
      <c r="BH219" s="9">
        <v>156901.31</v>
      </c>
      <c r="BI219" s="9">
        <v>214033.18</v>
      </c>
      <c r="BJ219" s="9">
        <v>91296.54</v>
      </c>
      <c r="BK219" s="9">
        <v>1047593.6</v>
      </c>
      <c r="BL219" s="9">
        <v>289809.84000000003</v>
      </c>
      <c r="BM219" s="9">
        <v>10820725.559999999</v>
      </c>
      <c r="BN219" s="9">
        <v>6601640.540000001</v>
      </c>
      <c r="BO219" s="9">
        <v>56368.800000000003</v>
      </c>
      <c r="BP219" s="9">
        <v>4219085.0199999996</v>
      </c>
      <c r="BQ219" s="9">
        <v>198722.64</v>
      </c>
      <c r="BR219" s="9">
        <v>817530.92</v>
      </c>
      <c r="BS219" s="9">
        <v>137129.23000000001</v>
      </c>
      <c r="BT219" s="9">
        <v>2445.9699999999998</v>
      </c>
      <c r="BU219" s="9">
        <v>680401.70000000007</v>
      </c>
      <c r="BV219" s="9">
        <v>14342.1</v>
      </c>
      <c r="BW219" s="9">
        <v>902317.89</v>
      </c>
      <c r="BX219" s="9">
        <v>192498.91</v>
      </c>
      <c r="BY219" s="9">
        <v>10872.21</v>
      </c>
      <c r="BZ219" s="9">
        <v>709818.98</v>
      </c>
      <c r="CA219" s="9">
        <v>23944.58</v>
      </c>
      <c r="CB219" s="9">
        <v>150011.60999999999</v>
      </c>
      <c r="CC219" s="9">
        <v>13868936.880000001</v>
      </c>
      <c r="CD219" s="9">
        <v>1074489</v>
      </c>
      <c r="CE219" s="9">
        <v>1069020</v>
      </c>
      <c r="CF219" s="9">
        <v>13831687.649999999</v>
      </c>
      <c r="CG219" s="9">
        <v>9905727.1300000008</v>
      </c>
      <c r="CH219" s="9">
        <v>3925960.52</v>
      </c>
      <c r="CI219" s="9">
        <v>9925113.7899999991</v>
      </c>
      <c r="CJ219" s="9">
        <v>7911868.8200000003</v>
      </c>
      <c r="CK219" s="9">
        <v>2013244.9699999995</v>
      </c>
      <c r="CL219" s="9">
        <v>3906573.86</v>
      </c>
      <c r="CM219" s="9">
        <v>1993858.31</v>
      </c>
      <c r="CN219" s="9">
        <v>1912715.55</v>
      </c>
      <c r="CO219" s="9">
        <v>3813421.72</v>
      </c>
      <c r="CP219" s="9">
        <v>812575.92999999993</v>
      </c>
      <c r="CQ219" s="9">
        <v>3000845.7899999996</v>
      </c>
      <c r="CR219" s="9">
        <v>2084271.2299999995</v>
      </c>
      <c r="CS219" s="9">
        <v>626579.46</v>
      </c>
      <c r="CT219" s="9">
        <v>1457691.7699999998</v>
      </c>
      <c r="CU219" s="9">
        <v>1729150.49</v>
      </c>
      <c r="CV219" s="9">
        <v>185996.47</v>
      </c>
      <c r="CW219" s="9">
        <v>1543154.02</v>
      </c>
      <c r="CX219" s="9">
        <v>10018265.93</v>
      </c>
      <c r="CY219" s="9">
        <v>9093151.1999999993</v>
      </c>
      <c r="CZ219" s="9">
        <v>925114.73</v>
      </c>
      <c r="DA219" s="9">
        <v>7840842.5599999996</v>
      </c>
      <c r="DB219" s="9">
        <v>7285289.3600000003</v>
      </c>
      <c r="DC219" s="9">
        <v>555553.19999999995</v>
      </c>
      <c r="DD219" s="9">
        <v>2177423.37</v>
      </c>
      <c r="DE219" s="9">
        <v>1807861.84</v>
      </c>
      <c r="DF219" s="9">
        <v>369561.53</v>
      </c>
      <c r="DG219" s="9">
        <v>17526269.560000002</v>
      </c>
      <c r="DH219" s="9">
        <v>3694581.91</v>
      </c>
    </row>
    <row r="220" spans="1:112" x14ac:dyDescent="0.2">
      <c r="A220" s="8" t="s">
        <v>861</v>
      </c>
      <c r="B220" s="8" t="s">
        <v>459</v>
      </c>
      <c r="C220" s="8" t="s">
        <v>462</v>
      </c>
      <c r="D220" s="9">
        <v>14033029.689999999</v>
      </c>
      <c r="E220" s="9">
        <v>14033029.699999999</v>
      </c>
      <c r="F220" s="9">
        <v>317210.5</v>
      </c>
      <c r="G220" s="9">
        <v>1087958.7</v>
      </c>
      <c r="H220" s="9">
        <v>1374206.8</v>
      </c>
      <c r="I220" s="9">
        <v>69895.600000000006</v>
      </c>
      <c r="J220" s="9">
        <v>1221806.8</v>
      </c>
      <c r="K220" s="9">
        <v>2009598.3</v>
      </c>
      <c r="L220" s="9">
        <v>193022.7</v>
      </c>
      <c r="M220" s="9">
        <v>2119956.9</v>
      </c>
      <c r="N220" s="9">
        <v>54133.5</v>
      </c>
      <c r="O220" s="9">
        <v>404123.5</v>
      </c>
      <c r="P220" s="9">
        <v>114092</v>
      </c>
      <c r="Q220" s="9">
        <v>75409.399999999994</v>
      </c>
      <c r="R220" s="9">
        <v>4991614.8000000007</v>
      </c>
      <c r="S220" s="9">
        <v>3122477.4</v>
      </c>
      <c r="T220" s="9">
        <v>141565.4</v>
      </c>
      <c r="U220" s="9">
        <v>235643.7</v>
      </c>
      <c r="V220" s="9">
        <v>488015.1</v>
      </c>
      <c r="W220" s="9">
        <v>930916.78</v>
      </c>
      <c r="X220" s="9">
        <v>930916.8</v>
      </c>
      <c r="Y220" s="9">
        <v>10890.8</v>
      </c>
      <c r="Z220" s="9">
        <v>247916</v>
      </c>
      <c r="AA220" s="9">
        <v>85745</v>
      </c>
      <c r="AB220" s="9">
        <v>2975.4</v>
      </c>
      <c r="AC220" s="9">
        <v>287961.5</v>
      </c>
      <c r="AD220" s="9">
        <v>64094.9</v>
      </c>
      <c r="AE220" s="9">
        <v>7556.9</v>
      </c>
      <c r="AF220" s="9">
        <v>74031.199999999997</v>
      </c>
      <c r="AG220" s="9">
        <v>647.1</v>
      </c>
      <c r="AH220" s="9">
        <v>1707.3</v>
      </c>
      <c r="AI220" s="9">
        <v>11484.1</v>
      </c>
      <c r="AJ220" s="9">
        <v>5789.4</v>
      </c>
      <c r="AK220" s="9">
        <v>130117.1</v>
      </c>
      <c r="AL220" s="9">
        <v>1227335.1900000002</v>
      </c>
      <c r="AM220" s="9">
        <v>1227335.2</v>
      </c>
      <c r="AN220" s="9">
        <v>64638</v>
      </c>
      <c r="AO220" s="9">
        <v>255640.8</v>
      </c>
      <c r="AP220" s="9">
        <v>283465.59999999998</v>
      </c>
      <c r="AQ220" s="9">
        <v>15154.8</v>
      </c>
      <c r="AR220" s="9">
        <v>130272.6</v>
      </c>
      <c r="AS220" s="9">
        <v>134126.5</v>
      </c>
      <c r="AT220" s="9">
        <v>12360.7</v>
      </c>
      <c r="AU220" s="9">
        <v>144825.29999999999</v>
      </c>
      <c r="AV220" s="9">
        <v>3976.4</v>
      </c>
      <c r="AW220" s="9">
        <v>47599</v>
      </c>
      <c r="AX220" s="9">
        <v>2587.5</v>
      </c>
      <c r="AY220" s="9">
        <v>4098.6000000000004</v>
      </c>
      <c r="AZ220" s="9">
        <v>128589.5</v>
      </c>
      <c r="BA220" s="9">
        <v>6980434.1799999997</v>
      </c>
      <c r="BB220" s="9">
        <v>848631.01</v>
      </c>
      <c r="BC220" s="9">
        <v>7103983.5900000008</v>
      </c>
      <c r="BD220" s="9">
        <v>1713621.45</v>
      </c>
      <c r="BE220" s="9">
        <v>147013.25</v>
      </c>
      <c r="BF220" s="9">
        <v>34365.919999999998</v>
      </c>
      <c r="BG220" s="9">
        <v>783903.52</v>
      </c>
      <c r="BH220" s="9">
        <v>175945.84</v>
      </c>
      <c r="BI220" s="9">
        <v>216429.43</v>
      </c>
      <c r="BJ220" s="9">
        <v>88871.56</v>
      </c>
      <c r="BK220" s="9">
        <v>1010905.75</v>
      </c>
      <c r="BL220" s="9">
        <v>275978.53000000003</v>
      </c>
      <c r="BM220" s="9">
        <v>11013763.299999999</v>
      </c>
      <c r="BN220" s="9">
        <v>6799645.6599999992</v>
      </c>
      <c r="BO220" s="9">
        <v>65104.01</v>
      </c>
      <c r="BP220" s="9">
        <v>4214117.63</v>
      </c>
      <c r="BQ220" s="9">
        <v>238675.51</v>
      </c>
      <c r="BR220" s="9">
        <v>786717.02</v>
      </c>
      <c r="BS220" s="9">
        <v>135625.13</v>
      </c>
      <c r="BT220" s="9">
        <v>9022.19</v>
      </c>
      <c r="BU220" s="9">
        <v>651091.88</v>
      </c>
      <c r="BV220" s="9">
        <v>15621.94</v>
      </c>
      <c r="BW220" s="9">
        <v>879667</v>
      </c>
      <c r="BX220" s="9">
        <v>197115.81</v>
      </c>
      <c r="BY220" s="9">
        <v>8462.82</v>
      </c>
      <c r="BZ220" s="9">
        <v>682551.19000000006</v>
      </c>
      <c r="CA220" s="9">
        <v>30486.74</v>
      </c>
      <c r="CB220" s="9">
        <v>149840.13</v>
      </c>
      <c r="CC220" s="9">
        <v>14182869.82</v>
      </c>
      <c r="CD220" s="9">
        <v>1094848</v>
      </c>
      <c r="CE220" s="9">
        <v>1089269</v>
      </c>
      <c r="CF220" s="9">
        <v>13970451.140000001</v>
      </c>
      <c r="CG220" s="9">
        <v>9973245.25</v>
      </c>
      <c r="CH220" s="9">
        <v>3997205.89</v>
      </c>
      <c r="CI220" s="9">
        <v>10051763.66</v>
      </c>
      <c r="CJ220" s="9">
        <v>8003198.2800000003</v>
      </c>
      <c r="CK220" s="9">
        <v>2048565.38</v>
      </c>
      <c r="CL220" s="9">
        <v>3918687.4800000009</v>
      </c>
      <c r="CM220" s="9">
        <v>1970046.97</v>
      </c>
      <c r="CN220" s="9">
        <v>1948640.51</v>
      </c>
      <c r="CO220" s="9">
        <v>3919142.45</v>
      </c>
      <c r="CP220" s="9">
        <v>816233.14</v>
      </c>
      <c r="CQ220" s="9">
        <v>3102909.31</v>
      </c>
      <c r="CR220" s="9">
        <v>2122669.85</v>
      </c>
      <c r="CS220" s="9">
        <v>635373.23</v>
      </c>
      <c r="CT220" s="9">
        <v>1487296.62</v>
      </c>
      <c r="CU220" s="9">
        <v>1796472.6</v>
      </c>
      <c r="CV220" s="9">
        <v>180859.91</v>
      </c>
      <c r="CW220" s="9">
        <v>1615612.69</v>
      </c>
      <c r="CX220" s="9">
        <v>10051308.689999999</v>
      </c>
      <c r="CY220" s="9">
        <v>9157012.1099999994</v>
      </c>
      <c r="CZ220" s="9">
        <v>894296.58</v>
      </c>
      <c r="DA220" s="9">
        <v>7929093.8099999996</v>
      </c>
      <c r="DB220" s="9">
        <v>7367825.0499999998</v>
      </c>
      <c r="DC220" s="9">
        <v>561268.76</v>
      </c>
      <c r="DD220" s="9">
        <v>2122214.88</v>
      </c>
      <c r="DE220" s="9">
        <v>1789187.06</v>
      </c>
      <c r="DF220" s="9">
        <v>333027.82</v>
      </c>
      <c r="DG220" s="9">
        <v>17759174.100000001</v>
      </c>
      <c r="DH220" s="9">
        <v>3788722.96</v>
      </c>
    </row>
    <row r="221" spans="1:112" x14ac:dyDescent="0.2">
      <c r="A221" s="8" t="s">
        <v>861</v>
      </c>
      <c r="B221" s="8" t="s">
        <v>463</v>
      </c>
      <c r="C221" s="8" t="s">
        <v>464</v>
      </c>
      <c r="D221" s="9">
        <v>14355813.460000001</v>
      </c>
      <c r="E221" s="9">
        <v>14355813.5</v>
      </c>
      <c r="F221" s="9">
        <v>312769</v>
      </c>
      <c r="G221" s="9">
        <v>1119144</v>
      </c>
      <c r="H221" s="9">
        <v>1436965</v>
      </c>
      <c r="I221" s="9">
        <v>74144</v>
      </c>
      <c r="J221" s="9">
        <v>1248373.6000000001</v>
      </c>
      <c r="K221" s="9">
        <v>2086628.2</v>
      </c>
      <c r="L221" s="9">
        <v>200657.6</v>
      </c>
      <c r="M221" s="9">
        <v>2160752.4</v>
      </c>
      <c r="N221" s="9">
        <v>52928.2</v>
      </c>
      <c r="O221" s="9">
        <v>411345.1</v>
      </c>
      <c r="P221" s="9">
        <v>115379.8</v>
      </c>
      <c r="Q221" s="9">
        <v>81051.399999999994</v>
      </c>
      <c r="R221" s="9">
        <v>5055675.0999999996</v>
      </c>
      <c r="S221" s="9">
        <v>3189835.4</v>
      </c>
      <c r="T221" s="9">
        <v>148348.9</v>
      </c>
      <c r="U221" s="9">
        <v>242399.8</v>
      </c>
      <c r="V221" s="9">
        <v>504806.7</v>
      </c>
      <c r="W221" s="9">
        <v>974174.22</v>
      </c>
      <c r="X221" s="9">
        <v>974174.2</v>
      </c>
      <c r="Y221" s="9">
        <v>9014.5</v>
      </c>
      <c r="Z221" s="9">
        <v>250600.8</v>
      </c>
      <c r="AA221" s="9">
        <v>83340.800000000003</v>
      </c>
      <c r="AB221" s="9">
        <v>3007</v>
      </c>
      <c r="AC221" s="9">
        <v>320592.2</v>
      </c>
      <c r="AD221" s="9">
        <v>78115.399999999994</v>
      </c>
      <c r="AE221" s="9">
        <v>7431.6</v>
      </c>
      <c r="AF221" s="9">
        <v>79478.600000000006</v>
      </c>
      <c r="AG221" s="9">
        <v>563.6</v>
      </c>
      <c r="AH221" s="9">
        <v>975.8</v>
      </c>
      <c r="AI221" s="9">
        <v>10453.1</v>
      </c>
      <c r="AJ221" s="9">
        <v>5714.4</v>
      </c>
      <c r="AK221" s="9">
        <v>124886.39999999999</v>
      </c>
      <c r="AL221" s="9">
        <v>1200334.01</v>
      </c>
      <c r="AM221" s="9">
        <v>1200334</v>
      </c>
      <c r="AN221" s="9">
        <v>65200.7</v>
      </c>
      <c r="AO221" s="9">
        <v>233563.5</v>
      </c>
      <c r="AP221" s="9">
        <v>266895.8</v>
      </c>
      <c r="AQ221" s="9">
        <v>15201</v>
      </c>
      <c r="AR221" s="9">
        <v>140453.29999999999</v>
      </c>
      <c r="AS221" s="9">
        <v>135257.29999999999</v>
      </c>
      <c r="AT221" s="9">
        <v>12388.4</v>
      </c>
      <c r="AU221" s="9">
        <v>140865.60000000001</v>
      </c>
      <c r="AV221" s="9">
        <v>4087.1</v>
      </c>
      <c r="AW221" s="9">
        <v>48457.9</v>
      </c>
      <c r="AX221" s="9">
        <v>2532.9</v>
      </c>
      <c r="AY221" s="9">
        <v>4375.8</v>
      </c>
      <c r="AZ221" s="9">
        <v>131054.8</v>
      </c>
      <c r="BA221" s="9">
        <v>7126228.29</v>
      </c>
      <c r="BB221" s="9">
        <v>912546.34</v>
      </c>
      <c r="BC221" s="9">
        <v>7282718.5800000001</v>
      </c>
      <c r="BD221" s="9">
        <v>1768179.54</v>
      </c>
      <c r="BE221" s="9">
        <v>139773.22</v>
      </c>
      <c r="BF221" s="9">
        <v>28833.1</v>
      </c>
      <c r="BG221" s="9">
        <v>834401.01</v>
      </c>
      <c r="BH221" s="9">
        <v>135690.26</v>
      </c>
      <c r="BI221" s="9">
        <v>217276.86</v>
      </c>
      <c r="BJ221" s="9">
        <v>85366.17</v>
      </c>
      <c r="BK221" s="9">
        <v>983057.16000000038</v>
      </c>
      <c r="BL221" s="9">
        <v>274040.99</v>
      </c>
      <c r="BM221" s="9">
        <v>11191607.220000003</v>
      </c>
      <c r="BN221" s="9">
        <v>6947702.6100000003</v>
      </c>
      <c r="BO221" s="9">
        <v>62284.31</v>
      </c>
      <c r="BP221" s="9">
        <v>4243904.63</v>
      </c>
      <c r="BQ221" s="9">
        <v>239478.13</v>
      </c>
      <c r="BR221" s="9">
        <v>821170.03</v>
      </c>
      <c r="BS221" s="9">
        <v>132281.04</v>
      </c>
      <c r="BT221" s="9">
        <v>4811.47</v>
      </c>
      <c r="BU221" s="9">
        <v>688889</v>
      </c>
      <c r="BV221" s="9">
        <v>13267.76</v>
      </c>
      <c r="BW221" s="9">
        <v>883647.47000000009</v>
      </c>
      <c r="BX221" s="9">
        <v>202629.84</v>
      </c>
      <c r="BY221" s="9">
        <v>3208.29</v>
      </c>
      <c r="BZ221" s="9">
        <v>681017.64000000013</v>
      </c>
      <c r="CA221" s="9">
        <v>10025.65</v>
      </c>
      <c r="CB221" s="9">
        <v>151576.32000000001</v>
      </c>
      <c r="CC221" s="9">
        <v>14507389.779999999</v>
      </c>
      <c r="CD221" s="9">
        <v>1081026</v>
      </c>
      <c r="CE221" s="9">
        <v>1075313</v>
      </c>
      <c r="CF221" s="9">
        <v>14185416.050000001</v>
      </c>
      <c r="CG221" s="9">
        <v>10193000.24</v>
      </c>
      <c r="CH221" s="9">
        <v>3992415.81</v>
      </c>
      <c r="CI221" s="9">
        <v>10238597.890000001</v>
      </c>
      <c r="CJ221" s="9">
        <v>8225446.2699999996</v>
      </c>
      <c r="CK221" s="9">
        <v>2013151.62</v>
      </c>
      <c r="CL221" s="9">
        <v>3946818.16</v>
      </c>
      <c r="CM221" s="9">
        <v>1967553.97</v>
      </c>
      <c r="CN221" s="9">
        <v>1979264.1899999997</v>
      </c>
      <c r="CO221" s="9">
        <v>4006161.18</v>
      </c>
      <c r="CP221" s="9">
        <v>915360.02</v>
      </c>
      <c r="CQ221" s="9">
        <v>3090801.1599999997</v>
      </c>
      <c r="CR221" s="9">
        <v>2163362.66</v>
      </c>
      <c r="CS221" s="9">
        <v>726230.13</v>
      </c>
      <c r="CT221" s="9">
        <v>1437132.5299999998</v>
      </c>
      <c r="CU221" s="9">
        <v>1842798.52</v>
      </c>
      <c r="CV221" s="9">
        <v>189129.89</v>
      </c>
      <c r="CW221" s="9">
        <v>1653668.63</v>
      </c>
      <c r="CX221" s="9">
        <v>10179254.869999999</v>
      </c>
      <c r="CY221" s="9">
        <v>9277640.2200000007</v>
      </c>
      <c r="CZ221" s="9">
        <v>901614.65</v>
      </c>
      <c r="DA221" s="9">
        <v>8075235.2300000004</v>
      </c>
      <c r="DB221" s="9">
        <v>7499216.1399999997</v>
      </c>
      <c r="DC221" s="9">
        <v>576019.09000000008</v>
      </c>
      <c r="DD221" s="9">
        <v>2104019.64</v>
      </c>
      <c r="DE221" s="9">
        <v>1778424.08</v>
      </c>
      <c r="DF221" s="9">
        <v>325595.56</v>
      </c>
      <c r="DG221" s="9">
        <v>17863295.629999999</v>
      </c>
      <c r="DH221" s="9">
        <v>3677879.58</v>
      </c>
    </row>
    <row r="222" spans="1:112" x14ac:dyDescent="0.2">
      <c r="A222" s="8" t="s">
        <v>861</v>
      </c>
      <c r="B222" s="8" t="s">
        <v>463</v>
      </c>
      <c r="C222" s="8" t="s">
        <v>465</v>
      </c>
      <c r="D222" s="9">
        <v>14859731.359999999</v>
      </c>
      <c r="E222" s="9">
        <v>14859731.300000001</v>
      </c>
      <c r="F222" s="9">
        <v>337622.1</v>
      </c>
      <c r="G222" s="9">
        <v>1158607.8</v>
      </c>
      <c r="H222" s="9">
        <v>1534454.5</v>
      </c>
      <c r="I222" s="9">
        <v>92836.5</v>
      </c>
      <c r="J222" s="9">
        <v>1289260.8</v>
      </c>
      <c r="K222" s="9">
        <v>2165119.1</v>
      </c>
      <c r="L222" s="9">
        <v>211144.9</v>
      </c>
      <c r="M222" s="9">
        <v>2220783.6</v>
      </c>
      <c r="N222" s="9">
        <v>62037.599999999999</v>
      </c>
      <c r="O222" s="9">
        <v>397562</v>
      </c>
      <c r="P222" s="9">
        <v>120799.3</v>
      </c>
      <c r="Q222" s="9">
        <v>84732</v>
      </c>
      <c r="R222" s="9">
        <v>5184771.1000000006</v>
      </c>
      <c r="S222" s="9">
        <v>3292188.1</v>
      </c>
      <c r="T222" s="9">
        <v>158146.79999999999</v>
      </c>
      <c r="U222" s="9">
        <v>268447.09999999998</v>
      </c>
      <c r="V222" s="9">
        <v>481181.7</v>
      </c>
      <c r="W222" s="9">
        <v>936518.4</v>
      </c>
      <c r="X222" s="9">
        <v>936518.4</v>
      </c>
      <c r="Y222" s="9">
        <v>11551.2</v>
      </c>
      <c r="Z222" s="9">
        <v>270009.09999999998</v>
      </c>
      <c r="AA222" s="9">
        <v>75288.600000000006</v>
      </c>
      <c r="AB222" s="9">
        <v>961.7</v>
      </c>
      <c r="AC222" s="9">
        <v>320905.3</v>
      </c>
      <c r="AD222" s="9">
        <v>60867.9</v>
      </c>
      <c r="AE222" s="9">
        <v>6482.2</v>
      </c>
      <c r="AF222" s="9">
        <v>65650.100000000006</v>
      </c>
      <c r="AG222" s="9">
        <v>163</v>
      </c>
      <c r="AH222" s="9">
        <v>971.7</v>
      </c>
      <c r="AI222" s="9">
        <v>1464.2</v>
      </c>
      <c r="AJ222" s="9">
        <v>4391.1000000000004</v>
      </c>
      <c r="AK222" s="9">
        <v>117812.4</v>
      </c>
      <c r="AL222" s="9">
        <v>1213480.72</v>
      </c>
      <c r="AM222" s="9">
        <v>1213480.7</v>
      </c>
      <c r="AN222" s="9">
        <v>68523.600000000006</v>
      </c>
      <c r="AO222" s="9">
        <v>232964.6</v>
      </c>
      <c r="AP222" s="9">
        <v>268485.09999999998</v>
      </c>
      <c r="AQ222" s="9">
        <v>16409.2</v>
      </c>
      <c r="AR222" s="9">
        <v>138865.9</v>
      </c>
      <c r="AS222" s="9">
        <v>136850.5</v>
      </c>
      <c r="AT222" s="9">
        <v>12557.7</v>
      </c>
      <c r="AU222" s="9">
        <v>140997.1</v>
      </c>
      <c r="AV222" s="9">
        <v>4454.7</v>
      </c>
      <c r="AW222" s="9">
        <v>48560.9</v>
      </c>
      <c r="AX222" s="9">
        <v>2592.1</v>
      </c>
      <c r="AY222" s="9">
        <v>5326.5</v>
      </c>
      <c r="AZ222" s="9">
        <v>136892.79999999999</v>
      </c>
      <c r="BA222" s="9">
        <v>7329958.6700000018</v>
      </c>
      <c r="BB222" s="9">
        <v>963580.95</v>
      </c>
      <c r="BC222" s="9">
        <v>7568534.7599999988</v>
      </c>
      <c r="BD222" s="9">
        <v>1885628.52</v>
      </c>
      <c r="BE222" s="9">
        <v>128021.73</v>
      </c>
      <c r="BF222" s="9">
        <v>22552.11</v>
      </c>
      <c r="BG222" s="9">
        <v>808496.67</v>
      </c>
      <c r="BH222" s="9">
        <v>107331.63</v>
      </c>
      <c r="BI222" s="9">
        <v>224961.88</v>
      </c>
      <c r="BJ222" s="9">
        <v>89429.49</v>
      </c>
      <c r="BK222" s="9">
        <v>988518.84</v>
      </c>
      <c r="BL222" s="9">
        <v>283815.55</v>
      </c>
      <c r="BM222" s="9">
        <v>11570266.65</v>
      </c>
      <c r="BN222" s="9">
        <v>7183534.540000001</v>
      </c>
      <c r="BO222" s="9">
        <v>60199.21</v>
      </c>
      <c r="BP222" s="9">
        <v>4386732.1099999994</v>
      </c>
      <c r="BQ222" s="9">
        <v>282312.65000000002</v>
      </c>
      <c r="BR222" s="9">
        <v>782663.25</v>
      </c>
      <c r="BS222" s="9">
        <v>123742.41</v>
      </c>
      <c r="BT222" s="9">
        <v>2407.77</v>
      </c>
      <c r="BU222" s="9">
        <v>658920.84000000008</v>
      </c>
      <c r="BV222" s="9">
        <v>4494.32</v>
      </c>
      <c r="BW222" s="9">
        <v>898531.39</v>
      </c>
      <c r="BX222" s="9">
        <v>207307.94</v>
      </c>
      <c r="BY222" s="9">
        <v>6080.65</v>
      </c>
      <c r="BZ222" s="9">
        <v>691223.45000000007</v>
      </c>
      <c r="CA222" s="9">
        <v>9765.69</v>
      </c>
      <c r="CB222" s="9">
        <v>152202.69</v>
      </c>
      <c r="CC222" s="9">
        <v>15011934.050000001</v>
      </c>
      <c r="CD222" s="9">
        <v>1071874</v>
      </c>
      <c r="CE222" s="9">
        <v>1066072</v>
      </c>
      <c r="CF222" s="9">
        <v>15029810.51</v>
      </c>
      <c r="CG222" s="9">
        <v>10513402.73</v>
      </c>
      <c r="CH222" s="9">
        <v>4516407.78</v>
      </c>
      <c r="CI222" s="9">
        <v>10740791.690000001</v>
      </c>
      <c r="CJ222" s="9">
        <v>8573534.8300000001</v>
      </c>
      <c r="CK222" s="9">
        <v>2167256.86</v>
      </c>
      <c r="CL222" s="9">
        <v>4289018.82</v>
      </c>
      <c r="CM222" s="9">
        <v>1939867.9</v>
      </c>
      <c r="CN222" s="9">
        <v>2349150.92</v>
      </c>
      <c r="CO222" s="9">
        <v>4568036.63</v>
      </c>
      <c r="CP222" s="9">
        <v>1019717.62</v>
      </c>
      <c r="CQ222" s="9">
        <v>3548319.01</v>
      </c>
      <c r="CR222" s="9">
        <v>2373994.16</v>
      </c>
      <c r="CS222" s="9">
        <v>839120.93</v>
      </c>
      <c r="CT222" s="9">
        <v>1534873.23</v>
      </c>
      <c r="CU222" s="9">
        <v>2194042.4700000002</v>
      </c>
      <c r="CV222" s="9">
        <v>180596.69</v>
      </c>
      <c r="CW222" s="9">
        <v>2013445.78</v>
      </c>
      <c r="CX222" s="9">
        <v>10461773.880000001</v>
      </c>
      <c r="CY222" s="9">
        <v>9493685.1099999994</v>
      </c>
      <c r="CZ222" s="9">
        <v>968088.77</v>
      </c>
      <c r="DA222" s="9">
        <v>8366797.5300000012</v>
      </c>
      <c r="DB222" s="9">
        <v>7734413.9000000004</v>
      </c>
      <c r="DC222" s="9">
        <v>632383.63</v>
      </c>
      <c r="DD222" s="9">
        <v>2094976.3499999996</v>
      </c>
      <c r="DE222" s="9">
        <v>1759271.21</v>
      </c>
      <c r="DF222" s="9">
        <v>335705.14</v>
      </c>
      <c r="DG222" s="9">
        <v>18704245.59</v>
      </c>
      <c r="DH222" s="9">
        <v>3674435.08</v>
      </c>
    </row>
    <row r="223" spans="1:112" x14ac:dyDescent="0.2">
      <c r="A223" s="8" t="s">
        <v>861</v>
      </c>
      <c r="B223" s="8" t="s">
        <v>463</v>
      </c>
      <c r="C223" s="8" t="s">
        <v>466</v>
      </c>
      <c r="D223" s="9">
        <v>15277098.210000001</v>
      </c>
      <c r="E223" s="9">
        <v>15277098.199999999</v>
      </c>
      <c r="F223" s="9">
        <v>325600.09999999998</v>
      </c>
      <c r="G223" s="9">
        <v>1166078.5</v>
      </c>
      <c r="H223" s="9">
        <v>1511820.9</v>
      </c>
      <c r="I223" s="9">
        <v>91013</v>
      </c>
      <c r="J223" s="9">
        <v>1335208.2</v>
      </c>
      <c r="K223" s="9">
        <v>2336452.7000000002</v>
      </c>
      <c r="L223" s="9">
        <v>231686.6</v>
      </c>
      <c r="M223" s="9">
        <v>2193554.2999999998</v>
      </c>
      <c r="N223" s="9">
        <v>60124.800000000003</v>
      </c>
      <c r="O223" s="9">
        <v>421552.3</v>
      </c>
      <c r="P223" s="9">
        <v>95464.9</v>
      </c>
      <c r="Q223" s="9">
        <v>93289.7</v>
      </c>
      <c r="R223" s="9">
        <v>5415252.0999999996</v>
      </c>
      <c r="S223" s="9">
        <v>3379352</v>
      </c>
      <c r="T223" s="9">
        <v>162407.4</v>
      </c>
      <c r="U223" s="9">
        <v>295784.7</v>
      </c>
      <c r="V223" s="9">
        <v>500889.4</v>
      </c>
      <c r="W223" s="9">
        <v>825291.03</v>
      </c>
      <c r="X223" s="9">
        <v>825291</v>
      </c>
      <c r="Y223" s="9">
        <v>8083.5</v>
      </c>
      <c r="Z223" s="9">
        <v>242033.6</v>
      </c>
      <c r="AA223" s="9">
        <v>98074.4</v>
      </c>
      <c r="AB223" s="9">
        <v>584.20000000000005</v>
      </c>
      <c r="AC223" s="9">
        <v>198341.6</v>
      </c>
      <c r="AD223" s="9">
        <v>69258.2</v>
      </c>
      <c r="AE223" s="9">
        <v>12334</v>
      </c>
      <c r="AF223" s="9">
        <v>65259.7</v>
      </c>
      <c r="AG223" s="9">
        <v>161.30000000000001</v>
      </c>
      <c r="AH223" s="9">
        <v>960.8</v>
      </c>
      <c r="AI223" s="9">
        <v>499.9</v>
      </c>
      <c r="AJ223" s="9">
        <v>4328.7</v>
      </c>
      <c r="AK223" s="9">
        <v>125371.1</v>
      </c>
      <c r="AL223" s="9">
        <v>1310331.9099999999</v>
      </c>
      <c r="AM223" s="9">
        <v>1310331.8999999999</v>
      </c>
      <c r="AN223" s="9">
        <v>72289.3</v>
      </c>
      <c r="AO223" s="9">
        <v>247643.8</v>
      </c>
      <c r="AP223" s="9">
        <v>275453.09999999998</v>
      </c>
      <c r="AQ223" s="9">
        <v>15374.6</v>
      </c>
      <c r="AR223" s="9">
        <v>191956.2</v>
      </c>
      <c r="AS223" s="9">
        <v>144295.20000000001</v>
      </c>
      <c r="AT223" s="9">
        <v>20775.099999999999</v>
      </c>
      <c r="AU223" s="9">
        <v>134019.6</v>
      </c>
      <c r="AV223" s="9">
        <v>4445.5</v>
      </c>
      <c r="AW223" s="9">
        <v>49469.5</v>
      </c>
      <c r="AX223" s="9">
        <v>3921.5</v>
      </c>
      <c r="AY223" s="9">
        <v>5559.8</v>
      </c>
      <c r="AZ223" s="9">
        <v>145128.5</v>
      </c>
      <c r="BA223" s="9">
        <v>7470652.870000001</v>
      </c>
      <c r="BB223" s="9">
        <v>1027999.65</v>
      </c>
      <c r="BC223" s="9">
        <v>7859848.4299999997</v>
      </c>
      <c r="BD223" s="9">
        <v>2005940.64</v>
      </c>
      <c r="BE223" s="9">
        <v>119821.51</v>
      </c>
      <c r="BF223" s="9">
        <v>19664.650000000001</v>
      </c>
      <c r="BG223" s="9">
        <v>705469.52</v>
      </c>
      <c r="BH223" s="9">
        <v>92721.26</v>
      </c>
      <c r="BI223" s="9">
        <v>220574.04</v>
      </c>
      <c r="BJ223" s="9">
        <v>88677.36</v>
      </c>
      <c r="BK223" s="9">
        <v>1089757.8700000001</v>
      </c>
      <c r="BL223" s="9">
        <v>285880</v>
      </c>
      <c r="BM223" s="9">
        <v>11943140.469999999</v>
      </c>
      <c r="BN223" s="9">
        <v>7293443.1399999997</v>
      </c>
      <c r="BO223" s="9">
        <v>67153.710000000006</v>
      </c>
      <c r="BP223" s="9">
        <v>4649697.3199999994</v>
      </c>
      <c r="BQ223" s="9">
        <v>321633.61</v>
      </c>
      <c r="BR223" s="9">
        <v>670708.45000000007</v>
      </c>
      <c r="BS223" s="9">
        <v>113538.07</v>
      </c>
      <c r="BT223" s="9">
        <v>2428.15</v>
      </c>
      <c r="BU223" s="9">
        <v>557170.38</v>
      </c>
      <c r="BV223" s="9">
        <v>3894.63</v>
      </c>
      <c r="BW223" s="9">
        <v>983510.28</v>
      </c>
      <c r="BX223" s="9">
        <v>206808.41</v>
      </c>
      <c r="BY223" s="9">
        <v>4024.01</v>
      </c>
      <c r="BZ223" s="9">
        <v>776701.87</v>
      </c>
      <c r="CA223" s="9">
        <v>9825.3700000000008</v>
      </c>
      <c r="CB223" s="9">
        <v>156231.93</v>
      </c>
      <c r="CC223" s="9">
        <v>15433330.140000001</v>
      </c>
      <c r="CD223" s="9">
        <v>1079828</v>
      </c>
      <c r="CE223" s="9">
        <v>1074015</v>
      </c>
      <c r="CF223" s="9">
        <v>15464343.699999999</v>
      </c>
      <c r="CG223" s="9">
        <v>10804240.719999999</v>
      </c>
      <c r="CH223" s="9">
        <v>4660102.9800000004</v>
      </c>
      <c r="CI223" s="9">
        <v>11099906.050000003</v>
      </c>
      <c r="CJ223" s="9">
        <v>8720392.0700000003</v>
      </c>
      <c r="CK223" s="9">
        <v>2379513.98</v>
      </c>
      <c r="CL223" s="9">
        <v>4364437.6500000004</v>
      </c>
      <c r="CM223" s="9">
        <v>2083848.65</v>
      </c>
      <c r="CN223" s="9">
        <v>2280589</v>
      </c>
      <c r="CO223" s="9">
        <v>4742107.8900000006</v>
      </c>
      <c r="CP223" s="9">
        <v>1080194.6100000001</v>
      </c>
      <c r="CQ223" s="9">
        <v>3661913.28</v>
      </c>
      <c r="CR223" s="9">
        <v>2608203.25</v>
      </c>
      <c r="CS223" s="9">
        <v>877604.5</v>
      </c>
      <c r="CT223" s="9">
        <v>1730598.75</v>
      </c>
      <c r="CU223" s="9">
        <v>2133904.6399999997</v>
      </c>
      <c r="CV223" s="9">
        <v>202590.11</v>
      </c>
      <c r="CW223" s="9">
        <v>1931314.53</v>
      </c>
      <c r="CX223" s="9">
        <v>10722235.810000001</v>
      </c>
      <c r="CY223" s="9">
        <v>9724046.1099999994</v>
      </c>
      <c r="CZ223" s="9">
        <v>998189.7</v>
      </c>
      <c r="DA223" s="9">
        <v>8491702.8000000007</v>
      </c>
      <c r="DB223" s="9">
        <v>7842787.5700000003</v>
      </c>
      <c r="DC223" s="9">
        <v>648915.2300000001</v>
      </c>
      <c r="DD223" s="9">
        <v>2230533.0099999998</v>
      </c>
      <c r="DE223" s="9">
        <v>1881258.54</v>
      </c>
      <c r="DF223" s="9">
        <v>349274.47</v>
      </c>
      <c r="DG223" s="9">
        <v>19166753.629999999</v>
      </c>
      <c r="DH223" s="9">
        <v>3702409.93</v>
      </c>
    </row>
    <row r="224" spans="1:112" x14ac:dyDescent="0.2">
      <c r="A224" s="8" t="s">
        <v>861</v>
      </c>
      <c r="B224" s="8" t="s">
        <v>467</v>
      </c>
      <c r="C224" s="8" t="s">
        <v>468</v>
      </c>
      <c r="D224" s="9">
        <v>15469585.289999999</v>
      </c>
      <c r="E224" s="9">
        <v>15469585.300000001</v>
      </c>
      <c r="F224" s="9">
        <v>328491.90000000002</v>
      </c>
      <c r="G224" s="9">
        <v>1219720.6000000001</v>
      </c>
      <c r="H224" s="9">
        <v>1501992.4</v>
      </c>
      <c r="I224" s="9">
        <v>93328</v>
      </c>
      <c r="J224" s="9">
        <v>1340334.8</v>
      </c>
      <c r="K224" s="9">
        <v>2343628.7000000002</v>
      </c>
      <c r="L224" s="9">
        <v>240849.5</v>
      </c>
      <c r="M224" s="9">
        <v>2220250.7999999998</v>
      </c>
      <c r="N224" s="9">
        <v>61630.5</v>
      </c>
      <c r="O224" s="9">
        <v>415887.4</v>
      </c>
      <c r="P224" s="9">
        <v>99763.6</v>
      </c>
      <c r="Q224" s="9">
        <v>101328.5</v>
      </c>
      <c r="R224" s="9">
        <v>5502378.5</v>
      </c>
      <c r="S224" s="9">
        <v>3439127.8</v>
      </c>
      <c r="T224" s="9">
        <v>168008.6</v>
      </c>
      <c r="U224" s="9">
        <v>320620.40000000002</v>
      </c>
      <c r="V224" s="9">
        <v>479604.5</v>
      </c>
      <c r="W224" s="9">
        <v>1031572.28</v>
      </c>
      <c r="X224" s="9">
        <v>1031572.3</v>
      </c>
      <c r="Y224" s="9">
        <v>7980.4</v>
      </c>
      <c r="Z224" s="9">
        <v>323114.3</v>
      </c>
      <c r="AA224" s="9">
        <v>94461.1</v>
      </c>
      <c r="AB224" s="9">
        <v>615.70000000000005</v>
      </c>
      <c r="AC224" s="9">
        <v>255913.2</v>
      </c>
      <c r="AD224" s="9">
        <v>96522.4</v>
      </c>
      <c r="AE224" s="9">
        <v>12714.9</v>
      </c>
      <c r="AF224" s="9">
        <v>80141.600000000006</v>
      </c>
      <c r="AG224" s="9">
        <v>129.1</v>
      </c>
      <c r="AH224" s="9">
        <v>978.3</v>
      </c>
      <c r="AI224" s="9">
        <v>557</v>
      </c>
      <c r="AJ224" s="9">
        <v>4568.6000000000004</v>
      </c>
      <c r="AK224" s="9">
        <v>153875.9</v>
      </c>
      <c r="AL224" s="9">
        <v>1323513.7</v>
      </c>
      <c r="AM224" s="9">
        <v>1323513.7</v>
      </c>
      <c r="AN224" s="9">
        <v>72464.7</v>
      </c>
      <c r="AO224" s="9">
        <v>245106.1</v>
      </c>
      <c r="AP224" s="9">
        <v>281322.8</v>
      </c>
      <c r="AQ224" s="9">
        <v>15366.7</v>
      </c>
      <c r="AR224" s="9">
        <v>193186.4</v>
      </c>
      <c r="AS224" s="9">
        <v>150069.29999999999</v>
      </c>
      <c r="AT224" s="9">
        <v>20127.2</v>
      </c>
      <c r="AU224" s="9">
        <v>134247</v>
      </c>
      <c r="AV224" s="9">
        <v>4478.6000000000004</v>
      </c>
      <c r="AW224" s="9">
        <v>49481</v>
      </c>
      <c r="AX224" s="9">
        <v>4194.3999999999996</v>
      </c>
      <c r="AY224" s="9">
        <v>5506.3</v>
      </c>
      <c r="AZ224" s="9">
        <v>147963.20000000001</v>
      </c>
      <c r="BA224" s="9">
        <v>7604563.5499999998</v>
      </c>
      <c r="BB224" s="9">
        <v>1043319.87</v>
      </c>
      <c r="BC224" s="9">
        <v>7912422.7800000003</v>
      </c>
      <c r="BD224" s="9">
        <v>2030287.95</v>
      </c>
      <c r="BE224" s="9">
        <v>151658.98000000001</v>
      </c>
      <c r="BF224" s="9">
        <v>24624.02</v>
      </c>
      <c r="BG224" s="9">
        <v>879913.3</v>
      </c>
      <c r="BH224" s="9">
        <v>101556.36</v>
      </c>
      <c r="BI224" s="9">
        <v>223093.37</v>
      </c>
      <c r="BJ224" s="9">
        <v>87090.89</v>
      </c>
      <c r="BK224" s="9">
        <v>1100420.3400000001</v>
      </c>
      <c r="BL224" s="9">
        <v>295228.12</v>
      </c>
      <c r="BM224" s="9">
        <v>12093257.640000001</v>
      </c>
      <c r="BN224" s="9">
        <v>7442113.3600000003</v>
      </c>
      <c r="BO224" s="9">
        <v>65673.09</v>
      </c>
      <c r="BP224" s="9">
        <v>4651144.2899999991</v>
      </c>
      <c r="BQ224" s="9">
        <v>321486.62</v>
      </c>
      <c r="BR224" s="9">
        <v>821114.08000000007</v>
      </c>
      <c r="BS224" s="9">
        <v>144828.26</v>
      </c>
      <c r="BT224" s="9">
        <v>2425.48</v>
      </c>
      <c r="BU224" s="9">
        <v>676285.82000000007</v>
      </c>
      <c r="BV224" s="9">
        <v>-1583.21</v>
      </c>
      <c r="BW224" s="9">
        <v>990155.98</v>
      </c>
      <c r="BX224" s="9">
        <v>209744.3</v>
      </c>
      <c r="BY224" s="9">
        <v>3574.29</v>
      </c>
      <c r="BZ224" s="9">
        <v>780411.67999999993</v>
      </c>
      <c r="CA224" s="9">
        <v>14871.29</v>
      </c>
      <c r="CB224" s="9">
        <v>156432.13</v>
      </c>
      <c r="CC224" s="9">
        <v>15626017.42</v>
      </c>
      <c r="CD224" s="9">
        <v>1095971</v>
      </c>
      <c r="CE224" s="9">
        <v>1090086</v>
      </c>
      <c r="CF224" s="9">
        <v>15269512.720000001</v>
      </c>
      <c r="CG224" s="9">
        <v>10831687.210000001</v>
      </c>
      <c r="CH224" s="9">
        <v>4437825.51</v>
      </c>
      <c r="CI224" s="9">
        <v>10919006.27</v>
      </c>
      <c r="CJ224" s="9">
        <v>8748321.1699999999</v>
      </c>
      <c r="CK224" s="9">
        <v>2170685.1</v>
      </c>
      <c r="CL224" s="9">
        <v>4350506.45</v>
      </c>
      <c r="CM224" s="9">
        <v>2083366.04</v>
      </c>
      <c r="CN224" s="9">
        <v>2267140.4099999997</v>
      </c>
      <c r="CO224" s="9">
        <v>4312058.78</v>
      </c>
      <c r="CP224" s="9">
        <v>1044285.63</v>
      </c>
      <c r="CQ224" s="9">
        <v>3267773.15</v>
      </c>
      <c r="CR224" s="9">
        <v>2321925.9099999997</v>
      </c>
      <c r="CS224" s="9">
        <v>844372.13</v>
      </c>
      <c r="CT224" s="9">
        <v>1477553.7799999998</v>
      </c>
      <c r="CU224" s="9">
        <v>1990132.87</v>
      </c>
      <c r="CV224" s="9">
        <v>199913.5</v>
      </c>
      <c r="CW224" s="9">
        <v>1790219.37</v>
      </c>
      <c r="CX224" s="9">
        <v>10957453.939999999</v>
      </c>
      <c r="CY224" s="9">
        <v>9787401.5800000001</v>
      </c>
      <c r="CZ224" s="9">
        <v>1170052.3600000001</v>
      </c>
      <c r="DA224" s="9">
        <v>8597080.3599999994</v>
      </c>
      <c r="DB224" s="9">
        <v>7903949.04</v>
      </c>
      <c r="DC224" s="9">
        <v>693131.32</v>
      </c>
      <c r="DD224" s="9">
        <v>2360373.58</v>
      </c>
      <c r="DE224" s="9">
        <v>1883452.54</v>
      </c>
      <c r="DF224" s="9">
        <v>476921.04</v>
      </c>
      <c r="DG224" s="9">
        <v>19095406.41</v>
      </c>
      <c r="DH224" s="9">
        <v>3825893.69</v>
      </c>
    </row>
    <row r="225" spans="1:112" x14ac:dyDescent="0.2">
      <c r="A225" s="8" t="s">
        <v>861</v>
      </c>
      <c r="B225" s="8" t="s">
        <v>467</v>
      </c>
      <c r="C225" s="8" t="s">
        <v>469</v>
      </c>
      <c r="D225" s="9">
        <v>15807226.119999999</v>
      </c>
      <c r="E225" s="9">
        <v>15807226.1</v>
      </c>
      <c r="F225" s="9">
        <v>341698.2</v>
      </c>
      <c r="G225" s="9">
        <v>1217998.5</v>
      </c>
      <c r="H225" s="9">
        <v>1478586.1</v>
      </c>
      <c r="I225" s="9">
        <v>99222.2</v>
      </c>
      <c r="J225" s="9">
        <v>1524918.5</v>
      </c>
      <c r="K225" s="9">
        <v>2393338.1</v>
      </c>
      <c r="L225" s="9">
        <v>247527.3</v>
      </c>
      <c r="M225" s="9">
        <v>2118432.1</v>
      </c>
      <c r="N225" s="9">
        <v>60225.8</v>
      </c>
      <c r="O225" s="9">
        <v>387151</v>
      </c>
      <c r="P225" s="9">
        <v>100495.5</v>
      </c>
      <c r="Q225" s="9">
        <v>104007.5</v>
      </c>
      <c r="R225" s="9">
        <v>5733625.2000000002</v>
      </c>
      <c r="S225" s="9">
        <v>3636519.6</v>
      </c>
      <c r="T225" s="9">
        <v>178046.6</v>
      </c>
      <c r="U225" s="9">
        <v>341117.9</v>
      </c>
      <c r="V225" s="9">
        <v>508046.8</v>
      </c>
      <c r="W225" s="9">
        <v>1014405.62</v>
      </c>
      <c r="X225" s="9">
        <v>1014405.6</v>
      </c>
      <c r="Y225" s="9">
        <v>7247.5</v>
      </c>
      <c r="Z225" s="9">
        <v>216371.7</v>
      </c>
      <c r="AA225" s="9">
        <v>63283.199999999997</v>
      </c>
      <c r="AB225" s="9">
        <v>829.4</v>
      </c>
      <c r="AC225" s="9">
        <v>259831.4</v>
      </c>
      <c r="AD225" s="9">
        <v>80020</v>
      </c>
      <c r="AE225" s="9">
        <v>12839.1</v>
      </c>
      <c r="AF225" s="9">
        <v>67234.399999999994</v>
      </c>
      <c r="AG225" s="9">
        <v>379.3</v>
      </c>
      <c r="AH225" s="9">
        <v>156356.20000000001</v>
      </c>
      <c r="AI225" s="9">
        <v>658.5</v>
      </c>
      <c r="AJ225" s="9">
        <v>4474.3999999999996</v>
      </c>
      <c r="AK225" s="9">
        <v>144880.5</v>
      </c>
      <c r="AL225" s="9">
        <v>1359263.62</v>
      </c>
      <c r="AM225" s="9">
        <v>1359263.6</v>
      </c>
      <c r="AN225" s="9">
        <v>71491.5</v>
      </c>
      <c r="AO225" s="9">
        <v>245304.6</v>
      </c>
      <c r="AP225" s="9">
        <v>309539.59999999998</v>
      </c>
      <c r="AQ225" s="9">
        <v>13049.4</v>
      </c>
      <c r="AR225" s="9">
        <v>189969.5</v>
      </c>
      <c r="AS225" s="9">
        <v>164075.79999999999</v>
      </c>
      <c r="AT225" s="9">
        <v>19772.400000000001</v>
      </c>
      <c r="AU225" s="9">
        <v>133292.6</v>
      </c>
      <c r="AV225" s="9">
        <v>4449.2</v>
      </c>
      <c r="AW225" s="9">
        <v>49621.2</v>
      </c>
      <c r="AX225" s="9">
        <v>4246.7</v>
      </c>
      <c r="AY225" s="9">
        <v>5605.3</v>
      </c>
      <c r="AZ225" s="9">
        <v>148846</v>
      </c>
      <c r="BA225" s="9">
        <v>7854172.8300000001</v>
      </c>
      <c r="BB225" s="9">
        <v>1055061.57</v>
      </c>
      <c r="BC225" s="9">
        <v>7995653.379999999</v>
      </c>
      <c r="BD225" s="9">
        <v>2113599.34</v>
      </c>
      <c r="BE225" s="9">
        <v>145183.09</v>
      </c>
      <c r="BF225" s="9">
        <v>23722.07</v>
      </c>
      <c r="BG225" s="9">
        <v>869222.53</v>
      </c>
      <c r="BH225" s="9">
        <v>102626.1</v>
      </c>
      <c r="BI225" s="9">
        <v>221381.25</v>
      </c>
      <c r="BJ225" s="9">
        <v>84891.29</v>
      </c>
      <c r="BK225" s="9">
        <v>1137882.3799999999</v>
      </c>
      <c r="BL225" s="9">
        <v>290081.40999999997</v>
      </c>
      <c r="BM225" s="9">
        <v>12484541.800000001</v>
      </c>
      <c r="BN225" s="9">
        <v>7700029.5999999996</v>
      </c>
      <c r="BO225" s="9">
        <v>58806.14</v>
      </c>
      <c r="BP225" s="9">
        <v>4784512.2000000011</v>
      </c>
      <c r="BQ225" s="9">
        <v>346466.29</v>
      </c>
      <c r="BR225" s="9">
        <v>664687.35999999999</v>
      </c>
      <c r="BS225" s="9">
        <v>140437.54</v>
      </c>
      <c r="BT225" s="9">
        <v>2435.15</v>
      </c>
      <c r="BU225" s="9">
        <v>524249.82</v>
      </c>
      <c r="BV225" s="9">
        <v>7586.82</v>
      </c>
      <c r="BW225" s="9">
        <v>1021445.87</v>
      </c>
      <c r="BX225" s="9">
        <v>209849.55</v>
      </c>
      <c r="BY225" s="9">
        <v>2350.5</v>
      </c>
      <c r="BZ225" s="9">
        <v>811596.33</v>
      </c>
      <c r="CA225" s="9">
        <v>13622.65</v>
      </c>
      <c r="CB225" s="9">
        <v>157124.57999999999</v>
      </c>
      <c r="CC225" s="9">
        <v>15964350.699999999</v>
      </c>
      <c r="CD225" s="9">
        <v>1128506</v>
      </c>
      <c r="CE225" s="9">
        <v>1122559</v>
      </c>
      <c r="CF225" s="9">
        <v>15508688.35</v>
      </c>
      <c r="CG225" s="9">
        <v>10879085.15</v>
      </c>
      <c r="CH225" s="9">
        <v>4629603.2000000011</v>
      </c>
      <c r="CI225" s="9">
        <v>11091414.640000001</v>
      </c>
      <c r="CJ225" s="9">
        <v>8789736.8599999994</v>
      </c>
      <c r="CK225" s="9">
        <v>2301677.7799999998</v>
      </c>
      <c r="CL225" s="9">
        <v>4417273.7100000009</v>
      </c>
      <c r="CM225" s="9">
        <v>2089348.29</v>
      </c>
      <c r="CN225" s="9">
        <v>2327925.42</v>
      </c>
      <c r="CO225" s="9">
        <v>4519751.4000000004</v>
      </c>
      <c r="CP225" s="9">
        <v>1049969.98</v>
      </c>
      <c r="CQ225" s="9">
        <v>3469781.42</v>
      </c>
      <c r="CR225" s="9">
        <v>2462049.06</v>
      </c>
      <c r="CS225" s="9">
        <v>849928.17</v>
      </c>
      <c r="CT225" s="9">
        <v>1612120.89</v>
      </c>
      <c r="CU225" s="9">
        <v>2057702.34</v>
      </c>
      <c r="CV225" s="9">
        <v>200041.81</v>
      </c>
      <c r="CW225" s="9">
        <v>1857660.53</v>
      </c>
      <c r="CX225" s="9">
        <v>10988936.949999999</v>
      </c>
      <c r="CY225" s="9">
        <v>9829115.1699999999</v>
      </c>
      <c r="CZ225" s="9">
        <v>1159821.7799999998</v>
      </c>
      <c r="DA225" s="9">
        <v>8629365.5800000001</v>
      </c>
      <c r="DB225" s="9">
        <v>7939808.6900000004</v>
      </c>
      <c r="DC225" s="9">
        <v>689556.89</v>
      </c>
      <c r="DD225" s="9">
        <v>2359571.3699999996</v>
      </c>
      <c r="DE225" s="9">
        <v>1889306.48</v>
      </c>
      <c r="DF225" s="9">
        <v>470264.89</v>
      </c>
      <c r="DG225" s="9">
        <v>19325438.109999999</v>
      </c>
      <c r="DH225" s="9">
        <v>3816749.76</v>
      </c>
    </row>
    <row r="226" spans="1:112" x14ac:dyDescent="0.2">
      <c r="A226" s="8" t="s">
        <v>861</v>
      </c>
      <c r="B226" s="8" t="s">
        <v>467</v>
      </c>
      <c r="C226" s="8" t="s">
        <v>470</v>
      </c>
      <c r="D226" s="9">
        <v>16206667.220000001</v>
      </c>
      <c r="E226" s="9">
        <v>16206667.199999999</v>
      </c>
      <c r="F226" s="9">
        <v>341465.2</v>
      </c>
      <c r="G226" s="9">
        <v>1184654.6000000001</v>
      </c>
      <c r="H226" s="9">
        <v>1479920.5</v>
      </c>
      <c r="I226" s="9">
        <v>110250.5</v>
      </c>
      <c r="J226" s="9">
        <v>1523200.6</v>
      </c>
      <c r="K226" s="9">
        <v>2520434.9</v>
      </c>
      <c r="L226" s="9">
        <v>266883</v>
      </c>
      <c r="M226" s="9">
        <v>2142193.7000000002</v>
      </c>
      <c r="N226" s="9">
        <v>61099.1</v>
      </c>
      <c r="O226" s="9">
        <v>426381.3</v>
      </c>
      <c r="P226" s="9">
        <v>116345.9</v>
      </c>
      <c r="Q226" s="9">
        <v>106541.2</v>
      </c>
      <c r="R226" s="9">
        <v>5927296.7999999998</v>
      </c>
      <c r="S226" s="9">
        <v>3755948.8</v>
      </c>
      <c r="T226" s="9">
        <v>186666</v>
      </c>
      <c r="U226" s="9">
        <v>355362.9</v>
      </c>
      <c r="V226" s="9">
        <v>529922.6</v>
      </c>
      <c r="W226" s="9">
        <v>986941.28</v>
      </c>
      <c r="X226" s="9">
        <v>986941.3</v>
      </c>
      <c r="Y226" s="9">
        <v>6971.1</v>
      </c>
      <c r="Z226" s="9">
        <v>181660.6</v>
      </c>
      <c r="AA226" s="9">
        <v>66949.5</v>
      </c>
      <c r="AB226" s="9">
        <v>986.5</v>
      </c>
      <c r="AC226" s="9">
        <v>221700.6</v>
      </c>
      <c r="AD226" s="9">
        <v>79520.899999999994</v>
      </c>
      <c r="AE226" s="9">
        <v>12724.1</v>
      </c>
      <c r="AF226" s="9">
        <v>115327.4</v>
      </c>
      <c r="AG226" s="9">
        <v>362.3</v>
      </c>
      <c r="AH226" s="9">
        <v>161328.1</v>
      </c>
      <c r="AI226" s="9">
        <v>457.1</v>
      </c>
      <c r="AJ226" s="9">
        <v>5833.9</v>
      </c>
      <c r="AK226" s="9">
        <v>133119.1</v>
      </c>
      <c r="AL226" s="9">
        <v>1351140.22</v>
      </c>
      <c r="AM226" s="9">
        <v>1351140.2</v>
      </c>
      <c r="AN226" s="9">
        <v>64343</v>
      </c>
      <c r="AO226" s="9">
        <v>240445.3</v>
      </c>
      <c r="AP226" s="9">
        <v>314953.09999999998</v>
      </c>
      <c r="AQ226" s="9">
        <v>14586.7</v>
      </c>
      <c r="AR226" s="9">
        <v>198257.4</v>
      </c>
      <c r="AS226" s="9">
        <v>152057.4</v>
      </c>
      <c r="AT226" s="9">
        <v>19712.2</v>
      </c>
      <c r="AU226" s="9">
        <v>131803.6</v>
      </c>
      <c r="AV226" s="9">
        <v>4346.7</v>
      </c>
      <c r="AW226" s="9">
        <v>48227.5</v>
      </c>
      <c r="AX226" s="9">
        <v>4210.8</v>
      </c>
      <c r="AY226" s="9">
        <v>5596.6</v>
      </c>
      <c r="AZ226" s="9">
        <v>152599.9</v>
      </c>
      <c r="BA226" s="9">
        <v>8093536.1500000004</v>
      </c>
      <c r="BB226" s="9">
        <v>1075583.75</v>
      </c>
      <c r="BC226" s="9">
        <v>8176631.5300000003</v>
      </c>
      <c r="BD226" s="9">
        <v>2119731.6</v>
      </c>
      <c r="BE226" s="9">
        <v>138316.98000000001</v>
      </c>
      <c r="BF226" s="9">
        <v>21408.68</v>
      </c>
      <c r="BG226" s="9">
        <v>848624.3</v>
      </c>
      <c r="BH226" s="9">
        <v>98521.37</v>
      </c>
      <c r="BI226" s="9">
        <v>228187.9</v>
      </c>
      <c r="BJ226" s="9">
        <v>88324.13</v>
      </c>
      <c r="BK226" s="9">
        <v>1122952.3099999998</v>
      </c>
      <c r="BL226" s="9">
        <v>298984.26</v>
      </c>
      <c r="BM226" s="9">
        <v>12910805.98</v>
      </c>
      <c r="BN226" s="9">
        <v>7937165.8099999996</v>
      </c>
      <c r="BO226" s="9">
        <v>59294.22</v>
      </c>
      <c r="BP226" s="9">
        <v>4973640.17</v>
      </c>
      <c r="BQ226" s="9">
        <v>328008.83</v>
      </c>
      <c r="BR226" s="9">
        <v>631133.16</v>
      </c>
      <c r="BS226" s="9">
        <v>133672.39000000001</v>
      </c>
      <c r="BT226" s="9">
        <v>2512.63</v>
      </c>
      <c r="BU226" s="9">
        <v>497460.77</v>
      </c>
      <c r="BV226" s="9">
        <v>5544.87</v>
      </c>
      <c r="BW226" s="9">
        <v>1010438.93</v>
      </c>
      <c r="BX226" s="9">
        <v>213659.08</v>
      </c>
      <c r="BY226" s="9">
        <v>4976.2299999999996</v>
      </c>
      <c r="BZ226" s="9">
        <v>796779.85</v>
      </c>
      <c r="CA226" s="9">
        <v>13730.99</v>
      </c>
      <c r="CB226" s="9">
        <v>158233.44</v>
      </c>
      <c r="CC226" s="9">
        <v>16364900.659999996</v>
      </c>
      <c r="CD226" s="9">
        <v>1149426</v>
      </c>
      <c r="CE226" s="9">
        <v>1143452</v>
      </c>
      <c r="CF226" s="9">
        <v>15950176.51</v>
      </c>
      <c r="CG226" s="9">
        <v>10992471.560000001</v>
      </c>
      <c r="CH226" s="9">
        <v>4957704.9500000011</v>
      </c>
      <c r="CI226" s="9">
        <v>11346055.630000001</v>
      </c>
      <c r="CJ226" s="9">
        <v>8856495.9600000009</v>
      </c>
      <c r="CK226" s="9">
        <v>2489559.67</v>
      </c>
      <c r="CL226" s="9">
        <v>4604120.8800000008</v>
      </c>
      <c r="CM226" s="9">
        <v>2135975.6</v>
      </c>
      <c r="CN226" s="9">
        <v>2468145.2800000003</v>
      </c>
      <c r="CO226" s="9">
        <v>4822678.95</v>
      </c>
      <c r="CP226" s="9">
        <v>1032468.65</v>
      </c>
      <c r="CQ226" s="9">
        <v>3790210.3</v>
      </c>
      <c r="CR226" s="9">
        <v>2622872.65</v>
      </c>
      <c r="CS226" s="9">
        <v>821647.02</v>
      </c>
      <c r="CT226" s="9">
        <v>1801225.63</v>
      </c>
      <c r="CU226" s="9">
        <v>2199806.2999999998</v>
      </c>
      <c r="CV226" s="9">
        <v>210821.63</v>
      </c>
      <c r="CW226" s="9">
        <v>1988984.67</v>
      </c>
      <c r="CX226" s="9">
        <v>11127497.560000001</v>
      </c>
      <c r="CY226" s="9">
        <v>9960002.9100000001</v>
      </c>
      <c r="CZ226" s="9">
        <v>1167494.6499999999</v>
      </c>
      <c r="DA226" s="9">
        <v>8723182.9800000004</v>
      </c>
      <c r="DB226" s="9">
        <v>8034848.9400000004</v>
      </c>
      <c r="DC226" s="9">
        <v>688334.03999999992</v>
      </c>
      <c r="DD226" s="9">
        <v>2404314.58</v>
      </c>
      <c r="DE226" s="9">
        <v>1925153.97</v>
      </c>
      <c r="DF226" s="9">
        <v>479160.61</v>
      </c>
      <c r="DG226" s="9">
        <v>19804212.120000005</v>
      </c>
      <c r="DH226" s="9">
        <v>3854035.61</v>
      </c>
    </row>
    <row r="227" spans="1:112" x14ac:dyDescent="0.2">
      <c r="A227" s="8" t="s">
        <v>861</v>
      </c>
      <c r="B227" s="8" t="s">
        <v>471</v>
      </c>
      <c r="C227" s="8" t="s">
        <v>472</v>
      </c>
      <c r="D227" s="9">
        <v>16312446.83</v>
      </c>
      <c r="E227" s="9">
        <v>16312446.800000001</v>
      </c>
      <c r="F227" s="9">
        <v>343379.5</v>
      </c>
      <c r="G227" s="9">
        <v>1207874.3</v>
      </c>
      <c r="H227" s="9">
        <v>1451548.8</v>
      </c>
      <c r="I227" s="9">
        <v>116687</v>
      </c>
      <c r="J227" s="9">
        <v>1513226.1</v>
      </c>
      <c r="K227" s="9">
        <v>2420828.9</v>
      </c>
      <c r="L227" s="9">
        <v>274454.40000000002</v>
      </c>
      <c r="M227" s="9">
        <v>2186869.2000000002</v>
      </c>
      <c r="N227" s="9">
        <v>60406.6</v>
      </c>
      <c r="O227" s="9">
        <v>414244.8</v>
      </c>
      <c r="P227" s="9">
        <v>116468.9</v>
      </c>
      <c r="Q227" s="9">
        <v>111065.60000000001</v>
      </c>
      <c r="R227" s="9">
        <v>6095393</v>
      </c>
      <c r="S227" s="9">
        <v>3860566.1</v>
      </c>
      <c r="T227" s="9">
        <v>208450.3</v>
      </c>
      <c r="U227" s="9">
        <v>379017.3</v>
      </c>
      <c r="V227" s="9">
        <v>496400.6</v>
      </c>
      <c r="W227" s="9">
        <v>1038699.23</v>
      </c>
      <c r="X227" s="9">
        <v>1038699.2</v>
      </c>
      <c r="Y227" s="9">
        <v>4125.1000000000004</v>
      </c>
      <c r="Z227" s="9">
        <v>93396.800000000003</v>
      </c>
      <c r="AA227" s="9">
        <v>41056.199999999997</v>
      </c>
      <c r="AB227" s="9">
        <v>2083.3000000000002</v>
      </c>
      <c r="AC227" s="9">
        <v>457667.6</v>
      </c>
      <c r="AD227" s="9">
        <v>72435.8</v>
      </c>
      <c r="AE227" s="9">
        <v>15440.4</v>
      </c>
      <c r="AF227" s="9">
        <v>72393.600000000006</v>
      </c>
      <c r="AG227" s="9">
        <v>296.7</v>
      </c>
      <c r="AH227" s="9">
        <v>161202.5</v>
      </c>
      <c r="AI227" s="9">
        <v>448.5</v>
      </c>
      <c r="AJ227" s="9">
        <v>5144.8999999999996</v>
      </c>
      <c r="AK227" s="9">
        <v>113007.8</v>
      </c>
      <c r="AL227" s="9">
        <v>1954229.83</v>
      </c>
      <c r="AM227" s="9">
        <v>1954229.8</v>
      </c>
      <c r="AN227" s="9">
        <v>76753.2</v>
      </c>
      <c r="AO227" s="9">
        <v>427875.9</v>
      </c>
      <c r="AP227" s="9">
        <v>397712.5</v>
      </c>
      <c r="AQ227" s="9">
        <v>18014.599999999999</v>
      </c>
      <c r="AR227" s="9">
        <v>279669</v>
      </c>
      <c r="AS227" s="9">
        <v>233886.8</v>
      </c>
      <c r="AT227" s="9">
        <v>23264</v>
      </c>
      <c r="AU227" s="9">
        <v>209994.5</v>
      </c>
      <c r="AV227" s="9">
        <v>4167.3999999999996</v>
      </c>
      <c r="AW227" s="9">
        <v>74911.7</v>
      </c>
      <c r="AX227" s="9">
        <v>4245.8</v>
      </c>
      <c r="AY227" s="9">
        <v>8116</v>
      </c>
      <c r="AZ227" s="9">
        <v>195618.4</v>
      </c>
      <c r="BA227" s="9">
        <v>8289567.8399999999</v>
      </c>
      <c r="BB227" s="9">
        <v>1117804.74</v>
      </c>
      <c r="BC227" s="9">
        <v>8074850.8200000003</v>
      </c>
      <c r="BD227" s="9">
        <v>2130115.65</v>
      </c>
      <c r="BE227" s="9">
        <v>137326.37</v>
      </c>
      <c r="BF227" s="9">
        <v>20305.38</v>
      </c>
      <c r="BG227" s="9">
        <v>901372.87</v>
      </c>
      <c r="BH227" s="9">
        <v>101993.61</v>
      </c>
      <c r="BI227" s="9">
        <v>256996.96</v>
      </c>
      <c r="BJ227" s="9">
        <v>94368.91</v>
      </c>
      <c r="BK227" s="9">
        <v>1697232.8700000003</v>
      </c>
      <c r="BL227" s="9">
        <v>350493.87</v>
      </c>
      <c r="BM227" s="9">
        <v>13214642.83</v>
      </c>
      <c r="BN227" s="9">
        <v>8145328.0799999982</v>
      </c>
      <c r="BO227" s="9">
        <v>64192.67</v>
      </c>
      <c r="BP227" s="9">
        <v>5069314.76</v>
      </c>
      <c r="BQ227" s="9">
        <v>320928.28999999998</v>
      </c>
      <c r="BR227" s="9">
        <v>672008.9</v>
      </c>
      <c r="BS227" s="9">
        <v>132056.93</v>
      </c>
      <c r="BT227" s="9">
        <v>2866.96</v>
      </c>
      <c r="BU227" s="9">
        <v>539951.98</v>
      </c>
      <c r="BV227" s="9">
        <v>10829.41</v>
      </c>
      <c r="BW227" s="9">
        <v>1426704.38</v>
      </c>
      <c r="BX227" s="9">
        <v>228400.8</v>
      </c>
      <c r="BY227" s="9">
        <v>9763.51</v>
      </c>
      <c r="BZ227" s="9">
        <v>1198303.5900000003</v>
      </c>
      <c r="CA227" s="9">
        <v>14212.83</v>
      </c>
      <c r="CB227" s="9">
        <v>158231.12</v>
      </c>
      <c r="CC227" s="9">
        <v>16470677.949999999</v>
      </c>
      <c r="CD227" s="9">
        <v>1162646</v>
      </c>
      <c r="CE227" s="9">
        <v>1156710</v>
      </c>
      <c r="CF227" s="9">
        <v>16137766.930000003</v>
      </c>
      <c r="CG227" s="9">
        <v>11212392.74</v>
      </c>
      <c r="CH227" s="9">
        <v>4925374.1900000004</v>
      </c>
      <c r="CI227" s="9">
        <v>11347984.309999999</v>
      </c>
      <c r="CJ227" s="9">
        <v>9019682.9600000009</v>
      </c>
      <c r="CK227" s="9">
        <v>2328301.35</v>
      </c>
      <c r="CL227" s="9">
        <v>4789782.62</v>
      </c>
      <c r="CM227" s="9">
        <v>2192709.7800000003</v>
      </c>
      <c r="CN227" s="9">
        <v>2597072.8399999994</v>
      </c>
      <c r="CO227" s="9">
        <v>4864640.3599999994</v>
      </c>
      <c r="CP227" s="9">
        <v>1069149.58</v>
      </c>
      <c r="CQ227" s="9">
        <v>3795490.78</v>
      </c>
      <c r="CR227" s="9">
        <v>2539985.8199999998</v>
      </c>
      <c r="CS227" s="9">
        <v>840715.03</v>
      </c>
      <c r="CT227" s="9">
        <v>1699270.7899999998</v>
      </c>
      <c r="CU227" s="9">
        <v>2324654.5399999996</v>
      </c>
      <c r="CV227" s="9">
        <v>228434.55</v>
      </c>
      <c r="CW227" s="9">
        <v>2096219.99</v>
      </c>
      <c r="CX227" s="9">
        <v>11273126.57</v>
      </c>
      <c r="CY227" s="9">
        <v>10143243.16</v>
      </c>
      <c r="CZ227" s="9">
        <v>1129883.4099999999</v>
      </c>
      <c r="DA227" s="9">
        <v>8807998.4900000002</v>
      </c>
      <c r="DB227" s="9">
        <v>8178967.9299999997</v>
      </c>
      <c r="DC227" s="9">
        <v>629030.56000000006</v>
      </c>
      <c r="DD227" s="9">
        <v>2465128.08</v>
      </c>
      <c r="DE227" s="9">
        <v>1964275.23</v>
      </c>
      <c r="DF227" s="9">
        <v>500852.85</v>
      </c>
      <c r="DG227" s="9">
        <v>20326072.310000002</v>
      </c>
      <c r="DH227" s="9">
        <v>4188305.38</v>
      </c>
    </row>
    <row r="228" spans="1:112" x14ac:dyDescent="0.2">
      <c r="A228" s="8" t="s">
        <v>861</v>
      </c>
      <c r="B228" s="8" t="s">
        <v>471</v>
      </c>
      <c r="C228" s="8" t="s">
        <v>473</v>
      </c>
      <c r="D228" s="9">
        <v>16575583.119999999</v>
      </c>
      <c r="E228" s="9">
        <v>16575583.1</v>
      </c>
      <c r="F228" s="9">
        <v>347339.3</v>
      </c>
      <c r="G228" s="9">
        <v>1252671.6000000001</v>
      </c>
      <c r="H228" s="9">
        <v>1459234.9</v>
      </c>
      <c r="I228" s="9">
        <v>121074.1</v>
      </c>
      <c r="J228" s="9">
        <v>1535380.8</v>
      </c>
      <c r="K228" s="9">
        <v>2322862.6</v>
      </c>
      <c r="L228" s="9">
        <v>285148.90000000002</v>
      </c>
      <c r="M228" s="9">
        <v>2165865.5</v>
      </c>
      <c r="N228" s="9">
        <v>59650</v>
      </c>
      <c r="O228" s="9">
        <v>419929.4</v>
      </c>
      <c r="P228" s="9">
        <v>119213.8</v>
      </c>
      <c r="Q228" s="9">
        <v>116031.5</v>
      </c>
      <c r="R228" s="9">
        <v>6371180.6000000006</v>
      </c>
      <c r="S228" s="9">
        <v>4041903.1</v>
      </c>
      <c r="T228" s="9">
        <v>221520.8</v>
      </c>
      <c r="U228" s="9">
        <v>395135</v>
      </c>
      <c r="V228" s="9">
        <v>557051</v>
      </c>
      <c r="W228" s="9">
        <v>968610.46</v>
      </c>
      <c r="X228" s="9">
        <v>968610.5</v>
      </c>
      <c r="Y228" s="9">
        <v>21112.400000000001</v>
      </c>
      <c r="Z228" s="9">
        <v>34926.6</v>
      </c>
      <c r="AA228" s="9">
        <v>43039.8</v>
      </c>
      <c r="AB228" s="9">
        <v>1153.3</v>
      </c>
      <c r="AC228" s="9">
        <v>441830.5</v>
      </c>
      <c r="AD228" s="9">
        <v>54994.3</v>
      </c>
      <c r="AE228" s="9">
        <v>15609.1</v>
      </c>
      <c r="AF228" s="9">
        <v>70261.5</v>
      </c>
      <c r="AG228" s="9">
        <v>49</v>
      </c>
      <c r="AH228" s="9">
        <v>164849.29999999999</v>
      </c>
      <c r="AI228" s="9">
        <v>151.4</v>
      </c>
      <c r="AJ228" s="9">
        <v>4989</v>
      </c>
      <c r="AK228" s="9">
        <v>115644.1</v>
      </c>
      <c r="AL228" s="9">
        <v>2060798.8</v>
      </c>
      <c r="AM228" s="9">
        <v>2060798.8</v>
      </c>
      <c r="AN228" s="9">
        <v>77174.399999999994</v>
      </c>
      <c r="AO228" s="9">
        <v>543872.69999999995</v>
      </c>
      <c r="AP228" s="9">
        <v>393207.9</v>
      </c>
      <c r="AQ228" s="9">
        <v>9525.7000000000007</v>
      </c>
      <c r="AR228" s="9">
        <v>271299.40000000002</v>
      </c>
      <c r="AS228" s="9">
        <v>257758.3</v>
      </c>
      <c r="AT228" s="9">
        <v>22393.8</v>
      </c>
      <c r="AU228" s="9">
        <v>207031</v>
      </c>
      <c r="AV228" s="9">
        <v>4263.6000000000004</v>
      </c>
      <c r="AW228" s="9">
        <v>67418.399999999994</v>
      </c>
      <c r="AX228" s="9">
        <v>3811</v>
      </c>
      <c r="AY228" s="9">
        <v>8336.5</v>
      </c>
      <c r="AZ228" s="9">
        <v>194706.1</v>
      </c>
      <c r="BA228" s="9">
        <v>8542321.0199999996</v>
      </c>
      <c r="BB228" s="9">
        <v>1155830.07</v>
      </c>
      <c r="BC228" s="9">
        <v>8090932.6900000004</v>
      </c>
      <c r="BD228" s="9">
        <v>2160160.69</v>
      </c>
      <c r="BE228" s="9">
        <v>147386.46</v>
      </c>
      <c r="BF228" s="9">
        <v>24970.27</v>
      </c>
      <c r="BG228" s="9">
        <v>821224</v>
      </c>
      <c r="BH228" s="9">
        <v>102275.8</v>
      </c>
      <c r="BI228" s="9">
        <v>251106.48</v>
      </c>
      <c r="BJ228" s="9">
        <v>95543.74</v>
      </c>
      <c r="BK228" s="9">
        <v>1809692.33</v>
      </c>
      <c r="BL228" s="9">
        <v>351877.13</v>
      </c>
      <c r="BM228" s="9">
        <v>13669097.23</v>
      </c>
      <c r="BN228" s="9">
        <v>8394550.3899999987</v>
      </c>
      <c r="BO228" s="9">
        <v>66182.02</v>
      </c>
      <c r="BP228" s="9">
        <v>5274546.8599999985</v>
      </c>
      <c r="BQ228" s="9">
        <v>308146.69</v>
      </c>
      <c r="BR228" s="9">
        <v>633152.31000000006</v>
      </c>
      <c r="BS228" s="9">
        <v>138693.39000000001</v>
      </c>
      <c r="BT228" s="9">
        <v>6804.06</v>
      </c>
      <c r="BU228" s="9">
        <v>494458.92</v>
      </c>
      <c r="BV228" s="9">
        <v>9999.77</v>
      </c>
      <c r="BW228" s="9">
        <v>1530187.5799999998</v>
      </c>
      <c r="BX228" s="9">
        <v>230944.65</v>
      </c>
      <c r="BY228" s="9">
        <v>9964.5</v>
      </c>
      <c r="BZ228" s="9">
        <v>1299242.94</v>
      </c>
      <c r="CA228" s="9">
        <v>14500.94</v>
      </c>
      <c r="CB228" s="9">
        <v>326106.95</v>
      </c>
      <c r="CC228" s="9">
        <v>16901690.07</v>
      </c>
      <c r="CD228" s="9">
        <v>1172850</v>
      </c>
      <c r="CE228" s="9">
        <v>1166819</v>
      </c>
      <c r="CF228" s="9">
        <v>16703887.85</v>
      </c>
      <c r="CG228" s="9">
        <v>11529820.299999999</v>
      </c>
      <c r="CH228" s="9">
        <v>5174067.55</v>
      </c>
      <c r="CI228" s="9">
        <v>11612142.949999999</v>
      </c>
      <c r="CJ228" s="9">
        <v>9164312.2400000002</v>
      </c>
      <c r="CK228" s="9">
        <v>2447830.71</v>
      </c>
      <c r="CL228" s="9">
        <v>5091744.9000000004</v>
      </c>
      <c r="CM228" s="9">
        <v>2365508.06</v>
      </c>
      <c r="CN228" s="9">
        <v>2726236.84</v>
      </c>
      <c r="CO228" s="9">
        <v>5125399.26</v>
      </c>
      <c r="CP228" s="9">
        <v>1118549.44</v>
      </c>
      <c r="CQ228" s="9">
        <v>4006849.82</v>
      </c>
      <c r="CR228" s="9">
        <v>2670262.69</v>
      </c>
      <c r="CS228" s="9">
        <v>865326.14</v>
      </c>
      <c r="CT228" s="9">
        <v>1804936.55</v>
      </c>
      <c r="CU228" s="9">
        <v>2455136.5699999998</v>
      </c>
      <c r="CV228" s="9">
        <v>253223.3</v>
      </c>
      <c r="CW228" s="9">
        <v>2201913.27</v>
      </c>
      <c r="CX228" s="9">
        <v>11578488.59</v>
      </c>
      <c r="CY228" s="9">
        <v>10411270.859999999</v>
      </c>
      <c r="CZ228" s="9">
        <v>1167217.7300000002</v>
      </c>
      <c r="DA228" s="9">
        <v>8941880.2599999998</v>
      </c>
      <c r="DB228" s="9">
        <v>8298986.0999999996</v>
      </c>
      <c r="DC228" s="9">
        <v>642894.16</v>
      </c>
      <c r="DD228" s="9">
        <v>2636608.33</v>
      </c>
      <c r="DE228" s="9">
        <v>2112284.7599999998</v>
      </c>
      <c r="DF228" s="9">
        <v>524323.57000000007</v>
      </c>
      <c r="DG228" s="9">
        <v>20890153.509999998</v>
      </c>
      <c r="DH228" s="9">
        <v>4186265.66</v>
      </c>
    </row>
    <row r="229" spans="1:112" x14ac:dyDescent="0.2">
      <c r="A229" s="8" t="s">
        <v>861</v>
      </c>
      <c r="B229" s="8" t="s">
        <v>471</v>
      </c>
      <c r="C229" s="8" t="s">
        <v>474</v>
      </c>
      <c r="D229" s="9">
        <v>17082385.91</v>
      </c>
      <c r="E229" s="9">
        <v>17082385.899999999</v>
      </c>
      <c r="F229" s="9">
        <v>331394.5</v>
      </c>
      <c r="G229" s="9">
        <v>1233105.8</v>
      </c>
      <c r="H229" s="9">
        <v>1446331.5</v>
      </c>
      <c r="I229" s="9">
        <v>124975</v>
      </c>
      <c r="J229" s="9">
        <v>1507418.5</v>
      </c>
      <c r="K229" s="9">
        <v>2411305.5</v>
      </c>
      <c r="L229" s="9">
        <v>339962.5</v>
      </c>
      <c r="M229" s="9">
        <v>2148464.4</v>
      </c>
      <c r="N229" s="9">
        <v>66629.2</v>
      </c>
      <c r="O229" s="9">
        <v>467893.6</v>
      </c>
      <c r="P229" s="9">
        <v>117208.5</v>
      </c>
      <c r="Q229" s="9">
        <v>120270.2</v>
      </c>
      <c r="R229" s="9">
        <v>6767426.7999999998</v>
      </c>
      <c r="S229" s="9">
        <v>4382079.5</v>
      </c>
      <c r="T229" s="9">
        <v>215212.7</v>
      </c>
      <c r="U229" s="9">
        <v>433237.7</v>
      </c>
      <c r="V229" s="9">
        <v>516456.4</v>
      </c>
      <c r="W229" s="9">
        <v>843397.21</v>
      </c>
      <c r="X229" s="9">
        <v>843397.2</v>
      </c>
      <c r="Y229" s="9">
        <v>7508.3</v>
      </c>
      <c r="Z229" s="9">
        <v>31263.7</v>
      </c>
      <c r="AA229" s="9">
        <v>45801.2</v>
      </c>
      <c r="AB229" s="9">
        <v>193.6</v>
      </c>
      <c r="AC229" s="9">
        <v>353605.9</v>
      </c>
      <c r="AD229" s="9">
        <v>64335.3</v>
      </c>
      <c r="AE229" s="9">
        <v>15670</v>
      </c>
      <c r="AF229" s="9">
        <v>52865.4</v>
      </c>
      <c r="AG229" s="9">
        <v>32.5</v>
      </c>
      <c r="AH229" s="9">
        <v>167235.70000000001</v>
      </c>
      <c r="AI229" s="9">
        <v>162.4</v>
      </c>
      <c r="AJ229" s="9">
        <v>5110.1000000000004</v>
      </c>
      <c r="AK229" s="9">
        <v>99613.2</v>
      </c>
      <c r="AL229" s="9">
        <v>1778266.3</v>
      </c>
      <c r="AM229" s="9">
        <v>1778266.3</v>
      </c>
      <c r="AN229" s="9">
        <v>72077</v>
      </c>
      <c r="AO229" s="9">
        <v>471803</v>
      </c>
      <c r="AP229" s="9">
        <v>366248</v>
      </c>
      <c r="AQ229" s="9">
        <v>11642.5</v>
      </c>
      <c r="AR229" s="9">
        <v>247413</v>
      </c>
      <c r="AS229" s="9">
        <v>135186.70000000001</v>
      </c>
      <c r="AT229" s="9">
        <v>22551.4</v>
      </c>
      <c r="AU229" s="9">
        <v>196447.6</v>
      </c>
      <c r="AV229" s="9">
        <v>4059.1</v>
      </c>
      <c r="AW229" s="9">
        <v>50526.2</v>
      </c>
      <c r="AX229" s="9">
        <v>3545.4</v>
      </c>
      <c r="AY229" s="9">
        <v>7438</v>
      </c>
      <c r="AZ229" s="9">
        <v>189328.4</v>
      </c>
      <c r="BA229" s="9">
        <v>8912464.5799999982</v>
      </c>
      <c r="BB229" s="9">
        <v>1195501.6100000001</v>
      </c>
      <c r="BC229" s="9">
        <v>8248567.6799999997</v>
      </c>
      <c r="BD229" s="9">
        <v>2207312.0499999998</v>
      </c>
      <c r="BE229" s="9">
        <v>119959.54</v>
      </c>
      <c r="BF229" s="9">
        <v>17303.939999999999</v>
      </c>
      <c r="BG229" s="9">
        <v>723437.66999999993</v>
      </c>
      <c r="BH229" s="9">
        <v>79160.08</v>
      </c>
      <c r="BI229" s="9">
        <v>248411.56</v>
      </c>
      <c r="BJ229" s="9">
        <v>89331.34</v>
      </c>
      <c r="BK229" s="9">
        <v>1529854.7400000002</v>
      </c>
      <c r="BL229" s="9">
        <v>346366.46</v>
      </c>
      <c r="BM229" s="9">
        <v>14348194.43</v>
      </c>
      <c r="BN229" s="9">
        <v>8760214.9199999999</v>
      </c>
      <c r="BO229" s="9">
        <v>76554.289999999994</v>
      </c>
      <c r="BP229" s="9">
        <v>5587979.5199999996</v>
      </c>
      <c r="BQ229" s="9">
        <v>326947.78999999998</v>
      </c>
      <c r="BR229" s="9">
        <v>517315.09</v>
      </c>
      <c r="BS229" s="9">
        <v>115544.84</v>
      </c>
      <c r="BT229" s="9">
        <v>2859.41</v>
      </c>
      <c r="BU229" s="9">
        <v>401770.25</v>
      </c>
      <c r="BV229" s="9">
        <v>6498.3</v>
      </c>
      <c r="BW229" s="9">
        <v>1415616.4300000002</v>
      </c>
      <c r="BX229" s="9">
        <v>220341.77</v>
      </c>
      <c r="BY229" s="9">
        <v>9739.9</v>
      </c>
      <c r="BZ229" s="9">
        <v>1195274.6599999999</v>
      </c>
      <c r="CA229" s="9">
        <v>12640.76</v>
      </c>
      <c r="CB229" s="9">
        <v>399895</v>
      </c>
      <c r="CC229" s="9">
        <v>17482280.91</v>
      </c>
      <c r="CD229" s="9">
        <v>1222390</v>
      </c>
      <c r="CE229" s="9">
        <v>1216467</v>
      </c>
      <c r="CF229" s="9">
        <v>17511137.32</v>
      </c>
      <c r="CG229" s="9">
        <v>12212564.33</v>
      </c>
      <c r="CH229" s="9">
        <v>5298572.99</v>
      </c>
      <c r="CI229" s="9">
        <v>12579050.760000002</v>
      </c>
      <c r="CJ229" s="9">
        <v>9796341.6699999999</v>
      </c>
      <c r="CK229" s="9">
        <v>2782709.0900000003</v>
      </c>
      <c r="CL229" s="9">
        <v>4932086.5599999996</v>
      </c>
      <c r="CM229" s="9">
        <v>2416222.66</v>
      </c>
      <c r="CN229" s="9">
        <v>2515863.9000000004</v>
      </c>
      <c r="CO229" s="9">
        <v>5322878.49</v>
      </c>
      <c r="CP229" s="9">
        <v>1271794.7</v>
      </c>
      <c r="CQ229" s="9">
        <v>4051083.79</v>
      </c>
      <c r="CR229" s="9">
        <v>3158536.7300000004</v>
      </c>
      <c r="CS229" s="9">
        <v>1025125.7</v>
      </c>
      <c r="CT229" s="9">
        <v>2133411.0300000003</v>
      </c>
      <c r="CU229" s="9">
        <v>2164341.7599999998</v>
      </c>
      <c r="CV229" s="9">
        <v>246669</v>
      </c>
      <c r="CW229" s="9">
        <v>1917672.76</v>
      </c>
      <c r="CX229" s="9">
        <v>12188258.83</v>
      </c>
      <c r="CY229" s="9">
        <v>10940769.630000001</v>
      </c>
      <c r="CZ229" s="9">
        <v>1247489.2</v>
      </c>
      <c r="DA229" s="9">
        <v>9420514.0299999993</v>
      </c>
      <c r="DB229" s="9">
        <v>8771215.9700000007</v>
      </c>
      <c r="DC229" s="9">
        <v>649298.06000000006</v>
      </c>
      <c r="DD229" s="9">
        <v>2767744.8</v>
      </c>
      <c r="DE229" s="9">
        <v>2169553.66</v>
      </c>
      <c r="DF229" s="9">
        <v>598191.14</v>
      </c>
      <c r="DG229" s="9">
        <v>21611839.900000002</v>
      </c>
      <c r="DH229" s="9">
        <v>4100702.58</v>
      </c>
    </row>
    <row r="230" spans="1:112" x14ac:dyDescent="0.2">
      <c r="A230" s="8" t="s">
        <v>862</v>
      </c>
      <c r="B230" s="8" t="s">
        <v>475</v>
      </c>
      <c r="C230" s="8" t="s">
        <v>476</v>
      </c>
      <c r="D230" s="9">
        <v>17076161.768649999</v>
      </c>
      <c r="E230" s="9">
        <v>17076161.800000001</v>
      </c>
      <c r="F230" s="9">
        <v>338271.1</v>
      </c>
      <c r="G230" s="9">
        <v>1254592.3999999999</v>
      </c>
      <c r="H230" s="9">
        <v>1438491.3</v>
      </c>
      <c r="I230" s="9">
        <v>127519.8</v>
      </c>
      <c r="J230" s="9">
        <v>1470280.4</v>
      </c>
      <c r="K230" s="9">
        <v>2354446.9</v>
      </c>
      <c r="L230" s="9">
        <v>361098.5</v>
      </c>
      <c r="M230" s="9">
        <v>2178279.6</v>
      </c>
      <c r="N230" s="9">
        <v>69771.600000000006</v>
      </c>
      <c r="O230" s="9">
        <v>460443.2</v>
      </c>
      <c r="P230" s="9">
        <v>114833.4</v>
      </c>
      <c r="Q230" s="9">
        <v>120044.4</v>
      </c>
      <c r="R230" s="9">
        <v>6788089.2999999998</v>
      </c>
      <c r="S230" s="9">
        <v>4372868.9000000004</v>
      </c>
      <c r="T230" s="9">
        <v>237583.7</v>
      </c>
      <c r="U230" s="9">
        <v>427435.8</v>
      </c>
      <c r="V230" s="9">
        <v>494189.1</v>
      </c>
      <c r="W230" s="9">
        <v>830147.96420000005</v>
      </c>
      <c r="X230" s="9">
        <v>830148</v>
      </c>
      <c r="Y230" s="9">
        <v>7712.1</v>
      </c>
      <c r="Z230" s="9">
        <v>34315</v>
      </c>
      <c r="AA230" s="9">
        <v>45046.7</v>
      </c>
      <c r="AB230" s="9">
        <v>69.400000000000006</v>
      </c>
      <c r="AC230" s="9">
        <v>308507</v>
      </c>
      <c r="AD230" s="9">
        <v>63618.400000000001</v>
      </c>
      <c r="AE230" s="9">
        <v>19277.7</v>
      </c>
      <c r="AF230" s="9">
        <v>64366.3</v>
      </c>
      <c r="AG230" s="9">
        <v>29.1</v>
      </c>
      <c r="AH230" s="9">
        <v>167191.1</v>
      </c>
      <c r="AI230" s="9">
        <v>434.4</v>
      </c>
      <c r="AJ230" s="9">
        <v>5916.9</v>
      </c>
      <c r="AK230" s="9">
        <v>113663.9</v>
      </c>
      <c r="AL230" s="9">
        <v>1781886.889152</v>
      </c>
      <c r="AM230" s="9">
        <v>1781886.9</v>
      </c>
      <c r="AN230" s="9">
        <v>71953.2</v>
      </c>
      <c r="AO230" s="9">
        <v>470172.8</v>
      </c>
      <c r="AP230" s="9">
        <v>367901.3</v>
      </c>
      <c r="AQ230" s="9">
        <v>11625.3</v>
      </c>
      <c r="AR230" s="9">
        <v>245083.7</v>
      </c>
      <c r="AS230" s="9">
        <v>135007</v>
      </c>
      <c r="AT230" s="9">
        <v>22570.3</v>
      </c>
      <c r="AU230" s="9">
        <v>197240.8</v>
      </c>
      <c r="AV230" s="9">
        <v>4062.4</v>
      </c>
      <c r="AW230" s="9">
        <v>50983.4</v>
      </c>
      <c r="AX230" s="9">
        <v>3484</v>
      </c>
      <c r="AY230" s="9">
        <v>7319.9</v>
      </c>
      <c r="AZ230" s="9">
        <v>194482.6</v>
      </c>
      <c r="BA230" s="9">
        <v>8987789.5923400018</v>
      </c>
      <c r="BB230" s="9">
        <v>1221147.79</v>
      </c>
      <c r="BC230" s="9">
        <v>8152140.9373525316</v>
      </c>
      <c r="BD230" s="9">
        <v>2167547.5499999998</v>
      </c>
      <c r="BE230" s="9">
        <v>141051.30551000001</v>
      </c>
      <c r="BF230" s="9">
        <v>19680.560000000001</v>
      </c>
      <c r="BG230" s="9">
        <v>689096.65868393017</v>
      </c>
      <c r="BH230" s="9">
        <v>88740.78</v>
      </c>
      <c r="BI230" s="9">
        <v>254914.17303000001</v>
      </c>
      <c r="BJ230" s="9">
        <v>89418.71</v>
      </c>
      <c r="BK230" s="9">
        <v>1526972.7158406</v>
      </c>
      <c r="BL230" s="9">
        <v>304818.78999999998</v>
      </c>
      <c r="BM230" s="9">
        <v>14462166.355732</v>
      </c>
      <c r="BN230" s="9">
        <v>8844260.9975000005</v>
      </c>
      <c r="BO230" s="9">
        <v>71024.91</v>
      </c>
      <c r="BP230" s="9">
        <v>5617905.3566755299</v>
      </c>
      <c r="BQ230" s="9">
        <v>318190.84000000003</v>
      </c>
      <c r="BR230" s="9">
        <v>542440.19669999997</v>
      </c>
      <c r="BS230" s="9">
        <v>136855.43609999999</v>
      </c>
      <c r="BT230" s="9">
        <v>2680.4</v>
      </c>
      <c r="BU230" s="9">
        <v>405584.76058393012</v>
      </c>
      <c r="BV230" s="9">
        <v>5408.5</v>
      </c>
      <c r="BW230" s="9">
        <v>1422838.219152</v>
      </c>
      <c r="BX230" s="9">
        <v>226158.09340000001</v>
      </c>
      <c r="BY230" s="9">
        <v>9954.0400000000009</v>
      </c>
      <c r="BZ230" s="9">
        <v>1196680.1255516</v>
      </c>
      <c r="CA230" s="9">
        <v>3863.73</v>
      </c>
      <c r="CB230" s="9">
        <v>401250.6777</v>
      </c>
      <c r="CC230" s="9">
        <v>17477412.446350001</v>
      </c>
      <c r="CD230" s="9">
        <v>1296888</v>
      </c>
      <c r="CE230" s="9">
        <v>1290758</v>
      </c>
      <c r="CF230" s="9">
        <v>17037334.357418001</v>
      </c>
      <c r="CG230" s="9">
        <v>12007321.307800001</v>
      </c>
      <c r="CH230" s="9">
        <v>5030013.0496180002</v>
      </c>
      <c r="CI230" s="9">
        <v>12301491.150806</v>
      </c>
      <c r="CJ230" s="9">
        <v>9722705.0766000003</v>
      </c>
      <c r="CK230" s="9">
        <v>2578786.0742059997</v>
      </c>
      <c r="CL230" s="9">
        <v>4735843.2066120002</v>
      </c>
      <c r="CM230" s="9">
        <v>2284616.2312000003</v>
      </c>
      <c r="CN230" s="9">
        <v>2451226.9754120004</v>
      </c>
      <c r="CO230" s="9">
        <v>4968245.3547</v>
      </c>
      <c r="CP230" s="9">
        <v>1139131.5970999999</v>
      </c>
      <c r="CQ230" s="9">
        <v>3829113.7576000001</v>
      </c>
      <c r="CR230" s="9">
        <v>2870528.7879499998</v>
      </c>
      <c r="CS230" s="9">
        <v>900405.22459999996</v>
      </c>
      <c r="CT230" s="9">
        <v>1970123.56335</v>
      </c>
      <c r="CU230" s="9">
        <v>2097716.5667500002</v>
      </c>
      <c r="CV230" s="9">
        <v>238726.3725</v>
      </c>
      <c r="CW230" s="9">
        <v>1858990.1942499999</v>
      </c>
      <c r="CX230" s="9">
        <v>12069089.002718002</v>
      </c>
      <c r="CY230" s="9">
        <v>10868189.7107</v>
      </c>
      <c r="CZ230" s="9">
        <v>1200899.2920179998</v>
      </c>
      <c r="DA230" s="9">
        <v>9430962.3628560007</v>
      </c>
      <c r="DB230" s="9">
        <v>8822299.852</v>
      </c>
      <c r="DC230" s="9">
        <v>608662.51085599989</v>
      </c>
      <c r="DD230" s="9">
        <v>2638126.639862</v>
      </c>
      <c r="DE230" s="9">
        <v>2045889.8587</v>
      </c>
      <c r="DF230" s="9">
        <v>592236.78116200003</v>
      </c>
      <c r="DG230" s="9">
        <v>21818571.945512999</v>
      </c>
      <c r="DH230" s="9">
        <v>4781237.588095</v>
      </c>
    </row>
    <row r="231" spans="1:112" x14ac:dyDescent="0.2">
      <c r="A231" s="8" t="s">
        <v>862</v>
      </c>
      <c r="B231" s="8" t="s">
        <v>475</v>
      </c>
      <c r="C231" s="8" t="s">
        <v>477</v>
      </c>
      <c r="D231" s="9">
        <v>17104155.694019999</v>
      </c>
      <c r="E231" s="9">
        <v>17104155.699999999</v>
      </c>
      <c r="F231" s="9">
        <v>334276.2</v>
      </c>
      <c r="G231" s="9">
        <v>1281753.8</v>
      </c>
      <c r="H231" s="9">
        <v>1444628</v>
      </c>
      <c r="I231" s="9">
        <v>129155</v>
      </c>
      <c r="J231" s="9">
        <v>1472520.2</v>
      </c>
      <c r="K231" s="9">
        <v>2377721.2000000002</v>
      </c>
      <c r="L231" s="9">
        <v>362756.8</v>
      </c>
      <c r="M231" s="9">
        <v>2195849.7000000002</v>
      </c>
      <c r="N231" s="9">
        <v>66284</v>
      </c>
      <c r="O231" s="9">
        <v>474098.3</v>
      </c>
      <c r="P231" s="9">
        <v>114594.1</v>
      </c>
      <c r="Q231" s="9">
        <v>116034.2</v>
      </c>
      <c r="R231" s="9">
        <v>6734484.2000000002</v>
      </c>
      <c r="S231" s="9">
        <v>4301985.9000000004</v>
      </c>
      <c r="T231" s="9">
        <v>242591.5</v>
      </c>
      <c r="U231" s="9">
        <v>418612</v>
      </c>
      <c r="V231" s="9">
        <v>511294.2</v>
      </c>
      <c r="W231" s="9">
        <v>922345.75809999998</v>
      </c>
      <c r="X231" s="9">
        <v>922345.8</v>
      </c>
      <c r="Y231" s="9">
        <v>12454.1</v>
      </c>
      <c r="Z231" s="9">
        <v>65937.3</v>
      </c>
      <c r="AA231" s="9">
        <v>53400.9</v>
      </c>
      <c r="AB231" s="9">
        <v>964.5</v>
      </c>
      <c r="AC231" s="9">
        <v>301328.7</v>
      </c>
      <c r="AD231" s="9">
        <v>85463.7</v>
      </c>
      <c r="AE231" s="9">
        <v>18692.599999999999</v>
      </c>
      <c r="AF231" s="9">
        <v>60383.4</v>
      </c>
      <c r="AG231" s="9">
        <v>57.4</v>
      </c>
      <c r="AH231" s="9">
        <v>167120</v>
      </c>
      <c r="AI231" s="9">
        <v>9018.6</v>
      </c>
      <c r="AJ231" s="9">
        <v>5599.3</v>
      </c>
      <c r="AK231" s="9">
        <v>141925.29999999999</v>
      </c>
      <c r="AL231" s="9">
        <v>1838323.385152</v>
      </c>
      <c r="AM231" s="9">
        <v>1838323.4</v>
      </c>
      <c r="AN231" s="9">
        <v>70086.899999999994</v>
      </c>
      <c r="AO231" s="9">
        <v>469794.2</v>
      </c>
      <c r="AP231" s="9">
        <v>376142.1</v>
      </c>
      <c r="AQ231" s="9">
        <v>10468.9</v>
      </c>
      <c r="AR231" s="9">
        <v>287465.90000000002</v>
      </c>
      <c r="AS231" s="9">
        <v>135190.1</v>
      </c>
      <c r="AT231" s="9">
        <v>22781.7</v>
      </c>
      <c r="AU231" s="9">
        <v>203487.2</v>
      </c>
      <c r="AV231" s="9">
        <v>4062.4</v>
      </c>
      <c r="AW231" s="9">
        <v>51208.6</v>
      </c>
      <c r="AX231" s="9">
        <v>3550.7</v>
      </c>
      <c r="AY231" s="9">
        <v>8173.5</v>
      </c>
      <c r="AZ231" s="9">
        <v>195911.1</v>
      </c>
      <c r="BA231" s="9">
        <v>8966056.6743460018</v>
      </c>
      <c r="BB231" s="9">
        <v>1233620.72</v>
      </c>
      <c r="BC231" s="9">
        <v>8202770.0491335997</v>
      </c>
      <c r="BD231" s="9">
        <v>2233995.75</v>
      </c>
      <c r="BE231" s="9">
        <v>174089.858996</v>
      </c>
      <c r="BF231" s="9">
        <v>24769.99</v>
      </c>
      <c r="BG231" s="9">
        <v>748255.89906999993</v>
      </c>
      <c r="BH231" s="9">
        <v>100942.72</v>
      </c>
      <c r="BI231" s="9">
        <v>257131.47235</v>
      </c>
      <c r="BJ231" s="9">
        <v>85723.19</v>
      </c>
      <c r="BK231" s="9">
        <v>1581191.9124155999</v>
      </c>
      <c r="BL231" s="9">
        <v>395130.45</v>
      </c>
      <c r="BM231" s="9">
        <v>14469391.932291999</v>
      </c>
      <c r="BN231" s="9">
        <v>8819304.2177000009</v>
      </c>
      <c r="BO231" s="9">
        <v>71473.570000000007</v>
      </c>
      <c r="BP231" s="9">
        <v>5650087.7132315999</v>
      </c>
      <c r="BQ231" s="9">
        <v>333111.57</v>
      </c>
      <c r="BR231" s="9">
        <v>625555.21499999997</v>
      </c>
      <c r="BS231" s="9">
        <v>168503.52970000001</v>
      </c>
      <c r="BT231" s="9">
        <v>3859.53</v>
      </c>
      <c r="BU231" s="9">
        <v>457051.68527000002</v>
      </c>
      <c r="BV231" s="9">
        <v>16976.099999999999</v>
      </c>
      <c r="BW231" s="9">
        <v>1478205.3231520001</v>
      </c>
      <c r="BX231" s="9">
        <v>229656.696</v>
      </c>
      <c r="BY231" s="9">
        <v>8606.89</v>
      </c>
      <c r="BZ231" s="9">
        <v>1248548.6275516001</v>
      </c>
      <c r="CA231" s="9">
        <v>14043.99</v>
      </c>
      <c r="CB231" s="9">
        <v>395905.6323</v>
      </c>
      <c r="CC231" s="9">
        <v>17500061.32632</v>
      </c>
      <c r="CD231" s="9">
        <v>1318522</v>
      </c>
      <c r="CE231" s="9">
        <v>1312309</v>
      </c>
      <c r="CF231" s="9">
        <v>16982214.9198706</v>
      </c>
      <c r="CG231" s="9">
        <v>11981968.8495</v>
      </c>
      <c r="CH231" s="9">
        <v>5000246.0703705987</v>
      </c>
      <c r="CI231" s="9">
        <v>12162202.622397</v>
      </c>
      <c r="CJ231" s="9">
        <v>9571093.0899999999</v>
      </c>
      <c r="CK231" s="9">
        <v>2591109.5323969997</v>
      </c>
      <c r="CL231" s="9">
        <v>4820012.2974735992</v>
      </c>
      <c r="CM231" s="9">
        <v>2410875.7595000002</v>
      </c>
      <c r="CN231" s="9">
        <v>2409136.5379736</v>
      </c>
      <c r="CO231" s="9">
        <v>4765949.7162500005</v>
      </c>
      <c r="CP231" s="9">
        <v>1033482.0612</v>
      </c>
      <c r="CQ231" s="9">
        <v>3732467.6550500002</v>
      </c>
      <c r="CR231" s="9">
        <v>2773507.7653600001</v>
      </c>
      <c r="CS231" s="9">
        <v>816585.00300000003</v>
      </c>
      <c r="CT231" s="9">
        <v>1956922.7623600001</v>
      </c>
      <c r="CU231" s="9">
        <v>1992441.95089</v>
      </c>
      <c r="CV231" s="9">
        <v>216897.0582</v>
      </c>
      <c r="CW231" s="9">
        <v>1775544.8926899999</v>
      </c>
      <c r="CX231" s="9">
        <v>12216265.203620598</v>
      </c>
      <c r="CY231" s="9">
        <v>10948486.7883</v>
      </c>
      <c r="CZ231" s="9">
        <v>1267778.4153205997</v>
      </c>
      <c r="DA231" s="9">
        <v>9388694.8570370004</v>
      </c>
      <c r="DB231" s="9">
        <v>8754508.0869999994</v>
      </c>
      <c r="DC231" s="9">
        <v>634186.77003699995</v>
      </c>
      <c r="DD231" s="9">
        <v>2827570.3465835997</v>
      </c>
      <c r="DE231" s="9">
        <v>2193978.7012999998</v>
      </c>
      <c r="DF231" s="9">
        <v>633591.64528359997</v>
      </c>
      <c r="DG231" s="9">
        <v>21923674.1724336</v>
      </c>
      <c r="DH231" s="9">
        <v>4941459.2525629997</v>
      </c>
    </row>
    <row r="232" spans="1:112" x14ac:dyDescent="0.2">
      <c r="A232" s="8" t="s">
        <v>862</v>
      </c>
      <c r="B232" s="8" t="s">
        <v>475</v>
      </c>
      <c r="C232" s="8" t="s">
        <v>478</v>
      </c>
      <c r="D232" s="9">
        <v>17327282.424190003</v>
      </c>
      <c r="E232" s="9">
        <v>17327282.399999999</v>
      </c>
      <c r="F232" s="9">
        <v>337919.5</v>
      </c>
      <c r="G232" s="9">
        <v>1297566.2</v>
      </c>
      <c r="H232" s="9">
        <v>1445464.1</v>
      </c>
      <c r="I232" s="9">
        <v>129885.5</v>
      </c>
      <c r="J232" s="9">
        <v>1452017.5</v>
      </c>
      <c r="K232" s="9">
        <v>2533277.7999999998</v>
      </c>
      <c r="L232" s="9">
        <v>369766.9</v>
      </c>
      <c r="M232" s="9">
        <v>2231877</v>
      </c>
      <c r="N232" s="9">
        <v>69592</v>
      </c>
      <c r="O232" s="9">
        <v>483819.8</v>
      </c>
      <c r="P232" s="9">
        <v>121062.7</v>
      </c>
      <c r="Q232" s="9">
        <v>128160.3</v>
      </c>
      <c r="R232" s="9">
        <v>6726873.1000000006</v>
      </c>
      <c r="S232" s="9">
        <v>4267825.3</v>
      </c>
      <c r="T232" s="9">
        <v>262558.5</v>
      </c>
      <c r="U232" s="9">
        <v>412779.3</v>
      </c>
      <c r="V232" s="9">
        <v>557773.80000000005</v>
      </c>
      <c r="W232" s="9">
        <v>909284.05870000005</v>
      </c>
      <c r="X232" s="9">
        <v>909284.1</v>
      </c>
      <c r="Y232" s="9">
        <v>12401.5</v>
      </c>
      <c r="Z232" s="9">
        <v>47645.3</v>
      </c>
      <c r="AA232" s="9">
        <v>53891.7</v>
      </c>
      <c r="AB232" s="9">
        <v>734.9</v>
      </c>
      <c r="AC232" s="9">
        <v>313546.5</v>
      </c>
      <c r="AD232" s="9">
        <v>75608.2</v>
      </c>
      <c r="AE232" s="9">
        <v>16017.7</v>
      </c>
      <c r="AF232" s="9">
        <v>63175.199999999997</v>
      </c>
      <c r="AG232" s="9">
        <v>39.6</v>
      </c>
      <c r="AH232" s="9">
        <v>166345.29999999999</v>
      </c>
      <c r="AI232" s="9">
        <v>59.7</v>
      </c>
      <c r="AJ232" s="9">
        <v>5673.4</v>
      </c>
      <c r="AK232" s="9">
        <v>154145</v>
      </c>
      <c r="AL232" s="9">
        <v>1859267.3656520001</v>
      </c>
      <c r="AM232" s="9">
        <v>1859267.4</v>
      </c>
      <c r="AN232" s="9">
        <v>70260.7</v>
      </c>
      <c r="AO232" s="9">
        <v>469333.6</v>
      </c>
      <c r="AP232" s="9">
        <v>367848.5</v>
      </c>
      <c r="AQ232" s="9">
        <v>11406.2</v>
      </c>
      <c r="AR232" s="9">
        <v>290039.40000000002</v>
      </c>
      <c r="AS232" s="9">
        <v>138385.60000000001</v>
      </c>
      <c r="AT232" s="9">
        <v>23685.9</v>
      </c>
      <c r="AU232" s="9">
        <v>207237.6</v>
      </c>
      <c r="AV232" s="9">
        <v>4091.7</v>
      </c>
      <c r="AW232" s="9">
        <v>53060.6</v>
      </c>
      <c r="AX232" s="9">
        <v>3528.5</v>
      </c>
      <c r="AY232" s="9">
        <v>8165.7</v>
      </c>
      <c r="AZ232" s="9">
        <v>212223.6</v>
      </c>
      <c r="BA232" s="9">
        <v>9070554.1357179992</v>
      </c>
      <c r="BB232" s="9">
        <v>1309575.8500000001</v>
      </c>
      <c r="BC232" s="9">
        <v>8316903.1778318901</v>
      </c>
      <c r="BD232" s="9">
        <v>2224367.38</v>
      </c>
      <c r="BE232" s="9">
        <v>189551.09804800001</v>
      </c>
      <c r="BF232" s="9">
        <v>25619.05</v>
      </c>
      <c r="BG232" s="9">
        <v>719732.96056169004</v>
      </c>
      <c r="BH232" s="9">
        <v>104721.21</v>
      </c>
      <c r="BI232" s="9">
        <v>265508.98246999999</v>
      </c>
      <c r="BJ232" s="9">
        <v>89952.72</v>
      </c>
      <c r="BK232" s="9">
        <v>1593758.3832021998</v>
      </c>
      <c r="BL232" s="9">
        <v>395162.08</v>
      </c>
      <c r="BM232" s="9">
        <v>14687170.830172</v>
      </c>
      <c r="BN232" s="9">
        <v>8927009.4107999988</v>
      </c>
      <c r="BO232" s="9">
        <v>58026.73</v>
      </c>
      <c r="BP232" s="9">
        <v>5760161.4184398903</v>
      </c>
      <c r="BQ232" s="9">
        <v>327202.01</v>
      </c>
      <c r="BR232" s="9">
        <v>611036.68590000004</v>
      </c>
      <c r="BS232" s="9">
        <v>183535.79759999999</v>
      </c>
      <c r="BT232" s="9">
        <v>3853.69</v>
      </c>
      <c r="BU232" s="9">
        <v>427500.88826168998</v>
      </c>
      <c r="BV232" s="9">
        <v>20171.68</v>
      </c>
      <c r="BW232" s="9">
        <v>1501261.872152</v>
      </c>
      <c r="BX232" s="9">
        <v>237166.73819999999</v>
      </c>
      <c r="BY232" s="9">
        <v>9645.09</v>
      </c>
      <c r="BZ232" s="9">
        <v>1264095.1347682001</v>
      </c>
      <c r="CA232" s="9">
        <v>14058.49</v>
      </c>
      <c r="CB232" s="9">
        <v>411596.27630000003</v>
      </c>
      <c r="CC232" s="9">
        <v>17738878.700490002</v>
      </c>
      <c r="CD232" s="9">
        <v>1271295</v>
      </c>
      <c r="CE232" s="9">
        <v>1264934</v>
      </c>
      <c r="CF232" s="9">
        <v>17036153.590967</v>
      </c>
      <c r="CG232" s="9">
        <v>11990840.901099999</v>
      </c>
      <c r="CH232" s="9">
        <v>5045312.689867001</v>
      </c>
      <c r="CI232" s="9">
        <v>12436155.038788</v>
      </c>
      <c r="CJ232" s="9">
        <v>9685276.3552000001</v>
      </c>
      <c r="CK232" s="9">
        <v>2750878.683588</v>
      </c>
      <c r="CL232" s="9">
        <v>4599998.5521790003</v>
      </c>
      <c r="CM232" s="9">
        <v>2305564.5459000003</v>
      </c>
      <c r="CN232" s="9">
        <v>2294434.0062790001</v>
      </c>
      <c r="CO232" s="9">
        <v>4861651.2667899998</v>
      </c>
      <c r="CP232" s="9">
        <v>1026393.1799</v>
      </c>
      <c r="CQ232" s="9">
        <v>3835258.086889999</v>
      </c>
      <c r="CR232" s="9">
        <v>2939867.6662599999</v>
      </c>
      <c r="CS232" s="9">
        <v>819241.13619999995</v>
      </c>
      <c r="CT232" s="9">
        <v>2120626.5300599998</v>
      </c>
      <c r="CU232" s="9">
        <v>1921783.6005299999</v>
      </c>
      <c r="CV232" s="9">
        <v>207152.04370000001</v>
      </c>
      <c r="CW232" s="9">
        <v>1714631.5568299999</v>
      </c>
      <c r="CX232" s="9">
        <v>12174502.324177001</v>
      </c>
      <c r="CY232" s="9">
        <v>10964447.7212</v>
      </c>
      <c r="CZ232" s="9">
        <v>1210054.6029769999</v>
      </c>
      <c r="DA232" s="9">
        <v>9496287.3725279998</v>
      </c>
      <c r="DB232" s="9">
        <v>8866035.2190000005</v>
      </c>
      <c r="DC232" s="9">
        <v>630252.15352800011</v>
      </c>
      <c r="DD232" s="9">
        <v>2678214.9516489999</v>
      </c>
      <c r="DE232" s="9">
        <v>2098412.5022</v>
      </c>
      <c r="DF232" s="9">
        <v>579802.44944899995</v>
      </c>
      <c r="DG232" s="9">
        <v>22163321.191587001</v>
      </c>
      <c r="DH232" s="9">
        <v>5127167.6006199997</v>
      </c>
    </row>
    <row r="233" spans="1:112" x14ac:dyDescent="0.2">
      <c r="A233" s="8" t="s">
        <v>862</v>
      </c>
      <c r="B233" s="8" t="s">
        <v>479</v>
      </c>
      <c r="C233" s="8" t="s">
        <v>480</v>
      </c>
      <c r="D233" s="9">
        <v>17510100.779440001</v>
      </c>
      <c r="E233" s="9">
        <v>17510100.800000001</v>
      </c>
      <c r="F233" s="9">
        <v>337199.7</v>
      </c>
      <c r="G233" s="9">
        <v>1341524</v>
      </c>
      <c r="H233" s="9">
        <v>1464869.7</v>
      </c>
      <c r="I233" s="9">
        <v>131754.5</v>
      </c>
      <c r="J233" s="9">
        <v>1511330.6</v>
      </c>
      <c r="K233" s="9">
        <v>2646049.4</v>
      </c>
      <c r="L233" s="9">
        <v>388670.2</v>
      </c>
      <c r="M233" s="9">
        <v>2285072.6</v>
      </c>
      <c r="N233" s="9">
        <v>70827.899999999994</v>
      </c>
      <c r="O233" s="9">
        <v>483523.5</v>
      </c>
      <c r="P233" s="9">
        <v>124285</v>
      </c>
      <c r="Q233" s="9">
        <v>134093.1</v>
      </c>
      <c r="R233" s="9">
        <v>6590900.5999999996</v>
      </c>
      <c r="S233" s="9">
        <v>4225424.5999999996</v>
      </c>
      <c r="T233" s="9">
        <v>265511.5</v>
      </c>
      <c r="U233" s="9">
        <v>406321.1</v>
      </c>
      <c r="V233" s="9">
        <v>546719.6</v>
      </c>
      <c r="W233" s="9">
        <v>976366.26980000001</v>
      </c>
      <c r="X233" s="9">
        <v>976366.3</v>
      </c>
      <c r="Y233" s="9">
        <v>10846.5</v>
      </c>
      <c r="Z233" s="9">
        <v>78927.7</v>
      </c>
      <c r="AA233" s="9">
        <v>73787.7</v>
      </c>
      <c r="AB233" s="9">
        <v>708.2</v>
      </c>
      <c r="AC233" s="9">
        <v>284436.40000000002</v>
      </c>
      <c r="AD233" s="9">
        <v>138645.29999999999</v>
      </c>
      <c r="AE233" s="9">
        <v>9572.9</v>
      </c>
      <c r="AF233" s="9">
        <v>56437</v>
      </c>
      <c r="AG233" s="9">
        <v>539.9</v>
      </c>
      <c r="AH233" s="9">
        <v>167017.70000000001</v>
      </c>
      <c r="AI233" s="9">
        <v>85.6</v>
      </c>
      <c r="AJ233" s="9">
        <v>5550.8</v>
      </c>
      <c r="AK233" s="9">
        <v>149810.79999999999</v>
      </c>
      <c r="AL233" s="9">
        <v>1943828.301152</v>
      </c>
      <c r="AM233" s="9">
        <v>1943828.3</v>
      </c>
      <c r="AN233" s="9">
        <v>80766.899999999994</v>
      </c>
      <c r="AO233" s="9">
        <v>434867.8</v>
      </c>
      <c r="AP233" s="9">
        <v>424287.4</v>
      </c>
      <c r="AQ233" s="9">
        <v>11805.5</v>
      </c>
      <c r="AR233" s="9">
        <v>296247.7</v>
      </c>
      <c r="AS233" s="9">
        <v>144772.6</v>
      </c>
      <c r="AT233" s="9">
        <v>36006.800000000003</v>
      </c>
      <c r="AU233" s="9">
        <v>219209.1</v>
      </c>
      <c r="AV233" s="9">
        <v>3964.7</v>
      </c>
      <c r="AW233" s="9">
        <v>53260.4</v>
      </c>
      <c r="AX233" s="9">
        <v>3491.2</v>
      </c>
      <c r="AY233" s="9">
        <v>9302.7000000000007</v>
      </c>
      <c r="AZ233" s="9">
        <v>225845.7</v>
      </c>
      <c r="BA233" s="9">
        <v>9115106.0524709988</v>
      </c>
      <c r="BB233" s="9">
        <v>1399189.86</v>
      </c>
      <c r="BC233" s="9">
        <v>8455964.4300047997</v>
      </c>
      <c r="BD233" s="9">
        <v>2282034.4500000002</v>
      </c>
      <c r="BE233" s="9">
        <v>184552.167151</v>
      </c>
      <c r="BF233" s="9">
        <v>24037.63</v>
      </c>
      <c r="BG233" s="9">
        <v>791814.10265089991</v>
      </c>
      <c r="BH233" s="9">
        <v>106200.59</v>
      </c>
      <c r="BI233" s="9">
        <v>282926.68021999998</v>
      </c>
      <c r="BJ233" s="9">
        <v>92985.76</v>
      </c>
      <c r="BK233" s="9">
        <v>1660901.6206859001</v>
      </c>
      <c r="BL233" s="9">
        <v>462154.28</v>
      </c>
      <c r="BM233" s="9">
        <v>14893249.404462</v>
      </c>
      <c r="BN233" s="9">
        <v>8965507.5768999979</v>
      </c>
      <c r="BO233" s="9">
        <v>63455.15</v>
      </c>
      <c r="BP233" s="9">
        <v>5927741.8289177995</v>
      </c>
      <c r="BQ233" s="9">
        <v>328190.81</v>
      </c>
      <c r="BR233" s="9">
        <v>669902.96239999996</v>
      </c>
      <c r="BS233" s="9">
        <v>178561.07490000001</v>
      </c>
      <c r="BT233" s="9">
        <v>3867.66</v>
      </c>
      <c r="BU233" s="9">
        <v>491341.88745089999</v>
      </c>
      <c r="BV233" s="9">
        <v>20761.96</v>
      </c>
      <c r="BW233" s="9">
        <v>1561415.513152</v>
      </c>
      <c r="BX233" s="9">
        <v>255705.30300000001</v>
      </c>
      <c r="BY233" s="9">
        <v>8986.58</v>
      </c>
      <c r="BZ233" s="9">
        <v>1305710.2098868999</v>
      </c>
      <c r="CA233" s="9">
        <v>24995.25</v>
      </c>
      <c r="CB233" s="9">
        <v>412216.94150000002</v>
      </c>
      <c r="CC233" s="9">
        <v>17922317.720940001</v>
      </c>
      <c r="CD233" s="9">
        <v>1256762.3999999999</v>
      </c>
      <c r="CE233" s="9">
        <v>1250210.3999999999</v>
      </c>
      <c r="CF233" s="9">
        <v>17318526.423618399</v>
      </c>
      <c r="CG233" s="9">
        <v>11977150.6515</v>
      </c>
      <c r="CH233" s="9">
        <v>5341375.7721184008</v>
      </c>
      <c r="CI233" s="9">
        <v>12306274.915503001</v>
      </c>
      <c r="CJ233" s="9">
        <v>9652893.9741000012</v>
      </c>
      <c r="CK233" s="9">
        <v>2653380.9414030001</v>
      </c>
      <c r="CL233" s="9">
        <v>5012251.5081153996</v>
      </c>
      <c r="CM233" s="9">
        <v>2324256.6773999999</v>
      </c>
      <c r="CN233" s="9">
        <v>2687994.8307154002</v>
      </c>
      <c r="CO233" s="9">
        <v>5257115.85023</v>
      </c>
      <c r="CP233" s="9">
        <v>1101285.7043000001</v>
      </c>
      <c r="CQ233" s="9">
        <v>4155830.1459300001</v>
      </c>
      <c r="CR233" s="9">
        <v>2926931.0331899999</v>
      </c>
      <c r="CS233" s="9">
        <v>890280.53410000005</v>
      </c>
      <c r="CT233" s="9">
        <v>2036650.4990900001</v>
      </c>
      <c r="CU233" s="9">
        <v>2330184.8170400001</v>
      </c>
      <c r="CV233" s="9">
        <v>211005.17019999999</v>
      </c>
      <c r="CW233" s="9">
        <v>2119179.6468400001</v>
      </c>
      <c r="CX233" s="9">
        <v>12061410.5733884</v>
      </c>
      <c r="CY233" s="9">
        <v>10875864.9472</v>
      </c>
      <c r="CZ233" s="9">
        <v>1185545.6261884</v>
      </c>
      <c r="DA233" s="9">
        <v>9379343.882313</v>
      </c>
      <c r="DB233" s="9">
        <v>8762613.4400000013</v>
      </c>
      <c r="DC233" s="9">
        <v>616730.44231299998</v>
      </c>
      <c r="DD233" s="9">
        <v>2682066.6910754</v>
      </c>
      <c r="DE233" s="9">
        <v>2113251.5071999999</v>
      </c>
      <c r="DF233" s="9">
        <v>568815.18387539999</v>
      </c>
      <c r="DG233" s="9">
        <v>22336653.491396397</v>
      </c>
      <c r="DH233" s="9">
        <v>5018127.0677780006</v>
      </c>
    </row>
    <row r="234" spans="1:112" x14ac:dyDescent="0.2">
      <c r="A234" s="8" t="s">
        <v>862</v>
      </c>
      <c r="B234" s="8" t="s">
        <v>479</v>
      </c>
      <c r="C234" s="8" t="s">
        <v>481</v>
      </c>
      <c r="D234" s="9">
        <v>17824282.853050001</v>
      </c>
      <c r="E234" s="9">
        <v>17824282.800000001</v>
      </c>
      <c r="F234" s="9">
        <v>355269.7</v>
      </c>
      <c r="G234" s="9">
        <v>1386882.4</v>
      </c>
      <c r="H234" s="9">
        <v>1483467.3</v>
      </c>
      <c r="I234" s="9">
        <v>131693.5</v>
      </c>
      <c r="J234" s="9">
        <v>1593824.4</v>
      </c>
      <c r="K234" s="9">
        <v>2701651.6</v>
      </c>
      <c r="L234" s="9">
        <v>394199.5</v>
      </c>
      <c r="M234" s="9">
        <v>2366646.1999999997</v>
      </c>
      <c r="N234" s="9">
        <v>73444.600000000006</v>
      </c>
      <c r="O234" s="9">
        <v>490467.4</v>
      </c>
      <c r="P234" s="9">
        <v>125537.2</v>
      </c>
      <c r="Q234" s="9">
        <v>137316.6</v>
      </c>
      <c r="R234" s="9">
        <v>6583882.4000000004</v>
      </c>
      <c r="S234" s="9">
        <v>4184981.8</v>
      </c>
      <c r="T234" s="9">
        <v>273500.5</v>
      </c>
      <c r="U234" s="9">
        <v>396339.8</v>
      </c>
      <c r="V234" s="9">
        <v>554086</v>
      </c>
      <c r="W234" s="9">
        <v>817023.0699</v>
      </c>
      <c r="X234" s="9">
        <v>817023.1</v>
      </c>
      <c r="Y234" s="9">
        <v>11654.8</v>
      </c>
      <c r="Z234" s="9">
        <v>74761</v>
      </c>
      <c r="AA234" s="9">
        <v>51889.2</v>
      </c>
      <c r="AB234" s="9">
        <v>202.6</v>
      </c>
      <c r="AC234" s="9">
        <v>202469.7</v>
      </c>
      <c r="AD234" s="9">
        <v>93473</v>
      </c>
      <c r="AE234" s="9">
        <v>6107.1</v>
      </c>
      <c r="AF234" s="9">
        <v>60451</v>
      </c>
      <c r="AG234" s="9">
        <v>14.5</v>
      </c>
      <c r="AH234" s="9">
        <v>167331.1</v>
      </c>
      <c r="AI234" s="9">
        <v>420.9</v>
      </c>
      <c r="AJ234" s="9">
        <v>5638</v>
      </c>
      <c r="AK234" s="9">
        <v>142610.20000000001</v>
      </c>
      <c r="AL234" s="9">
        <v>1968320.9441519999</v>
      </c>
      <c r="AM234" s="9">
        <v>1968320.9</v>
      </c>
      <c r="AN234" s="9">
        <v>79812.600000000006</v>
      </c>
      <c r="AO234" s="9">
        <v>471709.9</v>
      </c>
      <c r="AP234" s="9">
        <v>419056.9</v>
      </c>
      <c r="AQ234" s="9">
        <v>11300</v>
      </c>
      <c r="AR234" s="9">
        <v>262541.40000000002</v>
      </c>
      <c r="AS234" s="9">
        <v>153192.79999999999</v>
      </c>
      <c r="AT234" s="9">
        <v>35868.699999999997</v>
      </c>
      <c r="AU234" s="9">
        <v>219532</v>
      </c>
      <c r="AV234" s="9">
        <v>3899.7</v>
      </c>
      <c r="AW234" s="9">
        <v>52523.7</v>
      </c>
      <c r="AX234" s="9">
        <v>3411.5</v>
      </c>
      <c r="AY234" s="9">
        <v>12100</v>
      </c>
      <c r="AZ234" s="9">
        <v>243371.5</v>
      </c>
      <c r="BA234" s="9">
        <v>9263264.0669379998</v>
      </c>
      <c r="BB234" s="9">
        <v>1507941.7</v>
      </c>
      <c r="BC234" s="9">
        <v>8622652.8733536005</v>
      </c>
      <c r="BD234" s="9">
        <v>2330334.5699999998</v>
      </c>
      <c r="BE234" s="9">
        <v>182549.77245799999</v>
      </c>
      <c r="BF234" s="9">
        <v>26943.65</v>
      </c>
      <c r="BG234" s="9">
        <v>634473.29747480003</v>
      </c>
      <c r="BH234" s="9">
        <v>88088.95</v>
      </c>
      <c r="BI234" s="9">
        <v>300389.61797999998</v>
      </c>
      <c r="BJ234" s="9">
        <v>96411.49</v>
      </c>
      <c r="BK234" s="9">
        <v>1667931.3264508001</v>
      </c>
      <c r="BL234" s="9">
        <v>458111.45</v>
      </c>
      <c r="BM234" s="9">
        <v>15223522.062712001</v>
      </c>
      <c r="BN234" s="9">
        <v>9118382.7833999991</v>
      </c>
      <c r="BO234" s="9">
        <v>59793.32</v>
      </c>
      <c r="BP234" s="9">
        <v>6105139.2752366001</v>
      </c>
      <c r="BQ234" s="9">
        <v>329909.49</v>
      </c>
      <c r="BR234" s="9">
        <v>530684.86620000005</v>
      </c>
      <c r="BS234" s="9">
        <v>176978.21979999999</v>
      </c>
      <c r="BT234" s="9">
        <v>3786.46</v>
      </c>
      <c r="BU234" s="9">
        <v>353706.6463358</v>
      </c>
      <c r="BV234" s="9">
        <v>3344.34</v>
      </c>
      <c r="BW234" s="9">
        <v>1549078.5891519999</v>
      </c>
      <c r="BX234" s="9">
        <v>273107.99959999998</v>
      </c>
      <c r="BY234" s="9">
        <v>9032.02</v>
      </c>
      <c r="BZ234" s="9">
        <v>1275970.5899507999</v>
      </c>
      <c r="CA234" s="9">
        <v>23985.88</v>
      </c>
      <c r="CB234" s="9">
        <v>412771.22379999998</v>
      </c>
      <c r="CC234" s="9">
        <v>18237054.076850001</v>
      </c>
      <c r="CD234" s="9">
        <v>1250922</v>
      </c>
      <c r="CE234" s="9">
        <v>1244141</v>
      </c>
      <c r="CF234" s="9">
        <v>17692888.898374401</v>
      </c>
      <c r="CG234" s="9">
        <v>12291209.1798</v>
      </c>
      <c r="CH234" s="9">
        <v>5401679.7185744001</v>
      </c>
      <c r="CI234" s="9">
        <v>12709831.494401</v>
      </c>
      <c r="CJ234" s="9">
        <v>9823230.9992999993</v>
      </c>
      <c r="CK234" s="9">
        <v>2886600.4951010002</v>
      </c>
      <c r="CL234" s="9">
        <v>4983057.4039733997</v>
      </c>
      <c r="CM234" s="9">
        <v>2467978.1804999998</v>
      </c>
      <c r="CN234" s="9">
        <v>2515079.2234734003</v>
      </c>
      <c r="CO234" s="9">
        <v>5236108.6383600002</v>
      </c>
      <c r="CP234" s="9">
        <v>1178292.1395</v>
      </c>
      <c r="CQ234" s="9">
        <v>4057816.4988600002</v>
      </c>
      <c r="CR234" s="9">
        <v>3014608.34509</v>
      </c>
      <c r="CS234" s="9">
        <v>973813.46730000002</v>
      </c>
      <c r="CT234" s="9">
        <v>2040794.8777900001</v>
      </c>
      <c r="CU234" s="9">
        <v>2221500.2932699998</v>
      </c>
      <c r="CV234" s="9">
        <v>204478.6722</v>
      </c>
      <c r="CW234" s="9">
        <v>2017021.6210700001</v>
      </c>
      <c r="CX234" s="9">
        <v>12456780.2600144</v>
      </c>
      <c r="CY234" s="9">
        <v>11112917.0403</v>
      </c>
      <c r="CZ234" s="9">
        <v>1343863.2197143999</v>
      </c>
      <c r="DA234" s="9">
        <v>9695223.1493110005</v>
      </c>
      <c r="DB234" s="9">
        <v>8849417.5319999997</v>
      </c>
      <c r="DC234" s="9">
        <v>845805.61731099989</v>
      </c>
      <c r="DD234" s="9">
        <v>2761557.1107033999</v>
      </c>
      <c r="DE234" s="9">
        <v>2263499.5082999999</v>
      </c>
      <c r="DF234" s="9">
        <v>498057.60240340012</v>
      </c>
      <c r="DG234" s="9">
        <v>22704467.590574402</v>
      </c>
      <c r="DH234" s="9">
        <v>5011578.6921999995</v>
      </c>
    </row>
    <row r="235" spans="1:112" x14ac:dyDescent="0.2">
      <c r="A235" s="8" t="s">
        <v>862</v>
      </c>
      <c r="B235" s="8" t="s">
        <v>479</v>
      </c>
      <c r="C235" s="8" t="s">
        <v>482</v>
      </c>
      <c r="D235" s="9">
        <v>18061495.511960004</v>
      </c>
      <c r="E235" s="9">
        <v>18061495.5</v>
      </c>
      <c r="F235" s="9">
        <v>367813.3</v>
      </c>
      <c r="G235" s="9">
        <v>1440307</v>
      </c>
      <c r="H235" s="9">
        <v>1433181.7</v>
      </c>
      <c r="I235" s="9">
        <v>128496.3</v>
      </c>
      <c r="J235" s="9">
        <v>1611898.2</v>
      </c>
      <c r="K235" s="9">
        <v>2812814</v>
      </c>
      <c r="L235" s="9">
        <v>402442.3</v>
      </c>
      <c r="M235" s="9">
        <v>2408761.1</v>
      </c>
      <c r="N235" s="9">
        <v>72621.100000000006</v>
      </c>
      <c r="O235" s="9">
        <v>506454.7</v>
      </c>
      <c r="P235" s="9">
        <v>115366.9</v>
      </c>
      <c r="Q235" s="9">
        <v>137244.79999999999</v>
      </c>
      <c r="R235" s="9">
        <v>6624094.1000000006</v>
      </c>
      <c r="S235" s="9">
        <v>4163896.8</v>
      </c>
      <c r="T235" s="9">
        <v>274398.09999999998</v>
      </c>
      <c r="U235" s="9">
        <v>372505.7</v>
      </c>
      <c r="V235" s="9">
        <v>561563.1</v>
      </c>
      <c r="W235" s="9">
        <v>747174.99899999995</v>
      </c>
      <c r="X235" s="9">
        <v>747175</v>
      </c>
      <c r="Y235" s="9">
        <v>8711.4</v>
      </c>
      <c r="Z235" s="9">
        <v>60873.4</v>
      </c>
      <c r="AA235" s="9">
        <v>18501.900000000001</v>
      </c>
      <c r="AB235" s="9">
        <v>97.1</v>
      </c>
      <c r="AC235" s="9">
        <v>216709</v>
      </c>
      <c r="AD235" s="9">
        <v>79676.100000000006</v>
      </c>
      <c r="AE235" s="9">
        <v>3855.1</v>
      </c>
      <c r="AF235" s="9">
        <v>47432.4</v>
      </c>
      <c r="AG235" s="9">
        <v>181.5</v>
      </c>
      <c r="AH235" s="9">
        <v>167968.5</v>
      </c>
      <c r="AI235" s="9">
        <v>222.8</v>
      </c>
      <c r="AJ235" s="9">
        <v>880</v>
      </c>
      <c r="AK235" s="9">
        <v>142065.60000000001</v>
      </c>
      <c r="AL235" s="9">
        <v>1907831.6781520001</v>
      </c>
      <c r="AM235" s="9">
        <v>1907831.7</v>
      </c>
      <c r="AN235" s="9">
        <v>79354.399999999994</v>
      </c>
      <c r="AO235" s="9">
        <v>459974.6</v>
      </c>
      <c r="AP235" s="9">
        <v>407523.6</v>
      </c>
      <c r="AQ235" s="9">
        <v>11297.9</v>
      </c>
      <c r="AR235" s="9">
        <v>215647.1</v>
      </c>
      <c r="AS235" s="9">
        <v>148909.20000000001</v>
      </c>
      <c r="AT235" s="9">
        <v>37311.300000000003</v>
      </c>
      <c r="AU235" s="9">
        <v>227361.1</v>
      </c>
      <c r="AV235" s="9">
        <v>3902.8</v>
      </c>
      <c r="AW235" s="9">
        <v>52563.7</v>
      </c>
      <c r="AX235" s="9">
        <v>4501.3999999999996</v>
      </c>
      <c r="AY235" s="9">
        <v>12368.4</v>
      </c>
      <c r="AZ235" s="9">
        <v>247116.2</v>
      </c>
      <c r="BA235" s="9">
        <v>9382464.0101710018</v>
      </c>
      <c r="BB235" s="9">
        <v>1579903.26</v>
      </c>
      <c r="BC235" s="9">
        <v>8749192.2154878993</v>
      </c>
      <c r="BD235" s="9">
        <v>2394575.56</v>
      </c>
      <c r="BE235" s="9">
        <v>179044.04928100001</v>
      </c>
      <c r="BF235" s="9">
        <v>25386.36</v>
      </c>
      <c r="BG235" s="9">
        <v>568130.94975909998</v>
      </c>
      <c r="BH235" s="9">
        <v>58188.12</v>
      </c>
      <c r="BI235" s="9">
        <v>300076.21469000011</v>
      </c>
      <c r="BJ235" s="9">
        <v>92893.440000000002</v>
      </c>
      <c r="BK235" s="9">
        <v>1607755.4638807999</v>
      </c>
      <c r="BL235" s="9">
        <v>440187.69</v>
      </c>
      <c r="BM235" s="9">
        <v>15538499.945392</v>
      </c>
      <c r="BN235" s="9">
        <v>9234784.5302000009</v>
      </c>
      <c r="BO235" s="9">
        <v>62353.04</v>
      </c>
      <c r="BP235" s="9">
        <v>6303715.4119157</v>
      </c>
      <c r="BQ235" s="9">
        <v>292480.68</v>
      </c>
      <c r="BR235" s="9">
        <v>500141.36599999998</v>
      </c>
      <c r="BS235" s="9">
        <v>173762.97380000001</v>
      </c>
      <c r="BT235" s="9">
        <v>3083.19</v>
      </c>
      <c r="BU235" s="9">
        <v>326378.3922149</v>
      </c>
      <c r="BV235" s="9">
        <v>2617.64</v>
      </c>
      <c r="BW235" s="9">
        <v>1475946.210152</v>
      </c>
      <c r="BX235" s="9">
        <v>271837.77140000003</v>
      </c>
      <c r="BY235" s="9">
        <v>9981.85</v>
      </c>
      <c r="BZ235" s="9">
        <v>1204108.4392808001</v>
      </c>
      <c r="CA235" s="9">
        <v>13832.49</v>
      </c>
      <c r="CB235" s="9">
        <v>413589.2059</v>
      </c>
      <c r="CC235" s="9">
        <v>18475084.717860002</v>
      </c>
      <c r="CD235" s="9">
        <v>1300377</v>
      </c>
      <c r="CE235" s="9">
        <v>1291222</v>
      </c>
      <c r="CF235" s="9">
        <v>18058272.546931803</v>
      </c>
      <c r="CG235" s="9">
        <v>12522391.749399999</v>
      </c>
      <c r="CH235" s="9">
        <v>5535880.7975317994</v>
      </c>
      <c r="CI235" s="9">
        <v>13084775.003544001</v>
      </c>
      <c r="CJ235" s="9">
        <v>9963526.2300000004</v>
      </c>
      <c r="CK235" s="9">
        <v>3121248.773544</v>
      </c>
      <c r="CL235" s="9">
        <v>4973497.5433878005</v>
      </c>
      <c r="CM235" s="9">
        <v>2558865.5194000001</v>
      </c>
      <c r="CN235" s="9">
        <v>2414632.0239877999</v>
      </c>
      <c r="CO235" s="9">
        <v>5542315.1466700006</v>
      </c>
      <c r="CP235" s="9">
        <v>1251324.6325000001</v>
      </c>
      <c r="CQ235" s="9">
        <v>4290990.5141700003</v>
      </c>
      <c r="CR235" s="9">
        <v>3333143.999890001</v>
      </c>
      <c r="CS235" s="9">
        <v>1028901.916</v>
      </c>
      <c r="CT235" s="9">
        <v>2304242.0838900004</v>
      </c>
      <c r="CU235" s="9">
        <v>2209171.1467800001</v>
      </c>
      <c r="CV235" s="9">
        <v>222422.71650000001</v>
      </c>
      <c r="CW235" s="9">
        <v>1986748.4302799995</v>
      </c>
      <c r="CX235" s="9">
        <v>12515957.400261801</v>
      </c>
      <c r="CY235" s="9">
        <v>11271067.116900001</v>
      </c>
      <c r="CZ235" s="9">
        <v>1244890.2833618</v>
      </c>
      <c r="DA235" s="9">
        <v>9751631.0036539994</v>
      </c>
      <c r="DB235" s="9">
        <v>8934624.3139999993</v>
      </c>
      <c r="DC235" s="9">
        <v>817006.68965399999</v>
      </c>
      <c r="DD235" s="9">
        <v>2764326.3966077999</v>
      </c>
      <c r="DE235" s="9">
        <v>2336442.8029</v>
      </c>
      <c r="DF235" s="9">
        <v>427883.59370780003</v>
      </c>
      <c r="DG235" s="9">
        <v>22733175.454751801</v>
      </c>
      <c r="DH235" s="9">
        <v>4674902.9078199994</v>
      </c>
    </row>
    <row r="236" spans="1:112" x14ac:dyDescent="0.2">
      <c r="A236" s="8" t="s">
        <v>862</v>
      </c>
      <c r="B236" s="8" t="s">
        <v>483</v>
      </c>
      <c r="C236" s="8" t="s">
        <v>484</v>
      </c>
      <c r="D236" s="9">
        <v>18122811.710940003</v>
      </c>
      <c r="E236" s="9">
        <v>18122811.699999999</v>
      </c>
      <c r="F236" s="9">
        <v>374529.9</v>
      </c>
      <c r="G236" s="9">
        <v>1468923.6</v>
      </c>
      <c r="H236" s="9">
        <v>1425846.5</v>
      </c>
      <c r="I236" s="9">
        <v>133735.20000000001</v>
      </c>
      <c r="J236" s="9">
        <v>1703659.7</v>
      </c>
      <c r="K236" s="9">
        <v>2862999.9</v>
      </c>
      <c r="L236" s="9">
        <v>394164.7</v>
      </c>
      <c r="M236" s="9">
        <v>2357412.6</v>
      </c>
      <c r="N236" s="9">
        <v>76242.399999999994</v>
      </c>
      <c r="O236" s="9">
        <v>489191.6</v>
      </c>
      <c r="P236" s="9">
        <v>128460.7</v>
      </c>
      <c r="Q236" s="9">
        <v>138919.9</v>
      </c>
      <c r="R236" s="9">
        <v>6568725.0999999996</v>
      </c>
      <c r="S236" s="9">
        <v>4124358.7</v>
      </c>
      <c r="T236" s="9">
        <v>273533.40000000002</v>
      </c>
      <c r="U236" s="9">
        <v>364541.4</v>
      </c>
      <c r="V236" s="9">
        <v>557520.6</v>
      </c>
      <c r="W236" s="9">
        <v>873816.3321</v>
      </c>
      <c r="X236" s="9">
        <v>873816.3</v>
      </c>
      <c r="Y236" s="9">
        <v>13247.5</v>
      </c>
      <c r="Z236" s="9">
        <v>86605.8</v>
      </c>
      <c r="AA236" s="9">
        <v>26754.5</v>
      </c>
      <c r="AB236" s="9">
        <v>1577.9</v>
      </c>
      <c r="AC236" s="9">
        <v>215672.8</v>
      </c>
      <c r="AD236" s="9">
        <v>131893.20000000001</v>
      </c>
      <c r="AE236" s="9">
        <v>4529.6000000000004</v>
      </c>
      <c r="AF236" s="9">
        <v>49197.5</v>
      </c>
      <c r="AG236" s="9">
        <v>281.3</v>
      </c>
      <c r="AH236" s="9">
        <v>169394.4</v>
      </c>
      <c r="AI236" s="9">
        <v>4640.6000000000004</v>
      </c>
      <c r="AJ236" s="9">
        <v>2577.9</v>
      </c>
      <c r="AK236" s="9">
        <v>167443.29999999999</v>
      </c>
      <c r="AL236" s="9">
        <v>1926568.0751519999</v>
      </c>
      <c r="AM236" s="9">
        <v>1926568.1</v>
      </c>
      <c r="AN236" s="9">
        <v>82753.8</v>
      </c>
      <c r="AO236" s="9">
        <v>459183.1</v>
      </c>
      <c r="AP236" s="9">
        <v>406698.4</v>
      </c>
      <c r="AQ236" s="9">
        <v>10543.5</v>
      </c>
      <c r="AR236" s="9">
        <v>215271.5</v>
      </c>
      <c r="AS236" s="9">
        <v>156489.70000000001</v>
      </c>
      <c r="AT236" s="9">
        <v>39807.800000000003</v>
      </c>
      <c r="AU236" s="9">
        <v>226596.7</v>
      </c>
      <c r="AV236" s="9">
        <v>3902.9</v>
      </c>
      <c r="AW236" s="9">
        <v>52707.5</v>
      </c>
      <c r="AX236" s="9">
        <v>4497.8999999999996</v>
      </c>
      <c r="AY236" s="9">
        <v>12470.8</v>
      </c>
      <c r="AZ236" s="9">
        <v>255644.4</v>
      </c>
      <c r="BA236" s="9">
        <v>9293609.6426549982</v>
      </c>
      <c r="BB236" s="9">
        <v>1585660.03</v>
      </c>
      <c r="BC236" s="9">
        <v>8882683.1462207995</v>
      </c>
      <c r="BD236" s="9">
        <v>2436093.2200000002</v>
      </c>
      <c r="BE236" s="9">
        <v>210058.80283500001</v>
      </c>
      <c r="BF236" s="9">
        <v>31581.57</v>
      </c>
      <c r="BG236" s="9">
        <v>663757.529232</v>
      </c>
      <c r="BH236" s="9">
        <v>113285.31</v>
      </c>
      <c r="BI236" s="9">
        <v>311599.06092000002</v>
      </c>
      <c r="BJ236" s="9">
        <v>95773.56</v>
      </c>
      <c r="BK236" s="9">
        <v>1614969.0138287998</v>
      </c>
      <c r="BL236" s="9">
        <v>445335.55</v>
      </c>
      <c r="BM236" s="9">
        <v>15676455.008252</v>
      </c>
      <c r="BN236" s="9">
        <v>9140962.6587999985</v>
      </c>
      <c r="BO236" s="9">
        <v>66402.34</v>
      </c>
      <c r="BP236" s="9">
        <v>6535492.3531928007</v>
      </c>
      <c r="BQ236" s="9">
        <v>277217.51</v>
      </c>
      <c r="BR236" s="9">
        <v>572151.25120000006</v>
      </c>
      <c r="BS236" s="9">
        <v>204864.84700000001</v>
      </c>
      <c r="BT236" s="9">
        <v>3140.98</v>
      </c>
      <c r="BU236" s="9">
        <v>367286.404232</v>
      </c>
      <c r="BV236" s="9">
        <v>43917.89</v>
      </c>
      <c r="BW236" s="9">
        <v>1537399.226152</v>
      </c>
      <c r="BX236" s="9">
        <v>283768.4068</v>
      </c>
      <c r="BY236" s="9">
        <v>9757.34</v>
      </c>
      <c r="BZ236" s="9">
        <v>1253630.8195288</v>
      </c>
      <c r="CA236" s="9">
        <v>14719.59</v>
      </c>
      <c r="CB236" s="9">
        <v>414264.66029999999</v>
      </c>
      <c r="CC236" s="9">
        <v>18537076.371240005</v>
      </c>
      <c r="CD236" s="9">
        <v>1312103</v>
      </c>
      <c r="CE236" s="9">
        <v>1302869</v>
      </c>
      <c r="CF236" s="9">
        <v>18074879.7732783</v>
      </c>
      <c r="CG236" s="9">
        <v>12627910.173599999</v>
      </c>
      <c r="CH236" s="9">
        <v>5446969.5996782994</v>
      </c>
      <c r="CI236" s="9">
        <v>12716111.902256999</v>
      </c>
      <c r="CJ236" s="9">
        <v>9981435.1598000005</v>
      </c>
      <c r="CK236" s="9">
        <v>2734676.7424570001</v>
      </c>
      <c r="CL236" s="9">
        <v>5358767.8710212996</v>
      </c>
      <c r="CM236" s="9">
        <v>2646475.0137999998</v>
      </c>
      <c r="CN236" s="9">
        <v>2712292.8572212998</v>
      </c>
      <c r="CO236" s="9">
        <v>5557415.6130299997</v>
      </c>
      <c r="CP236" s="9">
        <v>1237288.3034000001</v>
      </c>
      <c r="CQ236" s="9">
        <v>4320127.30963</v>
      </c>
      <c r="CR236" s="9">
        <v>2930780.91395</v>
      </c>
      <c r="CS236" s="9">
        <v>993443.90579999995</v>
      </c>
      <c r="CT236" s="9">
        <v>1937337.0081499999</v>
      </c>
      <c r="CU236" s="9">
        <v>2626634.6990799997</v>
      </c>
      <c r="CV236" s="9">
        <v>243844.3976</v>
      </c>
      <c r="CW236" s="9">
        <v>2382790.3014799999</v>
      </c>
      <c r="CX236" s="9">
        <v>12517464.160248302</v>
      </c>
      <c r="CY236" s="9">
        <v>11390621.870200001</v>
      </c>
      <c r="CZ236" s="9">
        <v>1126842.2900482998</v>
      </c>
      <c r="DA236" s="9">
        <v>9785330.9883070011</v>
      </c>
      <c r="DB236" s="9">
        <v>8987991.2540000007</v>
      </c>
      <c r="DC236" s="9">
        <v>797339.73430699995</v>
      </c>
      <c r="DD236" s="9">
        <v>2732133.1719412999</v>
      </c>
      <c r="DE236" s="9">
        <v>2402630.6162</v>
      </c>
      <c r="DF236" s="9">
        <v>329502.55574129999</v>
      </c>
      <c r="DG236" s="9">
        <v>22798337.118638299</v>
      </c>
      <c r="DH236" s="9">
        <v>4723457.3453599997</v>
      </c>
    </row>
    <row r="237" spans="1:112" x14ac:dyDescent="0.2">
      <c r="A237" s="8" t="s">
        <v>862</v>
      </c>
      <c r="B237" s="8" t="s">
        <v>483</v>
      </c>
      <c r="C237" s="8" t="s">
        <v>485</v>
      </c>
      <c r="D237" s="9">
        <v>18099812.51788</v>
      </c>
      <c r="E237" s="9">
        <v>18099812.5</v>
      </c>
      <c r="F237" s="9">
        <v>388346.9</v>
      </c>
      <c r="G237" s="9">
        <v>1453297.5</v>
      </c>
      <c r="H237" s="9">
        <v>1417539.2</v>
      </c>
      <c r="I237" s="9">
        <v>134062.79999999999</v>
      </c>
      <c r="J237" s="9">
        <v>1697644.5</v>
      </c>
      <c r="K237" s="9">
        <v>2871852.1</v>
      </c>
      <c r="L237" s="9">
        <v>389192.6</v>
      </c>
      <c r="M237" s="9">
        <v>2280167.5</v>
      </c>
      <c r="N237" s="9">
        <v>74252.100000000006</v>
      </c>
      <c r="O237" s="9">
        <v>495194.9</v>
      </c>
      <c r="P237" s="9">
        <v>130291.3</v>
      </c>
      <c r="Q237" s="9">
        <v>143089</v>
      </c>
      <c r="R237" s="9">
        <v>6624882.0999999996</v>
      </c>
      <c r="S237" s="9">
        <v>4119876.7</v>
      </c>
      <c r="T237" s="9">
        <v>268411.90000000002</v>
      </c>
      <c r="U237" s="9">
        <v>354393.9</v>
      </c>
      <c r="V237" s="9">
        <v>589323</v>
      </c>
      <c r="W237" s="9">
        <v>977590.28960000002</v>
      </c>
      <c r="X237" s="9">
        <v>977590.3</v>
      </c>
      <c r="Y237" s="9">
        <v>12872.6</v>
      </c>
      <c r="Z237" s="9">
        <v>67382.899999999994</v>
      </c>
      <c r="AA237" s="9">
        <v>27477.3</v>
      </c>
      <c r="AB237" s="9">
        <v>1201.5</v>
      </c>
      <c r="AC237" s="9">
        <v>274175.7</v>
      </c>
      <c r="AD237" s="9">
        <v>170052.1</v>
      </c>
      <c r="AE237" s="9">
        <v>4719.3</v>
      </c>
      <c r="AF237" s="9">
        <v>67102.7</v>
      </c>
      <c r="AG237" s="9">
        <v>354.1</v>
      </c>
      <c r="AH237" s="9">
        <v>169722.2</v>
      </c>
      <c r="AI237" s="9">
        <v>4350</v>
      </c>
      <c r="AJ237" s="9">
        <v>2322</v>
      </c>
      <c r="AK237" s="9">
        <v>175857.8</v>
      </c>
      <c r="AL237" s="9">
        <v>1906745.4141520001</v>
      </c>
      <c r="AM237" s="9">
        <v>1906745.4</v>
      </c>
      <c r="AN237" s="9">
        <v>82469.600000000006</v>
      </c>
      <c r="AO237" s="9">
        <v>433092.9</v>
      </c>
      <c r="AP237" s="9">
        <v>406699.3</v>
      </c>
      <c r="AQ237" s="9">
        <v>10527.6</v>
      </c>
      <c r="AR237" s="9">
        <v>216607.5</v>
      </c>
      <c r="AS237" s="9">
        <v>159699.9</v>
      </c>
      <c r="AT237" s="9">
        <v>40171.199999999997</v>
      </c>
      <c r="AU237" s="9">
        <v>230198.1</v>
      </c>
      <c r="AV237" s="9">
        <v>3893</v>
      </c>
      <c r="AW237" s="9">
        <v>52897.5</v>
      </c>
      <c r="AX237" s="9">
        <v>4658.8</v>
      </c>
      <c r="AY237" s="9">
        <v>12598.5</v>
      </c>
      <c r="AZ237" s="9">
        <v>253231.5</v>
      </c>
      <c r="BA237" s="9">
        <v>9281201.1245910004</v>
      </c>
      <c r="BB237" s="9">
        <v>1593057.87</v>
      </c>
      <c r="BC237" s="9">
        <v>8875423.7589919996</v>
      </c>
      <c r="BD237" s="9">
        <v>2460393.06</v>
      </c>
      <c r="BE237" s="9">
        <v>223637.55014100001</v>
      </c>
      <c r="BF237" s="9">
        <v>31701.919999999998</v>
      </c>
      <c r="BG237" s="9">
        <v>753952.73955199996</v>
      </c>
      <c r="BH237" s="9">
        <v>128658.44</v>
      </c>
      <c r="BI237" s="9">
        <v>312785.19585000002</v>
      </c>
      <c r="BJ237" s="9">
        <v>99951.75</v>
      </c>
      <c r="BK237" s="9">
        <v>1593960.218722</v>
      </c>
      <c r="BL237" s="9">
        <v>451283.53</v>
      </c>
      <c r="BM237" s="9">
        <v>15777835.949302001</v>
      </c>
      <c r="BN237" s="9">
        <v>9136554.841</v>
      </c>
      <c r="BO237" s="9">
        <v>63889.53</v>
      </c>
      <c r="BP237" s="9">
        <v>6641281.1032339996</v>
      </c>
      <c r="BQ237" s="9">
        <v>272863.58</v>
      </c>
      <c r="BR237" s="9">
        <v>675636.38130000001</v>
      </c>
      <c r="BS237" s="9">
        <v>219970.7819</v>
      </c>
      <c r="BT237" s="9">
        <v>1306.06</v>
      </c>
      <c r="BU237" s="9">
        <v>455665.59945199999</v>
      </c>
      <c r="BV237" s="9">
        <v>44836.67</v>
      </c>
      <c r="BW237" s="9">
        <v>1520674.685152</v>
      </c>
      <c r="BX237" s="9">
        <v>287626.40610000002</v>
      </c>
      <c r="BY237" s="9">
        <v>11483.71</v>
      </c>
      <c r="BZ237" s="9">
        <v>1233048.2787220001</v>
      </c>
      <c r="CA237" s="9">
        <v>14771.1</v>
      </c>
      <c r="CB237" s="9">
        <v>414817.8713</v>
      </c>
      <c r="CC237" s="9">
        <v>18514630.389180001</v>
      </c>
      <c r="CD237" s="9">
        <v>1353661</v>
      </c>
      <c r="CE237" s="9">
        <v>1344445</v>
      </c>
      <c r="CF237" s="9">
        <v>18410378.259054601</v>
      </c>
      <c r="CG237" s="9">
        <v>12591127.1066</v>
      </c>
      <c r="CH237" s="9">
        <v>5819251.1524546007</v>
      </c>
      <c r="CI237" s="9">
        <v>12888150.830855999</v>
      </c>
      <c r="CJ237" s="9">
        <v>9912029.2027000003</v>
      </c>
      <c r="CK237" s="9">
        <v>2976121.6281559998</v>
      </c>
      <c r="CL237" s="9">
        <v>5522227.4281986002</v>
      </c>
      <c r="CM237" s="9">
        <v>2679097.9039000003</v>
      </c>
      <c r="CN237" s="9">
        <v>2843129.5242985999</v>
      </c>
      <c r="CO237" s="9">
        <v>5888961.8008399997</v>
      </c>
      <c r="CP237" s="9">
        <v>1188031.5833000001</v>
      </c>
      <c r="CQ237" s="9">
        <v>4700930.2175399996</v>
      </c>
      <c r="CR237" s="9">
        <v>3158319.7037799996</v>
      </c>
      <c r="CS237" s="9">
        <v>971314.09169999999</v>
      </c>
      <c r="CT237" s="9">
        <v>2187005.6120799999</v>
      </c>
      <c r="CU237" s="9">
        <v>2730642.0970599996</v>
      </c>
      <c r="CV237" s="9">
        <v>216717.49160000001</v>
      </c>
      <c r="CW237" s="9">
        <v>2513924.6054600002</v>
      </c>
      <c r="CX237" s="9">
        <v>12521416.4582146</v>
      </c>
      <c r="CY237" s="9">
        <v>11403095.5233</v>
      </c>
      <c r="CZ237" s="9">
        <v>1118320.9349146001</v>
      </c>
      <c r="DA237" s="9">
        <v>9729831.127076</v>
      </c>
      <c r="DB237" s="9">
        <v>8940715.1109999996</v>
      </c>
      <c r="DC237" s="9">
        <v>789116.01607599994</v>
      </c>
      <c r="DD237" s="9">
        <v>2791585.3311386001</v>
      </c>
      <c r="DE237" s="9">
        <v>2462380.4123</v>
      </c>
      <c r="DF237" s="9">
        <v>329204.91883859999</v>
      </c>
      <c r="DG237" s="9">
        <v>22993963.279914603</v>
      </c>
      <c r="DH237" s="9">
        <v>4583585.0208599996</v>
      </c>
    </row>
    <row r="238" spans="1:112" x14ac:dyDescent="0.2">
      <c r="A238" s="8" t="s">
        <v>862</v>
      </c>
      <c r="B238" s="8" t="s">
        <v>483</v>
      </c>
      <c r="C238" s="8" t="s">
        <v>486</v>
      </c>
      <c r="D238" s="9">
        <v>17994565.14827</v>
      </c>
      <c r="E238" s="9">
        <v>17994565.100000001</v>
      </c>
      <c r="F238" s="9">
        <v>395145.4</v>
      </c>
      <c r="G238" s="9">
        <v>1434296</v>
      </c>
      <c r="H238" s="9">
        <v>1405866.5</v>
      </c>
      <c r="I238" s="9">
        <v>131237.70000000001</v>
      </c>
      <c r="J238" s="9">
        <v>1683990.1</v>
      </c>
      <c r="K238" s="9">
        <v>2805324.1</v>
      </c>
      <c r="L238" s="9">
        <v>389498.7</v>
      </c>
      <c r="M238" s="9">
        <v>2324479.5</v>
      </c>
      <c r="N238" s="9">
        <v>71098.2</v>
      </c>
      <c r="O238" s="9">
        <v>497476.8</v>
      </c>
      <c r="P238" s="9">
        <v>126876.6</v>
      </c>
      <c r="Q238" s="9">
        <v>143469.79999999999</v>
      </c>
      <c r="R238" s="9">
        <v>6585805.7999999998</v>
      </c>
      <c r="S238" s="9">
        <v>4074236.4</v>
      </c>
      <c r="T238" s="9">
        <v>268305.2</v>
      </c>
      <c r="U238" s="9">
        <v>336125.2</v>
      </c>
      <c r="V238" s="9">
        <v>585113.59999999998</v>
      </c>
      <c r="W238" s="9">
        <v>980754.95620000002</v>
      </c>
      <c r="X238" s="9">
        <v>980755</v>
      </c>
      <c r="Y238" s="9">
        <v>5774</v>
      </c>
      <c r="Z238" s="9">
        <v>117061.5</v>
      </c>
      <c r="AA238" s="9">
        <v>26371.599999999999</v>
      </c>
      <c r="AB238" s="9">
        <v>2202</v>
      </c>
      <c r="AC238" s="9">
        <v>254695.8</v>
      </c>
      <c r="AD238" s="9">
        <v>160781</v>
      </c>
      <c r="AE238" s="9">
        <v>22912</v>
      </c>
      <c r="AF238" s="9">
        <v>50130.8</v>
      </c>
      <c r="AG238" s="9">
        <v>350.1</v>
      </c>
      <c r="AH238" s="9">
        <v>168997.6</v>
      </c>
      <c r="AI238" s="9">
        <v>466.3</v>
      </c>
      <c r="AJ238" s="9">
        <v>1348.6</v>
      </c>
      <c r="AK238" s="9">
        <v>169663.7</v>
      </c>
      <c r="AL238" s="9">
        <v>1966455.8787519999</v>
      </c>
      <c r="AM238" s="9">
        <v>1966455.9</v>
      </c>
      <c r="AN238" s="9">
        <v>84595.5</v>
      </c>
      <c r="AO238" s="9">
        <v>436756.9</v>
      </c>
      <c r="AP238" s="9">
        <v>405288.8</v>
      </c>
      <c r="AQ238" s="9">
        <v>10626.1</v>
      </c>
      <c r="AR238" s="9">
        <v>231434.6</v>
      </c>
      <c r="AS238" s="9">
        <v>159588.1</v>
      </c>
      <c r="AT238" s="9">
        <v>62850.2</v>
      </c>
      <c r="AU238" s="9">
        <v>229450.7</v>
      </c>
      <c r="AV238" s="9">
        <v>3889.2</v>
      </c>
      <c r="AW238" s="9">
        <v>53750.7</v>
      </c>
      <c r="AX238" s="9">
        <v>4626.3999999999996</v>
      </c>
      <c r="AY238" s="9">
        <v>14314.5</v>
      </c>
      <c r="AZ238" s="9">
        <v>269284.09999999998</v>
      </c>
      <c r="BA238" s="9">
        <v>9277315.4617919996</v>
      </c>
      <c r="BB238" s="9">
        <v>1594274.86</v>
      </c>
      <c r="BC238" s="9">
        <v>8794303.8724722993</v>
      </c>
      <c r="BD238" s="9">
        <v>2425573.96</v>
      </c>
      <c r="BE238" s="9">
        <v>207624.148002</v>
      </c>
      <c r="BF238" s="9">
        <v>31244.31</v>
      </c>
      <c r="BG238" s="9">
        <v>773130.80814930005</v>
      </c>
      <c r="BH238" s="9">
        <v>115020.34</v>
      </c>
      <c r="BI238" s="9">
        <v>321419.83669000003</v>
      </c>
      <c r="BJ238" s="9">
        <v>102229.18</v>
      </c>
      <c r="BK238" s="9">
        <v>1645036.041855</v>
      </c>
      <c r="BL238" s="9">
        <v>453230.69</v>
      </c>
      <c r="BM238" s="9">
        <v>15720204.233512005</v>
      </c>
      <c r="BN238" s="9">
        <v>9145445.1306999996</v>
      </c>
      <c r="BO238" s="9">
        <v>59053.49</v>
      </c>
      <c r="BP238" s="9">
        <v>6574759.1035543</v>
      </c>
      <c r="BQ238" s="9">
        <v>252648.55</v>
      </c>
      <c r="BR238" s="9">
        <v>669410.51289999997</v>
      </c>
      <c r="BS238" s="9">
        <v>204354.07089999999</v>
      </c>
      <c r="BT238" s="9">
        <v>1301.69</v>
      </c>
      <c r="BU238" s="9">
        <v>465056.44204930001</v>
      </c>
      <c r="BV238" s="9">
        <v>42011.27</v>
      </c>
      <c r="BW238" s="9">
        <v>1580150.391752</v>
      </c>
      <c r="BX238" s="9">
        <v>296228.32579999999</v>
      </c>
      <c r="BY238" s="9">
        <v>11433.68</v>
      </c>
      <c r="BZ238" s="9">
        <v>1283922.0659549998</v>
      </c>
      <c r="CA238" s="9">
        <v>9166.7000000000007</v>
      </c>
      <c r="CB238" s="9">
        <v>413657.85820000002</v>
      </c>
      <c r="CC238" s="9">
        <v>18408223.006469999</v>
      </c>
      <c r="CD238" s="9">
        <v>1364976</v>
      </c>
      <c r="CE238" s="9">
        <v>1355744</v>
      </c>
      <c r="CF238" s="9">
        <v>18623491.553486601</v>
      </c>
      <c r="CG238" s="9">
        <v>12639152.986400001</v>
      </c>
      <c r="CH238" s="9">
        <v>5984338.5670866007</v>
      </c>
      <c r="CI238" s="9">
        <v>12933140.211368</v>
      </c>
      <c r="CJ238" s="9">
        <v>9939470.1338999998</v>
      </c>
      <c r="CK238" s="9">
        <v>2993670.0774679999</v>
      </c>
      <c r="CL238" s="9">
        <v>5690351.3421186004</v>
      </c>
      <c r="CM238" s="9">
        <v>2699682.8525</v>
      </c>
      <c r="CN238" s="9">
        <v>2990668.4896186003</v>
      </c>
      <c r="CO238" s="9">
        <v>5951052.3982200008</v>
      </c>
      <c r="CP238" s="9">
        <v>1187165.7826</v>
      </c>
      <c r="CQ238" s="9">
        <v>4763886.6156199994</v>
      </c>
      <c r="CR238" s="9">
        <v>3057815.8834000002</v>
      </c>
      <c r="CS238" s="9">
        <v>957909.34290000005</v>
      </c>
      <c r="CT238" s="9">
        <v>2099906.5405000001</v>
      </c>
      <c r="CU238" s="9">
        <v>2893236.5148200002</v>
      </c>
      <c r="CV238" s="9">
        <v>229256.43969999999</v>
      </c>
      <c r="CW238" s="9">
        <v>2663980.0751200002</v>
      </c>
      <c r="CX238" s="9">
        <v>12672439.1552666</v>
      </c>
      <c r="CY238" s="9">
        <v>11451987.2038</v>
      </c>
      <c r="CZ238" s="9">
        <v>1220451.9514665999</v>
      </c>
      <c r="DA238" s="9">
        <v>9875324.3279680014</v>
      </c>
      <c r="DB238" s="9">
        <v>8981560.7909999993</v>
      </c>
      <c r="DC238" s="9">
        <v>893763.53696800012</v>
      </c>
      <c r="DD238" s="9">
        <v>2797114.8272986002</v>
      </c>
      <c r="DE238" s="9">
        <v>2470426.4128</v>
      </c>
      <c r="DF238" s="9">
        <v>326688.4144986</v>
      </c>
      <c r="DG238" s="9">
        <v>23087061.118036605</v>
      </c>
      <c r="DH238" s="9">
        <v>4463569.5645500002</v>
      </c>
    </row>
    <row r="239" spans="1:112" x14ac:dyDescent="0.2">
      <c r="A239" s="8" t="s">
        <v>862</v>
      </c>
      <c r="B239" s="8" t="s">
        <v>487</v>
      </c>
      <c r="C239" s="8" t="s">
        <v>488</v>
      </c>
      <c r="D239" s="9">
        <v>18038923.899829999</v>
      </c>
      <c r="E239" s="9">
        <v>18038923.899999999</v>
      </c>
      <c r="F239" s="9">
        <v>398375.3</v>
      </c>
      <c r="G239" s="9">
        <v>1530915.1</v>
      </c>
      <c r="H239" s="9">
        <v>1431917.9</v>
      </c>
      <c r="I239" s="9">
        <v>124009.60000000001</v>
      </c>
      <c r="J239" s="9">
        <v>1699147.7</v>
      </c>
      <c r="K239" s="9">
        <v>2831844.7</v>
      </c>
      <c r="L239" s="9">
        <v>364308.5</v>
      </c>
      <c r="M239" s="9">
        <v>2350673.6</v>
      </c>
      <c r="N239" s="9">
        <v>70343.5</v>
      </c>
      <c r="O239" s="9">
        <v>421216.7</v>
      </c>
      <c r="P239" s="9">
        <v>124824.3</v>
      </c>
      <c r="Q239" s="9">
        <v>143355.70000000001</v>
      </c>
      <c r="R239" s="9">
        <v>6547991.2999999998</v>
      </c>
      <c r="S239" s="9">
        <v>4024490.8</v>
      </c>
      <c r="T239" s="9">
        <v>274271</v>
      </c>
      <c r="U239" s="9">
        <v>327157.7</v>
      </c>
      <c r="V239" s="9">
        <v>609075</v>
      </c>
      <c r="W239" s="9">
        <v>944219.48349999997</v>
      </c>
      <c r="X239" s="9">
        <v>944219.5</v>
      </c>
      <c r="Y239" s="9">
        <v>5494.6</v>
      </c>
      <c r="Z239" s="9">
        <v>105403.3</v>
      </c>
      <c r="AA239" s="9">
        <v>29114.2</v>
      </c>
      <c r="AB239" s="9">
        <v>945.9</v>
      </c>
      <c r="AC239" s="9">
        <v>247256</v>
      </c>
      <c r="AD239" s="9">
        <v>180289.3</v>
      </c>
      <c r="AE239" s="9">
        <v>4294.8999999999996</v>
      </c>
      <c r="AF239" s="9">
        <v>46894.5</v>
      </c>
      <c r="AG239" s="9">
        <v>454.5</v>
      </c>
      <c r="AH239" s="9">
        <v>142565.29999999999</v>
      </c>
      <c r="AI239" s="9">
        <v>487</v>
      </c>
      <c r="AJ239" s="9">
        <v>1435.8</v>
      </c>
      <c r="AK239" s="9">
        <v>179584</v>
      </c>
      <c r="AL239" s="9">
        <v>1922557.1302519999</v>
      </c>
      <c r="AM239" s="9">
        <v>1922557.1</v>
      </c>
      <c r="AN239" s="9">
        <v>83571.199999999997</v>
      </c>
      <c r="AO239" s="9">
        <v>443097.3</v>
      </c>
      <c r="AP239" s="9">
        <v>403913.4</v>
      </c>
      <c r="AQ239" s="9">
        <v>10229.799999999999</v>
      </c>
      <c r="AR239" s="9">
        <v>231093.1</v>
      </c>
      <c r="AS239" s="9">
        <v>162954.6</v>
      </c>
      <c r="AT239" s="9">
        <v>64250.400000000001</v>
      </c>
      <c r="AU239" s="9">
        <v>220318.5</v>
      </c>
      <c r="AV239" s="9">
        <v>3939.4</v>
      </c>
      <c r="AW239" s="9">
        <v>4864.3</v>
      </c>
      <c r="AX239" s="9">
        <v>4588.7</v>
      </c>
      <c r="AY239" s="9">
        <v>14095.7</v>
      </c>
      <c r="AZ239" s="9">
        <v>275640.8</v>
      </c>
      <c r="BA239" s="9">
        <v>9323887.7230339982</v>
      </c>
      <c r="BB239" s="9">
        <v>1614317</v>
      </c>
      <c r="BC239" s="9">
        <v>8791070.5159287807</v>
      </c>
      <c r="BD239" s="9">
        <v>2454893.4700000002</v>
      </c>
      <c r="BE239" s="9">
        <v>206862.76445399999</v>
      </c>
      <c r="BF239" s="9">
        <v>30187.82</v>
      </c>
      <c r="BG239" s="9">
        <v>737356.71894577995</v>
      </c>
      <c r="BH239" s="9">
        <v>137788.17000000001</v>
      </c>
      <c r="BI239" s="9">
        <v>328686.80109000002</v>
      </c>
      <c r="BJ239" s="9">
        <v>103329.56</v>
      </c>
      <c r="BK239" s="9">
        <v>1593870.3291450001</v>
      </c>
      <c r="BL239" s="9">
        <v>488842.31</v>
      </c>
      <c r="BM239" s="9">
        <v>15846847.416592</v>
      </c>
      <c r="BN239" s="9">
        <v>9216312.2150999978</v>
      </c>
      <c r="BO239" s="9">
        <v>35751.599999999999</v>
      </c>
      <c r="BP239" s="9">
        <v>6630535.2072007796</v>
      </c>
      <c r="BQ239" s="9">
        <v>234304.83</v>
      </c>
      <c r="BR239" s="9">
        <v>667763.64379999996</v>
      </c>
      <c r="BS239" s="9">
        <v>203758.75150000001</v>
      </c>
      <c r="BT239" s="9">
        <v>1307.2</v>
      </c>
      <c r="BU239" s="9">
        <v>464004.89224577998</v>
      </c>
      <c r="BV239" s="9">
        <v>47441.94</v>
      </c>
      <c r="BW239" s="9">
        <v>1583322.8997520001</v>
      </c>
      <c r="BX239" s="9">
        <v>303005.68459999998</v>
      </c>
      <c r="BY239" s="9">
        <v>12748.01</v>
      </c>
      <c r="BZ239" s="9">
        <v>1280317.2156450001</v>
      </c>
      <c r="CA239" s="9">
        <v>16424.04</v>
      </c>
      <c r="CB239" s="9">
        <v>388251.67210000003</v>
      </c>
      <c r="CC239" s="9">
        <v>18427175.571929999</v>
      </c>
      <c r="CD239" s="9">
        <v>1378677</v>
      </c>
      <c r="CE239" s="9">
        <v>1369916</v>
      </c>
      <c r="CF239" s="9">
        <v>18699899.192617211</v>
      </c>
      <c r="CG239" s="9">
        <v>12726249.340299999</v>
      </c>
      <c r="CH239" s="9">
        <v>5973649.8523172094</v>
      </c>
      <c r="CI239" s="9">
        <v>13178236.121072</v>
      </c>
      <c r="CJ239" s="9">
        <v>9815409.7980000004</v>
      </c>
      <c r="CK239" s="9">
        <v>3362826.3230719999</v>
      </c>
      <c r="CL239" s="9">
        <v>5521663.0715452107</v>
      </c>
      <c r="CM239" s="9">
        <v>2910839.5422999999</v>
      </c>
      <c r="CN239" s="9">
        <v>2610823.5292452103</v>
      </c>
      <c r="CO239" s="9">
        <v>5876614.9363000002</v>
      </c>
      <c r="CP239" s="9">
        <v>1162579.6332</v>
      </c>
      <c r="CQ239" s="9">
        <v>4714035.3031000001</v>
      </c>
      <c r="CR239" s="9">
        <v>3391981.3987400001</v>
      </c>
      <c r="CS239" s="9">
        <v>912597.24199999997</v>
      </c>
      <c r="CT239" s="9">
        <v>2479384.15674</v>
      </c>
      <c r="CU239" s="9">
        <v>2484633.5375600001</v>
      </c>
      <c r="CV239" s="9">
        <v>249982.39120000001</v>
      </c>
      <c r="CW239" s="9">
        <v>2234651.1463600001</v>
      </c>
      <c r="CX239" s="9">
        <v>12823284.256317209</v>
      </c>
      <c r="CY239" s="9">
        <v>11563669.707099998</v>
      </c>
      <c r="CZ239" s="9">
        <v>1259614.5492172099</v>
      </c>
      <c r="DA239" s="9">
        <v>9786254.7223319989</v>
      </c>
      <c r="DB239" s="9">
        <v>8902812.5559999999</v>
      </c>
      <c r="DC239" s="9">
        <v>883442.16633200005</v>
      </c>
      <c r="DD239" s="9">
        <v>3037029.5339852097</v>
      </c>
      <c r="DE239" s="9">
        <v>2660857.1510999999</v>
      </c>
      <c r="DF239" s="9">
        <v>376172.38288520998</v>
      </c>
      <c r="DG239" s="9">
        <v>23210854.866157211</v>
      </c>
      <c r="DH239" s="9">
        <v>4510955.6735399999</v>
      </c>
    </row>
    <row r="240" spans="1:112" x14ac:dyDescent="0.2">
      <c r="A240" s="8" t="s">
        <v>862</v>
      </c>
      <c r="B240" s="8" t="s">
        <v>487</v>
      </c>
      <c r="C240" s="8" t="s">
        <v>489</v>
      </c>
      <c r="D240" s="9">
        <v>18004866.688079998</v>
      </c>
      <c r="E240" s="9">
        <v>18004866.699999999</v>
      </c>
      <c r="F240" s="9">
        <v>386836.5</v>
      </c>
      <c r="G240" s="9">
        <v>1542596.3</v>
      </c>
      <c r="H240" s="9">
        <v>1463490.6</v>
      </c>
      <c r="I240" s="9">
        <v>117786.1</v>
      </c>
      <c r="J240" s="9">
        <v>1675777.6</v>
      </c>
      <c r="K240" s="9">
        <v>2809395.2000000002</v>
      </c>
      <c r="L240" s="9">
        <v>364874.6</v>
      </c>
      <c r="M240" s="9">
        <v>2396920.7000000002</v>
      </c>
      <c r="N240" s="9">
        <v>86138.2</v>
      </c>
      <c r="O240" s="9">
        <v>424459.3</v>
      </c>
      <c r="P240" s="9">
        <v>123666.5</v>
      </c>
      <c r="Q240" s="9">
        <v>142529.20000000001</v>
      </c>
      <c r="R240" s="9">
        <v>6470396</v>
      </c>
      <c r="S240" s="9">
        <v>3963389.2</v>
      </c>
      <c r="T240" s="9">
        <v>278880.59999999998</v>
      </c>
      <c r="U240" s="9">
        <v>316406</v>
      </c>
      <c r="V240" s="9">
        <v>611099.80000000005</v>
      </c>
      <c r="W240" s="9">
        <v>960210.20589999994</v>
      </c>
      <c r="X240" s="9">
        <v>960210.2</v>
      </c>
      <c r="Y240" s="9">
        <v>18635.8</v>
      </c>
      <c r="Z240" s="9">
        <v>92579.9</v>
      </c>
      <c r="AA240" s="9">
        <v>47826.7</v>
      </c>
      <c r="AB240" s="9">
        <v>284.7</v>
      </c>
      <c r="AC240" s="9">
        <v>236872.4</v>
      </c>
      <c r="AD240" s="9">
        <v>165254.29999999999</v>
      </c>
      <c r="AE240" s="9">
        <v>5442</v>
      </c>
      <c r="AF240" s="9">
        <v>55953</v>
      </c>
      <c r="AG240" s="9">
        <v>1372.6</v>
      </c>
      <c r="AH240" s="9">
        <v>143337.29999999999</v>
      </c>
      <c r="AI240" s="9">
        <v>9187.9</v>
      </c>
      <c r="AJ240" s="9">
        <v>618.4</v>
      </c>
      <c r="AK240" s="9">
        <v>182845.2</v>
      </c>
      <c r="AL240" s="9">
        <v>1911767.0287520001</v>
      </c>
      <c r="AM240" s="9">
        <v>1911767</v>
      </c>
      <c r="AN240" s="9">
        <v>82843.600000000006</v>
      </c>
      <c r="AO240" s="9">
        <v>442329.59999999998</v>
      </c>
      <c r="AP240" s="9">
        <v>400301.3</v>
      </c>
      <c r="AQ240" s="9">
        <v>7481.7</v>
      </c>
      <c r="AR240" s="9">
        <v>235418.1</v>
      </c>
      <c r="AS240" s="9">
        <v>159014.70000000001</v>
      </c>
      <c r="AT240" s="9">
        <v>59607.199999999997</v>
      </c>
      <c r="AU240" s="9">
        <v>221675.9</v>
      </c>
      <c r="AV240" s="9">
        <v>4016.9</v>
      </c>
      <c r="AW240" s="9">
        <v>4862.3999999999996</v>
      </c>
      <c r="AX240" s="9">
        <v>4916.8999999999996</v>
      </c>
      <c r="AY240" s="9">
        <v>14864</v>
      </c>
      <c r="AZ240" s="9">
        <v>274434.8</v>
      </c>
      <c r="BA240" s="9">
        <v>9295020.9940910004</v>
      </c>
      <c r="BB240" s="9">
        <v>1617017.66</v>
      </c>
      <c r="BC240" s="9">
        <v>8788541.4409593511</v>
      </c>
      <c r="BD240" s="9">
        <v>2418734.19</v>
      </c>
      <c r="BE240" s="9">
        <v>215340.21679100001</v>
      </c>
      <c r="BF240" s="9">
        <v>36008.400000000001</v>
      </c>
      <c r="BG240" s="9">
        <v>744869.98912504991</v>
      </c>
      <c r="BH240" s="9">
        <v>147462.26999999999</v>
      </c>
      <c r="BI240" s="9">
        <v>331884.10158000002</v>
      </c>
      <c r="BJ240" s="9">
        <v>103339.08</v>
      </c>
      <c r="BK240" s="9">
        <v>1579882.9269650001</v>
      </c>
      <c r="BL240" s="9">
        <v>472731.36</v>
      </c>
      <c r="BM240" s="9">
        <v>15889381.546371996</v>
      </c>
      <c r="BN240" s="9">
        <v>9185731.5991000012</v>
      </c>
      <c r="BO240" s="9">
        <v>36020.980000000003</v>
      </c>
      <c r="BP240" s="9">
        <v>6703649.9495500503</v>
      </c>
      <c r="BQ240" s="9">
        <v>217948.69</v>
      </c>
      <c r="BR240" s="9">
        <v>682464.39190000005</v>
      </c>
      <c r="BS240" s="9">
        <v>212098.24950000001</v>
      </c>
      <c r="BT240" s="9">
        <v>1313.73</v>
      </c>
      <c r="BU240" s="9">
        <v>470366.14232505002</v>
      </c>
      <c r="BV240" s="9">
        <v>42960.1</v>
      </c>
      <c r="BW240" s="9">
        <v>1571983.806752</v>
      </c>
      <c r="BX240" s="9">
        <v>306351.57760000002</v>
      </c>
      <c r="BY240" s="9">
        <v>12794.1</v>
      </c>
      <c r="BZ240" s="9">
        <v>1265632.228565</v>
      </c>
      <c r="CA240" s="9">
        <v>22598.16</v>
      </c>
      <c r="CB240" s="9">
        <v>389600.57290000003</v>
      </c>
      <c r="CC240" s="9">
        <v>18394467.260979999</v>
      </c>
      <c r="CD240" s="9">
        <v>1393931</v>
      </c>
      <c r="CE240" s="9">
        <v>1384583</v>
      </c>
      <c r="CF240" s="9">
        <v>18585575.483107783</v>
      </c>
      <c r="CG240" s="9">
        <v>12690625.428800002</v>
      </c>
      <c r="CH240" s="9">
        <v>5894950.0543077793</v>
      </c>
      <c r="CI240" s="9">
        <v>12978859.432846</v>
      </c>
      <c r="CJ240" s="9">
        <v>9696645.4800000004</v>
      </c>
      <c r="CK240" s="9">
        <v>3282213.952846</v>
      </c>
      <c r="CL240" s="9">
        <v>5606716.0502617797</v>
      </c>
      <c r="CM240" s="9">
        <v>2993979.9487999999</v>
      </c>
      <c r="CN240" s="9">
        <v>2612736.1014617803</v>
      </c>
      <c r="CO240" s="9">
        <v>5671171.7687100004</v>
      </c>
      <c r="CP240" s="9">
        <v>1094277.2316999999</v>
      </c>
      <c r="CQ240" s="9">
        <v>4576894.5370099992</v>
      </c>
      <c r="CR240" s="9">
        <v>3192530.5550699998</v>
      </c>
      <c r="CS240" s="9">
        <v>842643.35800000001</v>
      </c>
      <c r="CT240" s="9">
        <v>2349887.1970700002</v>
      </c>
      <c r="CU240" s="9">
        <v>2478641.2136400002</v>
      </c>
      <c r="CV240" s="9">
        <v>251633.8737</v>
      </c>
      <c r="CW240" s="9">
        <v>2227007.3399400003</v>
      </c>
      <c r="CX240" s="9">
        <v>12914403.714397781</v>
      </c>
      <c r="CY240" s="9">
        <v>11596348.197100002</v>
      </c>
      <c r="CZ240" s="9">
        <v>1318055.5172977799</v>
      </c>
      <c r="DA240" s="9">
        <v>9786328.8777760006</v>
      </c>
      <c r="DB240" s="9">
        <v>8854002.1220000014</v>
      </c>
      <c r="DC240" s="9">
        <v>932326.75577599998</v>
      </c>
      <c r="DD240" s="9">
        <v>3128074.8366217799</v>
      </c>
      <c r="DE240" s="9">
        <v>2742346.0751</v>
      </c>
      <c r="DF240" s="9">
        <v>385728.76152177999</v>
      </c>
      <c r="DG240" s="9">
        <v>23179745.576226782</v>
      </c>
      <c r="DH240" s="9">
        <v>4594170.0931190001</v>
      </c>
    </row>
    <row r="241" spans="1:112" x14ac:dyDescent="0.2">
      <c r="A241" s="8" t="s">
        <v>862</v>
      </c>
      <c r="B241" s="8" t="s">
        <v>487</v>
      </c>
      <c r="C241" s="8" t="s">
        <v>490</v>
      </c>
      <c r="D241" s="9">
        <v>17932248.764789999</v>
      </c>
      <c r="E241" s="9">
        <v>17932248.800000001</v>
      </c>
      <c r="F241" s="9">
        <v>384063</v>
      </c>
      <c r="G241" s="9">
        <v>1518110.8</v>
      </c>
      <c r="H241" s="9">
        <v>1429586.8</v>
      </c>
      <c r="I241" s="9">
        <v>97613.6</v>
      </c>
      <c r="J241" s="9">
        <v>1622462</v>
      </c>
      <c r="K241" s="9">
        <v>2893229.6</v>
      </c>
      <c r="L241" s="9">
        <v>370567.1</v>
      </c>
      <c r="M241" s="9">
        <v>2402385.9</v>
      </c>
      <c r="N241" s="9">
        <v>84934.6</v>
      </c>
      <c r="O241" s="9">
        <v>432871.2</v>
      </c>
      <c r="P241" s="9">
        <v>123602.5</v>
      </c>
      <c r="Q241" s="9">
        <v>138435.6</v>
      </c>
      <c r="R241" s="9">
        <v>6434385.8999999994</v>
      </c>
      <c r="S241" s="9">
        <v>3888466.2</v>
      </c>
      <c r="T241" s="9">
        <v>271069.8</v>
      </c>
      <c r="U241" s="9">
        <v>307961.8</v>
      </c>
      <c r="V241" s="9">
        <v>637161.19999999995</v>
      </c>
      <c r="W241" s="9">
        <v>815754.24329999997</v>
      </c>
      <c r="X241" s="9">
        <v>815754.2</v>
      </c>
      <c r="Y241" s="9">
        <v>3231.6</v>
      </c>
      <c r="Z241" s="9">
        <v>73786.8</v>
      </c>
      <c r="AA241" s="9">
        <v>33607.199999999997</v>
      </c>
      <c r="AB241" s="9">
        <v>2188.9</v>
      </c>
      <c r="AC241" s="9">
        <v>225429.8</v>
      </c>
      <c r="AD241" s="9">
        <v>124209.3</v>
      </c>
      <c r="AE241" s="9">
        <v>5966</v>
      </c>
      <c r="AF241" s="9">
        <v>38655.5</v>
      </c>
      <c r="AG241" s="9">
        <v>956.2</v>
      </c>
      <c r="AH241" s="9">
        <v>144670.20000000001</v>
      </c>
      <c r="AI241" s="9">
        <v>156.30000000000001</v>
      </c>
      <c r="AJ241" s="9">
        <v>955</v>
      </c>
      <c r="AK241" s="9">
        <v>161941.29999999999</v>
      </c>
      <c r="AL241" s="9">
        <v>1818954.480742</v>
      </c>
      <c r="AM241" s="9">
        <v>1818954.5</v>
      </c>
      <c r="AN241" s="9">
        <v>78128.399999999994</v>
      </c>
      <c r="AO241" s="9">
        <v>380328.1</v>
      </c>
      <c r="AP241" s="9">
        <v>401694</v>
      </c>
      <c r="AQ241" s="9">
        <v>7125.2</v>
      </c>
      <c r="AR241" s="9">
        <v>230708.8</v>
      </c>
      <c r="AS241" s="9">
        <v>136286.9</v>
      </c>
      <c r="AT241" s="9">
        <v>58357.2</v>
      </c>
      <c r="AU241" s="9">
        <v>216292.7</v>
      </c>
      <c r="AV241" s="9">
        <v>3863.5</v>
      </c>
      <c r="AW241" s="9">
        <v>2837.1</v>
      </c>
      <c r="AX241" s="9">
        <v>4264.1000000000004</v>
      </c>
      <c r="AY241" s="9">
        <v>14954.7</v>
      </c>
      <c r="AZ241" s="9">
        <v>284113.7</v>
      </c>
      <c r="BA241" s="9">
        <v>9266387.7112730015</v>
      </c>
      <c r="BB241" s="9">
        <v>1657101.37</v>
      </c>
      <c r="BC241" s="9">
        <v>8750345.2676843982</v>
      </c>
      <c r="BD241" s="9">
        <v>2380322.5699999998</v>
      </c>
      <c r="BE241" s="9">
        <v>184782.412843</v>
      </c>
      <c r="BF241" s="9">
        <v>30545.86</v>
      </c>
      <c r="BG241" s="9">
        <v>630971.83039999998</v>
      </c>
      <c r="BH241" s="9">
        <v>97832.3</v>
      </c>
      <c r="BI241" s="9">
        <v>328223.68459999998</v>
      </c>
      <c r="BJ241" s="9">
        <v>99131.8</v>
      </c>
      <c r="BK241" s="9">
        <v>1490730.7958950002</v>
      </c>
      <c r="BL241" s="9">
        <v>474939.61</v>
      </c>
      <c r="BM241" s="9">
        <v>15958467.247592</v>
      </c>
      <c r="BN241" s="9">
        <v>9157894.5932000019</v>
      </c>
      <c r="BO241" s="9">
        <v>35859.32</v>
      </c>
      <c r="BP241" s="9">
        <v>6800572.6537649995</v>
      </c>
      <c r="BQ241" s="9">
        <v>198209.02</v>
      </c>
      <c r="BR241" s="9">
        <v>576367.55870000005</v>
      </c>
      <c r="BS241" s="9">
        <v>182545.59510000001</v>
      </c>
      <c r="BT241" s="9">
        <v>756.3</v>
      </c>
      <c r="BU241" s="9">
        <v>393821.96360000002</v>
      </c>
      <c r="BV241" s="9">
        <v>43283.08</v>
      </c>
      <c r="BW241" s="9">
        <v>1542679.8757420001</v>
      </c>
      <c r="BX241" s="9">
        <v>302258.57510000002</v>
      </c>
      <c r="BY241" s="9">
        <v>13412.32</v>
      </c>
      <c r="BZ241" s="9">
        <v>1240421.2999950002</v>
      </c>
      <c r="CA241" s="9">
        <v>10533.55</v>
      </c>
      <c r="CB241" s="9">
        <v>391027.723</v>
      </c>
      <c r="CC241" s="9">
        <v>18323276.48779</v>
      </c>
      <c r="CD241" s="9">
        <v>1394788</v>
      </c>
      <c r="CE241" s="9">
        <v>1385398</v>
      </c>
      <c r="CF241" s="9">
        <v>18805783.30064122</v>
      </c>
      <c r="CG241" s="9">
        <v>13250479.558999998</v>
      </c>
      <c r="CH241" s="9">
        <v>5555303.7416412206</v>
      </c>
      <c r="CI241" s="9">
        <v>13211255.839586999</v>
      </c>
      <c r="CJ241" s="9">
        <v>10128069.695599999</v>
      </c>
      <c r="CK241" s="9">
        <v>3083186.143987</v>
      </c>
      <c r="CL241" s="9">
        <v>5594527.4610542208</v>
      </c>
      <c r="CM241" s="9">
        <v>3122409.8633999997</v>
      </c>
      <c r="CN241" s="9">
        <v>2472117.5976542202</v>
      </c>
      <c r="CO241" s="9">
        <v>5430617.4995100005</v>
      </c>
      <c r="CP241" s="9">
        <v>1182318.0242999999</v>
      </c>
      <c r="CQ241" s="9">
        <v>4248299.4752099998</v>
      </c>
      <c r="CR241" s="9">
        <v>3122442.5632100003</v>
      </c>
      <c r="CS241" s="9">
        <v>911026.1496</v>
      </c>
      <c r="CT241" s="9">
        <v>2211416.4136100002</v>
      </c>
      <c r="CU241" s="9">
        <v>2308174.9363000002</v>
      </c>
      <c r="CV241" s="9">
        <v>271291.87469999999</v>
      </c>
      <c r="CW241" s="9">
        <v>2036883.0615999999</v>
      </c>
      <c r="CX241" s="9">
        <v>13375165.801131219</v>
      </c>
      <c r="CY241" s="9">
        <v>12068161.534699999</v>
      </c>
      <c r="CZ241" s="9">
        <v>1307004.2664312201</v>
      </c>
      <c r="DA241" s="9">
        <v>10088813.276377</v>
      </c>
      <c r="DB241" s="9">
        <v>9217043.5460000001</v>
      </c>
      <c r="DC241" s="9">
        <v>871769.73037700006</v>
      </c>
      <c r="DD241" s="9">
        <v>3286352.5247542197</v>
      </c>
      <c r="DE241" s="9">
        <v>2851117.9886999996</v>
      </c>
      <c r="DF241" s="9">
        <v>435234.53605421999</v>
      </c>
      <c r="DG241" s="9">
        <v>23704421.999861222</v>
      </c>
      <c r="DH241" s="9">
        <v>4898638.6992199998</v>
      </c>
    </row>
    <row r="242" spans="1:112" x14ac:dyDescent="0.2">
      <c r="A242" s="8" t="s">
        <v>863</v>
      </c>
      <c r="B242" s="8" t="s">
        <v>491</v>
      </c>
      <c r="C242" s="8" t="s">
        <v>492</v>
      </c>
      <c r="D242" s="9">
        <v>17918659.651300002</v>
      </c>
      <c r="E242" s="9">
        <v>17918659.600000001</v>
      </c>
      <c r="F242" s="9">
        <v>391062.5</v>
      </c>
      <c r="G242" s="9">
        <v>1458723.2</v>
      </c>
      <c r="H242" s="9">
        <v>1483784.9</v>
      </c>
      <c r="I242" s="9">
        <v>89964.800000000003</v>
      </c>
      <c r="J242" s="9">
        <v>1662658.2</v>
      </c>
      <c r="K242" s="9">
        <v>2826704</v>
      </c>
      <c r="L242" s="9">
        <v>403941.4</v>
      </c>
      <c r="M242" s="9">
        <v>2441920.5</v>
      </c>
      <c r="N242" s="9">
        <v>83557.600000000006</v>
      </c>
      <c r="O242" s="9">
        <v>427601.3</v>
      </c>
      <c r="P242" s="9">
        <v>123404.5</v>
      </c>
      <c r="Q242" s="9">
        <v>143103.5</v>
      </c>
      <c r="R242" s="9">
        <v>6382233.3999999994</v>
      </c>
      <c r="S242" s="9">
        <v>3845295.7</v>
      </c>
      <c r="T242" s="9">
        <v>275945.3</v>
      </c>
      <c r="U242" s="9">
        <v>300328.3</v>
      </c>
      <c r="V242" s="9">
        <v>609191.1</v>
      </c>
      <c r="W242" s="9">
        <v>916926.95476647001</v>
      </c>
      <c r="X242" s="9">
        <v>916927</v>
      </c>
      <c r="Y242" s="9">
        <v>4242.1000000000004</v>
      </c>
      <c r="Z242" s="9">
        <v>83265.3</v>
      </c>
      <c r="AA242" s="9">
        <v>51325.3</v>
      </c>
      <c r="AB242" s="9">
        <v>224.4</v>
      </c>
      <c r="AC242" s="9">
        <v>249996.9</v>
      </c>
      <c r="AD242" s="9">
        <v>127173.8</v>
      </c>
      <c r="AE242" s="9">
        <v>6512.9</v>
      </c>
      <c r="AF242" s="9">
        <v>62542.1</v>
      </c>
      <c r="AG242" s="9">
        <v>422</v>
      </c>
      <c r="AH242" s="9">
        <v>145221.4</v>
      </c>
      <c r="AI242" s="9">
        <v>3956.8</v>
      </c>
      <c r="AJ242" s="9">
        <v>1693.5</v>
      </c>
      <c r="AK242" s="9">
        <v>180350.5</v>
      </c>
      <c r="AL242" s="9">
        <v>1829234.950742</v>
      </c>
      <c r="AM242" s="9">
        <v>1829235</v>
      </c>
      <c r="AN242" s="9">
        <v>77194.399999999994</v>
      </c>
      <c r="AO242" s="9">
        <v>381780.4</v>
      </c>
      <c r="AP242" s="9">
        <v>400021.6</v>
      </c>
      <c r="AQ242" s="9">
        <v>9096.2000000000007</v>
      </c>
      <c r="AR242" s="9">
        <v>229698.7</v>
      </c>
      <c r="AS242" s="9">
        <v>144540</v>
      </c>
      <c r="AT242" s="9">
        <v>58797.7</v>
      </c>
      <c r="AU242" s="9">
        <v>219290.9</v>
      </c>
      <c r="AV242" s="9">
        <v>3886.2</v>
      </c>
      <c r="AW242" s="9">
        <v>3406.4</v>
      </c>
      <c r="AX242" s="9">
        <v>4338.7</v>
      </c>
      <c r="AY242" s="9">
        <v>14931.2</v>
      </c>
      <c r="AZ242" s="9">
        <v>282252.40000000002</v>
      </c>
      <c r="BA242" s="9">
        <v>9283096.7782539986</v>
      </c>
      <c r="BB242" s="9">
        <v>1680606.68</v>
      </c>
      <c r="BC242" s="9">
        <v>8734966.2528641708</v>
      </c>
      <c r="BD242" s="9">
        <v>2299005.38</v>
      </c>
      <c r="BE242" s="9">
        <v>234637.68248399999</v>
      </c>
      <c r="BF242" s="9">
        <v>43765.81</v>
      </c>
      <c r="BG242" s="9">
        <v>682289.2722054699</v>
      </c>
      <c r="BH242" s="9">
        <v>147512.70000000001</v>
      </c>
      <c r="BI242" s="9">
        <v>337697.86735999997</v>
      </c>
      <c r="BJ242" s="9">
        <v>108516.76</v>
      </c>
      <c r="BK242" s="9">
        <v>1491537.083505</v>
      </c>
      <c r="BL242" s="9">
        <v>466932.25</v>
      </c>
      <c r="BM242" s="9">
        <v>15986151.346998468</v>
      </c>
      <c r="BN242" s="9">
        <v>9178931.4578000009</v>
      </c>
      <c r="BO242" s="9">
        <v>36752.36</v>
      </c>
      <c r="BP242" s="9">
        <v>6807219.89067447</v>
      </c>
      <c r="BQ242" s="9">
        <v>190213.77</v>
      </c>
      <c r="BR242" s="9">
        <v>641124.0873664699</v>
      </c>
      <c r="BS242" s="9">
        <v>232362.2623</v>
      </c>
      <c r="BT242" s="9">
        <v>754.41</v>
      </c>
      <c r="BU242" s="9">
        <v>408761.82500547002</v>
      </c>
      <c r="BV242" s="9">
        <v>64306.25</v>
      </c>
      <c r="BW242" s="9">
        <v>1562592.2467420001</v>
      </c>
      <c r="BX242" s="9">
        <v>311567.95850000001</v>
      </c>
      <c r="BY242" s="9">
        <v>13563.39</v>
      </c>
      <c r="BZ242" s="9">
        <v>1251024.2885050001</v>
      </c>
      <c r="CA242" s="9">
        <v>20174.88</v>
      </c>
      <c r="CB242" s="9">
        <v>392459.8763</v>
      </c>
      <c r="CC242" s="9">
        <v>18311119.527600002</v>
      </c>
      <c r="CD242" s="9">
        <v>1418381</v>
      </c>
      <c r="CE242" s="9">
        <v>1408734</v>
      </c>
      <c r="CF242" s="9">
        <v>18733139.524007171</v>
      </c>
      <c r="CG242" s="9">
        <v>13164327.3585</v>
      </c>
      <c r="CH242" s="9">
        <v>5568812.1655071694</v>
      </c>
      <c r="CI242" s="9">
        <v>12871858.695755001</v>
      </c>
      <c r="CJ242" s="9">
        <v>9979342.7149999999</v>
      </c>
      <c r="CK242" s="9">
        <v>2892515.9807549999</v>
      </c>
      <c r="CL242" s="9">
        <v>5861280.8282521712</v>
      </c>
      <c r="CM242" s="9">
        <v>3184984.6434999998</v>
      </c>
      <c r="CN242" s="9">
        <v>2676296.1847521705</v>
      </c>
      <c r="CO242" s="9">
        <v>5384650.5949600004</v>
      </c>
      <c r="CP242" s="9">
        <v>1118647.7298999999</v>
      </c>
      <c r="CQ242" s="9">
        <v>4266002.8650600007</v>
      </c>
      <c r="CR242" s="9">
        <v>2926432.2692399998</v>
      </c>
      <c r="CS242" s="9">
        <v>861783.06299999997</v>
      </c>
      <c r="CT242" s="9">
        <v>2064649.20624</v>
      </c>
      <c r="CU242" s="9">
        <v>2458218.3257200001</v>
      </c>
      <c r="CV242" s="9">
        <v>256864.66690000001</v>
      </c>
      <c r="CW242" s="9">
        <v>2201353.65882</v>
      </c>
      <c r="CX242" s="9">
        <v>13348488.929047173</v>
      </c>
      <c r="CY242" s="9">
        <v>12045679.628599999</v>
      </c>
      <c r="CZ242" s="9">
        <v>1302809.3004471699</v>
      </c>
      <c r="DA242" s="9">
        <v>9945426.4265150018</v>
      </c>
      <c r="DB242" s="9">
        <v>9117559.6520000007</v>
      </c>
      <c r="DC242" s="9">
        <v>827866.77451499994</v>
      </c>
      <c r="DD242" s="9">
        <v>3403062.5025321706</v>
      </c>
      <c r="DE242" s="9">
        <v>2928119.9766000002</v>
      </c>
      <c r="DF242" s="9">
        <v>474942.52593216999</v>
      </c>
      <c r="DG242" s="9">
        <v>23434218.400305171</v>
      </c>
      <c r="DH242" s="9">
        <v>4701078.8762980001</v>
      </c>
    </row>
    <row r="243" spans="1:112" x14ac:dyDescent="0.2">
      <c r="A243" s="8" t="s">
        <v>863</v>
      </c>
      <c r="B243" s="8" t="s">
        <v>491</v>
      </c>
      <c r="C243" s="8" t="s">
        <v>493</v>
      </c>
      <c r="D243" s="9">
        <v>17189443.8763</v>
      </c>
      <c r="E243" s="9">
        <v>17189443.899999999</v>
      </c>
      <c r="F243" s="9">
        <v>395927.6</v>
      </c>
      <c r="G243" s="9">
        <v>1467944.9</v>
      </c>
      <c r="H243" s="9">
        <v>1461081.3</v>
      </c>
      <c r="I243" s="9">
        <v>87372</v>
      </c>
      <c r="J243" s="9">
        <v>1618713.7</v>
      </c>
      <c r="K243" s="9">
        <v>2846521.1</v>
      </c>
      <c r="L243" s="9">
        <v>397979.5</v>
      </c>
      <c r="M243" s="9">
        <v>2437198.7000000002</v>
      </c>
      <c r="N243" s="9">
        <v>79206.3</v>
      </c>
      <c r="O243" s="9">
        <v>425561.3</v>
      </c>
      <c r="P243" s="9">
        <v>123615.6</v>
      </c>
      <c r="Q243" s="9">
        <v>143075.9</v>
      </c>
      <c r="R243" s="9">
        <v>5705245.7999999998</v>
      </c>
      <c r="S243" s="9">
        <v>3175680.8</v>
      </c>
      <c r="T243" s="9">
        <v>256720.7</v>
      </c>
      <c r="U243" s="9">
        <v>295695.3</v>
      </c>
      <c r="V243" s="9">
        <v>580731.19999999995</v>
      </c>
      <c r="W243" s="9">
        <v>1022988.792608</v>
      </c>
      <c r="X243" s="9">
        <v>1022988.8</v>
      </c>
      <c r="Y243" s="9">
        <v>8107.4</v>
      </c>
      <c r="Z243" s="9">
        <v>98346.6</v>
      </c>
      <c r="AA243" s="9">
        <v>62413.7</v>
      </c>
      <c r="AB243" s="9">
        <v>722.3</v>
      </c>
      <c r="AC243" s="9">
        <v>246957.4</v>
      </c>
      <c r="AD243" s="9">
        <v>159510.6</v>
      </c>
      <c r="AE243" s="9">
        <v>9232.6</v>
      </c>
      <c r="AF243" s="9">
        <v>77632.399999999994</v>
      </c>
      <c r="AG243" s="9">
        <v>576.5</v>
      </c>
      <c r="AH243" s="9">
        <v>147381.1</v>
      </c>
      <c r="AI243" s="9">
        <v>5039.7</v>
      </c>
      <c r="AJ243" s="9">
        <v>2689.6</v>
      </c>
      <c r="AK243" s="9">
        <v>204378.9</v>
      </c>
      <c r="AL243" s="9">
        <v>1835829.5267419999</v>
      </c>
      <c r="AM243" s="9">
        <v>1835829.5</v>
      </c>
      <c r="AN243" s="9">
        <v>76940.2</v>
      </c>
      <c r="AO243" s="9">
        <v>390259.7</v>
      </c>
      <c r="AP243" s="9">
        <v>399419.1</v>
      </c>
      <c r="AQ243" s="9">
        <v>9077.1</v>
      </c>
      <c r="AR243" s="9">
        <v>239400.2</v>
      </c>
      <c r="AS243" s="9">
        <v>136585.4</v>
      </c>
      <c r="AT243" s="9">
        <v>57875.3</v>
      </c>
      <c r="AU243" s="9">
        <v>201429.6</v>
      </c>
      <c r="AV243" s="9">
        <v>3876</v>
      </c>
      <c r="AW243" s="9">
        <v>3601.9</v>
      </c>
      <c r="AX243" s="9">
        <v>4292.6000000000004</v>
      </c>
      <c r="AY243" s="9">
        <v>19657.3</v>
      </c>
      <c r="AZ243" s="9">
        <v>293415</v>
      </c>
      <c r="BA243" s="9">
        <v>8630824.8982509989</v>
      </c>
      <c r="BB243" s="9">
        <v>1685063.01</v>
      </c>
      <c r="BC243" s="9">
        <v>8655028.7446650006</v>
      </c>
      <c r="BD243" s="9">
        <v>2259464.67</v>
      </c>
      <c r="BE243" s="9">
        <v>281649.94978099997</v>
      </c>
      <c r="BF243" s="9">
        <v>56821.440000000002</v>
      </c>
      <c r="BG243" s="9">
        <v>741338.842818</v>
      </c>
      <c r="BH243" s="9">
        <v>171768.35</v>
      </c>
      <c r="BI243" s="9">
        <v>356226.73645000003</v>
      </c>
      <c r="BJ243" s="9">
        <v>114985.57</v>
      </c>
      <c r="BK243" s="9">
        <v>1479602.7907950005</v>
      </c>
      <c r="BL243" s="9">
        <v>476919.53</v>
      </c>
      <c r="BM243" s="9">
        <v>15286349.404318498</v>
      </c>
      <c r="BN243" s="9">
        <v>8505811.0033</v>
      </c>
      <c r="BO243" s="9">
        <v>48140.72</v>
      </c>
      <c r="BP243" s="9">
        <v>6780538.3971854998</v>
      </c>
      <c r="BQ243" s="9">
        <v>191391.2</v>
      </c>
      <c r="BR243" s="9">
        <v>755906.77669650002</v>
      </c>
      <c r="BS243" s="9">
        <v>279295.30699999997</v>
      </c>
      <c r="BT243" s="9">
        <v>754.29</v>
      </c>
      <c r="BU243" s="9">
        <v>476611.46970650001</v>
      </c>
      <c r="BV243" s="9">
        <v>47634.92</v>
      </c>
      <c r="BW243" s="9">
        <v>1573959.3677419999</v>
      </c>
      <c r="BX243" s="9">
        <v>329805.32829999999</v>
      </c>
      <c r="BY243" s="9">
        <v>13641.29</v>
      </c>
      <c r="BZ243" s="9">
        <v>1244154.0394950002</v>
      </c>
      <c r="CA243" s="9">
        <v>22395.65</v>
      </c>
      <c r="CB243" s="9">
        <v>393323.19339999999</v>
      </c>
      <c r="CC243" s="9">
        <v>17582767.069699999</v>
      </c>
      <c r="CD243" s="9">
        <v>1268192</v>
      </c>
      <c r="CE243" s="9">
        <v>1258747</v>
      </c>
      <c r="CF243" s="9">
        <v>18638366.37543039</v>
      </c>
      <c r="CG243" s="9">
        <v>13354959.382099999</v>
      </c>
      <c r="CH243" s="9">
        <v>5283406.9933303902</v>
      </c>
      <c r="CI243" s="9">
        <v>12765595.795557</v>
      </c>
      <c r="CJ243" s="9">
        <v>10079678.2247</v>
      </c>
      <c r="CK243" s="9">
        <v>2685917.5708570001</v>
      </c>
      <c r="CL243" s="9">
        <v>5872770.5798733896</v>
      </c>
      <c r="CM243" s="9">
        <v>3275281.1573999999</v>
      </c>
      <c r="CN243" s="9">
        <v>2597489.4224733897</v>
      </c>
      <c r="CO243" s="9">
        <v>5048594.0229199994</v>
      </c>
      <c r="CP243" s="9">
        <v>1039737.9959</v>
      </c>
      <c r="CQ243" s="9">
        <v>4008856.0270199999</v>
      </c>
      <c r="CR243" s="9">
        <v>2665419.6842499999</v>
      </c>
      <c r="CS243" s="9">
        <v>797126.06570000004</v>
      </c>
      <c r="CT243" s="9">
        <v>1868293.61855</v>
      </c>
      <c r="CU243" s="9">
        <v>2383174.33867</v>
      </c>
      <c r="CV243" s="9">
        <v>242611.9302</v>
      </c>
      <c r="CW243" s="9">
        <v>2140562.4084700001</v>
      </c>
      <c r="CX243" s="9">
        <v>13589772.352510391</v>
      </c>
      <c r="CY243" s="9">
        <v>12315221.3862</v>
      </c>
      <c r="CZ243" s="9">
        <v>1274550.96631039</v>
      </c>
      <c r="DA243" s="9">
        <v>10100176.111306999</v>
      </c>
      <c r="DB243" s="9">
        <v>9282552.159</v>
      </c>
      <c r="DC243" s="9">
        <v>817623.95230699994</v>
      </c>
      <c r="DD243" s="9">
        <v>3489596.2412033901</v>
      </c>
      <c r="DE243" s="9">
        <v>3032669.2272000001</v>
      </c>
      <c r="DF243" s="9">
        <v>456927.01400338998</v>
      </c>
      <c r="DG243" s="9">
        <v>23519881.837810393</v>
      </c>
      <c r="DH243" s="9">
        <v>4881515.4623799995</v>
      </c>
    </row>
    <row r="244" spans="1:112" x14ac:dyDescent="0.2">
      <c r="A244" s="8" t="s">
        <v>863</v>
      </c>
      <c r="B244" s="8" t="s">
        <v>491</v>
      </c>
      <c r="C244" s="8" t="s">
        <v>494</v>
      </c>
      <c r="D244" s="9">
        <v>16988558.879099999</v>
      </c>
      <c r="E244" s="9">
        <v>16988560.600000001</v>
      </c>
      <c r="F244" s="9">
        <v>401467.3</v>
      </c>
      <c r="G244" s="9">
        <v>1470270.5</v>
      </c>
      <c r="H244" s="9">
        <v>1448983.4</v>
      </c>
      <c r="I244" s="9">
        <v>85100.800000000003</v>
      </c>
      <c r="J244" s="9">
        <v>1566608.4</v>
      </c>
      <c r="K244" s="9">
        <v>2856938.9</v>
      </c>
      <c r="L244" s="9">
        <v>404376.6</v>
      </c>
      <c r="M244" s="9">
        <v>2273280</v>
      </c>
      <c r="N244" s="9">
        <v>79525.5</v>
      </c>
      <c r="O244" s="9">
        <v>427347.20000000001</v>
      </c>
      <c r="P244" s="9">
        <v>124500.4</v>
      </c>
      <c r="Q244" s="9">
        <v>142045.4</v>
      </c>
      <c r="R244" s="9">
        <v>5708116.4000000004</v>
      </c>
      <c r="S244" s="9">
        <v>3155981.2</v>
      </c>
      <c r="T244" s="9">
        <v>262259.5</v>
      </c>
      <c r="U244" s="9">
        <v>290552.2</v>
      </c>
      <c r="V244" s="9">
        <v>592135.6</v>
      </c>
      <c r="W244" s="9">
        <v>1142993.0530330001</v>
      </c>
      <c r="X244" s="9">
        <v>1142993.1000000001</v>
      </c>
      <c r="Y244" s="9">
        <v>9153.6</v>
      </c>
      <c r="Z244" s="9">
        <v>161266.29999999999</v>
      </c>
      <c r="AA244" s="9">
        <v>109611.4</v>
      </c>
      <c r="AB244" s="9">
        <v>899</v>
      </c>
      <c r="AC244" s="9">
        <v>275967.09999999998</v>
      </c>
      <c r="AD244" s="9">
        <v>198205</v>
      </c>
      <c r="AE244" s="9">
        <v>11573</v>
      </c>
      <c r="AF244" s="9">
        <v>73995.600000000006</v>
      </c>
      <c r="AG244" s="9">
        <v>1043.0999999999999</v>
      </c>
      <c r="AH244" s="9">
        <v>148251.29999999999</v>
      </c>
      <c r="AI244" s="9">
        <v>4145.6000000000004</v>
      </c>
      <c r="AJ244" s="9">
        <v>2197.8000000000002</v>
      </c>
      <c r="AK244" s="9">
        <v>146684.20000000001</v>
      </c>
      <c r="AL244" s="9">
        <v>1826768.265742</v>
      </c>
      <c r="AM244" s="9">
        <v>1826770</v>
      </c>
      <c r="AN244" s="9">
        <v>77066.600000000006</v>
      </c>
      <c r="AO244" s="9">
        <v>393779.6</v>
      </c>
      <c r="AP244" s="9">
        <v>404137.6</v>
      </c>
      <c r="AQ244" s="9">
        <v>9089.2999999999993</v>
      </c>
      <c r="AR244" s="9">
        <v>211840.9</v>
      </c>
      <c r="AS244" s="9">
        <v>138695.6</v>
      </c>
      <c r="AT244" s="9">
        <v>59309.5</v>
      </c>
      <c r="AU244" s="9">
        <v>197917.6</v>
      </c>
      <c r="AV244" s="9">
        <v>3907.4</v>
      </c>
      <c r="AW244" s="9">
        <v>3601.4</v>
      </c>
      <c r="AX244" s="9">
        <v>8103.4</v>
      </c>
      <c r="AY244" s="9">
        <v>19992.099999999999</v>
      </c>
      <c r="AZ244" s="9">
        <v>299329</v>
      </c>
      <c r="BA244" s="9">
        <v>8477330.918415999</v>
      </c>
      <c r="BB244" s="9">
        <v>1702046.02</v>
      </c>
      <c r="BC244" s="9">
        <v>8614285.4562110007</v>
      </c>
      <c r="BD244" s="9">
        <v>2260153.04</v>
      </c>
      <c r="BE244" s="9">
        <v>212479.532056</v>
      </c>
      <c r="BF244" s="9">
        <v>93154.77</v>
      </c>
      <c r="BG244" s="9">
        <v>930513.52073300001</v>
      </c>
      <c r="BH244" s="9">
        <v>211454.44</v>
      </c>
      <c r="BI244" s="9">
        <v>365393.03075999999</v>
      </c>
      <c r="BJ244" s="9">
        <v>126990.36</v>
      </c>
      <c r="BK244" s="9">
        <v>1461375.2350240001</v>
      </c>
      <c r="BL244" s="9">
        <v>481300.75</v>
      </c>
      <c r="BM244" s="9">
        <v>15089926.353902899</v>
      </c>
      <c r="BN244" s="9">
        <v>8347061.5713</v>
      </c>
      <c r="BO244" s="9">
        <v>54687.97</v>
      </c>
      <c r="BP244" s="9">
        <v>6742864.7795809004</v>
      </c>
      <c r="BQ244" s="9">
        <v>196133.59</v>
      </c>
      <c r="BR244" s="9">
        <v>839664.86126090004</v>
      </c>
      <c r="BS244" s="9">
        <v>210694.06150000001</v>
      </c>
      <c r="BT244" s="9">
        <v>786.46</v>
      </c>
      <c r="BU244" s="9">
        <v>628970.79976089997</v>
      </c>
      <c r="BV244" s="9">
        <v>61894.94</v>
      </c>
      <c r="BW244" s="9">
        <v>1569373.339742</v>
      </c>
      <c r="BX244" s="9">
        <v>338741.52779999998</v>
      </c>
      <c r="BY244" s="9">
        <v>13684.1</v>
      </c>
      <c r="BZ244" s="9">
        <v>1230631.8125240002</v>
      </c>
      <c r="CA244" s="9">
        <v>23621.62</v>
      </c>
      <c r="CB244" s="9">
        <v>394338.73269999999</v>
      </c>
      <c r="CC244" s="9">
        <v>17382897.6118</v>
      </c>
      <c r="CD244" s="9">
        <v>1321357</v>
      </c>
      <c r="CE244" s="9">
        <v>1311738</v>
      </c>
      <c r="CF244" s="9">
        <v>18625892.628955811</v>
      </c>
      <c r="CG244" s="9">
        <v>13371008.306899998</v>
      </c>
      <c r="CH244" s="9">
        <v>5254884.3220558101</v>
      </c>
      <c r="CI244" s="9">
        <v>12568710.468558999</v>
      </c>
      <c r="CJ244" s="9">
        <v>10036183.3408</v>
      </c>
      <c r="CK244" s="9">
        <v>2532527.1277589994</v>
      </c>
      <c r="CL244" s="9">
        <v>6057182.1603968097</v>
      </c>
      <c r="CM244" s="9">
        <v>3334824.9660999998</v>
      </c>
      <c r="CN244" s="9">
        <v>2722357.1942968094</v>
      </c>
      <c r="CO244" s="9">
        <v>5167401.4532200005</v>
      </c>
      <c r="CP244" s="9">
        <v>1029690.0087</v>
      </c>
      <c r="CQ244" s="9">
        <v>4137711.444519999</v>
      </c>
      <c r="CR244" s="9">
        <v>2641221.9714199998</v>
      </c>
      <c r="CS244" s="9">
        <v>774708.01980000001</v>
      </c>
      <c r="CT244" s="9">
        <v>1866513.9516199997</v>
      </c>
      <c r="CU244" s="9">
        <v>2526179.4818000002</v>
      </c>
      <c r="CV244" s="9">
        <v>254981.9889</v>
      </c>
      <c r="CW244" s="9">
        <v>2271197.4929</v>
      </c>
      <c r="CX244" s="9">
        <v>13458491.175735811</v>
      </c>
      <c r="CY244" s="9">
        <v>12341318.2982</v>
      </c>
      <c r="CZ244" s="9">
        <v>1117172.87753581</v>
      </c>
      <c r="DA244" s="9">
        <v>9927488.4971390013</v>
      </c>
      <c r="DB244" s="9">
        <v>9261475.3210000005</v>
      </c>
      <c r="DC244" s="9">
        <v>666013.17613899999</v>
      </c>
      <c r="DD244" s="9">
        <v>3531002.6785968095</v>
      </c>
      <c r="DE244" s="9">
        <v>3079842.9772000001</v>
      </c>
      <c r="DF244" s="9">
        <v>451159.70139680989</v>
      </c>
      <c r="DG244" s="9">
        <v>23464670.805645809</v>
      </c>
      <c r="DH244" s="9">
        <v>4838778.1766900001</v>
      </c>
    </row>
    <row r="245" spans="1:112" x14ac:dyDescent="0.2">
      <c r="A245" s="8" t="s">
        <v>863</v>
      </c>
      <c r="B245" s="8" t="s">
        <v>495</v>
      </c>
      <c r="C245" s="8" t="s">
        <v>496</v>
      </c>
      <c r="D245" s="9">
        <v>16996074.871100001</v>
      </c>
      <c r="E245" s="9">
        <v>16996074.899999999</v>
      </c>
      <c r="F245" s="9">
        <v>415577.8</v>
      </c>
      <c r="G245" s="9">
        <v>1435567</v>
      </c>
      <c r="H245" s="9">
        <v>1425181.1</v>
      </c>
      <c r="I245" s="9">
        <v>87841.7</v>
      </c>
      <c r="J245" s="9">
        <v>1585565.8</v>
      </c>
      <c r="K245" s="9">
        <v>2850893.2</v>
      </c>
      <c r="L245" s="9">
        <v>399270.1</v>
      </c>
      <c r="M245" s="9">
        <v>2301325.9</v>
      </c>
      <c r="N245" s="9">
        <v>80016.2</v>
      </c>
      <c r="O245" s="9">
        <v>417683</v>
      </c>
      <c r="P245" s="9">
        <v>127335.4</v>
      </c>
      <c r="Q245" s="9">
        <v>143157</v>
      </c>
      <c r="R245" s="9">
        <v>5726660.7000000002</v>
      </c>
      <c r="S245" s="9">
        <v>3146926.4</v>
      </c>
      <c r="T245" s="9">
        <v>260230.6</v>
      </c>
      <c r="U245" s="9">
        <v>285561.09999999998</v>
      </c>
      <c r="V245" s="9">
        <v>590612.19999999995</v>
      </c>
      <c r="W245" s="9">
        <v>1301030.7573546998</v>
      </c>
      <c r="X245" s="9">
        <v>1301030.8</v>
      </c>
      <c r="Y245" s="9">
        <v>9372</v>
      </c>
      <c r="Z245" s="9">
        <v>205099.9</v>
      </c>
      <c r="AA245" s="9">
        <v>122756.1</v>
      </c>
      <c r="AB245" s="9">
        <v>569.1</v>
      </c>
      <c r="AC245" s="9">
        <v>294979.7</v>
      </c>
      <c r="AD245" s="9">
        <v>219256</v>
      </c>
      <c r="AE245" s="9">
        <v>22104.799999999999</v>
      </c>
      <c r="AF245" s="9">
        <v>79238.5</v>
      </c>
      <c r="AG245" s="9">
        <v>4972.5</v>
      </c>
      <c r="AH245" s="9">
        <v>147717.29999999999</v>
      </c>
      <c r="AI245" s="9">
        <v>18115.099999999999</v>
      </c>
      <c r="AJ245" s="9">
        <v>2050.4</v>
      </c>
      <c r="AK245" s="9">
        <v>174799.2</v>
      </c>
      <c r="AL245" s="9">
        <v>1863722.302376</v>
      </c>
      <c r="AM245" s="9">
        <v>1863722.3</v>
      </c>
      <c r="AN245" s="9">
        <v>78438.2</v>
      </c>
      <c r="AO245" s="9">
        <v>403014.2</v>
      </c>
      <c r="AP245" s="9">
        <v>390828.5</v>
      </c>
      <c r="AQ245" s="9">
        <v>9553.1</v>
      </c>
      <c r="AR245" s="9">
        <v>237291.7</v>
      </c>
      <c r="AS245" s="9">
        <v>142223.20000000001</v>
      </c>
      <c r="AT245" s="9">
        <v>60859.8</v>
      </c>
      <c r="AU245" s="9">
        <v>202370.9</v>
      </c>
      <c r="AV245" s="9">
        <v>3864.4</v>
      </c>
      <c r="AW245" s="9">
        <v>5376.5</v>
      </c>
      <c r="AX245" s="9">
        <v>4308.1000000000004</v>
      </c>
      <c r="AY245" s="9">
        <v>20742.8</v>
      </c>
      <c r="AZ245" s="9">
        <v>304850.8</v>
      </c>
      <c r="BA245" s="9">
        <v>8568362.3160030004</v>
      </c>
      <c r="BB245" s="9">
        <v>1752376.86</v>
      </c>
      <c r="BC245" s="9">
        <v>8531289.7849837001</v>
      </c>
      <c r="BD245" s="9">
        <v>2225665.9700000002</v>
      </c>
      <c r="BE245" s="9">
        <v>245105.98818300001</v>
      </c>
      <c r="BF245" s="9">
        <v>124002.76</v>
      </c>
      <c r="BG245" s="9">
        <v>1055924.7691507</v>
      </c>
      <c r="BH245" s="9">
        <v>278682.64</v>
      </c>
      <c r="BI245" s="9">
        <v>378965.74552</v>
      </c>
      <c r="BJ245" s="9">
        <v>130515.66</v>
      </c>
      <c r="BK245" s="9">
        <v>1484756.556898</v>
      </c>
      <c r="BL245" s="9">
        <v>459456.48</v>
      </c>
      <c r="BM245" s="9">
        <v>15185528.844796697</v>
      </c>
      <c r="BN245" s="9">
        <v>8437352.469899999</v>
      </c>
      <c r="BO245" s="9">
        <v>54410.13</v>
      </c>
      <c r="BP245" s="9">
        <v>6748176.3756257016</v>
      </c>
      <c r="BQ245" s="9">
        <v>205292.73</v>
      </c>
      <c r="BR245" s="9">
        <v>1017463.2193546999</v>
      </c>
      <c r="BS245" s="9">
        <v>242802.3204</v>
      </c>
      <c r="BT245" s="9">
        <v>757.1</v>
      </c>
      <c r="BU245" s="9">
        <v>774660.89925070002</v>
      </c>
      <c r="BV245" s="9">
        <v>71692.759999999995</v>
      </c>
      <c r="BW245" s="9">
        <v>1594884.947742</v>
      </c>
      <c r="BX245" s="9">
        <v>352457.13449999999</v>
      </c>
      <c r="BY245" s="9">
        <v>13435.59</v>
      </c>
      <c r="BZ245" s="9">
        <v>1242427.8126640001</v>
      </c>
      <c r="CA245" s="9">
        <v>24170.68</v>
      </c>
      <c r="CB245" s="9">
        <v>395316.37239999999</v>
      </c>
      <c r="CC245" s="9">
        <v>17391391.243500002</v>
      </c>
      <c r="CD245" s="9">
        <v>1370408</v>
      </c>
      <c r="CE245" s="9">
        <v>1360769</v>
      </c>
      <c r="CF245" s="9">
        <v>18471770.813933253</v>
      </c>
      <c r="CG245" s="9">
        <v>13449842.390000001</v>
      </c>
      <c r="CH245" s="9">
        <v>5021928.4239332499</v>
      </c>
      <c r="CI245" s="9">
        <v>12432787.919455001</v>
      </c>
      <c r="CJ245" s="9">
        <v>10003970.4593</v>
      </c>
      <c r="CK245" s="9">
        <v>2428817.460155</v>
      </c>
      <c r="CL245" s="9">
        <v>6038982.8944782494</v>
      </c>
      <c r="CM245" s="9">
        <v>3445871.9306999999</v>
      </c>
      <c r="CN245" s="9">
        <v>2593110.9637782499</v>
      </c>
      <c r="CO245" s="9">
        <v>5023390.3607400004</v>
      </c>
      <c r="CP245" s="9">
        <v>1089114.0125</v>
      </c>
      <c r="CQ245" s="9">
        <v>3934276.3482400002</v>
      </c>
      <c r="CR245" s="9">
        <v>2603798.5619500005</v>
      </c>
      <c r="CS245" s="9">
        <v>823741.26029999997</v>
      </c>
      <c r="CT245" s="9">
        <v>1780057.30165</v>
      </c>
      <c r="CU245" s="9">
        <v>2419591.7987900004</v>
      </c>
      <c r="CV245" s="9">
        <v>265372.75219999999</v>
      </c>
      <c r="CW245" s="9">
        <v>2154219.0465899999</v>
      </c>
      <c r="CX245" s="9">
        <v>13448380.453193253</v>
      </c>
      <c r="CY245" s="9">
        <v>12360728.377499999</v>
      </c>
      <c r="CZ245" s="9">
        <v>1087652.0756932502</v>
      </c>
      <c r="DA245" s="9">
        <v>9828989.3575050011</v>
      </c>
      <c r="DB245" s="9">
        <v>9180229.1989999991</v>
      </c>
      <c r="DC245" s="9">
        <v>648760.15850500006</v>
      </c>
      <c r="DD245" s="9">
        <v>3619391.0956882495</v>
      </c>
      <c r="DE245" s="9">
        <v>3180499.1784999999</v>
      </c>
      <c r="DF245" s="9">
        <v>438891.91718824988</v>
      </c>
      <c r="DG245" s="9">
        <v>23139305.302023247</v>
      </c>
      <c r="DH245" s="9">
        <v>4667534.4880900001</v>
      </c>
    </row>
    <row r="246" spans="1:112" x14ac:dyDescent="0.2">
      <c r="A246" s="8" t="s">
        <v>863</v>
      </c>
      <c r="B246" s="8" t="s">
        <v>495</v>
      </c>
      <c r="C246" s="8" t="s">
        <v>497</v>
      </c>
      <c r="D246" s="9">
        <v>17012761.296999998</v>
      </c>
      <c r="E246" s="9">
        <v>17012999.949999999</v>
      </c>
      <c r="F246" s="9">
        <v>271689.21000000002</v>
      </c>
      <c r="G246" s="9">
        <v>1446693</v>
      </c>
      <c r="H246" s="9">
        <v>1382931.08</v>
      </c>
      <c r="I246" s="9">
        <v>92285.37</v>
      </c>
      <c r="J246" s="9">
        <v>1618145.1</v>
      </c>
      <c r="K246" s="9">
        <v>2797396.58</v>
      </c>
      <c r="L246" s="9">
        <v>390593.95</v>
      </c>
      <c r="M246" s="9">
        <v>2727275.37</v>
      </c>
      <c r="N246" s="9">
        <v>79838.95</v>
      </c>
      <c r="O246" s="9">
        <v>348440.32000000001</v>
      </c>
      <c r="P246" s="9">
        <v>127746.32</v>
      </c>
      <c r="Q246" s="9">
        <v>144843.97</v>
      </c>
      <c r="R246" s="9">
        <v>5585120.7399999993</v>
      </c>
      <c r="S246" s="9">
        <v>2954262.35</v>
      </c>
      <c r="T246" s="9">
        <v>260434.68</v>
      </c>
      <c r="U246" s="9">
        <v>266012.86</v>
      </c>
      <c r="V246" s="9">
        <v>573335.22</v>
      </c>
      <c r="W246" s="9">
        <v>1139597.2967143098</v>
      </c>
      <c r="X246" s="9">
        <v>1139602.55</v>
      </c>
      <c r="Y246" s="9">
        <v>7260.65</v>
      </c>
      <c r="Z246" s="9">
        <v>149647.37</v>
      </c>
      <c r="AA246" s="9">
        <v>61190.62</v>
      </c>
      <c r="AB246" s="9">
        <v>847.03</v>
      </c>
      <c r="AC246" s="9">
        <v>262033.78</v>
      </c>
      <c r="AD246" s="9">
        <v>215297.92000000001</v>
      </c>
      <c r="AE246" s="9">
        <v>12186.77</v>
      </c>
      <c r="AF246" s="9">
        <v>116141.74</v>
      </c>
      <c r="AG246" s="9">
        <v>4230.0600000000004</v>
      </c>
      <c r="AH246" s="9">
        <v>148250.07</v>
      </c>
      <c r="AI246" s="9">
        <v>17551.11</v>
      </c>
      <c r="AJ246" s="9">
        <v>15148.45</v>
      </c>
      <c r="AK246" s="9">
        <v>129816.98</v>
      </c>
      <c r="AL246" s="9">
        <v>1964662.4788240001</v>
      </c>
      <c r="AM246" s="9">
        <v>1964662.48</v>
      </c>
      <c r="AN246" s="9">
        <v>78394.740000000005</v>
      </c>
      <c r="AO246" s="9">
        <v>429920.17</v>
      </c>
      <c r="AP246" s="9">
        <v>405889.76</v>
      </c>
      <c r="AQ246" s="9">
        <v>9742.6</v>
      </c>
      <c r="AR246" s="9">
        <v>281520.5</v>
      </c>
      <c r="AS246" s="9">
        <v>121247.24</v>
      </c>
      <c r="AT246" s="9">
        <v>61696.38</v>
      </c>
      <c r="AU246" s="9">
        <v>308052.13</v>
      </c>
      <c r="AV246" s="9">
        <v>5576.46</v>
      </c>
      <c r="AW246" s="9">
        <v>5356.17</v>
      </c>
      <c r="AX246" s="9">
        <v>4832.8599999999997</v>
      </c>
      <c r="AY246" s="9">
        <v>20563.47</v>
      </c>
      <c r="AZ246" s="9">
        <v>231870</v>
      </c>
      <c r="BA246" s="9">
        <v>8633307.6578469984</v>
      </c>
      <c r="BB246" s="9">
        <v>1682436.05</v>
      </c>
      <c r="BC246" s="9">
        <v>8489650.6285683103</v>
      </c>
      <c r="BD246" s="9">
        <v>2128034.1</v>
      </c>
      <c r="BE246" s="9">
        <v>249863.78767699999</v>
      </c>
      <c r="BF246" s="9">
        <v>93287.75</v>
      </c>
      <c r="BG246" s="9">
        <v>889733.50929931004</v>
      </c>
      <c r="BH246" s="9">
        <v>106215.6</v>
      </c>
      <c r="BI246" s="9">
        <v>406593.18456000002</v>
      </c>
      <c r="BJ246" s="9">
        <v>154648.64000000001</v>
      </c>
      <c r="BK246" s="9">
        <v>1558069.2945979999</v>
      </c>
      <c r="BL246" s="9">
        <v>630348.31999999995</v>
      </c>
      <c r="BM246" s="9">
        <v>15276084.812756311</v>
      </c>
      <c r="BN246" s="9">
        <v>8508471.3869000003</v>
      </c>
      <c r="BO246" s="9">
        <v>1594132.69</v>
      </c>
      <c r="BP246" s="9">
        <v>6767613.4258503094</v>
      </c>
      <c r="BQ246" s="9">
        <v>1855946.76</v>
      </c>
      <c r="BR246" s="9">
        <v>884462.04061431007</v>
      </c>
      <c r="BS246" s="9">
        <v>247013.89869999999</v>
      </c>
      <c r="BT246" s="9">
        <v>92913.47</v>
      </c>
      <c r="BU246" s="9">
        <v>637448.14179930999</v>
      </c>
      <c r="BV246" s="9">
        <v>104622.06</v>
      </c>
      <c r="BW246" s="9">
        <v>1728940.8237420002</v>
      </c>
      <c r="BX246" s="9">
        <v>379644.51919999998</v>
      </c>
      <c r="BY246" s="9">
        <v>118810.86</v>
      </c>
      <c r="BZ246" s="9">
        <v>1349296.304616</v>
      </c>
      <c r="CA246" s="9">
        <v>507079.4</v>
      </c>
      <c r="CB246" s="9">
        <v>396667.58789999998</v>
      </c>
      <c r="CC246" s="9">
        <v>17409428.8849</v>
      </c>
      <c r="CD246" s="9">
        <v>1381513</v>
      </c>
      <c r="CE246" s="9">
        <v>1372882</v>
      </c>
      <c r="CF246" s="9">
        <v>18884659.407039229</v>
      </c>
      <c r="CG246" s="9">
        <v>14025402.480700001</v>
      </c>
      <c r="CH246" s="9">
        <v>4859256.9263392296</v>
      </c>
      <c r="CI246" s="9">
        <v>12751921.019897001</v>
      </c>
      <c r="CJ246" s="9">
        <v>10413514.676000001</v>
      </c>
      <c r="CK246" s="9">
        <v>2338406.343897</v>
      </c>
      <c r="CL246" s="9">
        <v>6132738.3871422298</v>
      </c>
      <c r="CM246" s="9">
        <v>3611887.8047000002</v>
      </c>
      <c r="CN246" s="9">
        <v>2520850.5824422305</v>
      </c>
      <c r="CO246" s="9">
        <v>5017173.4962600004</v>
      </c>
      <c r="CP246" s="9">
        <v>1296772.9801</v>
      </c>
      <c r="CQ246" s="9">
        <v>3720400.5161600001</v>
      </c>
      <c r="CR246" s="9">
        <v>2693238.3639099998</v>
      </c>
      <c r="CS246" s="9">
        <v>1015582.088</v>
      </c>
      <c r="CT246" s="9">
        <v>1677656.2759100001</v>
      </c>
      <c r="CU246" s="9">
        <v>2323935.1323500001</v>
      </c>
      <c r="CV246" s="9">
        <v>281190.8921</v>
      </c>
      <c r="CW246" s="9">
        <v>2042744.24025</v>
      </c>
      <c r="CX246" s="9">
        <v>13867485.91077923</v>
      </c>
      <c r="CY246" s="9">
        <v>12728629.500600001</v>
      </c>
      <c r="CZ246" s="9">
        <v>1138856.4101792299</v>
      </c>
      <c r="DA246" s="9">
        <v>10058682.655987</v>
      </c>
      <c r="DB246" s="9">
        <v>9397932.5879999995</v>
      </c>
      <c r="DC246" s="9">
        <v>660750.06798699999</v>
      </c>
      <c r="DD246" s="9">
        <v>3808803.2547922302</v>
      </c>
      <c r="DE246" s="9">
        <v>3330696.9125999999</v>
      </c>
      <c r="DF246" s="9">
        <v>478106.34219222999</v>
      </c>
      <c r="DG246" s="9">
        <v>23308637.933729228</v>
      </c>
      <c r="DH246" s="9">
        <v>4423978.5266899997</v>
      </c>
    </row>
    <row r="247" spans="1:112" x14ac:dyDescent="0.2">
      <c r="A247" s="8" t="s">
        <v>863</v>
      </c>
      <c r="B247" s="8" t="s">
        <v>495</v>
      </c>
      <c r="C247" s="8" t="s">
        <v>498</v>
      </c>
      <c r="D247" s="9">
        <v>17200169.623100001</v>
      </c>
      <c r="E247" s="9">
        <v>17200169.620000001</v>
      </c>
      <c r="F247" s="9">
        <v>267657.75</v>
      </c>
      <c r="G247" s="9">
        <v>1402622.34</v>
      </c>
      <c r="H247" s="9">
        <v>1388969.89</v>
      </c>
      <c r="I247" s="9">
        <v>99085.08</v>
      </c>
      <c r="J247" s="9">
        <v>1698207.78</v>
      </c>
      <c r="K247" s="9">
        <v>2851140.43</v>
      </c>
      <c r="L247" s="9">
        <v>403264.51</v>
      </c>
      <c r="M247" s="9">
        <v>2860981.9600000004</v>
      </c>
      <c r="N247" s="9">
        <v>87236.5</v>
      </c>
      <c r="O247" s="9">
        <v>353016.74</v>
      </c>
      <c r="P247" s="9">
        <v>129033.63</v>
      </c>
      <c r="Q247" s="9">
        <v>137312.51999999999</v>
      </c>
      <c r="R247" s="9">
        <v>5521640.4800000004</v>
      </c>
      <c r="S247" s="9">
        <v>2929429.37</v>
      </c>
      <c r="T247" s="9">
        <v>252908.73</v>
      </c>
      <c r="U247" s="9">
        <v>263580.23</v>
      </c>
      <c r="V247" s="9">
        <v>566090.25</v>
      </c>
      <c r="W247" s="9">
        <v>1001090.8056371</v>
      </c>
      <c r="X247" s="9">
        <v>1001090.8</v>
      </c>
      <c r="Y247" s="9">
        <v>5244.37</v>
      </c>
      <c r="Z247" s="9">
        <v>122648.66</v>
      </c>
      <c r="AA247" s="9">
        <v>56446.32</v>
      </c>
      <c r="AB247" s="9">
        <v>515.99</v>
      </c>
      <c r="AC247" s="9">
        <v>252019.96</v>
      </c>
      <c r="AD247" s="9">
        <v>174208.82</v>
      </c>
      <c r="AE247" s="9">
        <v>11078.06</v>
      </c>
      <c r="AF247" s="9">
        <v>104030.23</v>
      </c>
      <c r="AG247" s="9">
        <v>547.1</v>
      </c>
      <c r="AH247" s="9">
        <v>149095.41</v>
      </c>
      <c r="AI247" s="9">
        <v>6773.72</v>
      </c>
      <c r="AJ247" s="9">
        <v>1882.68</v>
      </c>
      <c r="AK247" s="9">
        <v>116599.47</v>
      </c>
      <c r="AL247" s="9">
        <v>1911510.2222730001</v>
      </c>
      <c r="AM247" s="9">
        <v>1911510.22</v>
      </c>
      <c r="AN247" s="9">
        <v>78126.720000000001</v>
      </c>
      <c r="AO247" s="9">
        <v>417716.01</v>
      </c>
      <c r="AP247" s="9">
        <v>375003.02</v>
      </c>
      <c r="AQ247" s="9">
        <v>10023.81</v>
      </c>
      <c r="AR247" s="9">
        <v>233553</v>
      </c>
      <c r="AS247" s="9">
        <v>132057.35</v>
      </c>
      <c r="AT247" s="9">
        <v>62958.17</v>
      </c>
      <c r="AU247" s="9">
        <v>323932.65999999997</v>
      </c>
      <c r="AV247" s="9">
        <v>5500.96</v>
      </c>
      <c r="AW247" s="9">
        <v>5401.62</v>
      </c>
      <c r="AX247" s="9">
        <v>4960.88</v>
      </c>
      <c r="AY247" s="9">
        <v>20880.34</v>
      </c>
      <c r="AZ247" s="9">
        <v>241395.66</v>
      </c>
      <c r="BA247" s="9">
        <v>8673586.6296149995</v>
      </c>
      <c r="BB247" s="9">
        <v>1665526.9</v>
      </c>
      <c r="BC247" s="9">
        <v>8649106.064892102</v>
      </c>
      <c r="BD247" s="9">
        <v>2253587.02</v>
      </c>
      <c r="BE247" s="9">
        <v>215878.40119500001</v>
      </c>
      <c r="BF247" s="9">
        <v>71085.11</v>
      </c>
      <c r="BG247" s="9">
        <v>785212.40414709994</v>
      </c>
      <c r="BH247" s="9">
        <v>94465.31</v>
      </c>
      <c r="BI247" s="9">
        <v>436869.51196999999</v>
      </c>
      <c r="BJ247" s="9">
        <v>138328.37</v>
      </c>
      <c r="BK247" s="9">
        <v>1474640.710308</v>
      </c>
      <c r="BL247" s="9">
        <v>569328.29</v>
      </c>
      <c r="BM247" s="9">
        <v>15574155.245379101</v>
      </c>
      <c r="BN247" s="9">
        <v>8561839.1234999988</v>
      </c>
      <c r="BO247" s="9">
        <v>1601320.1</v>
      </c>
      <c r="BP247" s="9">
        <v>7012316.1212241007</v>
      </c>
      <c r="BQ247" s="9">
        <v>1990538.07</v>
      </c>
      <c r="BR247" s="9">
        <v>737465.75093710003</v>
      </c>
      <c r="BS247" s="9">
        <v>213676.37239999999</v>
      </c>
      <c r="BT247" s="9">
        <v>70738.59</v>
      </c>
      <c r="BU247" s="9">
        <v>523789.37854709988</v>
      </c>
      <c r="BV247" s="9">
        <v>72307.91</v>
      </c>
      <c r="BW247" s="9">
        <v>1673746.1257420001</v>
      </c>
      <c r="BX247" s="9">
        <v>408597.4351</v>
      </c>
      <c r="BY247" s="9">
        <v>116441.21</v>
      </c>
      <c r="BZ247" s="9">
        <v>1265148.6901769999</v>
      </c>
      <c r="CA247" s="9">
        <v>459129.02</v>
      </c>
      <c r="CB247" s="9">
        <v>439341.22129999998</v>
      </c>
      <c r="CC247" s="9">
        <v>17639510.8444</v>
      </c>
      <c r="CD247" s="9">
        <v>1369626</v>
      </c>
      <c r="CE247" s="9">
        <v>1361826</v>
      </c>
      <c r="CF247" s="9">
        <v>19619648.364719</v>
      </c>
      <c r="CG247" s="9">
        <v>14560097.836200001</v>
      </c>
      <c r="CH247" s="9">
        <v>5059550.5285189999</v>
      </c>
      <c r="CI247" s="9">
        <v>13145625.083647</v>
      </c>
      <c r="CJ247" s="9">
        <v>10728964.666999999</v>
      </c>
      <c r="CK247" s="9">
        <v>2416660.4166469998</v>
      </c>
      <c r="CL247" s="9">
        <v>6474023.2810719991</v>
      </c>
      <c r="CM247" s="9">
        <v>3831133.1691999999</v>
      </c>
      <c r="CN247" s="9">
        <v>2642890.1118719997</v>
      </c>
      <c r="CO247" s="9">
        <v>5065437.4861999992</v>
      </c>
      <c r="CP247" s="9">
        <v>1408811.23</v>
      </c>
      <c r="CQ247" s="9">
        <v>3656626.2562000002</v>
      </c>
      <c r="CR247" s="9">
        <v>2753808.1638699998</v>
      </c>
      <c r="CS247" s="9">
        <v>1096700.8359999999</v>
      </c>
      <c r="CT247" s="9">
        <v>1657107.3278699997</v>
      </c>
      <c r="CU247" s="9">
        <v>2311629.3223299999</v>
      </c>
      <c r="CV247" s="9">
        <v>312110.39399999997</v>
      </c>
      <c r="CW247" s="9">
        <v>1999518.92833</v>
      </c>
      <c r="CX247" s="9">
        <v>14554210.878519002</v>
      </c>
      <c r="CY247" s="9">
        <v>13151286.6062</v>
      </c>
      <c r="CZ247" s="9">
        <v>1402924.2723189995</v>
      </c>
      <c r="DA247" s="9">
        <v>10391816.919776998</v>
      </c>
      <c r="DB247" s="9">
        <v>9632263.8310000002</v>
      </c>
      <c r="DC247" s="9">
        <v>759553.08877699997</v>
      </c>
      <c r="DD247" s="9">
        <v>4162393.9587420002</v>
      </c>
      <c r="DE247" s="9">
        <v>3519022.7752</v>
      </c>
      <c r="DF247" s="9">
        <v>643371.18354200001</v>
      </c>
      <c r="DG247" s="9">
        <v>23906607.935738999</v>
      </c>
      <c r="DH247" s="9">
        <v>4286959.5710199997</v>
      </c>
    </row>
    <row r="248" spans="1:112" x14ac:dyDescent="0.2">
      <c r="A248" s="8" t="s">
        <v>863</v>
      </c>
      <c r="B248" s="8" t="s">
        <v>499</v>
      </c>
      <c r="C248" s="8" t="s">
        <v>500</v>
      </c>
      <c r="D248" s="9">
        <v>17159679.612499997</v>
      </c>
      <c r="E248" s="9">
        <v>17159656.989999998</v>
      </c>
      <c r="F248" s="9">
        <v>268837.5</v>
      </c>
      <c r="G248" s="9">
        <v>1586426.8</v>
      </c>
      <c r="H248" s="9">
        <v>1354835.6</v>
      </c>
      <c r="I248" s="9">
        <v>97418.91</v>
      </c>
      <c r="J248" s="9">
        <v>1664819.05</v>
      </c>
      <c r="K248" s="9">
        <v>2819875.09</v>
      </c>
      <c r="L248" s="9">
        <v>385988.77</v>
      </c>
      <c r="M248" s="9">
        <v>2788632.76</v>
      </c>
      <c r="N248" s="9">
        <v>87036.15</v>
      </c>
      <c r="O248" s="9">
        <v>333171.31</v>
      </c>
      <c r="P248" s="9">
        <v>131561.5</v>
      </c>
      <c r="Q248" s="9">
        <v>139987.87</v>
      </c>
      <c r="R248" s="9">
        <v>5501065.7000000002</v>
      </c>
      <c r="S248" s="9">
        <v>2908637.78</v>
      </c>
      <c r="T248" s="9">
        <v>250164.02</v>
      </c>
      <c r="U248" s="9">
        <v>279239.90000000002</v>
      </c>
      <c r="V248" s="9">
        <v>542223.53</v>
      </c>
      <c r="W248" s="9">
        <v>1130626.3639415002</v>
      </c>
      <c r="X248" s="9">
        <v>1130626.3600000001</v>
      </c>
      <c r="Y248" s="9">
        <v>5760.61</v>
      </c>
      <c r="Z248" s="9">
        <v>169871.1</v>
      </c>
      <c r="AA248" s="9">
        <v>101021.49</v>
      </c>
      <c r="AB248" s="9">
        <v>1028.1300000000001</v>
      </c>
      <c r="AC248" s="9">
        <v>253872.28</v>
      </c>
      <c r="AD248" s="9">
        <v>164958.16</v>
      </c>
      <c r="AE248" s="9">
        <v>13388.05</v>
      </c>
      <c r="AF248" s="9">
        <v>130547.85</v>
      </c>
      <c r="AG248" s="9">
        <v>4508.43</v>
      </c>
      <c r="AH248" s="9">
        <v>150289.26</v>
      </c>
      <c r="AI248" s="9">
        <v>6749.91</v>
      </c>
      <c r="AJ248" s="9">
        <v>14295.63</v>
      </c>
      <c r="AK248" s="9">
        <v>114335.44</v>
      </c>
      <c r="AL248" s="9">
        <v>1936463.5612059999</v>
      </c>
      <c r="AM248" s="9">
        <v>1936440.95</v>
      </c>
      <c r="AN248" s="9">
        <v>77989.72</v>
      </c>
      <c r="AO248" s="9">
        <v>423983.47</v>
      </c>
      <c r="AP248" s="9">
        <v>376556.28</v>
      </c>
      <c r="AQ248" s="9">
        <v>10027.51</v>
      </c>
      <c r="AR248" s="9">
        <v>242743.5</v>
      </c>
      <c r="AS248" s="9">
        <v>129798</v>
      </c>
      <c r="AT248" s="9">
        <v>63011.27</v>
      </c>
      <c r="AU248" s="9">
        <v>319129.51</v>
      </c>
      <c r="AV248" s="9">
        <v>5612.17</v>
      </c>
      <c r="AW248" s="9">
        <v>5657.44</v>
      </c>
      <c r="AX248" s="9">
        <v>5400.88</v>
      </c>
      <c r="AY248" s="9">
        <v>21338.91</v>
      </c>
      <c r="AZ248" s="9">
        <v>255192.3</v>
      </c>
      <c r="BA248" s="9">
        <v>8544700.4316610005</v>
      </c>
      <c r="BB248" s="9">
        <v>1664433.21</v>
      </c>
      <c r="BC248" s="9">
        <v>8711599.6900265012</v>
      </c>
      <c r="BD248" s="9">
        <v>2182909.65</v>
      </c>
      <c r="BE248" s="9">
        <v>212868.43590099999</v>
      </c>
      <c r="BF248" s="9">
        <v>74802.91</v>
      </c>
      <c r="BG248" s="9">
        <v>917757.92815149995</v>
      </c>
      <c r="BH248" s="9">
        <v>106489.95</v>
      </c>
      <c r="BI248" s="9">
        <v>460778.36608000001</v>
      </c>
      <c r="BJ248" s="9">
        <v>138474.32999999999</v>
      </c>
      <c r="BK248" s="9">
        <v>1475685.1953110001</v>
      </c>
      <c r="BL248" s="9">
        <v>593017.86</v>
      </c>
      <c r="BM248" s="9">
        <v>15570145.448933497</v>
      </c>
      <c r="BN248" s="9">
        <v>8442228.4887000006</v>
      </c>
      <c r="BO248" s="9">
        <v>1603491.16</v>
      </c>
      <c r="BP248" s="9">
        <v>7127916.9615985006</v>
      </c>
      <c r="BQ248" s="9">
        <v>1918416.34</v>
      </c>
      <c r="BR248" s="9">
        <v>871479.03484149999</v>
      </c>
      <c r="BS248" s="9">
        <v>211677.39009999999</v>
      </c>
      <c r="BT248" s="9">
        <v>74609.11</v>
      </c>
      <c r="BU248" s="9">
        <v>659801.64475149999</v>
      </c>
      <c r="BV248" s="9">
        <v>83652.3</v>
      </c>
      <c r="BW248" s="9">
        <v>1692821.7947420001</v>
      </c>
      <c r="BX248" s="9">
        <v>431240.18359999999</v>
      </c>
      <c r="BY248" s="9">
        <v>116354.92</v>
      </c>
      <c r="BZ248" s="9">
        <v>1261581.611147</v>
      </c>
      <c r="CA248" s="9">
        <v>478440.07</v>
      </c>
      <c r="CB248" s="9">
        <v>441389.89760000003</v>
      </c>
      <c r="CC248" s="9">
        <v>17601069.510099996</v>
      </c>
      <c r="CD248" s="9">
        <v>1395991</v>
      </c>
      <c r="CE248" s="9">
        <v>1388713</v>
      </c>
      <c r="CF248" s="9">
        <v>19837662.055158999</v>
      </c>
      <c r="CG248" s="9">
        <v>14835356.305199999</v>
      </c>
      <c r="CH248" s="9">
        <v>5002305.7499589995</v>
      </c>
      <c r="CI248" s="9">
        <v>13287601.01303</v>
      </c>
      <c r="CJ248" s="9">
        <v>10914378.394000001</v>
      </c>
      <c r="CK248" s="9">
        <v>2373222.6190300002</v>
      </c>
      <c r="CL248" s="9">
        <v>6550061.0421289997</v>
      </c>
      <c r="CM248" s="9">
        <v>3920977.9112</v>
      </c>
      <c r="CN248" s="9">
        <v>2629083.1309290002</v>
      </c>
      <c r="CO248" s="9">
        <v>4757163.1668299995</v>
      </c>
      <c r="CP248" s="9">
        <v>1360577.013</v>
      </c>
      <c r="CQ248" s="9">
        <v>3396586.1538299997</v>
      </c>
      <c r="CR248" s="9">
        <v>2664216.0385899995</v>
      </c>
      <c r="CS248" s="9">
        <v>1066799.2120000001</v>
      </c>
      <c r="CT248" s="9">
        <v>1597416.82659</v>
      </c>
      <c r="CU248" s="9">
        <v>2092947.12824</v>
      </c>
      <c r="CV248" s="9">
        <v>293777.80099999998</v>
      </c>
      <c r="CW248" s="9">
        <v>1799169.32724</v>
      </c>
      <c r="CX248" s="9">
        <v>15080498.888329001</v>
      </c>
      <c r="CY248" s="9">
        <v>13474779.292199999</v>
      </c>
      <c r="CZ248" s="9">
        <v>1605719.596129</v>
      </c>
      <c r="DA248" s="9">
        <v>10623384.974439999</v>
      </c>
      <c r="DB248" s="9">
        <v>9847579.182</v>
      </c>
      <c r="DC248" s="9">
        <v>775805.79243999999</v>
      </c>
      <c r="DD248" s="9">
        <v>4457113.9138890002</v>
      </c>
      <c r="DE248" s="9">
        <v>3627200.1102</v>
      </c>
      <c r="DF248" s="9">
        <v>829913.80368899996</v>
      </c>
      <c r="DG248" s="9">
        <v>23956050.66495901</v>
      </c>
      <c r="DH248" s="9">
        <v>4118388.6098000002</v>
      </c>
    </row>
    <row r="249" spans="1:112" x14ac:dyDescent="0.2">
      <c r="A249" s="8" t="s">
        <v>863</v>
      </c>
      <c r="B249" s="8" t="s">
        <v>499</v>
      </c>
      <c r="C249" s="8" t="s">
        <v>501</v>
      </c>
      <c r="D249" s="9">
        <v>17212956.499030001</v>
      </c>
      <c r="E249" s="9">
        <v>17212956.5</v>
      </c>
      <c r="F249" s="9">
        <v>270974.62</v>
      </c>
      <c r="G249" s="9">
        <v>1615841.3</v>
      </c>
      <c r="H249" s="9">
        <v>1359377.09</v>
      </c>
      <c r="I249" s="9">
        <v>102616.22</v>
      </c>
      <c r="J249" s="9">
        <v>1652673.17</v>
      </c>
      <c r="K249" s="9">
        <v>2726666.43</v>
      </c>
      <c r="L249" s="9">
        <v>391644.81</v>
      </c>
      <c r="M249" s="9">
        <v>2854342.51</v>
      </c>
      <c r="N249" s="9">
        <v>108510.13</v>
      </c>
      <c r="O249" s="9">
        <v>323765.2</v>
      </c>
      <c r="P249" s="9">
        <v>131120.20000000001</v>
      </c>
      <c r="Q249" s="9">
        <v>139645.71</v>
      </c>
      <c r="R249" s="9">
        <v>5535779.1099999994</v>
      </c>
      <c r="S249" s="9">
        <v>2914970.86</v>
      </c>
      <c r="T249" s="9">
        <v>254579.20000000001</v>
      </c>
      <c r="U249" s="9">
        <v>272235.64</v>
      </c>
      <c r="V249" s="9">
        <v>570400.25</v>
      </c>
      <c r="W249" s="9">
        <v>1130967.6062284999</v>
      </c>
      <c r="X249" s="9">
        <v>1130967.6100000001</v>
      </c>
      <c r="Y249" s="9">
        <v>10160.969999999999</v>
      </c>
      <c r="Z249" s="9">
        <v>163977.81</v>
      </c>
      <c r="AA249" s="9">
        <v>109981.27</v>
      </c>
      <c r="AB249" s="9">
        <v>1236.6300000000001</v>
      </c>
      <c r="AC249" s="9">
        <v>254953.43</v>
      </c>
      <c r="AD249" s="9">
        <v>136618.32</v>
      </c>
      <c r="AE249" s="9">
        <v>20264.830000000002</v>
      </c>
      <c r="AF249" s="9">
        <v>145473.41</v>
      </c>
      <c r="AG249" s="9">
        <v>13734.38</v>
      </c>
      <c r="AH249" s="9">
        <v>150679.66</v>
      </c>
      <c r="AI249" s="9">
        <v>5668.07</v>
      </c>
      <c r="AJ249" s="9">
        <v>14968.54</v>
      </c>
      <c r="AK249" s="9">
        <v>103250.27</v>
      </c>
      <c r="AL249" s="9">
        <v>1959391.6696830001</v>
      </c>
      <c r="AM249" s="9">
        <v>1959391.67</v>
      </c>
      <c r="AN249" s="9">
        <v>77612.41</v>
      </c>
      <c r="AO249" s="9">
        <v>420922.38</v>
      </c>
      <c r="AP249" s="9">
        <v>369225.56</v>
      </c>
      <c r="AQ249" s="9">
        <v>10672.7</v>
      </c>
      <c r="AR249" s="9">
        <v>248262.36</v>
      </c>
      <c r="AS249" s="9">
        <v>132333.66</v>
      </c>
      <c r="AT249" s="9">
        <v>63246.26</v>
      </c>
      <c r="AU249" s="9">
        <v>330851.15000000002</v>
      </c>
      <c r="AV249" s="9">
        <v>5869.37</v>
      </c>
      <c r="AW249" s="9">
        <v>5589.17</v>
      </c>
      <c r="AX249" s="9">
        <v>5877.25</v>
      </c>
      <c r="AY249" s="9">
        <v>21380.51</v>
      </c>
      <c r="AZ249" s="9">
        <v>267548.90999999997</v>
      </c>
      <c r="BA249" s="9">
        <v>8651581.5825332999</v>
      </c>
      <c r="BB249" s="9">
        <v>1661249.32</v>
      </c>
      <c r="BC249" s="9">
        <v>8654926.0117404982</v>
      </c>
      <c r="BD249" s="9">
        <v>2189518.61</v>
      </c>
      <c r="BE249" s="9">
        <v>198761.4463133</v>
      </c>
      <c r="BF249" s="9">
        <v>76896.41</v>
      </c>
      <c r="BG249" s="9">
        <v>932206.16003849998</v>
      </c>
      <c r="BH249" s="9">
        <v>125099.53</v>
      </c>
      <c r="BI249" s="9">
        <v>483319.41645000002</v>
      </c>
      <c r="BJ249" s="9">
        <v>140726.54</v>
      </c>
      <c r="BK249" s="9">
        <v>1476072.2532550001</v>
      </c>
      <c r="BL249" s="9">
        <v>600375.42000000004</v>
      </c>
      <c r="BM249" s="9">
        <v>15657431.017990502</v>
      </c>
      <c r="BN249" s="9">
        <v>8561411.4798999988</v>
      </c>
      <c r="BO249" s="9">
        <v>1610956.06</v>
      </c>
      <c r="BP249" s="9">
        <v>7096019.5393425003</v>
      </c>
      <c r="BQ249" s="9">
        <v>1922695.74</v>
      </c>
      <c r="BR249" s="9">
        <v>887573.97792849992</v>
      </c>
      <c r="BS249" s="9">
        <v>197792.74559999999</v>
      </c>
      <c r="BT249" s="9">
        <v>76372.23</v>
      </c>
      <c r="BU249" s="9">
        <v>689781.23233849998</v>
      </c>
      <c r="BV249" s="9">
        <v>103579</v>
      </c>
      <c r="BW249" s="9">
        <v>1724833.1347419999</v>
      </c>
      <c r="BX249" s="9">
        <v>453933.14529999997</v>
      </c>
      <c r="BY249" s="9">
        <v>124410.53</v>
      </c>
      <c r="BZ249" s="9">
        <v>1270899.9892139998</v>
      </c>
      <c r="CA249" s="9">
        <v>483016.21</v>
      </c>
      <c r="CB249" s="9">
        <v>442086.88270000002</v>
      </c>
      <c r="CC249" s="9">
        <v>17655043.381730001</v>
      </c>
      <c r="CD249" s="9">
        <v>1423830</v>
      </c>
      <c r="CE249" s="9">
        <v>1416984</v>
      </c>
      <c r="CF249" s="9">
        <v>19990020.8795733</v>
      </c>
      <c r="CG249" s="9">
        <v>14813767.3039</v>
      </c>
      <c r="CH249" s="9">
        <v>5176253.5756733008</v>
      </c>
      <c r="CI249" s="9">
        <v>13424510.82701</v>
      </c>
      <c r="CJ249" s="9">
        <v>10945243.411</v>
      </c>
      <c r="CK249" s="9">
        <v>2479267.4160099998</v>
      </c>
      <c r="CL249" s="9">
        <v>6565510.0525632994</v>
      </c>
      <c r="CM249" s="9">
        <v>3868523.8928999999</v>
      </c>
      <c r="CN249" s="9">
        <v>2696986.1596633</v>
      </c>
      <c r="CO249" s="9">
        <v>4644284.4439099999</v>
      </c>
      <c r="CP249" s="9">
        <v>1292630.5619999999</v>
      </c>
      <c r="CQ249" s="9">
        <v>3351653.8819100005</v>
      </c>
      <c r="CR249" s="9">
        <v>2624541.4344899999</v>
      </c>
      <c r="CS249" s="9">
        <v>1013265.182</v>
      </c>
      <c r="CT249" s="9">
        <v>1611276.2524900001</v>
      </c>
      <c r="CU249" s="9">
        <v>2019743.00942</v>
      </c>
      <c r="CV249" s="9">
        <v>279365.38</v>
      </c>
      <c r="CW249" s="9">
        <v>1740377.6294199999</v>
      </c>
      <c r="CX249" s="9">
        <v>15345736.4356633</v>
      </c>
      <c r="CY249" s="9">
        <v>13521136.741899999</v>
      </c>
      <c r="CZ249" s="9">
        <v>1824599.6937633001</v>
      </c>
      <c r="DA249" s="9">
        <v>10799969.392520001</v>
      </c>
      <c r="DB249" s="9">
        <v>9931978.2290000003</v>
      </c>
      <c r="DC249" s="9">
        <v>867991.16351999994</v>
      </c>
      <c r="DD249" s="9">
        <v>4545767.0431433003</v>
      </c>
      <c r="DE249" s="9">
        <v>3589158.5129</v>
      </c>
      <c r="DF249" s="9">
        <v>956608.53024330002</v>
      </c>
      <c r="DG249" s="9">
        <v>23942744.166043304</v>
      </c>
      <c r="DH249" s="9">
        <v>3952723.2864700002</v>
      </c>
    </row>
    <row r="250" spans="1:112" x14ac:dyDescent="0.2">
      <c r="A250" s="8" t="s">
        <v>863</v>
      </c>
      <c r="B250" s="8" t="s">
        <v>499</v>
      </c>
      <c r="C250" s="8" t="s">
        <v>502</v>
      </c>
      <c r="D250" s="9">
        <v>17182054.811190002</v>
      </c>
      <c r="E250" s="9">
        <v>17182054.809999999</v>
      </c>
      <c r="F250" s="9">
        <v>275441.43</v>
      </c>
      <c r="G250" s="9">
        <v>1622277.75</v>
      </c>
      <c r="H250" s="9">
        <v>1371032.96</v>
      </c>
      <c r="I250" s="9">
        <v>102609.87</v>
      </c>
      <c r="J250" s="9">
        <v>1603325.4</v>
      </c>
      <c r="K250" s="9">
        <v>2712709.78</v>
      </c>
      <c r="L250" s="9">
        <v>380108.64</v>
      </c>
      <c r="M250" s="9">
        <v>2905624.79</v>
      </c>
      <c r="N250" s="9">
        <v>87376.04</v>
      </c>
      <c r="O250" s="9">
        <v>308278.88</v>
      </c>
      <c r="P250" s="9">
        <v>126871.17</v>
      </c>
      <c r="Q250" s="9">
        <v>143400.94</v>
      </c>
      <c r="R250" s="9">
        <v>5542997.1699999999</v>
      </c>
      <c r="S250" s="9">
        <v>2926075.63</v>
      </c>
      <c r="T250" s="9">
        <v>251029.97</v>
      </c>
      <c r="U250" s="9">
        <v>264871.92</v>
      </c>
      <c r="V250" s="9">
        <v>578143.02</v>
      </c>
      <c r="W250" s="9">
        <v>1141989.69419028</v>
      </c>
      <c r="X250" s="9">
        <v>1141989.69</v>
      </c>
      <c r="Y250" s="9">
        <v>10263.5</v>
      </c>
      <c r="Z250" s="9">
        <v>236498.67</v>
      </c>
      <c r="AA250" s="9">
        <v>108130.3</v>
      </c>
      <c r="AB250" s="9">
        <v>1475.1</v>
      </c>
      <c r="AC250" s="9">
        <v>238576.36</v>
      </c>
      <c r="AD250" s="9">
        <v>145789.07</v>
      </c>
      <c r="AE250" s="9">
        <v>14751.9</v>
      </c>
      <c r="AF250" s="9">
        <v>124761.68</v>
      </c>
      <c r="AG250" s="9">
        <v>4314.21</v>
      </c>
      <c r="AH250" s="9">
        <v>150518.76</v>
      </c>
      <c r="AI250" s="9">
        <v>6095.12</v>
      </c>
      <c r="AJ250" s="9">
        <v>2037.68</v>
      </c>
      <c r="AK250" s="9">
        <v>98777.34</v>
      </c>
      <c r="AL250" s="9">
        <v>1964027.51468</v>
      </c>
      <c r="AM250" s="9">
        <v>1964027.52</v>
      </c>
      <c r="AN250" s="9">
        <v>75797.98</v>
      </c>
      <c r="AO250" s="9">
        <v>426690.09</v>
      </c>
      <c r="AP250" s="9">
        <v>368135.94</v>
      </c>
      <c r="AQ250" s="9">
        <v>9434.9699999999993</v>
      </c>
      <c r="AR250" s="9">
        <v>255926.53</v>
      </c>
      <c r="AS250" s="9">
        <v>141703.51</v>
      </c>
      <c r="AT250" s="9">
        <v>36647.24</v>
      </c>
      <c r="AU250" s="9">
        <v>328960.57</v>
      </c>
      <c r="AV250" s="9">
        <v>18938.849999999999</v>
      </c>
      <c r="AW250" s="9">
        <v>5567.13</v>
      </c>
      <c r="AX250" s="9">
        <v>5751.08</v>
      </c>
      <c r="AY250" s="9">
        <v>21726.58</v>
      </c>
      <c r="AZ250" s="9">
        <v>268747.03000000003</v>
      </c>
      <c r="BA250" s="9">
        <v>8759742.8519068994</v>
      </c>
      <c r="BB250" s="9">
        <v>1716794.46</v>
      </c>
      <c r="BC250" s="9">
        <v>8510226.3697702792</v>
      </c>
      <c r="BD250" s="9">
        <v>2277482.37</v>
      </c>
      <c r="BE250" s="9">
        <v>186191.14124689999</v>
      </c>
      <c r="BF250" s="9">
        <v>71452.88</v>
      </c>
      <c r="BG250" s="9">
        <v>955798.55270027998</v>
      </c>
      <c r="BH250" s="9">
        <v>167074.93</v>
      </c>
      <c r="BI250" s="9">
        <v>483770.63105999999</v>
      </c>
      <c r="BJ250" s="9">
        <v>148062.26999999999</v>
      </c>
      <c r="BK250" s="9">
        <v>1480256.88353</v>
      </c>
      <c r="BL250" s="9">
        <v>577127</v>
      </c>
      <c r="BM250" s="9">
        <v>15631261.681572281</v>
      </c>
      <c r="BN250" s="9">
        <v>8674163.6404999997</v>
      </c>
      <c r="BO250" s="9">
        <v>1678944.34</v>
      </c>
      <c r="BP250" s="9">
        <v>6957098.0409822799</v>
      </c>
      <c r="BQ250" s="9">
        <v>2045423.37</v>
      </c>
      <c r="BR250" s="9">
        <v>868631.79719028005</v>
      </c>
      <c r="BS250" s="9">
        <v>185524.98790000001</v>
      </c>
      <c r="BT250" s="9">
        <v>71263.33</v>
      </c>
      <c r="BU250" s="9">
        <v>683106.80930028006</v>
      </c>
      <c r="BV250" s="9">
        <v>118472.56</v>
      </c>
      <c r="BW250" s="9">
        <v>1732308.6417419999</v>
      </c>
      <c r="BX250" s="9">
        <v>454864.23759999999</v>
      </c>
      <c r="BY250" s="9">
        <v>140715.85</v>
      </c>
      <c r="BZ250" s="9">
        <v>1277444.4035919998</v>
      </c>
      <c r="CA250" s="9">
        <v>515386.58</v>
      </c>
      <c r="CB250" s="9">
        <v>469488.01380000002</v>
      </c>
      <c r="CC250" s="9">
        <v>17651542.824990001</v>
      </c>
      <c r="CD250" s="9">
        <v>1412402</v>
      </c>
      <c r="CE250" s="9">
        <v>1405903</v>
      </c>
      <c r="CF250" s="9">
        <v>20859605.030200198</v>
      </c>
      <c r="CG250" s="9">
        <v>15207117.6314</v>
      </c>
      <c r="CH250" s="9">
        <v>5652487.3988001999</v>
      </c>
      <c r="CI250" s="9">
        <v>13815226.575110001</v>
      </c>
      <c r="CJ250" s="9">
        <v>11341617.642000001</v>
      </c>
      <c r="CK250" s="9">
        <v>2473608.9331100001</v>
      </c>
      <c r="CL250" s="9">
        <v>7044378.4550901996</v>
      </c>
      <c r="CM250" s="9">
        <v>3865499.9893999998</v>
      </c>
      <c r="CN250" s="9">
        <v>3178878.4656902002</v>
      </c>
      <c r="CO250" s="9">
        <v>4763120.8274099994</v>
      </c>
      <c r="CP250" s="9">
        <v>1425395.9311000002</v>
      </c>
      <c r="CQ250" s="9">
        <v>3337724.8963099997</v>
      </c>
      <c r="CR250" s="9">
        <v>2704428.57382</v>
      </c>
      <c r="CS250" s="9">
        <v>1146512.3470000001</v>
      </c>
      <c r="CT250" s="9">
        <v>1557916.22682</v>
      </c>
      <c r="CU250" s="9">
        <v>2058692.2535900001</v>
      </c>
      <c r="CV250" s="9">
        <v>278883.58409999998</v>
      </c>
      <c r="CW250" s="9">
        <v>1779808.66949</v>
      </c>
      <c r="CX250" s="9">
        <v>16096484.202790201</v>
      </c>
      <c r="CY250" s="9">
        <v>13781721.700300001</v>
      </c>
      <c r="CZ250" s="9">
        <v>2314762.5024902001</v>
      </c>
      <c r="DA250" s="9">
        <v>11110798.001289999</v>
      </c>
      <c r="DB250" s="9">
        <v>10195105.295</v>
      </c>
      <c r="DC250" s="9">
        <v>915692.70629</v>
      </c>
      <c r="DD250" s="9">
        <v>4985686.2015001997</v>
      </c>
      <c r="DE250" s="9">
        <v>3586616.4053000002</v>
      </c>
      <c r="DF250" s="9">
        <v>1399069.7962001998</v>
      </c>
      <c r="DG250" s="9">
        <v>24765556.462850202</v>
      </c>
      <c r="DH250" s="9">
        <v>3905951.4326499999</v>
      </c>
    </row>
    <row r="251" spans="1:112" x14ac:dyDescent="0.2">
      <c r="A251" s="8" t="s">
        <v>863</v>
      </c>
      <c r="B251" s="8" t="s">
        <v>503</v>
      </c>
      <c r="C251" s="8" t="s">
        <v>504</v>
      </c>
      <c r="D251" s="9">
        <v>17042920.970149998</v>
      </c>
      <c r="E251" s="9">
        <v>17042920.969999999</v>
      </c>
      <c r="F251" s="9">
        <v>283497.52</v>
      </c>
      <c r="G251" s="9">
        <v>1583893.13</v>
      </c>
      <c r="H251" s="9">
        <v>1370730.85</v>
      </c>
      <c r="I251" s="9">
        <v>105855.71</v>
      </c>
      <c r="J251" s="9">
        <v>1604701.07</v>
      </c>
      <c r="K251" s="9">
        <v>2639367.84</v>
      </c>
      <c r="L251" s="9">
        <v>393621.82</v>
      </c>
      <c r="M251" s="9">
        <v>2960295.01</v>
      </c>
      <c r="N251" s="9">
        <v>77818.039999999994</v>
      </c>
      <c r="O251" s="9">
        <v>291740.40999999997</v>
      </c>
      <c r="P251" s="9">
        <v>126428.12</v>
      </c>
      <c r="Q251" s="9">
        <v>145515.79999999999</v>
      </c>
      <c r="R251" s="9">
        <v>5459455.6699999999</v>
      </c>
      <c r="S251" s="9">
        <v>2908089.07</v>
      </c>
      <c r="T251" s="9">
        <v>246916.79</v>
      </c>
      <c r="U251" s="9">
        <v>256740.57</v>
      </c>
      <c r="V251" s="9">
        <v>557391.28</v>
      </c>
      <c r="W251" s="9">
        <v>1221492.8421902801</v>
      </c>
      <c r="X251" s="9">
        <v>1221492.8400000001</v>
      </c>
      <c r="Y251" s="9">
        <v>4846.79</v>
      </c>
      <c r="Z251" s="9">
        <v>228256.72</v>
      </c>
      <c r="AA251" s="9">
        <v>96355.44</v>
      </c>
      <c r="AB251" s="9">
        <v>1150.2</v>
      </c>
      <c r="AC251" s="9">
        <v>226785.97</v>
      </c>
      <c r="AD251" s="9">
        <v>155688.44</v>
      </c>
      <c r="AE251" s="9">
        <v>19897.11</v>
      </c>
      <c r="AF251" s="9">
        <v>126872.61</v>
      </c>
      <c r="AG251" s="9">
        <v>1013.87</v>
      </c>
      <c r="AH251" s="9">
        <v>159636.09</v>
      </c>
      <c r="AI251" s="9">
        <v>7043.89</v>
      </c>
      <c r="AJ251" s="9">
        <v>13228.02</v>
      </c>
      <c r="AK251" s="9">
        <v>180717.69</v>
      </c>
      <c r="AL251" s="9">
        <v>1996804.0266859999</v>
      </c>
      <c r="AM251" s="9">
        <v>1996804.03</v>
      </c>
      <c r="AN251" s="9">
        <v>78347.28</v>
      </c>
      <c r="AO251" s="9">
        <v>431035.52</v>
      </c>
      <c r="AP251" s="9">
        <v>374446.7</v>
      </c>
      <c r="AQ251" s="9">
        <v>10714.48</v>
      </c>
      <c r="AR251" s="9">
        <v>266169.28999999998</v>
      </c>
      <c r="AS251" s="9">
        <v>151267.14000000001</v>
      </c>
      <c r="AT251" s="9">
        <v>38152.6</v>
      </c>
      <c r="AU251" s="9">
        <v>318295.78999999998</v>
      </c>
      <c r="AV251" s="9">
        <v>19716.599999999999</v>
      </c>
      <c r="AW251" s="9">
        <v>8383.86</v>
      </c>
      <c r="AX251" s="9">
        <v>5697.8</v>
      </c>
      <c r="AY251" s="9">
        <v>21879.39</v>
      </c>
      <c r="AZ251" s="9">
        <v>272697.57</v>
      </c>
      <c r="BA251" s="9">
        <v>8767426.8931099996</v>
      </c>
      <c r="BB251" s="9">
        <v>1731868.95</v>
      </c>
      <c r="BC251" s="9">
        <v>8341719.1800332796</v>
      </c>
      <c r="BD251" s="9">
        <v>1867521.24</v>
      </c>
      <c r="BE251" s="9">
        <v>183106.65080999999</v>
      </c>
      <c r="BF251" s="9">
        <v>71419.67</v>
      </c>
      <c r="BG251" s="9">
        <v>1038386.1913632801</v>
      </c>
      <c r="BH251" s="9">
        <v>206375.64</v>
      </c>
      <c r="BI251" s="9">
        <v>489005.54667000001</v>
      </c>
      <c r="BJ251" s="9">
        <v>147881.79999999999</v>
      </c>
      <c r="BK251" s="9">
        <v>1507798.479516</v>
      </c>
      <c r="BL251" s="9">
        <v>509791.15</v>
      </c>
      <c r="BM251" s="9">
        <v>15517782.947552282</v>
      </c>
      <c r="BN251" s="9">
        <v>8691556.9355999995</v>
      </c>
      <c r="BO251" s="9">
        <v>1701051.57</v>
      </c>
      <c r="BP251" s="9">
        <v>6826226.0099852812</v>
      </c>
      <c r="BQ251" s="9">
        <v>1654036.19</v>
      </c>
      <c r="BR251" s="9">
        <v>876678.81929027999</v>
      </c>
      <c r="BS251" s="9">
        <v>182224.09659999999</v>
      </c>
      <c r="BT251" s="9">
        <v>71235.55</v>
      </c>
      <c r="BU251" s="9">
        <v>694454.72266327997</v>
      </c>
      <c r="BV251" s="9">
        <v>100067.77</v>
      </c>
      <c r="BW251" s="9">
        <v>1767260.9217419999</v>
      </c>
      <c r="BX251" s="9">
        <v>462022.75599999999</v>
      </c>
      <c r="BY251" s="9">
        <v>142048.54</v>
      </c>
      <c r="BZ251" s="9">
        <v>1305238.1653719998</v>
      </c>
      <c r="CA251" s="9">
        <v>450778.8</v>
      </c>
      <c r="CB251" s="9">
        <v>469341.29100000003</v>
      </c>
      <c r="CC251" s="9">
        <v>17512262.261149999</v>
      </c>
      <c r="CD251" s="9">
        <v>1397137</v>
      </c>
      <c r="CE251" s="9">
        <v>1390979</v>
      </c>
      <c r="CF251" s="9">
        <v>20985386.878944002</v>
      </c>
      <c r="CG251" s="9">
        <v>15526376.9954</v>
      </c>
      <c r="CH251" s="9">
        <v>5459009.8835439999</v>
      </c>
      <c r="CI251" s="9">
        <v>14324867.494820001</v>
      </c>
      <c r="CJ251" s="9">
        <v>11728838.729</v>
      </c>
      <c r="CK251" s="9">
        <v>2596028.7658199999</v>
      </c>
      <c r="CL251" s="9">
        <v>6660519.3841239987</v>
      </c>
      <c r="CM251" s="9">
        <v>3797538.2664000001</v>
      </c>
      <c r="CN251" s="9">
        <v>2862981.1177240005</v>
      </c>
      <c r="CO251" s="9">
        <v>4713374.5031300001</v>
      </c>
      <c r="CP251" s="9">
        <v>1376400.2927000001</v>
      </c>
      <c r="CQ251" s="9">
        <v>3336974.21043</v>
      </c>
      <c r="CR251" s="9">
        <v>2785769.0415999996</v>
      </c>
      <c r="CS251" s="9">
        <v>1116320.6669999999</v>
      </c>
      <c r="CT251" s="9">
        <v>1669448.3746</v>
      </c>
      <c r="CU251" s="9">
        <v>1927605.46153</v>
      </c>
      <c r="CV251" s="9">
        <v>260079.6257</v>
      </c>
      <c r="CW251" s="9">
        <v>1667525.83583</v>
      </c>
      <c r="CX251" s="9">
        <v>16272012.375813996</v>
      </c>
      <c r="CY251" s="9">
        <v>14149976.7027</v>
      </c>
      <c r="CZ251" s="9">
        <v>2122035.6731140004</v>
      </c>
      <c r="DA251" s="9">
        <v>11539098.45322</v>
      </c>
      <c r="DB251" s="9">
        <v>10612518.062000001</v>
      </c>
      <c r="DC251" s="9">
        <v>926580.39121999999</v>
      </c>
      <c r="DD251" s="9">
        <v>4732913.9225939997</v>
      </c>
      <c r="DE251" s="9">
        <v>3537458.6406999999</v>
      </c>
      <c r="DF251" s="9">
        <v>1195455.281894</v>
      </c>
      <c r="DG251" s="9">
        <v>24768357.299303997</v>
      </c>
      <c r="DH251" s="9">
        <v>3782970.4203599999</v>
      </c>
    </row>
    <row r="252" spans="1:112" x14ac:dyDescent="0.2">
      <c r="A252" s="8" t="s">
        <v>863</v>
      </c>
      <c r="B252" s="8" t="s">
        <v>503</v>
      </c>
      <c r="C252" s="8" t="s">
        <v>505</v>
      </c>
      <c r="D252" s="9">
        <v>16828617.560939997</v>
      </c>
      <c r="E252" s="9">
        <v>16828617.559999999</v>
      </c>
      <c r="F252" s="9">
        <v>280111.92</v>
      </c>
      <c r="G252" s="9">
        <v>1504553.35</v>
      </c>
      <c r="H252" s="9">
        <v>1379843.44</v>
      </c>
      <c r="I252" s="9">
        <v>89556.23</v>
      </c>
      <c r="J252" s="9">
        <v>1576184.03</v>
      </c>
      <c r="K252" s="9">
        <v>2690758.66</v>
      </c>
      <c r="L252" s="9">
        <v>395625.4</v>
      </c>
      <c r="M252" s="9">
        <v>2977521.24</v>
      </c>
      <c r="N252" s="9">
        <v>77188.47</v>
      </c>
      <c r="O252" s="9">
        <v>286764.69</v>
      </c>
      <c r="P252" s="9">
        <v>123468.87</v>
      </c>
      <c r="Q252" s="9">
        <v>144035.43</v>
      </c>
      <c r="R252" s="9">
        <v>5303005.8400000008</v>
      </c>
      <c r="S252" s="9">
        <v>2848738.67</v>
      </c>
      <c r="T252" s="9">
        <v>233161.38</v>
      </c>
      <c r="U252" s="9">
        <v>250758.35</v>
      </c>
      <c r="V252" s="9">
        <v>515909.53</v>
      </c>
      <c r="W252" s="9">
        <v>1174650.344</v>
      </c>
      <c r="X252" s="9">
        <v>1174650.3400000001</v>
      </c>
      <c r="Y252" s="9">
        <v>5519.45</v>
      </c>
      <c r="Z252" s="9">
        <v>215287.18</v>
      </c>
      <c r="AA252" s="9">
        <v>66509.11</v>
      </c>
      <c r="AB252" s="9">
        <v>2310.13</v>
      </c>
      <c r="AC252" s="9">
        <v>223152.4</v>
      </c>
      <c r="AD252" s="9">
        <v>160188.23000000001</v>
      </c>
      <c r="AE252" s="9">
        <v>18816.55</v>
      </c>
      <c r="AF252" s="9">
        <v>128259.87</v>
      </c>
      <c r="AG252" s="9">
        <v>614.39</v>
      </c>
      <c r="AH252" s="9">
        <v>159381.79</v>
      </c>
      <c r="AI252" s="9">
        <v>6491.44</v>
      </c>
      <c r="AJ252" s="9">
        <v>2037.35</v>
      </c>
      <c r="AK252" s="9">
        <v>186082.46</v>
      </c>
      <c r="AL252" s="9">
        <v>2005382.1374919999</v>
      </c>
      <c r="AM252" s="9">
        <v>2005382.14</v>
      </c>
      <c r="AN252" s="9">
        <v>76000.53</v>
      </c>
      <c r="AO252" s="9">
        <v>430290.41</v>
      </c>
      <c r="AP252" s="9">
        <v>373506.62</v>
      </c>
      <c r="AQ252" s="9">
        <v>9628.73</v>
      </c>
      <c r="AR252" s="9">
        <v>268529.55</v>
      </c>
      <c r="AS252" s="9">
        <v>151556.82</v>
      </c>
      <c r="AT252" s="9">
        <v>37989.14</v>
      </c>
      <c r="AU252" s="9">
        <v>325409.96999999997</v>
      </c>
      <c r="AV252" s="9">
        <v>20332.22</v>
      </c>
      <c r="AW252" s="9">
        <v>8558.7999999999993</v>
      </c>
      <c r="AX252" s="9">
        <v>5964.98</v>
      </c>
      <c r="AY252" s="9">
        <v>21979.200000000001</v>
      </c>
      <c r="AZ252" s="9">
        <v>275635.15999999997</v>
      </c>
      <c r="BA252" s="9">
        <v>8593822.5342546999</v>
      </c>
      <c r="BB252" s="9">
        <v>1690655.68</v>
      </c>
      <c r="BC252" s="9">
        <v>8296782.5714469999</v>
      </c>
      <c r="BD252" s="9">
        <v>1872593.9199999999</v>
      </c>
      <c r="BE252" s="9">
        <v>209041.20607469999</v>
      </c>
      <c r="BF252" s="9">
        <v>95061.74</v>
      </c>
      <c r="BG252" s="9">
        <v>965609.13829899998</v>
      </c>
      <c r="BH252" s="9">
        <v>207164.22</v>
      </c>
      <c r="BI252" s="9">
        <v>500139.85080000001</v>
      </c>
      <c r="BJ252" s="9">
        <v>151791.74</v>
      </c>
      <c r="BK252" s="9">
        <v>1505242.28581</v>
      </c>
      <c r="BL252" s="9">
        <v>512097.62</v>
      </c>
      <c r="BM252" s="9">
        <v>15291838.23604</v>
      </c>
      <c r="BN252" s="9">
        <v>8522545.9032000005</v>
      </c>
      <c r="BO252" s="9">
        <v>1653013.84</v>
      </c>
      <c r="BP252" s="9">
        <v>6769292.3373269988</v>
      </c>
      <c r="BQ252" s="9">
        <v>1648096.83</v>
      </c>
      <c r="BR252" s="9">
        <v>830622.18339999998</v>
      </c>
      <c r="BS252" s="9">
        <v>208388.17610000001</v>
      </c>
      <c r="BT252" s="9">
        <v>94873.81</v>
      </c>
      <c r="BU252" s="9">
        <v>622234.00729900005</v>
      </c>
      <c r="BV252" s="9">
        <v>102642.25</v>
      </c>
      <c r="BW252" s="9">
        <v>1778444.2755400001</v>
      </c>
      <c r="BX252" s="9">
        <v>473255.1741</v>
      </c>
      <c r="BY252" s="9">
        <v>136258.23000000001</v>
      </c>
      <c r="BZ252" s="9">
        <v>1305189.1012579999</v>
      </c>
      <c r="CA252" s="9">
        <v>451739.5</v>
      </c>
      <c r="CB252" s="9">
        <v>446440.27380000002</v>
      </c>
      <c r="CC252" s="9">
        <v>17275057.834739998</v>
      </c>
      <c r="CD252" s="9">
        <v>1368133</v>
      </c>
      <c r="CE252" s="9">
        <v>1362177</v>
      </c>
      <c r="CF252" s="9">
        <v>21669671.144621998</v>
      </c>
      <c r="CG252" s="9">
        <v>15921536.878599999</v>
      </c>
      <c r="CH252" s="9">
        <v>5748134.2660219995</v>
      </c>
      <c r="CI252" s="9">
        <v>14938145.752210001</v>
      </c>
      <c r="CJ252" s="9">
        <v>12167661.351</v>
      </c>
      <c r="CK252" s="9">
        <v>2770484.4012099998</v>
      </c>
      <c r="CL252" s="9">
        <v>6731525.3924120003</v>
      </c>
      <c r="CM252" s="9">
        <v>3753875.5276000001</v>
      </c>
      <c r="CN252" s="9">
        <v>2977649.8648120002</v>
      </c>
      <c r="CO252" s="9">
        <v>5143533.6434599999</v>
      </c>
      <c r="CP252" s="9">
        <v>1474580.3004999999</v>
      </c>
      <c r="CQ252" s="9">
        <v>3668953.34296</v>
      </c>
      <c r="CR252" s="9">
        <v>3060183.0437600003</v>
      </c>
      <c r="CS252" s="9">
        <v>1209162.649</v>
      </c>
      <c r="CT252" s="9">
        <v>1851020.3947600001</v>
      </c>
      <c r="CU252" s="9">
        <v>2083350.5996999999</v>
      </c>
      <c r="CV252" s="9">
        <v>265417.65149999998</v>
      </c>
      <c r="CW252" s="9">
        <v>1817932.9482</v>
      </c>
      <c r="CX252" s="9">
        <v>16526137.501162</v>
      </c>
      <c r="CY252" s="9">
        <v>14446956.5781</v>
      </c>
      <c r="CZ252" s="9">
        <v>2079180.9230620004</v>
      </c>
      <c r="DA252" s="9">
        <v>11877962.708449999</v>
      </c>
      <c r="DB252" s="9">
        <v>10958498.702</v>
      </c>
      <c r="DC252" s="9">
        <v>919464.00644999999</v>
      </c>
      <c r="DD252" s="9">
        <v>4648174.7927120011</v>
      </c>
      <c r="DE252" s="9">
        <v>3488457.8761</v>
      </c>
      <c r="DF252" s="9">
        <v>1159716.916612</v>
      </c>
      <c r="DG252" s="9">
        <v>25422603.402492002</v>
      </c>
      <c r="DH252" s="9">
        <v>3752932.2578699999</v>
      </c>
    </row>
    <row r="253" spans="1:112" x14ac:dyDescent="0.2">
      <c r="A253" s="8" t="s">
        <v>863</v>
      </c>
      <c r="B253" s="8" t="s">
        <v>503</v>
      </c>
      <c r="C253" s="8" t="s">
        <v>506</v>
      </c>
      <c r="D253" s="9">
        <v>17034251.745620001</v>
      </c>
      <c r="E253" s="9">
        <v>17034235.699999999</v>
      </c>
      <c r="F253" s="9">
        <v>298647.88</v>
      </c>
      <c r="G253" s="9">
        <v>1758835.01</v>
      </c>
      <c r="H253" s="9">
        <v>1389326.84</v>
      </c>
      <c r="I253" s="9">
        <v>78494.28</v>
      </c>
      <c r="J253" s="9">
        <v>1508538.16</v>
      </c>
      <c r="K253" s="9">
        <v>2748209.2</v>
      </c>
      <c r="L253" s="9">
        <v>405875.67</v>
      </c>
      <c r="M253" s="9">
        <v>3042424.0000000005</v>
      </c>
      <c r="N253" s="9">
        <v>62932.67</v>
      </c>
      <c r="O253" s="9">
        <v>303895.55</v>
      </c>
      <c r="P253" s="9">
        <v>123061.04</v>
      </c>
      <c r="Q253" s="9">
        <v>138467.42000000001</v>
      </c>
      <c r="R253" s="9">
        <v>5175528</v>
      </c>
      <c r="S253" s="9">
        <v>2778737.93</v>
      </c>
      <c r="T253" s="9">
        <v>222146.05</v>
      </c>
      <c r="U253" s="9">
        <v>243521.76</v>
      </c>
      <c r="V253" s="9">
        <v>499758.36</v>
      </c>
      <c r="W253" s="9">
        <v>1264508.047</v>
      </c>
      <c r="X253" s="9">
        <v>1264508.05</v>
      </c>
      <c r="Y253" s="9">
        <v>5836.45</v>
      </c>
      <c r="Z253" s="9">
        <v>210244.22</v>
      </c>
      <c r="AA253" s="9">
        <v>64623.14</v>
      </c>
      <c r="AB253" s="9">
        <v>2111.7199999999998</v>
      </c>
      <c r="AC253" s="9">
        <v>218745.93</v>
      </c>
      <c r="AD253" s="9">
        <v>212526.99</v>
      </c>
      <c r="AE253" s="9">
        <v>26764.51</v>
      </c>
      <c r="AF253" s="9">
        <v>151627.19</v>
      </c>
      <c r="AG253" s="9">
        <v>678.2</v>
      </c>
      <c r="AH253" s="9">
        <v>159299.46</v>
      </c>
      <c r="AI253" s="9">
        <v>10880.65</v>
      </c>
      <c r="AJ253" s="9">
        <v>8739.32</v>
      </c>
      <c r="AK253" s="9">
        <v>192430.25</v>
      </c>
      <c r="AL253" s="9">
        <v>2002279.2823020001</v>
      </c>
      <c r="AM253" s="9">
        <v>2002279.28</v>
      </c>
      <c r="AN253" s="9">
        <v>77642.92</v>
      </c>
      <c r="AO253" s="9">
        <v>419846.42</v>
      </c>
      <c r="AP253" s="9">
        <v>393057.37</v>
      </c>
      <c r="AQ253" s="9">
        <v>9493.52</v>
      </c>
      <c r="AR253" s="9">
        <v>270349.77</v>
      </c>
      <c r="AS253" s="9">
        <v>148744.5</v>
      </c>
      <c r="AT253" s="9">
        <v>37052.879999999997</v>
      </c>
      <c r="AU253" s="9">
        <v>324378.11</v>
      </c>
      <c r="AV253" s="9">
        <v>11129.96</v>
      </c>
      <c r="AW253" s="9">
        <v>8457.44</v>
      </c>
      <c r="AX253" s="9">
        <v>5883.97</v>
      </c>
      <c r="AY253" s="9">
        <v>21382.69</v>
      </c>
      <c r="AZ253" s="9">
        <v>274859.73</v>
      </c>
      <c r="BA253" s="9">
        <v>8531566.6316445004</v>
      </c>
      <c r="BB253" s="9">
        <v>1694749.68</v>
      </c>
      <c r="BC253" s="9">
        <v>8580742.1273490004</v>
      </c>
      <c r="BD253" s="9">
        <v>1874171.72</v>
      </c>
      <c r="BE253" s="9">
        <v>250826.53491449999</v>
      </c>
      <c r="BF253" s="9">
        <v>150101.01999999999</v>
      </c>
      <c r="BG253" s="9">
        <v>1013681.511821</v>
      </c>
      <c r="BH253" s="9">
        <v>265128.69</v>
      </c>
      <c r="BI253" s="9">
        <v>497100.20250999997</v>
      </c>
      <c r="BJ253" s="9">
        <v>149235.07999999999</v>
      </c>
      <c r="BK253" s="9">
        <v>1505179.07996</v>
      </c>
      <c r="BL253" s="9">
        <v>507945.96</v>
      </c>
      <c r="BM253" s="9">
        <v>15456468.181740001</v>
      </c>
      <c r="BN253" s="9">
        <v>8463290.3540000003</v>
      </c>
      <c r="BO253" s="9">
        <v>1658647.97</v>
      </c>
      <c r="BP253" s="9">
        <v>6993177.8242889997</v>
      </c>
      <c r="BQ253" s="9">
        <v>1640615.91</v>
      </c>
      <c r="BR253" s="9">
        <v>943768.80980000005</v>
      </c>
      <c r="BS253" s="9">
        <v>250317.56959999999</v>
      </c>
      <c r="BT253" s="9">
        <v>149907.73000000001</v>
      </c>
      <c r="BU253" s="9">
        <v>693451.24022100004</v>
      </c>
      <c r="BV253" s="9">
        <v>160471.76999999999</v>
      </c>
      <c r="BW253" s="9">
        <v>1753743.26935</v>
      </c>
      <c r="BX253" s="9">
        <v>471462.2144</v>
      </c>
      <c r="BY253" s="9">
        <v>135049.85999999999</v>
      </c>
      <c r="BZ253" s="9">
        <v>1282281.0551080001</v>
      </c>
      <c r="CA253" s="9">
        <v>444137.46</v>
      </c>
      <c r="CB253" s="9">
        <v>441934.9363</v>
      </c>
      <c r="CC253" s="9">
        <v>17476186.681919999</v>
      </c>
      <c r="CD253" s="9">
        <v>1307575</v>
      </c>
      <c r="CE253" s="9">
        <v>1302196</v>
      </c>
      <c r="CF253" s="9">
        <v>22433902.702213999</v>
      </c>
      <c r="CG253" s="9">
        <v>16810544.9344</v>
      </c>
      <c r="CH253" s="9">
        <v>5623357.7678140001</v>
      </c>
      <c r="CI253" s="9">
        <v>15993545.377909999</v>
      </c>
      <c r="CJ253" s="9">
        <v>13039355.757999999</v>
      </c>
      <c r="CK253" s="9">
        <v>2954189.6199100004</v>
      </c>
      <c r="CL253" s="9">
        <v>6440357.3243039995</v>
      </c>
      <c r="CM253" s="9">
        <v>3771189.1764000002</v>
      </c>
      <c r="CN253" s="9">
        <v>2669168.1479039998</v>
      </c>
      <c r="CO253" s="9">
        <v>5189966.1412599999</v>
      </c>
      <c r="CP253" s="9">
        <v>1561108.4131</v>
      </c>
      <c r="CQ253" s="9">
        <v>3628857.7281599999</v>
      </c>
      <c r="CR253" s="9">
        <v>3270101.7641100003</v>
      </c>
      <c r="CS253" s="9">
        <v>1294686.3689999999</v>
      </c>
      <c r="CT253" s="9">
        <v>1975415.3951099999</v>
      </c>
      <c r="CU253" s="9">
        <v>1919864.3771500001</v>
      </c>
      <c r="CV253" s="9">
        <v>266422.0441</v>
      </c>
      <c r="CW253" s="9">
        <v>1653442.33305</v>
      </c>
      <c r="CX253" s="9">
        <v>17243936.560954001</v>
      </c>
      <c r="CY253" s="9">
        <v>15249436.521299999</v>
      </c>
      <c r="CZ253" s="9">
        <v>1994500.039654</v>
      </c>
      <c r="DA253" s="9">
        <v>12723443.6138</v>
      </c>
      <c r="DB253" s="9">
        <v>11744669.389</v>
      </c>
      <c r="DC253" s="9">
        <v>978774.22479999997</v>
      </c>
      <c r="DD253" s="9">
        <v>4520492.9471540004</v>
      </c>
      <c r="DE253" s="9">
        <v>3504767.1323000002</v>
      </c>
      <c r="DF253" s="9">
        <v>1015725.814854</v>
      </c>
      <c r="DG253" s="9">
        <v>26309572.774653997</v>
      </c>
      <c r="DH253" s="9">
        <v>3875670.0724399998</v>
      </c>
    </row>
    <row r="254" spans="1:112" x14ac:dyDescent="0.2">
      <c r="A254" s="8" t="s">
        <v>825</v>
      </c>
      <c r="B254" s="8" t="s">
        <v>507</v>
      </c>
      <c r="C254" s="8" t="s">
        <v>508</v>
      </c>
      <c r="D254" s="9">
        <v>17059364.369589999</v>
      </c>
      <c r="E254" s="9">
        <v>17059364.370000001</v>
      </c>
      <c r="F254" s="9">
        <v>294368.02</v>
      </c>
      <c r="G254" s="9">
        <v>1734396.44</v>
      </c>
      <c r="H254" s="9">
        <v>1412183.89</v>
      </c>
      <c r="I254" s="9">
        <v>79379.460000000006</v>
      </c>
      <c r="J254" s="9">
        <v>1467226.1</v>
      </c>
      <c r="K254" s="9">
        <v>2772794.49</v>
      </c>
      <c r="L254" s="9">
        <v>417651.42</v>
      </c>
      <c r="M254" s="9">
        <v>3062342.9999999995</v>
      </c>
      <c r="N254" s="9">
        <v>63578.98</v>
      </c>
      <c r="O254" s="9">
        <v>298960.06</v>
      </c>
      <c r="P254" s="9">
        <v>126114.49</v>
      </c>
      <c r="Q254" s="9">
        <v>140781.65</v>
      </c>
      <c r="R254" s="9">
        <v>5189586.34</v>
      </c>
      <c r="S254" s="9">
        <v>2731377.21</v>
      </c>
      <c r="T254" s="9">
        <v>220013.03</v>
      </c>
      <c r="U254" s="9">
        <v>236672.55</v>
      </c>
      <c r="V254" s="9">
        <v>501535.22</v>
      </c>
      <c r="W254" s="9">
        <v>1307969.926</v>
      </c>
      <c r="X254" s="9">
        <v>1307969.93</v>
      </c>
      <c r="Y254" s="9">
        <v>6735.73</v>
      </c>
      <c r="Z254" s="9">
        <v>209141.15</v>
      </c>
      <c r="AA254" s="9">
        <v>75797.570000000007</v>
      </c>
      <c r="AB254" s="9">
        <v>2100.4</v>
      </c>
      <c r="AC254" s="9">
        <v>218034.72</v>
      </c>
      <c r="AD254" s="9">
        <v>223622.29</v>
      </c>
      <c r="AE254" s="9">
        <v>27663.02</v>
      </c>
      <c r="AF254" s="9">
        <v>165804.56</v>
      </c>
      <c r="AG254" s="9">
        <v>735.36</v>
      </c>
      <c r="AH254" s="9">
        <v>159973.04999999999</v>
      </c>
      <c r="AI254" s="9">
        <v>12842.96</v>
      </c>
      <c r="AJ254" s="9">
        <v>10208.459999999999</v>
      </c>
      <c r="AK254" s="9">
        <v>195310.64</v>
      </c>
      <c r="AL254" s="9">
        <v>2005782.6628</v>
      </c>
      <c r="AM254" s="9">
        <v>2005010.93</v>
      </c>
      <c r="AN254" s="9">
        <v>76824.899999999994</v>
      </c>
      <c r="AO254" s="9">
        <v>417950.12</v>
      </c>
      <c r="AP254" s="9">
        <v>392437.53</v>
      </c>
      <c r="AQ254" s="9">
        <v>9481.0400000000009</v>
      </c>
      <c r="AR254" s="9">
        <v>269129.90000000002</v>
      </c>
      <c r="AS254" s="9">
        <v>152749.71</v>
      </c>
      <c r="AT254" s="9">
        <v>36537.519999999997</v>
      </c>
      <c r="AU254" s="9">
        <v>327864.65999999997</v>
      </c>
      <c r="AV254" s="9">
        <v>11128.83</v>
      </c>
      <c r="AW254" s="9">
        <v>8456.7000000000007</v>
      </c>
      <c r="AX254" s="9">
        <v>5926.12</v>
      </c>
      <c r="AY254" s="9">
        <v>21123.279999999999</v>
      </c>
      <c r="AZ254" s="9">
        <v>275400.62</v>
      </c>
      <c r="BA254" s="9">
        <v>8546168.9085884001</v>
      </c>
      <c r="BB254" s="9">
        <v>1660502.04</v>
      </c>
      <c r="BC254" s="9">
        <v>8587851.4949309994</v>
      </c>
      <c r="BD254" s="9">
        <v>2271977.7200000002</v>
      </c>
      <c r="BE254" s="9">
        <v>269749.59547840001</v>
      </c>
      <c r="BF254" s="9">
        <v>165676.35</v>
      </c>
      <c r="BG254" s="9">
        <v>1038220.330271</v>
      </c>
      <c r="BH254" s="9">
        <v>346624.04</v>
      </c>
      <c r="BI254" s="9">
        <v>501707.58351000003</v>
      </c>
      <c r="BJ254" s="9">
        <v>151544.45000000001</v>
      </c>
      <c r="BK254" s="9">
        <v>1504075.0793600001</v>
      </c>
      <c r="BL254" s="9">
        <v>570567.81999999995</v>
      </c>
      <c r="BM254" s="9">
        <v>15453164.525979999</v>
      </c>
      <c r="BN254" s="9">
        <v>8479504.7763</v>
      </c>
      <c r="BO254" s="9">
        <v>1624851.65</v>
      </c>
      <c r="BP254" s="9">
        <v>6973659.7531309994</v>
      </c>
      <c r="BQ254" s="9">
        <v>2032992.95</v>
      </c>
      <c r="BR254" s="9">
        <v>988838.37809999997</v>
      </c>
      <c r="BS254" s="9">
        <v>269034.99080000003</v>
      </c>
      <c r="BT254" s="9">
        <v>165451.12</v>
      </c>
      <c r="BU254" s="9">
        <v>719803.38727100007</v>
      </c>
      <c r="BV254" s="9">
        <v>229700.32</v>
      </c>
      <c r="BW254" s="9">
        <v>1767807.54635</v>
      </c>
      <c r="BX254" s="9">
        <v>476325.95150000002</v>
      </c>
      <c r="BY254" s="9">
        <v>137839.07999999999</v>
      </c>
      <c r="BZ254" s="9">
        <v>1291481.5944099999</v>
      </c>
      <c r="CA254" s="9">
        <v>519380.93</v>
      </c>
      <c r="CB254" s="9">
        <v>441974.4694</v>
      </c>
      <c r="CC254" s="9">
        <v>17501338.838989999</v>
      </c>
      <c r="CD254" s="9">
        <v>1352746</v>
      </c>
      <c r="CE254" s="9">
        <v>1345258</v>
      </c>
      <c r="CF254" s="9">
        <v>22514384.501254998</v>
      </c>
      <c r="CG254" s="9">
        <v>16928466.502599999</v>
      </c>
      <c r="CH254" s="9">
        <v>5585917.9986549998</v>
      </c>
      <c r="CI254" s="9">
        <v>15992999.006710004</v>
      </c>
      <c r="CJ254" s="9">
        <v>13215506.751</v>
      </c>
      <c r="CK254" s="9">
        <v>2777492.2557100002</v>
      </c>
      <c r="CL254" s="9">
        <v>6521385.4945449997</v>
      </c>
      <c r="CM254" s="9">
        <v>3712959.7516000001</v>
      </c>
      <c r="CN254" s="9">
        <v>2808425.7429450001</v>
      </c>
      <c r="CO254" s="9">
        <v>5027572.1607600003</v>
      </c>
      <c r="CP254" s="9">
        <v>1452913.8973999999</v>
      </c>
      <c r="CQ254" s="9">
        <v>3574658.2633600002</v>
      </c>
      <c r="CR254" s="9">
        <v>2970035.6179499999</v>
      </c>
      <c r="CS254" s="9">
        <v>1185032.23</v>
      </c>
      <c r="CT254" s="9">
        <v>1785003.3879499999</v>
      </c>
      <c r="CU254" s="9">
        <v>2057536.54281</v>
      </c>
      <c r="CV254" s="9">
        <v>267881.66739999998</v>
      </c>
      <c r="CW254" s="9">
        <v>1789654.8754100001</v>
      </c>
      <c r="CX254" s="9">
        <v>17486812.340495002</v>
      </c>
      <c r="CY254" s="9">
        <v>15475552.6052</v>
      </c>
      <c r="CZ254" s="9">
        <v>2011259.735295</v>
      </c>
      <c r="DA254" s="9">
        <v>13022963.388760002</v>
      </c>
      <c r="DB254" s="9">
        <v>12030474.521000002</v>
      </c>
      <c r="DC254" s="9">
        <v>992488.86776000005</v>
      </c>
      <c r="DD254" s="9">
        <v>4463848.9517350001</v>
      </c>
      <c r="DE254" s="9">
        <v>3445078.0841999999</v>
      </c>
      <c r="DF254" s="9">
        <v>1018770.867535</v>
      </c>
      <c r="DG254" s="9">
        <v>26344536.672555</v>
      </c>
      <c r="DH254" s="9">
        <v>3830152.1713</v>
      </c>
    </row>
    <row r="255" spans="1:112" x14ac:dyDescent="0.2">
      <c r="A255" s="8" t="s">
        <v>825</v>
      </c>
      <c r="B255" s="8" t="s">
        <v>507</v>
      </c>
      <c r="C255" s="8" t="s">
        <v>509</v>
      </c>
      <c r="D255" s="9">
        <v>16972923.306770001</v>
      </c>
      <c r="E255" s="9">
        <v>16972923.309999999</v>
      </c>
      <c r="F255" s="9">
        <v>275251.21000000002</v>
      </c>
      <c r="G255" s="9">
        <v>1731228.09</v>
      </c>
      <c r="H255" s="9">
        <v>1445889.87</v>
      </c>
      <c r="I255" s="9">
        <v>77245.94</v>
      </c>
      <c r="J255" s="9">
        <v>1449906.37</v>
      </c>
      <c r="K255" s="9">
        <v>2765639.4</v>
      </c>
      <c r="L255" s="9">
        <v>419779.06</v>
      </c>
      <c r="M255" s="9">
        <v>2959918.1500000004</v>
      </c>
      <c r="N255" s="9">
        <v>63048.62</v>
      </c>
      <c r="O255" s="9">
        <v>290676.8</v>
      </c>
      <c r="P255" s="9">
        <v>125891.56</v>
      </c>
      <c r="Q255" s="9">
        <v>143209.78</v>
      </c>
      <c r="R255" s="9">
        <v>5225238.4400000004</v>
      </c>
      <c r="S255" s="9">
        <v>2698977.31</v>
      </c>
      <c r="T255" s="9">
        <v>211744.12</v>
      </c>
      <c r="U255" s="9">
        <v>230459.49</v>
      </c>
      <c r="V255" s="9">
        <v>530066.31999999995</v>
      </c>
      <c r="W255" s="9">
        <v>1346637.7810269</v>
      </c>
      <c r="X255" s="9">
        <v>1346637.78</v>
      </c>
      <c r="Y255" s="9">
        <v>8376.32</v>
      </c>
      <c r="Z255" s="9">
        <v>191092.14</v>
      </c>
      <c r="AA255" s="9">
        <v>81807.97</v>
      </c>
      <c r="AB255" s="9">
        <v>2452.64</v>
      </c>
      <c r="AC255" s="9">
        <v>242170.73</v>
      </c>
      <c r="AD255" s="9">
        <v>225605.04</v>
      </c>
      <c r="AE255" s="9">
        <v>31398.07</v>
      </c>
      <c r="AF255" s="9">
        <v>180820.52</v>
      </c>
      <c r="AG255" s="9">
        <v>730.44</v>
      </c>
      <c r="AH255" s="9">
        <v>159926.04</v>
      </c>
      <c r="AI255" s="9">
        <v>12149.36</v>
      </c>
      <c r="AJ255" s="9">
        <v>10284.450000000001</v>
      </c>
      <c r="AK255" s="9">
        <v>199824.04</v>
      </c>
      <c r="AL255" s="9">
        <v>2009921.2983019999</v>
      </c>
      <c r="AM255" s="9">
        <v>2009921.3</v>
      </c>
      <c r="AN255" s="9">
        <v>76649.86</v>
      </c>
      <c r="AO255" s="9">
        <v>415667.34</v>
      </c>
      <c r="AP255" s="9">
        <v>390849.66</v>
      </c>
      <c r="AQ255" s="9">
        <v>9491.7099999999991</v>
      </c>
      <c r="AR255" s="9">
        <v>272026.5</v>
      </c>
      <c r="AS255" s="9">
        <v>151018.54999999999</v>
      </c>
      <c r="AT255" s="9">
        <v>36537.269999999997</v>
      </c>
      <c r="AU255" s="9">
        <v>331985.46999999997</v>
      </c>
      <c r="AV255" s="9">
        <v>11129.7</v>
      </c>
      <c r="AW255" s="9">
        <v>8454.9500000000007</v>
      </c>
      <c r="AX255" s="9">
        <v>6032.17</v>
      </c>
      <c r="AY255" s="9">
        <v>20938.8</v>
      </c>
      <c r="AZ255" s="9">
        <v>279139.34000000003</v>
      </c>
      <c r="BA255" s="9">
        <v>8483544.4864499997</v>
      </c>
      <c r="BB255" s="9">
        <v>1652702.93</v>
      </c>
      <c r="BC255" s="9">
        <v>8555230.5638969019</v>
      </c>
      <c r="BD255" s="9">
        <v>2270975.85</v>
      </c>
      <c r="BE255" s="9">
        <v>294874.48690999998</v>
      </c>
      <c r="BF255" s="9">
        <v>171673.81</v>
      </c>
      <c r="BG255" s="9">
        <v>1051763.2942739001</v>
      </c>
      <c r="BH255" s="9">
        <v>358005.34</v>
      </c>
      <c r="BI255" s="9">
        <v>508105.20791</v>
      </c>
      <c r="BJ255" s="9">
        <v>151975.24</v>
      </c>
      <c r="BK255" s="9">
        <v>1501816.0910749999</v>
      </c>
      <c r="BL255" s="9">
        <v>571018.93999999994</v>
      </c>
      <c r="BM255" s="9">
        <v>15342408.720286898</v>
      </c>
      <c r="BN255" s="9">
        <v>8419878.8878999986</v>
      </c>
      <c r="BO255" s="9">
        <v>1619306.54</v>
      </c>
      <c r="BP255" s="9">
        <v>6922529.8297168994</v>
      </c>
      <c r="BQ255" s="9">
        <v>2024700.69</v>
      </c>
      <c r="BR255" s="9">
        <v>1025449.8760269</v>
      </c>
      <c r="BS255" s="9">
        <v>294055.98479999998</v>
      </c>
      <c r="BT255" s="9">
        <v>171448.03</v>
      </c>
      <c r="BU255" s="9">
        <v>731393.8913739</v>
      </c>
      <c r="BV255" s="9">
        <v>240169.27</v>
      </c>
      <c r="BW255" s="9">
        <v>1773198.0643499999</v>
      </c>
      <c r="BX255" s="9">
        <v>482609.91710000002</v>
      </c>
      <c r="BY255" s="9">
        <v>138310</v>
      </c>
      <c r="BZ255" s="9">
        <v>1290588.148023</v>
      </c>
      <c r="CA255" s="9">
        <v>518042.99</v>
      </c>
      <c r="CB255" s="9">
        <v>473987.31430000003</v>
      </c>
      <c r="CC255" s="9">
        <v>17446910.621070001</v>
      </c>
      <c r="CD255" s="9">
        <v>1398496</v>
      </c>
      <c r="CE255" s="9">
        <v>1391051</v>
      </c>
      <c r="CF255" s="9">
        <v>22768726.004542999</v>
      </c>
      <c r="CG255" s="9">
        <v>17129272.503200002</v>
      </c>
      <c r="CH255" s="9">
        <v>5639453.5013430007</v>
      </c>
      <c r="CI255" s="9">
        <v>16566687.22944</v>
      </c>
      <c r="CJ255" s="9">
        <v>13420510.991999999</v>
      </c>
      <c r="CK255" s="9">
        <v>3146176.2374399998</v>
      </c>
      <c r="CL255" s="9">
        <v>6202038.775103</v>
      </c>
      <c r="CM255" s="9">
        <v>3708761.5112000001</v>
      </c>
      <c r="CN255" s="9">
        <v>2493277.2639030004</v>
      </c>
      <c r="CO255" s="9">
        <v>5079034.6812699996</v>
      </c>
      <c r="CP255" s="9">
        <v>1441317.9793</v>
      </c>
      <c r="CQ255" s="9">
        <v>3637716.7019699998</v>
      </c>
      <c r="CR255" s="9">
        <v>3134141.4066799995</v>
      </c>
      <c r="CS255" s="9">
        <v>1163102.504</v>
      </c>
      <c r="CT255" s="9">
        <v>1971038.9026800001</v>
      </c>
      <c r="CU255" s="9">
        <v>1944893.27459</v>
      </c>
      <c r="CV255" s="9">
        <v>278215.47529999999</v>
      </c>
      <c r="CW255" s="9">
        <v>1666677.79929</v>
      </c>
      <c r="CX255" s="9">
        <v>17689691.323272999</v>
      </c>
      <c r="CY255" s="9">
        <v>15687954.5239</v>
      </c>
      <c r="CZ255" s="9">
        <v>2001736.7993729999</v>
      </c>
      <c r="DA255" s="9">
        <v>13432545.822760001</v>
      </c>
      <c r="DB255" s="9">
        <v>12257408.488</v>
      </c>
      <c r="DC255" s="9">
        <v>1175137.33476</v>
      </c>
      <c r="DD255" s="9">
        <v>4257145.5005130004</v>
      </c>
      <c r="DE255" s="9">
        <v>3430546.0359</v>
      </c>
      <c r="DF255" s="9">
        <v>826599.46461299993</v>
      </c>
      <c r="DG255" s="9">
        <v>26792425.052063003</v>
      </c>
      <c r="DH255" s="9">
        <v>4023699.04752</v>
      </c>
    </row>
    <row r="256" spans="1:112" x14ac:dyDescent="0.2">
      <c r="A256" s="8" t="s">
        <v>825</v>
      </c>
      <c r="B256" s="8" t="s">
        <v>507</v>
      </c>
      <c r="C256" s="8" t="s">
        <v>510</v>
      </c>
      <c r="D256" s="9">
        <v>17467085.566089999</v>
      </c>
      <c r="E256" s="9">
        <v>17467085.57</v>
      </c>
      <c r="F256" s="9">
        <v>277700.65999999997</v>
      </c>
      <c r="G256" s="9">
        <v>1749198.82</v>
      </c>
      <c r="H256" s="9">
        <v>1405762.58</v>
      </c>
      <c r="I256" s="9">
        <v>78639.679999999993</v>
      </c>
      <c r="J256" s="9">
        <v>1439176.95</v>
      </c>
      <c r="K256" s="9">
        <v>2894743.9</v>
      </c>
      <c r="L256" s="9">
        <v>464299.8</v>
      </c>
      <c r="M256" s="9">
        <v>3104205.76</v>
      </c>
      <c r="N256" s="9">
        <v>62264.52</v>
      </c>
      <c r="O256" s="9">
        <v>300814.21999999997</v>
      </c>
      <c r="P256" s="9">
        <v>132888.59</v>
      </c>
      <c r="Q256" s="9">
        <v>149719.67000000001</v>
      </c>
      <c r="R256" s="9">
        <v>5407670.4300000006</v>
      </c>
      <c r="S256" s="9">
        <v>2702541.42</v>
      </c>
      <c r="T256" s="9">
        <v>217381.97</v>
      </c>
      <c r="U256" s="9">
        <v>224324.05</v>
      </c>
      <c r="V256" s="9">
        <v>617112</v>
      </c>
      <c r="W256" s="9">
        <v>1277004.4111576001</v>
      </c>
      <c r="X256" s="9">
        <v>1277004.4099999999</v>
      </c>
      <c r="Y256" s="9">
        <v>8341.51</v>
      </c>
      <c r="Z256" s="9">
        <v>138933.42000000001</v>
      </c>
      <c r="AA256" s="9">
        <v>102651.06</v>
      </c>
      <c r="AB256" s="9">
        <v>2634.93</v>
      </c>
      <c r="AC256" s="9">
        <v>240135.01</v>
      </c>
      <c r="AD256" s="9">
        <v>207780.23</v>
      </c>
      <c r="AE256" s="9">
        <v>28608.67</v>
      </c>
      <c r="AF256" s="9">
        <v>170086.25</v>
      </c>
      <c r="AG256" s="9">
        <v>529.42999999999995</v>
      </c>
      <c r="AH256" s="9">
        <v>159628.46</v>
      </c>
      <c r="AI256" s="9">
        <v>13051.84</v>
      </c>
      <c r="AJ256" s="9">
        <v>10863.04</v>
      </c>
      <c r="AK256" s="9">
        <v>193760.54</v>
      </c>
      <c r="AL256" s="9">
        <v>2013360.4543010001</v>
      </c>
      <c r="AM256" s="9">
        <v>2013360.45</v>
      </c>
      <c r="AN256" s="9">
        <v>76218.14</v>
      </c>
      <c r="AO256" s="9">
        <v>414676.86</v>
      </c>
      <c r="AP256" s="9">
        <v>388672.85</v>
      </c>
      <c r="AQ256" s="9">
        <v>9349.06</v>
      </c>
      <c r="AR256" s="9">
        <v>272142.69</v>
      </c>
      <c r="AS256" s="9">
        <v>150293.32999999999</v>
      </c>
      <c r="AT256" s="9">
        <v>36231.53</v>
      </c>
      <c r="AU256" s="9">
        <v>335942.58</v>
      </c>
      <c r="AV256" s="9">
        <v>11264.43</v>
      </c>
      <c r="AW256" s="9">
        <v>8863.51</v>
      </c>
      <c r="AX256" s="9">
        <v>5941.44</v>
      </c>
      <c r="AY256" s="9">
        <v>20649.52</v>
      </c>
      <c r="AZ256" s="9">
        <v>283114.53999999998</v>
      </c>
      <c r="BA256" s="9">
        <v>8852434.0339089986</v>
      </c>
      <c r="BB256" s="9">
        <v>1896323.3</v>
      </c>
      <c r="BC256" s="9">
        <v>8699570.7122935001</v>
      </c>
      <c r="BD256" s="9">
        <v>2408619.38</v>
      </c>
      <c r="BE256" s="9">
        <v>275934.80343899998</v>
      </c>
      <c r="BF256" s="9">
        <v>170431.26</v>
      </c>
      <c r="BG256" s="9">
        <v>1001069.6076936</v>
      </c>
      <c r="BH256" s="9">
        <v>311944.62</v>
      </c>
      <c r="BI256" s="9">
        <v>515480.61236000003</v>
      </c>
      <c r="BJ256" s="9">
        <v>154241.38</v>
      </c>
      <c r="BK256" s="9">
        <v>1497879.8412909</v>
      </c>
      <c r="BL256" s="9">
        <v>572516.31999999995</v>
      </c>
      <c r="BM256" s="9">
        <v>15860847.114757599</v>
      </c>
      <c r="BN256" s="9">
        <v>8788864.3169</v>
      </c>
      <c r="BO256" s="9">
        <v>1867805.15</v>
      </c>
      <c r="BP256" s="9">
        <v>7071982.7994635003</v>
      </c>
      <c r="BQ256" s="9">
        <v>2204224.88</v>
      </c>
      <c r="BR256" s="9">
        <v>987013.88945759996</v>
      </c>
      <c r="BS256" s="9">
        <v>275128.51919999998</v>
      </c>
      <c r="BT256" s="9">
        <v>170212.93</v>
      </c>
      <c r="BU256" s="9">
        <v>711885.37019359996</v>
      </c>
      <c r="BV256" s="9">
        <v>221755.12</v>
      </c>
      <c r="BW256" s="9">
        <v>1779405.47135</v>
      </c>
      <c r="BX256" s="9">
        <v>490458.2757</v>
      </c>
      <c r="BY256" s="9">
        <v>150110.26</v>
      </c>
      <c r="BZ256" s="9">
        <v>1288947.1957399002</v>
      </c>
      <c r="CA256" s="9">
        <v>528721.68000000005</v>
      </c>
      <c r="CB256" s="9">
        <v>486257.12599999999</v>
      </c>
      <c r="CC256" s="9">
        <v>17953342.692089997</v>
      </c>
      <c r="CD256" s="9">
        <v>1442512</v>
      </c>
      <c r="CE256" s="9">
        <v>1434586</v>
      </c>
      <c r="CF256" s="9">
        <v>23298781.961984999</v>
      </c>
      <c r="CG256" s="9">
        <v>17291889.191799998</v>
      </c>
      <c r="CH256" s="9">
        <v>6006892.7701850003</v>
      </c>
      <c r="CI256" s="9">
        <v>16960086.671390001</v>
      </c>
      <c r="CJ256" s="9">
        <v>13666037.037</v>
      </c>
      <c r="CK256" s="9">
        <v>3294049.6343900003</v>
      </c>
      <c r="CL256" s="9">
        <v>6338695.2905950006</v>
      </c>
      <c r="CM256" s="9">
        <v>3625852.1548000001</v>
      </c>
      <c r="CN256" s="9">
        <v>2712843.135795</v>
      </c>
      <c r="CO256" s="9">
        <v>5469502.0391300004</v>
      </c>
      <c r="CP256" s="9">
        <v>1581070.3492000001</v>
      </c>
      <c r="CQ256" s="9">
        <v>3888431.6899299999</v>
      </c>
      <c r="CR256" s="9">
        <v>3407118.8835600005</v>
      </c>
      <c r="CS256" s="9">
        <v>1303238.8670000001</v>
      </c>
      <c r="CT256" s="9">
        <v>2103880.0165599999</v>
      </c>
      <c r="CU256" s="9">
        <v>2062383.1555699999</v>
      </c>
      <c r="CV256" s="9">
        <v>277831.48220000003</v>
      </c>
      <c r="CW256" s="9">
        <v>1784551.67337</v>
      </c>
      <c r="CX256" s="9">
        <v>17829279.922855001</v>
      </c>
      <c r="CY256" s="9">
        <v>15710818.842599999</v>
      </c>
      <c r="CZ256" s="9">
        <v>2118461.0802549999</v>
      </c>
      <c r="DA256" s="9">
        <v>13552967.787829999</v>
      </c>
      <c r="DB256" s="9">
        <v>12362798.17</v>
      </c>
      <c r="DC256" s="9">
        <v>1190169.6178299999</v>
      </c>
      <c r="DD256" s="9">
        <v>4276312.1350250002</v>
      </c>
      <c r="DE256" s="9">
        <v>3348020.6725999997</v>
      </c>
      <c r="DF256" s="9">
        <v>928291.46242500003</v>
      </c>
      <c r="DG256" s="9">
        <v>27070673.247055002</v>
      </c>
      <c r="DH256" s="9">
        <v>3771891.2850700002</v>
      </c>
    </row>
    <row r="257" spans="1:112" x14ac:dyDescent="0.2">
      <c r="A257" s="8" t="s">
        <v>825</v>
      </c>
      <c r="B257" s="8" t="s">
        <v>511</v>
      </c>
      <c r="C257" s="8" t="s">
        <v>512</v>
      </c>
      <c r="D257" s="9">
        <v>17487066.366320003</v>
      </c>
      <c r="E257" s="9">
        <v>17487066.370000001</v>
      </c>
      <c r="F257" s="9">
        <v>288564.11</v>
      </c>
      <c r="G257" s="9">
        <v>1752057.36</v>
      </c>
      <c r="H257" s="9">
        <v>1458906.46</v>
      </c>
      <c r="I257" s="9">
        <v>86067.94</v>
      </c>
      <c r="J257" s="9">
        <v>1462281.29</v>
      </c>
      <c r="K257" s="9">
        <v>3030721.66</v>
      </c>
      <c r="L257" s="9">
        <v>446786.47</v>
      </c>
      <c r="M257" s="9">
        <v>3174393.9</v>
      </c>
      <c r="N257" s="9">
        <v>66954.03</v>
      </c>
      <c r="O257" s="9">
        <v>296266.3</v>
      </c>
      <c r="P257" s="9">
        <v>140145.37</v>
      </c>
      <c r="Q257" s="9">
        <v>153091.69</v>
      </c>
      <c r="R257" s="9">
        <v>5130829.7799999993</v>
      </c>
      <c r="S257" s="9">
        <v>2638450.65</v>
      </c>
      <c r="T257" s="9">
        <v>199898.83</v>
      </c>
      <c r="U257" s="9">
        <v>218319.68</v>
      </c>
      <c r="V257" s="9">
        <v>560946.16</v>
      </c>
      <c r="W257" s="9">
        <v>1280491.8486889999</v>
      </c>
      <c r="X257" s="9">
        <v>1280491.8500000001</v>
      </c>
      <c r="Y257" s="9">
        <v>7958.07</v>
      </c>
      <c r="Z257" s="9">
        <v>144372.51999999999</v>
      </c>
      <c r="AA257" s="9">
        <v>123365.64</v>
      </c>
      <c r="AB257" s="9">
        <v>6025.57</v>
      </c>
      <c r="AC257" s="9">
        <v>239502.6</v>
      </c>
      <c r="AD257" s="9">
        <v>200792.44</v>
      </c>
      <c r="AE257" s="9">
        <v>27774.18</v>
      </c>
      <c r="AF257" s="9">
        <v>159550.59</v>
      </c>
      <c r="AG257" s="9">
        <v>529.66999999999996</v>
      </c>
      <c r="AH257" s="9">
        <v>159776.93</v>
      </c>
      <c r="AI257" s="9">
        <v>14770.79</v>
      </c>
      <c r="AJ257" s="9">
        <v>10093.92</v>
      </c>
      <c r="AK257" s="9">
        <v>185978.91</v>
      </c>
      <c r="AL257" s="9">
        <v>1986919.4798010001</v>
      </c>
      <c r="AM257" s="9">
        <v>1986919.48</v>
      </c>
      <c r="AN257" s="9">
        <v>79031.259999999995</v>
      </c>
      <c r="AO257" s="9">
        <v>410479.02</v>
      </c>
      <c r="AP257" s="9">
        <v>389156.94</v>
      </c>
      <c r="AQ257" s="9">
        <v>11256.41</v>
      </c>
      <c r="AR257" s="9">
        <v>274062.36</v>
      </c>
      <c r="AS257" s="9">
        <v>146200.66</v>
      </c>
      <c r="AT257" s="9">
        <v>32715.84</v>
      </c>
      <c r="AU257" s="9">
        <v>316280.53000000003</v>
      </c>
      <c r="AV257" s="9">
        <v>13652.9</v>
      </c>
      <c r="AW257" s="9">
        <v>8862.1200000000008</v>
      </c>
      <c r="AX257" s="9">
        <v>7796.22</v>
      </c>
      <c r="AY257" s="9">
        <v>20847.82</v>
      </c>
      <c r="AZ257" s="9">
        <v>276577.40000000002</v>
      </c>
      <c r="BA257" s="9">
        <v>8760197.7605781984</v>
      </c>
      <c r="BB257" s="9">
        <v>1977514.13</v>
      </c>
      <c r="BC257" s="9">
        <v>8795987.6255805492</v>
      </c>
      <c r="BD257" s="9">
        <v>2477298.13</v>
      </c>
      <c r="BE257" s="9">
        <v>273951.62245820003</v>
      </c>
      <c r="BF257" s="9">
        <v>169067.15</v>
      </c>
      <c r="BG257" s="9">
        <v>1006540.226562</v>
      </c>
      <c r="BH257" s="9">
        <v>296271.84000000003</v>
      </c>
      <c r="BI257" s="9">
        <v>528822.66359000001</v>
      </c>
      <c r="BJ257" s="9">
        <v>164132.69</v>
      </c>
      <c r="BK257" s="9">
        <v>1458096.8162195492</v>
      </c>
      <c r="BL257" s="9">
        <v>551744.44999999995</v>
      </c>
      <c r="BM257" s="9">
        <v>15603419.757789001</v>
      </c>
      <c r="BN257" s="9">
        <v>8696413.8608999997</v>
      </c>
      <c r="BO257" s="9">
        <v>1948938.58</v>
      </c>
      <c r="BP257" s="9">
        <v>6907005.9002195997</v>
      </c>
      <c r="BQ257" s="9">
        <v>2275375.5</v>
      </c>
      <c r="BR257" s="9">
        <v>988602.56098900002</v>
      </c>
      <c r="BS257" s="9">
        <v>273654.75270000001</v>
      </c>
      <c r="BT257" s="9">
        <v>168841.71</v>
      </c>
      <c r="BU257" s="9">
        <v>714947.80826199998</v>
      </c>
      <c r="BV257" s="9">
        <v>205874.15</v>
      </c>
      <c r="BW257" s="9">
        <v>1763807.7218500001</v>
      </c>
      <c r="BX257" s="9">
        <v>503102.76919999998</v>
      </c>
      <c r="BY257" s="9">
        <v>160011.96</v>
      </c>
      <c r="BZ257" s="9">
        <v>1260704.9527876002</v>
      </c>
      <c r="CA257" s="9">
        <v>509439.49</v>
      </c>
      <c r="CB257" s="9">
        <v>449031.93709999998</v>
      </c>
      <c r="CC257" s="9">
        <v>17936098.303420004</v>
      </c>
      <c r="CD257" s="9">
        <v>1314435</v>
      </c>
      <c r="CE257" s="9">
        <v>1312048</v>
      </c>
      <c r="CF257" s="9">
        <v>24940052.051066</v>
      </c>
      <c r="CG257" s="9">
        <v>18253983.5843</v>
      </c>
      <c r="CH257" s="9">
        <v>6686068.4667660007</v>
      </c>
      <c r="CI257" s="9">
        <v>18312788.443229999</v>
      </c>
      <c r="CJ257" s="9">
        <v>14683599.317000004</v>
      </c>
      <c r="CK257" s="9">
        <v>3629189.1262300001</v>
      </c>
      <c r="CL257" s="9">
        <v>6627263.6078359997</v>
      </c>
      <c r="CM257" s="9">
        <v>3570384.2672999999</v>
      </c>
      <c r="CN257" s="9">
        <v>3056879.3405359997</v>
      </c>
      <c r="CO257" s="9">
        <v>6346948.2251199996</v>
      </c>
      <c r="CP257" s="9">
        <v>2093194.1418000001</v>
      </c>
      <c r="CQ257" s="9">
        <v>4253754.0833200002</v>
      </c>
      <c r="CR257" s="9">
        <v>4118911.312189999</v>
      </c>
      <c r="CS257" s="9">
        <v>1797954.1429999999</v>
      </c>
      <c r="CT257" s="9">
        <v>2320957.1691899998</v>
      </c>
      <c r="CU257" s="9">
        <v>2228036.9129300001</v>
      </c>
      <c r="CV257" s="9">
        <v>295239.9988</v>
      </c>
      <c r="CW257" s="9">
        <v>1932796.9141299999</v>
      </c>
      <c r="CX257" s="9">
        <v>18593103.825946003</v>
      </c>
      <c r="CY257" s="9">
        <v>16160789.442500001</v>
      </c>
      <c r="CZ257" s="9">
        <v>2432314.3834459996</v>
      </c>
      <c r="DA257" s="9">
        <v>14193877.131040001</v>
      </c>
      <c r="DB257" s="9">
        <v>12885645.174000001</v>
      </c>
      <c r="DC257" s="9">
        <v>1308231.9570399998</v>
      </c>
      <c r="DD257" s="9">
        <v>4399226.694906</v>
      </c>
      <c r="DE257" s="9">
        <v>3275144.2684999998</v>
      </c>
      <c r="DF257" s="9">
        <v>1124082.426406</v>
      </c>
      <c r="DG257" s="9">
        <v>28452355.126426004</v>
      </c>
      <c r="DH257" s="9">
        <v>3512303.0753599997</v>
      </c>
    </row>
    <row r="258" spans="1:112" x14ac:dyDescent="0.2">
      <c r="A258" s="8" t="s">
        <v>825</v>
      </c>
      <c r="B258" s="8" t="s">
        <v>511</v>
      </c>
      <c r="C258" s="8" t="s">
        <v>513</v>
      </c>
      <c r="D258" s="9">
        <v>18067142.033089999</v>
      </c>
      <c r="E258" s="9">
        <v>18067142.030000001</v>
      </c>
      <c r="F258" s="9">
        <v>318025.28000000003</v>
      </c>
      <c r="G258" s="9">
        <v>1712209.31</v>
      </c>
      <c r="H258" s="9">
        <v>1545512.15</v>
      </c>
      <c r="I258" s="9">
        <v>85974.28</v>
      </c>
      <c r="J258" s="9">
        <v>1548586.94</v>
      </c>
      <c r="K258" s="9">
        <v>3350848.49</v>
      </c>
      <c r="L258" s="9">
        <v>500677.99</v>
      </c>
      <c r="M258" s="9">
        <v>3199421.8800000004</v>
      </c>
      <c r="N258" s="9">
        <v>73676.81</v>
      </c>
      <c r="O258" s="9">
        <v>312094.15000000002</v>
      </c>
      <c r="P258" s="9">
        <v>150555.63</v>
      </c>
      <c r="Q258" s="9">
        <v>164209.34</v>
      </c>
      <c r="R258" s="9">
        <v>5105349.78</v>
      </c>
      <c r="S258" s="9">
        <v>2638288.13</v>
      </c>
      <c r="T258" s="9">
        <v>203377.32</v>
      </c>
      <c r="U258" s="9">
        <v>209371.83</v>
      </c>
      <c r="V258" s="9">
        <v>611488.56999999995</v>
      </c>
      <c r="W258" s="9">
        <v>1304050.5054875</v>
      </c>
      <c r="X258" s="9">
        <v>1304050.5</v>
      </c>
      <c r="Y258" s="9">
        <v>7165.72</v>
      </c>
      <c r="Z258" s="9">
        <v>214487.76</v>
      </c>
      <c r="AA258" s="9">
        <v>133363.88</v>
      </c>
      <c r="AB258" s="9">
        <v>6121.96</v>
      </c>
      <c r="AC258" s="9">
        <v>209758.32</v>
      </c>
      <c r="AD258" s="9">
        <v>199373.02</v>
      </c>
      <c r="AE258" s="9">
        <v>31659.759999999998</v>
      </c>
      <c r="AF258" s="9">
        <v>134054.88</v>
      </c>
      <c r="AG258" s="9">
        <v>345.89</v>
      </c>
      <c r="AH258" s="9">
        <v>162341.72</v>
      </c>
      <c r="AI258" s="9">
        <v>13870.58</v>
      </c>
      <c r="AJ258" s="9">
        <v>9281.61</v>
      </c>
      <c r="AK258" s="9">
        <v>182225.4</v>
      </c>
      <c r="AL258" s="9">
        <v>2016934.5818040001</v>
      </c>
      <c r="AM258" s="9">
        <v>2016934.58</v>
      </c>
      <c r="AN258" s="9">
        <v>80201.72</v>
      </c>
      <c r="AO258" s="9">
        <v>409412.26</v>
      </c>
      <c r="AP258" s="9">
        <v>386094.43</v>
      </c>
      <c r="AQ258" s="9">
        <v>10604.18</v>
      </c>
      <c r="AR258" s="9">
        <v>309930.37</v>
      </c>
      <c r="AS258" s="9">
        <v>151431.95000000001</v>
      </c>
      <c r="AT258" s="9">
        <v>33463.07</v>
      </c>
      <c r="AU258" s="9">
        <v>305794.46999999997</v>
      </c>
      <c r="AV258" s="9">
        <v>13640.95</v>
      </c>
      <c r="AW258" s="9">
        <v>13836.87</v>
      </c>
      <c r="AX258" s="9">
        <v>7996.74</v>
      </c>
      <c r="AY258" s="9">
        <v>20836.28</v>
      </c>
      <c r="AZ258" s="9">
        <v>273691.28999999998</v>
      </c>
      <c r="BA258" s="9">
        <v>8975770.2048805021</v>
      </c>
      <c r="BB258" s="9">
        <v>2072779.58</v>
      </c>
      <c r="BC258" s="9">
        <v>9167546.7710400503</v>
      </c>
      <c r="BD258" s="9">
        <v>2845145.23</v>
      </c>
      <c r="BE258" s="9">
        <v>269023.11829050002</v>
      </c>
      <c r="BF258" s="9">
        <v>148795.6</v>
      </c>
      <c r="BG258" s="9">
        <v>1035027.3870975</v>
      </c>
      <c r="BH258" s="9">
        <v>307189.43</v>
      </c>
      <c r="BI258" s="9">
        <v>531890.71474999993</v>
      </c>
      <c r="BJ258" s="9">
        <v>169020.93</v>
      </c>
      <c r="BK258" s="9">
        <v>1485043.8676265499</v>
      </c>
      <c r="BL258" s="9">
        <v>545558.05000000005</v>
      </c>
      <c r="BM258" s="9">
        <v>16252214.9416875</v>
      </c>
      <c r="BN258" s="9">
        <v>8912402.5747000016</v>
      </c>
      <c r="BO258" s="9">
        <v>2044392.87</v>
      </c>
      <c r="BP258" s="9">
        <v>7339812.3653915012</v>
      </c>
      <c r="BQ258" s="9">
        <v>2627270.06</v>
      </c>
      <c r="BR258" s="9">
        <v>988001.67608749995</v>
      </c>
      <c r="BS258" s="9">
        <v>268751.71899999998</v>
      </c>
      <c r="BT258" s="9">
        <v>148603.63</v>
      </c>
      <c r="BU258" s="9">
        <v>719249.95709749998</v>
      </c>
      <c r="BV258" s="9">
        <v>195924.01</v>
      </c>
      <c r="BW258" s="9">
        <v>1796938.8908500001</v>
      </c>
      <c r="BX258" s="9">
        <v>506245.97869999998</v>
      </c>
      <c r="BY258" s="9">
        <v>164904.66</v>
      </c>
      <c r="BZ258" s="9">
        <v>1290692.9128140002</v>
      </c>
      <c r="CA258" s="9">
        <v>507236.24</v>
      </c>
      <c r="CB258" s="9">
        <v>441952.36359999998</v>
      </c>
      <c r="CC258" s="9">
        <v>18509094.39669</v>
      </c>
      <c r="CD258" s="9">
        <v>1346816</v>
      </c>
      <c r="CE258" s="9">
        <v>1340012</v>
      </c>
      <c r="CF258" s="9">
        <v>25062366.559571002</v>
      </c>
      <c r="CG258" s="9">
        <v>18852287.5482</v>
      </c>
      <c r="CH258" s="9">
        <v>6210079.0113710007</v>
      </c>
      <c r="CI258" s="9">
        <v>18905845.864210002</v>
      </c>
      <c r="CJ258" s="9">
        <v>15281414.893999999</v>
      </c>
      <c r="CK258" s="9">
        <v>3624430.9702099999</v>
      </c>
      <c r="CL258" s="9">
        <v>6156520.6953610005</v>
      </c>
      <c r="CM258" s="9">
        <v>3570872.6542000002</v>
      </c>
      <c r="CN258" s="9">
        <v>2585648.0411610003</v>
      </c>
      <c r="CO258" s="9">
        <v>6676445.9234800003</v>
      </c>
      <c r="CP258" s="9">
        <v>2394746.1949</v>
      </c>
      <c r="CQ258" s="9">
        <v>4281699.7285800008</v>
      </c>
      <c r="CR258" s="9">
        <v>4640030.6204000004</v>
      </c>
      <c r="CS258" s="9">
        <v>2087328.1780000001</v>
      </c>
      <c r="CT258" s="9">
        <v>2552702.4424000005</v>
      </c>
      <c r="CU258" s="9">
        <v>2036415.30308</v>
      </c>
      <c r="CV258" s="9">
        <v>307418.01689999999</v>
      </c>
      <c r="CW258" s="9">
        <v>1728997.2861800003</v>
      </c>
      <c r="CX258" s="9">
        <v>18385920.636091001</v>
      </c>
      <c r="CY258" s="9">
        <v>16457541.3533</v>
      </c>
      <c r="CZ258" s="9">
        <v>1928379.2827910001</v>
      </c>
      <c r="DA258" s="9">
        <v>14265815.243810002</v>
      </c>
      <c r="DB258" s="9">
        <v>13194086.716000002</v>
      </c>
      <c r="DC258" s="9">
        <v>1071728.5278100001</v>
      </c>
      <c r="DD258" s="9">
        <v>4120105.392281001</v>
      </c>
      <c r="DE258" s="9">
        <v>3263454.6373000001</v>
      </c>
      <c r="DF258" s="9">
        <v>856650.75498099998</v>
      </c>
      <c r="DG258" s="9">
        <v>28382841.722140998</v>
      </c>
      <c r="DH258" s="9">
        <v>3320475.1625699997</v>
      </c>
    </row>
    <row r="259" spans="1:112" x14ac:dyDescent="0.2">
      <c r="A259" s="8" t="s">
        <v>825</v>
      </c>
      <c r="B259" s="8" t="s">
        <v>511</v>
      </c>
      <c r="C259" s="8" t="s">
        <v>514</v>
      </c>
      <c r="D259" s="9">
        <v>18966106.68406</v>
      </c>
      <c r="E259" s="9">
        <v>18966106.68</v>
      </c>
      <c r="F259" s="9">
        <v>339657.28</v>
      </c>
      <c r="G259" s="9">
        <v>1679950.88</v>
      </c>
      <c r="H259" s="9">
        <v>1682952.8</v>
      </c>
      <c r="I259" s="9">
        <v>91409.42</v>
      </c>
      <c r="J259" s="9">
        <v>1653162.05</v>
      </c>
      <c r="K259" s="9">
        <v>3562734.1</v>
      </c>
      <c r="L259" s="9">
        <v>569645.75</v>
      </c>
      <c r="M259" s="9">
        <v>3424447.02</v>
      </c>
      <c r="N259" s="9">
        <v>73167.56</v>
      </c>
      <c r="O259" s="9">
        <v>310022.49</v>
      </c>
      <c r="P259" s="9">
        <v>159810.48000000001</v>
      </c>
      <c r="Q259" s="9">
        <v>173685.04</v>
      </c>
      <c r="R259" s="9">
        <v>5245461.82</v>
      </c>
      <c r="S259" s="9">
        <v>2661913.71</v>
      </c>
      <c r="T259" s="9">
        <v>194310.86</v>
      </c>
      <c r="U259" s="9">
        <v>200509.15</v>
      </c>
      <c r="V259" s="9">
        <v>642426.98</v>
      </c>
      <c r="W259" s="9">
        <v>1184197.7865431998</v>
      </c>
      <c r="X259" s="9">
        <v>1184197.79</v>
      </c>
      <c r="Y259" s="9">
        <v>7368.52</v>
      </c>
      <c r="Z259" s="9">
        <v>179884.5</v>
      </c>
      <c r="AA259" s="9">
        <v>107769.34</v>
      </c>
      <c r="AB259" s="9">
        <v>5668.66</v>
      </c>
      <c r="AC259" s="9">
        <v>206293.09</v>
      </c>
      <c r="AD259" s="9">
        <v>178667.68</v>
      </c>
      <c r="AE259" s="9">
        <v>29348.82</v>
      </c>
      <c r="AF259" s="9">
        <v>119038.07</v>
      </c>
      <c r="AG259" s="9">
        <v>380.3</v>
      </c>
      <c r="AH259" s="9">
        <v>161318.29</v>
      </c>
      <c r="AI259" s="9">
        <v>14134.17</v>
      </c>
      <c r="AJ259" s="9">
        <v>9029.7999999999993</v>
      </c>
      <c r="AK259" s="9">
        <v>165296.56</v>
      </c>
      <c r="AL259" s="9">
        <v>1949111.594302</v>
      </c>
      <c r="AM259" s="9">
        <v>1949102.95</v>
      </c>
      <c r="AN259" s="9">
        <v>80567.77</v>
      </c>
      <c r="AO259" s="9">
        <v>383658.85</v>
      </c>
      <c r="AP259" s="9">
        <v>390677.42</v>
      </c>
      <c r="AQ259" s="9">
        <v>10592.3</v>
      </c>
      <c r="AR259" s="9">
        <v>280146.34999999998</v>
      </c>
      <c r="AS259" s="9">
        <v>137904.46</v>
      </c>
      <c r="AT259" s="9">
        <v>32469.34</v>
      </c>
      <c r="AU259" s="9">
        <v>311643.7</v>
      </c>
      <c r="AV259" s="9">
        <v>3578.98</v>
      </c>
      <c r="AW259" s="9">
        <v>9769.24</v>
      </c>
      <c r="AX259" s="9">
        <v>7370.84</v>
      </c>
      <c r="AY259" s="9">
        <v>19114.89</v>
      </c>
      <c r="AZ259" s="9">
        <v>281608.81</v>
      </c>
      <c r="BA259" s="9">
        <v>9324590.5984724015</v>
      </c>
      <c r="BB259" s="9">
        <v>2187268.23</v>
      </c>
      <c r="BC259" s="9">
        <v>9717760.9790317807</v>
      </c>
      <c r="BD259" s="9">
        <v>3184581.4</v>
      </c>
      <c r="BE259" s="9">
        <v>224215.09472240001</v>
      </c>
      <c r="BF259" s="9">
        <v>126505.42</v>
      </c>
      <c r="BG259" s="9">
        <v>959982.6913532</v>
      </c>
      <c r="BH259" s="9">
        <v>285982.37</v>
      </c>
      <c r="BI259" s="9">
        <v>536941.89584999997</v>
      </c>
      <c r="BJ259" s="9">
        <v>164272.79999999999</v>
      </c>
      <c r="BK259" s="9">
        <v>1412169.6983405813</v>
      </c>
      <c r="BL259" s="9">
        <v>539897.06000000006</v>
      </c>
      <c r="BM259" s="9">
        <v>17138547.1837832</v>
      </c>
      <c r="BN259" s="9">
        <v>9264795.3368000016</v>
      </c>
      <c r="BO259" s="9">
        <v>2159062.54</v>
      </c>
      <c r="BP259" s="9">
        <v>7873751.8458572011</v>
      </c>
      <c r="BQ259" s="9">
        <v>2978394.14</v>
      </c>
      <c r="BR259" s="9">
        <v>875483.2602432</v>
      </c>
      <c r="BS259" s="9">
        <v>223982.90520000001</v>
      </c>
      <c r="BT259" s="9">
        <v>126319.05</v>
      </c>
      <c r="BU259" s="9">
        <v>651500.35495319997</v>
      </c>
      <c r="BV259" s="9">
        <v>181014.38</v>
      </c>
      <c r="BW259" s="9">
        <v>1732792.4408499999</v>
      </c>
      <c r="BX259" s="9">
        <v>512265.63559999998</v>
      </c>
      <c r="BY259" s="9">
        <v>160217.68</v>
      </c>
      <c r="BZ259" s="9">
        <v>1220526.8048139999</v>
      </c>
      <c r="CA259" s="9">
        <v>500193.15</v>
      </c>
      <c r="CB259" s="9">
        <v>520074.88679999998</v>
      </c>
      <c r="CC259" s="9">
        <v>19486181.570859998</v>
      </c>
      <c r="CD259" s="9">
        <v>1349816</v>
      </c>
      <c r="CE259" s="9">
        <v>1342985</v>
      </c>
      <c r="CF259" s="9">
        <v>25877036.556639999</v>
      </c>
      <c r="CG259" s="9">
        <v>19153105.4432</v>
      </c>
      <c r="CH259" s="9">
        <v>6723931.1134400014</v>
      </c>
      <c r="CI259" s="9">
        <v>19214002.068399999</v>
      </c>
      <c r="CJ259" s="9">
        <v>15475474.74</v>
      </c>
      <c r="CK259" s="9">
        <v>3738527.3284</v>
      </c>
      <c r="CL259" s="9">
        <v>6663034.4882400008</v>
      </c>
      <c r="CM259" s="9">
        <v>3677630.7031999999</v>
      </c>
      <c r="CN259" s="9">
        <v>2985403.7850400005</v>
      </c>
      <c r="CO259" s="9">
        <v>7306375.4705200018</v>
      </c>
      <c r="CP259" s="9">
        <v>2486171.2919999999</v>
      </c>
      <c r="CQ259" s="9">
        <v>4820204.1785200005</v>
      </c>
      <c r="CR259" s="9">
        <v>4864079.5850999998</v>
      </c>
      <c r="CS259" s="9">
        <v>2119607.2889999999</v>
      </c>
      <c r="CT259" s="9">
        <v>2744472.2961000004</v>
      </c>
      <c r="CU259" s="9">
        <v>2442295.8854199997</v>
      </c>
      <c r="CV259" s="9">
        <v>366564.00300000003</v>
      </c>
      <c r="CW259" s="9">
        <v>2075731.8824199999</v>
      </c>
      <c r="CX259" s="9">
        <v>18570661.086119998</v>
      </c>
      <c r="CY259" s="9">
        <v>16666934.151200004</v>
      </c>
      <c r="CZ259" s="9">
        <v>1903726.9349199999</v>
      </c>
      <c r="DA259" s="9">
        <v>14349922.4833</v>
      </c>
      <c r="DB259" s="9">
        <v>13355867.451000001</v>
      </c>
      <c r="DC259" s="9">
        <v>994055.03229999996</v>
      </c>
      <c r="DD259" s="9">
        <v>4220738.6028199997</v>
      </c>
      <c r="DE259" s="9">
        <v>3311066.7001999998</v>
      </c>
      <c r="DF259" s="9">
        <v>909671.90261999995</v>
      </c>
      <c r="DG259" s="9">
        <v>29337032.320910003</v>
      </c>
      <c r="DH259" s="9">
        <v>3459995.7642700002</v>
      </c>
    </row>
    <row r="260" spans="1:112" x14ac:dyDescent="0.2">
      <c r="A260" s="52" t="s">
        <v>825</v>
      </c>
      <c r="B260" s="52" t="s">
        <v>797</v>
      </c>
      <c r="C260" s="52" t="s">
        <v>798</v>
      </c>
      <c r="D260" s="53">
        <v>19263060.730149999</v>
      </c>
      <c r="E260" s="53">
        <v>19263060.73</v>
      </c>
      <c r="F260" s="53">
        <v>344800.48</v>
      </c>
      <c r="G260" s="53">
        <v>1931977.78</v>
      </c>
      <c r="H260" s="53">
        <v>1586401.66</v>
      </c>
      <c r="I260" s="53">
        <v>97269.96</v>
      </c>
      <c r="J260" s="53">
        <v>1668751.5</v>
      </c>
      <c r="K260" s="53">
        <v>3513483.89</v>
      </c>
      <c r="L260" s="53">
        <v>589833.06999999995</v>
      </c>
      <c r="M260" s="53">
        <v>3521917.92</v>
      </c>
      <c r="N260" s="53">
        <v>73495.97</v>
      </c>
      <c r="O260" s="53">
        <v>313578.49</v>
      </c>
      <c r="P260" s="53">
        <v>161583.38</v>
      </c>
      <c r="Q260" s="53">
        <v>177482.83</v>
      </c>
      <c r="R260" s="53">
        <v>5282483.8</v>
      </c>
      <c r="S260" s="53">
        <v>2668357.9</v>
      </c>
      <c r="T260" s="53">
        <v>191586.39</v>
      </c>
      <c r="U260" s="53">
        <v>193931.32</v>
      </c>
      <c r="V260" s="53">
        <v>655879.54</v>
      </c>
      <c r="W260" s="53">
        <v>1203011.555834</v>
      </c>
      <c r="X260" s="53">
        <v>1203011.56</v>
      </c>
      <c r="Y260" s="53">
        <v>7630.4</v>
      </c>
      <c r="Z260" s="53">
        <v>213268.78</v>
      </c>
      <c r="AA260" s="53">
        <v>112785.02</v>
      </c>
      <c r="AB260" s="53">
        <v>5887.69</v>
      </c>
      <c r="AC260" s="53">
        <v>191238.09</v>
      </c>
      <c r="AD260" s="53">
        <v>174606.87</v>
      </c>
      <c r="AE260" s="53">
        <v>27710.25</v>
      </c>
      <c r="AF260" s="53">
        <v>119731.98</v>
      </c>
      <c r="AG260" s="53">
        <v>379.69</v>
      </c>
      <c r="AH260" s="53">
        <v>162122.12</v>
      </c>
      <c r="AI260" s="53">
        <v>15987.78</v>
      </c>
      <c r="AJ260" s="53">
        <v>8670.89</v>
      </c>
      <c r="AK260" s="53">
        <v>162992</v>
      </c>
      <c r="AL260" s="53">
        <v>1977545.594303</v>
      </c>
      <c r="AM260" s="53">
        <v>1977545.59</v>
      </c>
      <c r="AN260" s="53">
        <v>80576.070000000007</v>
      </c>
      <c r="AO260" s="53">
        <v>393586.75</v>
      </c>
      <c r="AP260" s="53">
        <v>395930.92</v>
      </c>
      <c r="AQ260" s="53">
        <v>10564.35</v>
      </c>
      <c r="AR260" s="53">
        <v>286794.90999999997</v>
      </c>
      <c r="AS260" s="53">
        <v>137456.98000000001</v>
      </c>
      <c r="AT260" s="53">
        <v>37985.279999999999</v>
      </c>
      <c r="AU260" s="53">
        <v>311654.13</v>
      </c>
      <c r="AV260" s="53">
        <v>3588.24</v>
      </c>
      <c r="AW260" s="53">
        <v>9569.24</v>
      </c>
      <c r="AX260" s="53">
        <v>7808.16</v>
      </c>
      <c r="AY260" s="53">
        <v>19093.66</v>
      </c>
      <c r="AZ260" s="53">
        <v>282936.90999999997</v>
      </c>
      <c r="BA260" s="53">
        <v>9485466.9087220002</v>
      </c>
      <c r="BB260" s="53">
        <v>2227843.2400000002</v>
      </c>
      <c r="BC260" s="53">
        <v>9846353.3105946723</v>
      </c>
      <c r="BD260" s="53">
        <v>3292060.65</v>
      </c>
      <c r="BE260" s="53">
        <v>224649.62375200001</v>
      </c>
      <c r="BF260" s="53">
        <v>127694.01</v>
      </c>
      <c r="BG260" s="53">
        <v>978361.93233400001</v>
      </c>
      <c r="BH260" s="53">
        <v>313142.34999999998</v>
      </c>
      <c r="BI260" s="53">
        <v>539451.46694000007</v>
      </c>
      <c r="BJ260" s="53">
        <v>165848.69</v>
      </c>
      <c r="BK260" s="53">
        <v>1438094.1277336753</v>
      </c>
      <c r="BL260" s="53">
        <v>535936.13</v>
      </c>
      <c r="BM260" s="53">
        <v>17518657.263284001</v>
      </c>
      <c r="BN260" s="53">
        <v>9429164.0846999995</v>
      </c>
      <c r="BO260" s="53">
        <v>2202800.86</v>
      </c>
      <c r="BP260" s="53">
        <v>8089493.1801380003</v>
      </c>
      <c r="BQ260" s="53">
        <v>3074784.03</v>
      </c>
      <c r="BR260" s="53">
        <v>863200.40183400002</v>
      </c>
      <c r="BS260" s="53">
        <v>220683.96849999999</v>
      </c>
      <c r="BT260" s="53">
        <v>123757.23</v>
      </c>
      <c r="BU260" s="53">
        <v>642516.43333399994</v>
      </c>
      <c r="BV260" s="53">
        <v>186750.41</v>
      </c>
      <c r="BW260" s="53">
        <v>1750989.14185</v>
      </c>
      <c r="BX260" s="53">
        <v>515055.11920000002</v>
      </c>
      <c r="BY260" s="53">
        <v>162002.16</v>
      </c>
      <c r="BZ260" s="53">
        <v>1235934.022814</v>
      </c>
      <c r="CA260" s="53">
        <v>496238.58</v>
      </c>
      <c r="CB260" s="53">
        <v>520040.97869999998</v>
      </c>
      <c r="CC260" s="53">
        <v>19783101.70885</v>
      </c>
      <c r="CD260" s="53">
        <v>1340674</v>
      </c>
      <c r="CE260" s="53">
        <v>1333541</v>
      </c>
      <c r="CF260" s="53">
        <v>25436315.99391</v>
      </c>
      <c r="CG260" s="53">
        <v>19098865.1917</v>
      </c>
      <c r="CH260" s="53">
        <v>6337450.8022099994</v>
      </c>
      <c r="CI260" s="53">
        <v>19199482.657209996</v>
      </c>
      <c r="CJ260" s="53">
        <v>15393438.888</v>
      </c>
      <c r="CK260" s="53">
        <v>3806043.7692100001</v>
      </c>
      <c r="CL260" s="53">
        <v>6236833.3366999989</v>
      </c>
      <c r="CM260" s="53">
        <v>3705426.3037</v>
      </c>
      <c r="CN260" s="53">
        <v>2531407.0330000003</v>
      </c>
      <c r="CO260" s="53">
        <v>6760485.8260500003</v>
      </c>
      <c r="CP260" s="53">
        <v>2398618.1120000002</v>
      </c>
      <c r="CQ260" s="53">
        <v>4361867.7140499996</v>
      </c>
      <c r="CR260" s="53">
        <v>4576073.0561000006</v>
      </c>
      <c r="CS260" s="53">
        <v>2043353.1470000001</v>
      </c>
      <c r="CT260" s="53">
        <v>2532719.9090999998</v>
      </c>
      <c r="CU260" s="53">
        <v>2184412.7699500001</v>
      </c>
      <c r="CV260" s="53">
        <v>355264.96500000003</v>
      </c>
      <c r="CW260" s="53">
        <v>1829147.80495</v>
      </c>
      <c r="CX260" s="53">
        <v>18675830.167860001</v>
      </c>
      <c r="CY260" s="53">
        <v>16700247.079700001</v>
      </c>
      <c r="CZ260" s="53">
        <v>1975583.08816</v>
      </c>
      <c r="DA260" s="53">
        <v>14623409.60111</v>
      </c>
      <c r="DB260" s="53">
        <v>13350085.741</v>
      </c>
      <c r="DC260" s="53">
        <v>1273323.8601099998</v>
      </c>
      <c r="DD260" s="53">
        <v>4052420.5667500002</v>
      </c>
      <c r="DE260" s="53">
        <v>3350161.3387000002</v>
      </c>
      <c r="DF260" s="53">
        <v>702259.22804999992</v>
      </c>
      <c r="DG260" s="53">
        <v>28564542.349770002</v>
      </c>
      <c r="DH260" s="53">
        <v>3128226.3558599995</v>
      </c>
    </row>
    <row r="261" spans="1:112" x14ac:dyDescent="0.2">
      <c r="A261" s="52" t="s">
        <v>825</v>
      </c>
      <c r="B261" s="52" t="s">
        <v>797</v>
      </c>
      <c r="C261" s="52" t="s">
        <v>824</v>
      </c>
      <c r="D261" s="53">
        <v>19689944.83464</v>
      </c>
      <c r="E261" s="53">
        <v>19689944.829999998</v>
      </c>
      <c r="F261" s="53">
        <v>345519.72</v>
      </c>
      <c r="G261" s="53">
        <v>1930755.02</v>
      </c>
      <c r="H261" s="53">
        <v>1564027.32</v>
      </c>
      <c r="I261" s="53">
        <v>100879.99</v>
      </c>
      <c r="J261" s="53">
        <v>1736509.72</v>
      </c>
      <c r="K261" s="53">
        <v>3515854.08</v>
      </c>
      <c r="L261" s="53">
        <v>590577.68000000005</v>
      </c>
      <c r="M261" s="53">
        <v>3674779.29</v>
      </c>
      <c r="N261" s="53">
        <v>68086.92</v>
      </c>
      <c r="O261" s="53">
        <v>321905.73</v>
      </c>
      <c r="P261" s="53">
        <v>163494.39999999999</v>
      </c>
      <c r="Q261" s="53">
        <v>177271.98</v>
      </c>
      <c r="R261" s="53">
        <v>5500282.9800000004</v>
      </c>
      <c r="S261" s="53">
        <v>2711180.02</v>
      </c>
      <c r="T261" s="53">
        <v>237696.03</v>
      </c>
      <c r="U261" s="53">
        <v>185545.59</v>
      </c>
      <c r="V261" s="53">
        <v>716302.89</v>
      </c>
      <c r="W261" s="53">
        <v>1199231.6842500002</v>
      </c>
      <c r="X261" s="53">
        <v>1199231.69</v>
      </c>
      <c r="Y261" s="53">
        <v>8362.89</v>
      </c>
      <c r="Z261" s="53">
        <v>228204.5</v>
      </c>
      <c r="AA261" s="53">
        <v>112582.83</v>
      </c>
      <c r="AB261" s="53">
        <v>6606.93</v>
      </c>
      <c r="AC261" s="53">
        <v>200765.45</v>
      </c>
      <c r="AD261" s="53">
        <v>148414.95000000001</v>
      </c>
      <c r="AE261" s="53">
        <v>27366.14</v>
      </c>
      <c r="AF261" s="53">
        <v>118552.57</v>
      </c>
      <c r="AG261" s="53">
        <v>384.5</v>
      </c>
      <c r="AH261" s="53">
        <v>162175.1</v>
      </c>
      <c r="AI261" s="53">
        <v>15808.56</v>
      </c>
      <c r="AJ261" s="53">
        <v>8516.6299999999992</v>
      </c>
      <c r="AK261" s="53">
        <v>161490.64000000001</v>
      </c>
      <c r="AL261" s="53">
        <v>1985581.929185</v>
      </c>
      <c r="AM261" s="53">
        <v>1985581.92</v>
      </c>
      <c r="AN261" s="53">
        <v>80923.61</v>
      </c>
      <c r="AO261" s="53">
        <v>397162.58</v>
      </c>
      <c r="AP261" s="53">
        <v>395785.34</v>
      </c>
      <c r="AQ261" s="53">
        <v>10532.89</v>
      </c>
      <c r="AR261" s="53">
        <v>286396.84000000003</v>
      </c>
      <c r="AS261" s="53">
        <v>134202.82999999999</v>
      </c>
      <c r="AT261" s="53">
        <v>37359.760000000002</v>
      </c>
      <c r="AU261" s="53">
        <v>310233.62</v>
      </c>
      <c r="AV261" s="53">
        <v>3734.72</v>
      </c>
      <c r="AW261" s="53">
        <v>8792.2999999999993</v>
      </c>
      <c r="AX261" s="53">
        <v>7373.01</v>
      </c>
      <c r="AY261" s="53">
        <v>19069.28</v>
      </c>
      <c r="AZ261" s="53">
        <v>294015.14</v>
      </c>
      <c r="BA261" s="53">
        <v>9862413.1130290013</v>
      </c>
      <c r="BB261" s="53">
        <v>2245802.9500000002</v>
      </c>
      <c r="BC261" s="53">
        <v>9898632.4619493578</v>
      </c>
      <c r="BD261" s="53">
        <v>3365548.36</v>
      </c>
      <c r="BE261" s="53">
        <v>220906.80202900001</v>
      </c>
      <c r="BF261" s="53">
        <v>128924.31</v>
      </c>
      <c r="BG261" s="53">
        <v>978324.88266</v>
      </c>
      <c r="BH261" s="53">
        <v>328062.52</v>
      </c>
      <c r="BI261" s="53">
        <v>548290.07498999999</v>
      </c>
      <c r="BJ261" s="53">
        <v>164561.12</v>
      </c>
      <c r="BK261" s="53">
        <v>1437291.8542143579</v>
      </c>
      <c r="BL261" s="53">
        <v>532650.44999999995</v>
      </c>
      <c r="BM261" s="53">
        <v>17991883.442772001</v>
      </c>
      <c r="BN261" s="53">
        <v>9805028.4681000002</v>
      </c>
      <c r="BO261" s="53">
        <v>2221254.29</v>
      </c>
      <c r="BP261" s="53">
        <v>8186854.9785860004</v>
      </c>
      <c r="BQ261" s="53">
        <v>3150650.22</v>
      </c>
      <c r="BR261" s="53">
        <v>885372.46094999998</v>
      </c>
      <c r="BS261" s="53">
        <v>216912.86749999999</v>
      </c>
      <c r="BT261" s="53">
        <v>124997.59</v>
      </c>
      <c r="BU261" s="53">
        <v>668459.59346</v>
      </c>
      <c r="BV261" s="53">
        <v>206719.89</v>
      </c>
      <c r="BW261" s="53">
        <v>1759432.1507319999</v>
      </c>
      <c r="BX261" s="53">
        <v>524006.32860000001</v>
      </c>
      <c r="BY261" s="53">
        <v>160772.91</v>
      </c>
      <c r="BZ261" s="53">
        <v>1235425.8216960002</v>
      </c>
      <c r="CA261" s="53">
        <v>492962.85</v>
      </c>
      <c r="CB261" s="53">
        <v>548353.56499999994</v>
      </c>
      <c r="CC261" s="53">
        <v>20238298.399640001</v>
      </c>
      <c r="CD261" s="53">
        <v>1372777</v>
      </c>
      <c r="CE261" s="53">
        <v>1366137</v>
      </c>
      <c r="CF261" s="53">
        <v>25415784.523842998</v>
      </c>
      <c r="CG261" s="53">
        <v>18794115.239700001</v>
      </c>
      <c r="CH261" s="53">
        <v>6621669.2841430008</v>
      </c>
      <c r="CI261" s="53">
        <v>19241002.57392</v>
      </c>
      <c r="CJ261" s="53">
        <v>15148136.198999999</v>
      </c>
      <c r="CK261" s="53">
        <v>4092866.3749199999</v>
      </c>
      <c r="CL261" s="53">
        <v>6174781.9499230003</v>
      </c>
      <c r="CM261" s="53">
        <v>3645979.0406999998</v>
      </c>
      <c r="CN261" s="53">
        <v>2528802.9092229996</v>
      </c>
      <c r="CO261" s="53">
        <v>6912443.0555199999</v>
      </c>
      <c r="CP261" s="53">
        <v>2335580.8076999998</v>
      </c>
      <c r="CQ261" s="53">
        <v>4576862.2478200002</v>
      </c>
      <c r="CR261" s="53">
        <v>4706521.3329999996</v>
      </c>
      <c r="CS261" s="53">
        <v>1982150.3259999999</v>
      </c>
      <c r="CT261" s="53">
        <v>2724371.0070000002</v>
      </c>
      <c r="CU261" s="53">
        <v>2205921.7225200003</v>
      </c>
      <c r="CV261" s="53">
        <v>353430.4817</v>
      </c>
      <c r="CW261" s="53">
        <v>1852491.2408199999</v>
      </c>
      <c r="CX261" s="53">
        <v>18503341.468323</v>
      </c>
      <c r="CY261" s="53">
        <v>16458534.432</v>
      </c>
      <c r="CZ261" s="53">
        <v>2044807.036323</v>
      </c>
      <c r="DA261" s="53">
        <v>14534481.24092</v>
      </c>
      <c r="DB261" s="53">
        <v>13165985.873</v>
      </c>
      <c r="DC261" s="53">
        <v>1368495.3679200001</v>
      </c>
      <c r="DD261" s="53">
        <v>3968860.227403</v>
      </c>
      <c r="DE261" s="53">
        <v>3292548.5589999999</v>
      </c>
      <c r="DF261" s="53">
        <v>676311.66840300011</v>
      </c>
      <c r="DG261" s="53">
        <v>28466263.030473001</v>
      </c>
      <c r="DH261" s="53">
        <v>3050478.5066299997</v>
      </c>
    </row>
    <row r="262" spans="1:112" x14ac:dyDescent="0.2">
      <c r="A262" s="52" t="s">
        <v>825</v>
      </c>
      <c r="B262" s="52" t="s">
        <v>797</v>
      </c>
      <c r="C262" s="52" t="s">
        <v>864</v>
      </c>
      <c r="D262" s="53">
        <v>20018192.050799999</v>
      </c>
      <c r="E262" s="53">
        <v>20018192.050000001</v>
      </c>
      <c r="F262" s="53">
        <v>344796.91</v>
      </c>
      <c r="G262" s="53">
        <v>2013379.67</v>
      </c>
      <c r="H262" s="53">
        <v>1565215.53</v>
      </c>
      <c r="I262" s="53">
        <v>100664.45</v>
      </c>
      <c r="J262" s="53">
        <v>1729284.32</v>
      </c>
      <c r="K262" s="53">
        <v>3598477.95</v>
      </c>
      <c r="L262" s="53">
        <v>627072.15</v>
      </c>
      <c r="M262" s="53">
        <v>3783037.73</v>
      </c>
      <c r="N262" s="53">
        <v>77312.179999999993</v>
      </c>
      <c r="O262" s="53">
        <v>367797.34</v>
      </c>
      <c r="P262" s="53">
        <v>161870.95000000001</v>
      </c>
      <c r="Q262" s="53">
        <v>174321.76</v>
      </c>
      <c r="R262" s="53">
        <v>5474961.1200000001</v>
      </c>
      <c r="S262" s="53">
        <v>2721479.06</v>
      </c>
      <c r="T262" s="53">
        <v>218842.33</v>
      </c>
      <c r="U262" s="53">
        <v>178680.65</v>
      </c>
      <c r="V262" s="53">
        <v>737727.71</v>
      </c>
      <c r="W262" s="53">
        <v>1063375.395031</v>
      </c>
      <c r="X262" s="53">
        <v>1063375.3899999999</v>
      </c>
      <c r="Y262" s="53">
        <v>9030.1299999999992</v>
      </c>
      <c r="Z262" s="53">
        <v>214119.12</v>
      </c>
      <c r="AA262" s="53">
        <v>105665.9</v>
      </c>
      <c r="AB262" s="53">
        <v>4993.45</v>
      </c>
      <c r="AC262" s="53">
        <v>175364.05</v>
      </c>
      <c r="AD262" s="53">
        <v>141270.43</v>
      </c>
      <c r="AE262" s="53">
        <v>25261.360000000001</v>
      </c>
      <c r="AF262" s="53">
        <v>100130.56</v>
      </c>
      <c r="AG262" s="53">
        <v>957.48</v>
      </c>
      <c r="AH262" s="53">
        <v>161858.04</v>
      </c>
      <c r="AI262" s="53">
        <v>13837.48</v>
      </c>
      <c r="AJ262" s="53">
        <v>8553.73</v>
      </c>
      <c r="AK262" s="53">
        <v>102333.67</v>
      </c>
      <c r="AL262" s="53">
        <v>1977564.4817969999</v>
      </c>
      <c r="AM262" s="53">
        <v>1977564.48</v>
      </c>
      <c r="AN262" s="53">
        <v>77201.95</v>
      </c>
      <c r="AO262" s="53">
        <v>395211.38</v>
      </c>
      <c r="AP262" s="53">
        <v>394780.37</v>
      </c>
      <c r="AQ262" s="53">
        <v>10346.540000000001</v>
      </c>
      <c r="AR262" s="53">
        <v>288453.71999999997</v>
      </c>
      <c r="AS262" s="53">
        <v>126370.4</v>
      </c>
      <c r="AT262" s="53">
        <v>42027.46</v>
      </c>
      <c r="AU262" s="53">
        <v>312036.96000000002</v>
      </c>
      <c r="AV262" s="53">
        <v>3084.86</v>
      </c>
      <c r="AW262" s="53">
        <v>8989.8700000000008</v>
      </c>
      <c r="AX262" s="53">
        <v>7183.5</v>
      </c>
      <c r="AY262" s="53">
        <v>18042.400000000001</v>
      </c>
      <c r="AZ262" s="53">
        <v>293835.05</v>
      </c>
      <c r="BA262" s="53">
        <v>10073201.404516002</v>
      </c>
      <c r="BB262" s="53">
        <v>2308936.64</v>
      </c>
      <c r="BC262" s="53">
        <v>10064707.808676183</v>
      </c>
      <c r="BD262" s="53">
        <v>3417860.18</v>
      </c>
      <c r="BE262" s="53">
        <v>209739.05356599999</v>
      </c>
      <c r="BF262" s="53">
        <v>117854.83</v>
      </c>
      <c r="BG262" s="53">
        <v>853636.34138999996</v>
      </c>
      <c r="BH262" s="53">
        <v>229909.43</v>
      </c>
      <c r="BI262" s="53">
        <v>522310.16707000002</v>
      </c>
      <c r="BJ262" s="53">
        <v>142794.32</v>
      </c>
      <c r="BK262" s="53">
        <v>1455254.3142131821</v>
      </c>
      <c r="BL262" s="53">
        <v>549105.99</v>
      </c>
      <c r="BM262" s="53">
        <v>18359823.321727995</v>
      </c>
      <c r="BN262" s="53">
        <v>10016993.144300001</v>
      </c>
      <c r="BO262" s="53">
        <v>2285078.21</v>
      </c>
      <c r="BP262" s="53">
        <v>8342830.1775810001</v>
      </c>
      <c r="BQ262" s="53">
        <v>3237107.77</v>
      </c>
      <c r="BR262" s="53">
        <v>812233.17713099997</v>
      </c>
      <c r="BS262" s="53">
        <v>205677.85260000001</v>
      </c>
      <c r="BT262" s="53">
        <v>113935.37</v>
      </c>
      <c r="BU262" s="53">
        <v>606555.32449000003</v>
      </c>
      <c r="BV262" s="53">
        <v>170510.11</v>
      </c>
      <c r="BW262" s="53">
        <v>1759286.8407970001</v>
      </c>
      <c r="BX262" s="53">
        <v>499741.6827</v>
      </c>
      <c r="BY262" s="53">
        <v>140380.84</v>
      </c>
      <c r="BZ262" s="53">
        <v>1259545.1577610001</v>
      </c>
      <c r="CA262" s="53">
        <v>511035.37</v>
      </c>
      <c r="CB262" s="53">
        <v>548219.18420000002</v>
      </c>
      <c r="CC262" s="53">
        <v>20566411.234999999</v>
      </c>
      <c r="CD262" s="53">
        <v>1385829</v>
      </c>
      <c r="CE262" s="53">
        <v>1379208</v>
      </c>
      <c r="CF262" s="53">
        <v>25240016.954197001</v>
      </c>
      <c r="CG262" s="53">
        <v>18581622.706900001</v>
      </c>
      <c r="CH262" s="53">
        <v>6658394.2472969992</v>
      </c>
      <c r="CI262" s="53">
        <v>19092242.615780003</v>
      </c>
      <c r="CJ262" s="53">
        <v>14961007.162</v>
      </c>
      <c r="CK262" s="53">
        <v>4131235.4537800001</v>
      </c>
      <c r="CL262" s="53">
        <v>6147774.3384169992</v>
      </c>
      <c r="CM262" s="53">
        <v>3620615.5449000001</v>
      </c>
      <c r="CN262" s="53">
        <v>2527158.793517</v>
      </c>
      <c r="CO262" s="53">
        <v>6716609.5542299999</v>
      </c>
      <c r="CP262" s="53">
        <v>2280863.5797000001</v>
      </c>
      <c r="CQ262" s="53">
        <v>4435745.9745300002</v>
      </c>
      <c r="CR262" s="53">
        <v>4601365.7271999996</v>
      </c>
      <c r="CS262" s="53">
        <v>1937633.919</v>
      </c>
      <c r="CT262" s="53">
        <v>2663731.8081999999</v>
      </c>
      <c r="CU262" s="53">
        <v>2115243.8270300003</v>
      </c>
      <c r="CV262" s="53">
        <v>343229.66070000001</v>
      </c>
      <c r="CW262" s="53">
        <v>1772014.1663300002</v>
      </c>
      <c r="CX262" s="53">
        <v>18523407.399967</v>
      </c>
      <c r="CY262" s="53">
        <v>16300759.127200004</v>
      </c>
      <c r="CZ262" s="53">
        <v>2222648.2727669999</v>
      </c>
      <c r="DA262" s="53">
        <v>14490876.88858</v>
      </c>
      <c r="DB262" s="53">
        <v>13023373.243000001</v>
      </c>
      <c r="DC262" s="53">
        <v>1467503.6455799998</v>
      </c>
      <c r="DD262" s="53">
        <v>4032530.5113869999</v>
      </c>
      <c r="DE262" s="53">
        <v>3277385.8842000002</v>
      </c>
      <c r="DF262" s="53">
        <v>755144.62718700001</v>
      </c>
      <c r="DG262" s="53">
        <v>28242755.453547001</v>
      </c>
      <c r="DH262" s="53">
        <v>3002738.4993500002</v>
      </c>
    </row>
    <row r="263" spans="1:112" x14ac:dyDescent="0.2">
      <c r="A263" s="52" t="s">
        <v>825</v>
      </c>
      <c r="B263" s="52" t="s">
        <v>865</v>
      </c>
      <c r="C263" s="52" t="s">
        <v>866</v>
      </c>
      <c r="D263" s="53">
        <v>19875978.887600001</v>
      </c>
      <c r="E263" s="53">
        <v>19875978.879999999</v>
      </c>
      <c r="F263" s="53">
        <v>335850.63</v>
      </c>
      <c r="G263" s="53">
        <v>1823422.61</v>
      </c>
      <c r="H263" s="53">
        <v>1549430.62</v>
      </c>
      <c r="I263" s="53">
        <v>106974.62</v>
      </c>
      <c r="J263" s="53">
        <v>1680158.52</v>
      </c>
      <c r="K263" s="53">
        <v>3594889.54</v>
      </c>
      <c r="L263" s="53">
        <v>621358.80000000005</v>
      </c>
      <c r="M263" s="53">
        <v>3874334.81</v>
      </c>
      <c r="N263" s="53">
        <v>74901.279999999999</v>
      </c>
      <c r="O263" s="53">
        <v>350342.49</v>
      </c>
      <c r="P263" s="53">
        <v>161053.91</v>
      </c>
      <c r="Q263" s="53">
        <v>174493.81</v>
      </c>
      <c r="R263" s="53">
        <v>5528767.2300000004</v>
      </c>
      <c r="S263" s="53">
        <v>2722559.59</v>
      </c>
      <c r="T263" s="53">
        <v>215529.23</v>
      </c>
      <c r="U263" s="53">
        <v>173108.35</v>
      </c>
      <c r="V263" s="53">
        <v>763786.9</v>
      </c>
      <c r="W263" s="53">
        <v>1030356.6902605999</v>
      </c>
      <c r="X263" s="53">
        <v>1030356.69</v>
      </c>
      <c r="Y263" s="53">
        <v>6516.3</v>
      </c>
      <c r="Z263" s="53">
        <v>228124.79</v>
      </c>
      <c r="AA263" s="53">
        <v>103863.42</v>
      </c>
      <c r="AB263" s="53">
        <v>4686.76</v>
      </c>
      <c r="AC263" s="53">
        <v>154086.99</v>
      </c>
      <c r="AD263" s="53">
        <v>130258</v>
      </c>
      <c r="AE263" s="53">
        <v>24525.46</v>
      </c>
      <c r="AF263" s="53">
        <v>96921.08</v>
      </c>
      <c r="AG263" s="53">
        <v>933.68</v>
      </c>
      <c r="AH263" s="53">
        <v>161891.65</v>
      </c>
      <c r="AI263" s="53">
        <v>14201.25</v>
      </c>
      <c r="AJ263" s="53">
        <v>6633.31</v>
      </c>
      <c r="AK263" s="53">
        <v>97714.02</v>
      </c>
      <c r="AL263" s="53">
        <v>1968675.1764760001</v>
      </c>
      <c r="AM263" s="53">
        <v>1968675.17</v>
      </c>
      <c r="AN263" s="53">
        <v>78657.929999999993</v>
      </c>
      <c r="AO263" s="53">
        <v>394695.79</v>
      </c>
      <c r="AP263" s="53">
        <v>389680.75</v>
      </c>
      <c r="AQ263" s="53">
        <v>10552.46</v>
      </c>
      <c r="AR263" s="53">
        <v>283492.37</v>
      </c>
      <c r="AS263" s="53">
        <v>125981.98</v>
      </c>
      <c r="AT263" s="53">
        <v>41450.86</v>
      </c>
      <c r="AU263" s="53">
        <v>308125.8</v>
      </c>
      <c r="AV263" s="53">
        <v>3055.19</v>
      </c>
      <c r="AW263" s="53">
        <v>8986.65</v>
      </c>
      <c r="AX263" s="53">
        <v>7065.44</v>
      </c>
      <c r="AY263" s="53">
        <v>18453.810000000001</v>
      </c>
      <c r="AZ263" s="53">
        <v>298476.15000000002</v>
      </c>
      <c r="BA263" s="53">
        <v>10124016.225082999</v>
      </c>
      <c r="BB263" s="53">
        <v>2221087.02</v>
      </c>
      <c r="BC263" s="53">
        <v>9857441.1533483453</v>
      </c>
      <c r="BD263" s="53">
        <v>3424947.36</v>
      </c>
      <c r="BE263" s="53">
        <v>210408.92667300001</v>
      </c>
      <c r="BF263" s="53">
        <v>121976.85</v>
      </c>
      <c r="BG263" s="53">
        <v>819947.76346360007</v>
      </c>
      <c r="BH263" s="53">
        <v>215912.41</v>
      </c>
      <c r="BI263" s="53">
        <v>523162.26965999999</v>
      </c>
      <c r="BJ263" s="53">
        <v>141372.49</v>
      </c>
      <c r="BK263" s="53">
        <v>1445512.9075007462</v>
      </c>
      <c r="BL263" s="53">
        <v>543083.97</v>
      </c>
      <c r="BM263" s="53">
        <v>18288020.166636597</v>
      </c>
      <c r="BN263" s="53">
        <v>10069393.2972</v>
      </c>
      <c r="BO263" s="53">
        <v>2197709.3199999998</v>
      </c>
      <c r="BP263" s="53">
        <v>8218626.8737235982</v>
      </c>
      <c r="BQ263" s="53">
        <v>3247139.79</v>
      </c>
      <c r="BR263" s="53">
        <v>780552.25906060007</v>
      </c>
      <c r="BS263" s="53">
        <v>206088.72719999999</v>
      </c>
      <c r="BT263" s="53">
        <v>118014.47</v>
      </c>
      <c r="BU263" s="53">
        <v>574463.53186360002</v>
      </c>
      <c r="BV263" s="53">
        <v>157364.96</v>
      </c>
      <c r="BW263" s="53">
        <v>1751665.3614759999</v>
      </c>
      <c r="BX263" s="53">
        <v>500702.14600000001</v>
      </c>
      <c r="BY263" s="53">
        <v>139006.57</v>
      </c>
      <c r="BZ263" s="53">
        <v>1250963.2154400002</v>
      </c>
      <c r="CA263" s="53">
        <v>506005.8</v>
      </c>
      <c r="CB263" s="53">
        <v>548247.60199999996</v>
      </c>
      <c r="CC263" s="53">
        <v>20424226.489600003</v>
      </c>
      <c r="CD263" s="53">
        <v>1399395</v>
      </c>
      <c r="CE263" s="53">
        <v>1392789</v>
      </c>
      <c r="CF263" s="53">
        <v>25064210.983253997</v>
      </c>
      <c r="CG263" s="53">
        <v>18606294.264699999</v>
      </c>
      <c r="CH263" s="53">
        <v>6457916.7185539994</v>
      </c>
      <c r="CI263" s="53">
        <v>19049321.257690001</v>
      </c>
      <c r="CJ263" s="53">
        <v>14982337.76</v>
      </c>
      <c r="CK263" s="53">
        <v>4066983.4976900001</v>
      </c>
      <c r="CL263" s="53">
        <v>6014889.7255639993</v>
      </c>
      <c r="CM263" s="53">
        <v>3623956.5046999999</v>
      </c>
      <c r="CN263" s="53">
        <v>2390933.2208639998</v>
      </c>
      <c r="CO263" s="53">
        <v>6792617.4926899988</v>
      </c>
      <c r="CP263" s="53">
        <v>2309371.0620999997</v>
      </c>
      <c r="CQ263" s="53">
        <v>4483246.43059</v>
      </c>
      <c r="CR263" s="53">
        <v>4686745.1850999994</v>
      </c>
      <c r="CS263" s="53">
        <v>1965167.2819999999</v>
      </c>
      <c r="CT263" s="53">
        <v>2721577.9031000002</v>
      </c>
      <c r="CU263" s="53">
        <v>2105872.3075899999</v>
      </c>
      <c r="CV263" s="53">
        <v>344203.78009999997</v>
      </c>
      <c r="CW263" s="53">
        <v>1761668.52749</v>
      </c>
      <c r="CX263" s="53">
        <v>18271593.490564</v>
      </c>
      <c r="CY263" s="53">
        <v>16296923.2026</v>
      </c>
      <c r="CZ263" s="53">
        <v>1974670.2879640004</v>
      </c>
      <c r="DA263" s="53">
        <v>14362576.072590001</v>
      </c>
      <c r="DB263" s="53">
        <v>13017170.478</v>
      </c>
      <c r="DC263" s="53">
        <v>1345405.5945900001</v>
      </c>
      <c r="DD263" s="53">
        <v>3909017.4179739999</v>
      </c>
      <c r="DE263" s="53">
        <v>3279752.7245999998</v>
      </c>
      <c r="DF263" s="53">
        <v>629264.69337400002</v>
      </c>
      <c r="DG263" s="53">
        <v>28005612.319143999</v>
      </c>
      <c r="DH263" s="53">
        <v>2941401.3358900002</v>
      </c>
    </row>
    <row r="264" spans="1:112" x14ac:dyDescent="0.2">
      <c r="A264" s="52" t="s">
        <v>825</v>
      </c>
      <c r="B264" s="52" t="s">
        <v>865</v>
      </c>
      <c r="C264" s="52" t="s">
        <v>867</v>
      </c>
      <c r="D264" s="53">
        <v>20049344.254199997</v>
      </c>
      <c r="E264" s="53">
        <v>20049344.25</v>
      </c>
      <c r="F264" s="53">
        <v>330185.69</v>
      </c>
      <c r="G264" s="53">
        <v>1753461.28</v>
      </c>
      <c r="H264" s="53">
        <v>1557143.82</v>
      </c>
      <c r="I264" s="53">
        <v>111734.41</v>
      </c>
      <c r="J264" s="53">
        <v>1676243.04</v>
      </c>
      <c r="K264" s="53">
        <v>3734598</v>
      </c>
      <c r="L264" s="53">
        <v>604973.39</v>
      </c>
      <c r="M264" s="53">
        <v>3822841.1800000006</v>
      </c>
      <c r="N264" s="53">
        <v>79107.759999999995</v>
      </c>
      <c r="O264" s="53">
        <v>352350.27</v>
      </c>
      <c r="P264" s="53">
        <v>164751.6</v>
      </c>
      <c r="Q264" s="53">
        <v>176045.23</v>
      </c>
      <c r="R264" s="53">
        <v>5685908.6100000003</v>
      </c>
      <c r="S264" s="53">
        <v>2724489.12</v>
      </c>
      <c r="T264" s="53">
        <v>187341.27</v>
      </c>
      <c r="U264" s="53">
        <v>218698.56</v>
      </c>
      <c r="V264" s="53">
        <v>789599.68</v>
      </c>
      <c r="W264" s="53">
        <v>978288.74402650003</v>
      </c>
      <c r="X264" s="53">
        <v>978288.74</v>
      </c>
      <c r="Y264" s="53">
        <v>13090.67</v>
      </c>
      <c r="Z264" s="53">
        <v>203363.05</v>
      </c>
      <c r="AA264" s="53">
        <v>102610.95</v>
      </c>
      <c r="AB264" s="53">
        <v>4387.93</v>
      </c>
      <c r="AC264" s="53">
        <v>136702.54999999999</v>
      </c>
      <c r="AD264" s="53">
        <v>127834.79</v>
      </c>
      <c r="AE264" s="53">
        <v>24315.72</v>
      </c>
      <c r="AF264" s="53">
        <v>91235.09</v>
      </c>
      <c r="AG264" s="53">
        <v>725.1</v>
      </c>
      <c r="AH264" s="53">
        <v>161863.92000000001</v>
      </c>
      <c r="AI264" s="53">
        <v>11798.6</v>
      </c>
      <c r="AJ264" s="53">
        <v>6504.67</v>
      </c>
      <c r="AK264" s="53">
        <v>93855.69</v>
      </c>
      <c r="AL264" s="53">
        <v>2007787.733797</v>
      </c>
      <c r="AM264" s="53">
        <v>2007787.73</v>
      </c>
      <c r="AN264" s="53">
        <v>78599.8</v>
      </c>
      <c r="AO264" s="53">
        <v>427831.68</v>
      </c>
      <c r="AP264" s="53">
        <v>388997.12</v>
      </c>
      <c r="AQ264" s="53">
        <v>10351.379999999999</v>
      </c>
      <c r="AR264" s="53">
        <v>293635.96999999997</v>
      </c>
      <c r="AS264" s="53">
        <v>123246.09</v>
      </c>
      <c r="AT264" s="53">
        <v>40781.1</v>
      </c>
      <c r="AU264" s="53">
        <v>306941.17</v>
      </c>
      <c r="AV264" s="53">
        <v>3244.95</v>
      </c>
      <c r="AW264" s="53">
        <v>8968.31</v>
      </c>
      <c r="AX264" s="53">
        <v>7361.28</v>
      </c>
      <c r="AY264" s="53">
        <v>18522.22</v>
      </c>
      <c r="AZ264" s="53">
        <v>299306.67</v>
      </c>
      <c r="BA264" s="53">
        <v>10221937.165906999</v>
      </c>
      <c r="BB264" s="53">
        <v>2177930.81</v>
      </c>
      <c r="BC264" s="53">
        <v>9927944.0576513335</v>
      </c>
      <c r="BD264" s="53">
        <v>3461020.6</v>
      </c>
      <c r="BE264" s="53">
        <v>193978.95343699999</v>
      </c>
      <c r="BF264" s="53">
        <v>108375.52</v>
      </c>
      <c r="BG264" s="53">
        <v>784309.79048550001</v>
      </c>
      <c r="BH264" s="53">
        <v>207179.31</v>
      </c>
      <c r="BI264" s="53">
        <v>514747.91028000001</v>
      </c>
      <c r="BJ264" s="53">
        <v>134934.39999999999</v>
      </c>
      <c r="BK264" s="53">
        <v>1493039.8236928298</v>
      </c>
      <c r="BL264" s="53">
        <v>544775.28</v>
      </c>
      <c r="BM264" s="53">
        <v>18626642.463583503</v>
      </c>
      <c r="BN264" s="53">
        <v>10167782.3281</v>
      </c>
      <c r="BO264" s="53">
        <v>2154806.69</v>
      </c>
      <c r="BP264" s="53">
        <v>8458860.1339999996</v>
      </c>
      <c r="BQ264" s="53">
        <v>3295129.07</v>
      </c>
      <c r="BR264" s="53">
        <v>733731.81102649996</v>
      </c>
      <c r="BS264" s="53">
        <v>190340.4964</v>
      </c>
      <c r="BT264" s="53">
        <v>104864.79</v>
      </c>
      <c r="BU264" s="53">
        <v>543391.31458550005</v>
      </c>
      <c r="BV264" s="53">
        <v>153382.92000000001</v>
      </c>
      <c r="BW264" s="53">
        <v>1847988.314797</v>
      </c>
      <c r="BX264" s="53">
        <v>492683.9387</v>
      </c>
      <c r="BY264" s="53">
        <v>132299.84</v>
      </c>
      <c r="BZ264" s="53">
        <v>1355304.3762345</v>
      </c>
      <c r="CA264" s="53">
        <v>511155.16</v>
      </c>
      <c r="CB264" s="53">
        <v>548244.42059999995</v>
      </c>
      <c r="CC264" s="53">
        <v>20597588.674799997</v>
      </c>
      <c r="CD264" s="53">
        <v>1441582</v>
      </c>
      <c r="CE264" s="53">
        <v>1434958</v>
      </c>
      <c r="CF264" s="53">
        <v>25277259.683499999</v>
      </c>
      <c r="CG264" s="53">
        <v>18403148.699099999</v>
      </c>
      <c r="CH264" s="53">
        <v>6874110.9843999995</v>
      </c>
      <c r="CI264" s="53">
        <v>19189260.08794</v>
      </c>
      <c r="CJ264" s="53">
        <v>14892578.868000001</v>
      </c>
      <c r="CK264" s="53">
        <v>4296681.2199400002</v>
      </c>
      <c r="CL264" s="53">
        <v>6087999.5955600003</v>
      </c>
      <c r="CM264" s="53">
        <v>3510569.8311000001</v>
      </c>
      <c r="CN264" s="53">
        <v>2577429.7644600002</v>
      </c>
      <c r="CO264" s="53">
        <v>7126082.7443300001</v>
      </c>
      <c r="CP264" s="53">
        <v>2350546.4339999999</v>
      </c>
      <c r="CQ264" s="53">
        <v>4775536.3103299998</v>
      </c>
      <c r="CR264" s="53">
        <v>4902997.9369999999</v>
      </c>
      <c r="CS264" s="53">
        <v>1995983.085</v>
      </c>
      <c r="CT264" s="53">
        <v>2907014.8520000004</v>
      </c>
      <c r="CU264" s="53">
        <v>2223084.8073300002</v>
      </c>
      <c r="CV264" s="53">
        <v>354563.34899999999</v>
      </c>
      <c r="CW264" s="53">
        <v>1868521.4583300001</v>
      </c>
      <c r="CX264" s="53">
        <v>18151176.939169999</v>
      </c>
      <c r="CY264" s="53">
        <v>16052602.2651</v>
      </c>
      <c r="CZ264" s="53">
        <v>2098574.6740699997</v>
      </c>
      <c r="DA264" s="53">
        <v>14286262.150939999</v>
      </c>
      <c r="DB264" s="53">
        <v>12896595.783</v>
      </c>
      <c r="DC264" s="53">
        <v>1389666.36794</v>
      </c>
      <c r="DD264" s="53">
        <v>3864914.7882300001</v>
      </c>
      <c r="DE264" s="53">
        <v>3156006.4821000001</v>
      </c>
      <c r="DF264" s="53">
        <v>708908.30613000004</v>
      </c>
      <c r="DG264" s="53">
        <v>28274085.568793997</v>
      </c>
      <c r="DH264" s="53">
        <v>2996825.8852940002</v>
      </c>
    </row>
    <row r="265" spans="1:112" x14ac:dyDescent="0.2">
      <c r="A265" s="52" t="s">
        <v>825</v>
      </c>
      <c r="B265" s="52" t="s">
        <v>865</v>
      </c>
      <c r="C265" s="52" t="s">
        <v>868</v>
      </c>
      <c r="D265" s="53">
        <v>20667355.0024</v>
      </c>
      <c r="E265" s="53">
        <v>20667355.010000002</v>
      </c>
      <c r="F265" s="53">
        <v>339031.68</v>
      </c>
      <c r="G265" s="53">
        <v>1851152.21</v>
      </c>
      <c r="H265" s="53">
        <v>1665658.61</v>
      </c>
      <c r="I265" s="53">
        <v>112116.76</v>
      </c>
      <c r="J265" s="53">
        <v>1637242.02</v>
      </c>
      <c r="K265" s="53">
        <v>4120584.13</v>
      </c>
      <c r="L265" s="53">
        <v>636967.49</v>
      </c>
      <c r="M265" s="53">
        <v>3798832.71</v>
      </c>
      <c r="N265" s="53">
        <v>77338.039999999994</v>
      </c>
      <c r="O265" s="53">
        <v>382999.33</v>
      </c>
      <c r="P265" s="53">
        <v>165255.69</v>
      </c>
      <c r="Q265" s="53">
        <v>185146.81</v>
      </c>
      <c r="R265" s="53">
        <v>5695029.5200000005</v>
      </c>
      <c r="S265" s="53">
        <v>2736011.35</v>
      </c>
      <c r="T265" s="53">
        <v>182839.18</v>
      </c>
      <c r="U265" s="53">
        <v>202518.22</v>
      </c>
      <c r="V265" s="53">
        <v>804046.83</v>
      </c>
      <c r="W265" s="53">
        <v>932495.44728389999</v>
      </c>
      <c r="X265" s="53">
        <v>932495.45</v>
      </c>
      <c r="Y265" s="53">
        <v>11483.17</v>
      </c>
      <c r="Z265" s="53">
        <v>169659.98</v>
      </c>
      <c r="AA265" s="53">
        <v>157552.97</v>
      </c>
      <c r="AB265" s="53">
        <v>3368.09</v>
      </c>
      <c r="AC265" s="53">
        <v>108007.37</v>
      </c>
      <c r="AD265" s="53">
        <v>142625.39000000001</v>
      </c>
      <c r="AE265" s="53">
        <v>24074.44</v>
      </c>
      <c r="AF265" s="53">
        <v>73042.22</v>
      </c>
      <c r="AG265" s="53">
        <v>678.59</v>
      </c>
      <c r="AH265" s="53">
        <v>157849.29</v>
      </c>
      <c r="AI265" s="53">
        <v>10853.01</v>
      </c>
      <c r="AJ265" s="53">
        <v>6368.23</v>
      </c>
      <c r="AK265" s="53">
        <v>66932.7</v>
      </c>
      <c r="AL265" s="53">
        <v>2073088.634146</v>
      </c>
      <c r="AM265" s="53">
        <v>2073088.63</v>
      </c>
      <c r="AN265" s="53">
        <v>78582.649999999994</v>
      </c>
      <c r="AO265" s="53">
        <v>492627.87</v>
      </c>
      <c r="AP265" s="53">
        <v>382550.16</v>
      </c>
      <c r="AQ265" s="53">
        <v>10629.05</v>
      </c>
      <c r="AR265" s="53">
        <v>290856.8</v>
      </c>
      <c r="AS265" s="53">
        <v>123923.79</v>
      </c>
      <c r="AT265" s="53">
        <v>42129.27</v>
      </c>
      <c r="AU265" s="53">
        <v>294930</v>
      </c>
      <c r="AV265" s="53">
        <v>3218.74</v>
      </c>
      <c r="AW265" s="53">
        <v>10218.790000000001</v>
      </c>
      <c r="AX265" s="53">
        <v>7115.49</v>
      </c>
      <c r="AY265" s="53">
        <v>18536.2</v>
      </c>
      <c r="AZ265" s="53">
        <v>317769.82</v>
      </c>
      <c r="BA265" s="53">
        <v>10391656.520857999</v>
      </c>
      <c r="BB265" s="53">
        <v>2299170.7799999998</v>
      </c>
      <c r="BC265" s="53">
        <v>10395748.531273548</v>
      </c>
      <c r="BD265" s="53">
        <v>3292870.98</v>
      </c>
      <c r="BE265" s="53">
        <v>180498.15606800001</v>
      </c>
      <c r="BF265" s="53">
        <v>96854.13</v>
      </c>
      <c r="BG265" s="53">
        <v>751997.29121890001</v>
      </c>
      <c r="BH265" s="53">
        <v>115063.32</v>
      </c>
      <c r="BI265" s="53">
        <v>494147.46974999999</v>
      </c>
      <c r="BJ265" s="53">
        <v>129525.72</v>
      </c>
      <c r="BK265" s="53">
        <v>1578941.1644806482</v>
      </c>
      <c r="BL265" s="53">
        <v>457562.49</v>
      </c>
      <c r="BM265" s="53">
        <v>19149836.317029901</v>
      </c>
      <c r="BN265" s="53">
        <v>10328419.368499998</v>
      </c>
      <c r="BO265" s="53">
        <v>2276876.34</v>
      </c>
      <c r="BP265" s="53">
        <v>8821416.9451159015</v>
      </c>
      <c r="BQ265" s="53">
        <v>3210875.04</v>
      </c>
      <c r="BR265" s="53">
        <v>630188.22908390011</v>
      </c>
      <c r="BS265" s="53">
        <v>176857.89069999999</v>
      </c>
      <c r="BT265" s="53">
        <v>93338.65</v>
      </c>
      <c r="BU265" s="53">
        <v>453330.33831889997</v>
      </c>
      <c r="BV265" s="53">
        <v>110661.52</v>
      </c>
      <c r="BW265" s="53">
        <v>1904852.1091459999</v>
      </c>
      <c r="BX265" s="53">
        <v>472062.32280000002</v>
      </c>
      <c r="BY265" s="53">
        <v>126919.6</v>
      </c>
      <c r="BZ265" s="53">
        <v>1432789.7867970001</v>
      </c>
      <c r="CA265" s="53">
        <v>424198.34</v>
      </c>
      <c r="CB265" s="53">
        <v>537820.73479999998</v>
      </c>
      <c r="CC265" s="53">
        <v>21205175.737199999</v>
      </c>
      <c r="CD265" s="53">
        <v>1452251</v>
      </c>
      <c r="CE265" s="53">
        <v>1445624</v>
      </c>
      <c r="CF265" s="53">
        <v>25685162.448721997</v>
      </c>
      <c r="CG265" s="53">
        <v>18932249.668499999</v>
      </c>
      <c r="CH265" s="53">
        <v>6752912.7802219987</v>
      </c>
      <c r="CI265" s="53">
        <v>19651721.433836002</v>
      </c>
      <c r="CJ265" s="53">
        <v>15292461.448000001</v>
      </c>
      <c r="CK265" s="53">
        <v>4359259.9858360002</v>
      </c>
      <c r="CL265" s="53">
        <v>6033441.0148859993</v>
      </c>
      <c r="CM265" s="53">
        <v>3639788.2204999998</v>
      </c>
      <c r="CN265" s="53">
        <v>2393652.7943859999</v>
      </c>
      <c r="CO265" s="53">
        <v>7311283.0341699999</v>
      </c>
      <c r="CP265" s="53">
        <v>2512575.1274999999</v>
      </c>
      <c r="CQ265" s="53">
        <v>4798707.9066699995</v>
      </c>
      <c r="CR265" s="53">
        <v>5157203.1567000002</v>
      </c>
      <c r="CS265" s="53">
        <v>2138129.963</v>
      </c>
      <c r="CT265" s="53">
        <v>3019073.1936999997</v>
      </c>
      <c r="CU265" s="53">
        <v>2154079.8774699997</v>
      </c>
      <c r="CV265" s="53">
        <v>374445.16450000001</v>
      </c>
      <c r="CW265" s="53">
        <v>1779634.71297</v>
      </c>
      <c r="CX265" s="53">
        <v>18373879.414551999</v>
      </c>
      <c r="CY265" s="53">
        <v>16419674.540999999</v>
      </c>
      <c r="CZ265" s="53">
        <v>1954204.8735519999</v>
      </c>
      <c r="DA265" s="53">
        <v>14494518.277136</v>
      </c>
      <c r="DB265" s="53">
        <v>13154331.484999999</v>
      </c>
      <c r="DC265" s="53">
        <v>1340186.792136</v>
      </c>
      <c r="DD265" s="53">
        <v>3879361.137416</v>
      </c>
      <c r="DE265" s="53">
        <v>3265343.0559999999</v>
      </c>
      <c r="DF265" s="53">
        <v>614018.08141599991</v>
      </c>
      <c r="DG265" s="53">
        <v>28860494.065536998</v>
      </c>
      <c r="DH265" s="53">
        <v>3175331.6168149998</v>
      </c>
    </row>
    <row r="266" spans="1:112" x14ac:dyDescent="0.2">
      <c r="A266" s="52" t="s">
        <v>869</v>
      </c>
      <c r="B266" s="52" t="s">
        <v>870</v>
      </c>
      <c r="C266" s="52" t="s">
        <v>871</v>
      </c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/>
      <c r="BO266" s="53"/>
      <c r="BP266" s="53"/>
      <c r="BQ266" s="53"/>
      <c r="BR266" s="53"/>
      <c r="BS266" s="53"/>
      <c r="BT266" s="53"/>
      <c r="BU266" s="53"/>
      <c r="BV266" s="53"/>
      <c r="BW266" s="53"/>
      <c r="BX266" s="53"/>
      <c r="BY266" s="53"/>
      <c r="BZ266" s="53"/>
      <c r="CA266" s="53"/>
      <c r="CB266" s="53"/>
      <c r="CC266" s="53"/>
      <c r="CD266" s="53"/>
      <c r="CE266" s="53"/>
      <c r="CF266" s="53"/>
      <c r="CG266" s="53"/>
      <c r="CH266" s="53"/>
      <c r="CI266" s="53"/>
      <c r="CJ266" s="53"/>
      <c r="CK266" s="53"/>
      <c r="CL266" s="53"/>
      <c r="CM266" s="53"/>
      <c r="CN266" s="53"/>
      <c r="CO266" s="53"/>
      <c r="CP266" s="53"/>
      <c r="CQ266" s="53"/>
      <c r="CR266" s="53"/>
      <c r="CS266" s="53"/>
      <c r="CT266" s="53"/>
      <c r="CU266" s="53"/>
      <c r="CV266" s="53"/>
      <c r="CW266" s="53"/>
      <c r="CX266" s="53"/>
      <c r="CY266" s="53"/>
      <c r="CZ266" s="53"/>
      <c r="DA266" s="53"/>
      <c r="DB266" s="53"/>
      <c r="DC266" s="53"/>
      <c r="DD266" s="53"/>
      <c r="DE266" s="53"/>
      <c r="DF266" s="53"/>
      <c r="DG266" s="53"/>
      <c r="DH266" s="5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DAF3-7CAD-4328-838F-60F9C03655CD}">
  <sheetPr codeName="Sheet1"/>
  <dimension ref="A1:HD523"/>
  <sheetViews>
    <sheetView zoomScale="80" zoomScaleNormal="80" workbookViewId="0">
      <pane xSplit="3" ySplit="1" topLeftCell="D2" activePane="bottomRight" state="frozen"/>
      <selection activeCell="C20" sqref="C20:E20"/>
      <selection pane="topRight" activeCell="C20" sqref="C20:E20"/>
      <selection pane="bottomLeft" activeCell="C20" sqref="C20:E20"/>
      <selection pane="bottomRight" activeCell="C24" sqref="C24"/>
    </sheetView>
  </sheetViews>
  <sheetFormatPr defaultColWidth="9" defaultRowHeight="14.25" x14ac:dyDescent="0.2"/>
  <cols>
    <col min="1" max="1" width="13.5" style="3" bestFit="1" customWidth="1"/>
    <col min="2" max="2" width="13.875" style="3" bestFit="1" customWidth="1"/>
    <col min="3" max="3" width="14.5" style="3" bestFit="1" customWidth="1"/>
    <col min="4" max="4" width="15" style="6" bestFit="1" customWidth="1"/>
    <col min="5" max="5" width="14.625" style="6" bestFit="1" customWidth="1"/>
    <col min="6" max="6" width="17.5" style="6" bestFit="1" customWidth="1"/>
    <col min="7" max="7" width="16.375" style="6" bestFit="1" customWidth="1"/>
    <col min="8" max="8" width="15.125" style="6" bestFit="1" customWidth="1"/>
    <col min="9" max="9" width="16" style="6" bestFit="1" customWidth="1"/>
    <col min="10" max="11" width="15.75" style="6" bestFit="1" customWidth="1"/>
    <col min="12" max="12" width="17" style="6" bestFit="1" customWidth="1"/>
    <col min="13" max="13" width="15" style="6" bestFit="1" customWidth="1"/>
    <col min="14" max="14" width="13.75" style="6" bestFit="1" customWidth="1"/>
    <col min="15" max="15" width="14.5" style="6" bestFit="1" customWidth="1"/>
    <col min="16" max="16" width="14.125" style="6" bestFit="1" customWidth="1"/>
    <col min="17" max="17" width="17" style="6" bestFit="1" customWidth="1"/>
    <col min="18" max="18" width="15.875" style="6" bestFit="1" customWidth="1"/>
    <col min="19" max="19" width="14.625" style="6" bestFit="1" customWidth="1"/>
    <col min="20" max="20" width="15.625" style="6" bestFit="1" customWidth="1"/>
    <col min="21" max="22" width="15.25" style="6" bestFit="1" customWidth="1"/>
    <col min="23" max="23" width="16.375" style="6" bestFit="1" customWidth="1"/>
    <col min="24" max="24" width="14.5" style="6" bestFit="1" customWidth="1"/>
    <col min="25" max="25" width="13.25" style="6" bestFit="1" customWidth="1"/>
    <col min="26" max="26" width="15" style="6" bestFit="1" customWidth="1"/>
    <col min="27" max="27" width="20.125" style="6" bestFit="1" customWidth="1"/>
    <col min="28" max="28" width="18.75" style="6" bestFit="1" customWidth="1"/>
    <col min="29" max="29" width="19.375" style="6" bestFit="1" customWidth="1"/>
    <col min="30" max="30" width="21.5" style="6" bestFit="1" customWidth="1"/>
    <col min="31" max="31" width="14.375" style="6" bestFit="1" customWidth="1"/>
    <col min="32" max="32" width="14.625" style="6" bestFit="1" customWidth="1"/>
    <col min="33" max="33" width="14.5" style="6" bestFit="1" customWidth="1"/>
    <col min="34" max="34" width="19.625" style="6" bestFit="1" customWidth="1"/>
    <col min="35" max="35" width="18.25" style="6" bestFit="1" customWidth="1"/>
    <col min="36" max="36" width="18.875" style="6" bestFit="1" customWidth="1"/>
    <col min="37" max="37" width="20.875" style="6" bestFit="1" customWidth="1"/>
    <col min="38" max="38" width="13.875" style="6" bestFit="1" customWidth="1"/>
    <col min="39" max="39" width="14.125" style="6" bestFit="1" customWidth="1"/>
    <col min="40" max="40" width="12.5" style="6" bestFit="1" customWidth="1"/>
    <col min="41" max="41" width="13.125" style="6" bestFit="1" customWidth="1"/>
    <col min="42" max="42" width="14.625" style="6" bestFit="1" customWidth="1"/>
    <col min="43" max="43" width="10.875" style="6" bestFit="1" customWidth="1"/>
    <col min="44" max="44" width="16.375" style="6" bestFit="1" customWidth="1"/>
    <col min="45" max="45" width="18.125" style="6" bestFit="1" customWidth="1"/>
    <col min="46" max="46" width="15.125" style="6" bestFit="1" customWidth="1"/>
    <col min="47" max="47" width="20.75" style="6" bestFit="1" customWidth="1"/>
    <col min="48" max="48" width="22.5" style="6" bestFit="1" customWidth="1"/>
    <col min="49" max="49" width="13.125" style="6" bestFit="1" customWidth="1"/>
    <col min="50" max="50" width="12.75" style="6" bestFit="1" customWidth="1"/>
    <col min="51" max="51" width="15.375" style="6" bestFit="1" customWidth="1"/>
    <col min="52" max="52" width="14.5" style="6" bestFit="1" customWidth="1"/>
    <col min="53" max="53" width="18.125" style="6" bestFit="1" customWidth="1"/>
    <col min="54" max="54" width="19.125" style="6" bestFit="1" customWidth="1"/>
    <col min="55" max="55" width="14.125" style="6" bestFit="1" customWidth="1"/>
    <col min="56" max="57" width="13.875" style="6" bestFit="1" customWidth="1"/>
    <col min="58" max="58" width="13.25" style="6" bestFit="1" customWidth="1"/>
    <col min="59" max="59" width="15" style="6" bestFit="1" customWidth="1"/>
    <col min="60" max="60" width="11.5" style="6" bestFit="1" customWidth="1"/>
    <col min="61" max="61" width="14.75" style="6" bestFit="1" customWidth="1"/>
    <col min="62" max="62" width="12.75" style="6" bestFit="1" customWidth="1"/>
    <col min="63" max="63" width="14.75" style="6" bestFit="1" customWidth="1"/>
    <col min="64" max="64" width="17.125" style="6" bestFit="1" customWidth="1"/>
    <col min="65" max="65" width="15.75" style="6" bestFit="1" customWidth="1"/>
    <col min="66" max="66" width="22.25" style="6" bestFit="1" customWidth="1"/>
    <col min="67" max="67" width="20.75" style="6" bestFit="1" customWidth="1"/>
    <col min="68" max="73" width="24.25" style="6" bestFit="1" customWidth="1"/>
    <col min="74" max="74" width="24.125" style="6" bestFit="1" customWidth="1"/>
    <col min="75" max="75" width="19" style="6" bestFit="1" customWidth="1"/>
    <col min="76" max="76" width="21.5" style="6" bestFit="1" customWidth="1"/>
    <col min="77" max="77" width="20.375" style="6" bestFit="1" customWidth="1"/>
    <col min="78" max="78" width="20.125" style="6" bestFit="1" customWidth="1"/>
    <col min="79" max="79" width="21.5" style="6" bestFit="1" customWidth="1"/>
    <col min="80" max="80" width="21.875" style="6" bestFit="1" customWidth="1"/>
    <col min="81" max="81" width="21.25" style="6" bestFit="1" customWidth="1"/>
    <col min="82" max="82" width="20.25" style="6" bestFit="1" customWidth="1"/>
    <col min="83" max="83" width="20" style="6" bestFit="1" customWidth="1"/>
    <col min="84" max="84" width="12.5" style="6" bestFit="1" customWidth="1"/>
    <col min="85" max="85" width="13.5" style="6" bestFit="1" customWidth="1"/>
    <col min="86" max="86" width="18.25" style="6" bestFit="1" customWidth="1"/>
    <col min="87" max="88" width="16.25" style="6" bestFit="1" customWidth="1"/>
    <col min="89" max="89" width="14.375" style="6" bestFit="1" customWidth="1"/>
    <col min="90" max="90" width="12.875" style="6" bestFit="1" customWidth="1"/>
    <col min="91" max="91" width="10.875" style="6" bestFit="1" customWidth="1"/>
    <col min="92" max="92" width="15.875" style="6" bestFit="1" customWidth="1"/>
    <col min="93" max="93" width="15.25" style="6" bestFit="1" customWidth="1"/>
    <col min="94" max="94" width="11.375" style="6" bestFit="1" customWidth="1"/>
    <col min="95" max="95" width="13.875" style="6" bestFit="1" customWidth="1"/>
    <col min="96" max="96" width="13.25" style="6" bestFit="1" customWidth="1"/>
    <col min="97" max="97" width="12.625" style="6" bestFit="1" customWidth="1"/>
    <col min="98" max="98" width="11.625" style="6" bestFit="1" customWidth="1"/>
    <col min="99" max="99" width="12.75" style="6" bestFit="1" customWidth="1"/>
    <col min="100" max="100" width="13.125" style="6" bestFit="1" customWidth="1"/>
    <col min="101" max="101" width="10.625" style="6" bestFit="1" customWidth="1"/>
    <col min="102" max="102" width="10.125" style="6" bestFit="1" customWidth="1"/>
    <col min="103" max="103" width="10" style="6" bestFit="1" customWidth="1"/>
    <col min="104" max="104" width="11.5" style="6" bestFit="1" customWidth="1"/>
    <col min="105" max="105" width="18.75" style="6" bestFit="1" customWidth="1"/>
    <col min="106" max="106" width="23.75" style="6" bestFit="1" customWidth="1"/>
    <col min="107" max="107" width="24.125" style="6" bestFit="1" customWidth="1"/>
    <col min="108" max="109" width="23.25" style="6" bestFit="1" customWidth="1"/>
    <col min="110" max="110" width="23.5" style="6" bestFit="1" customWidth="1"/>
    <col min="111" max="111" width="22" style="6" bestFit="1" customWidth="1"/>
    <col min="112" max="112" width="20.125" style="6" bestFit="1" customWidth="1"/>
    <col min="113" max="115" width="24.25" style="6" bestFit="1" customWidth="1"/>
    <col min="116" max="116" width="16.5" style="6" bestFit="1" customWidth="1"/>
    <col min="117" max="117" width="17.75" style="6" bestFit="1" customWidth="1"/>
    <col min="118" max="118" width="15.25" style="6" bestFit="1" customWidth="1"/>
    <col min="119" max="119" width="11.875" style="6" bestFit="1" customWidth="1"/>
    <col min="120" max="120" width="22" style="6" bestFit="1" customWidth="1"/>
    <col min="121" max="122" width="24.25" style="6" bestFit="1" customWidth="1"/>
    <col min="123" max="123" width="18.125" style="6" bestFit="1" customWidth="1"/>
    <col min="124" max="124" width="23.375" style="6" bestFit="1" customWidth="1"/>
    <col min="125" max="125" width="18.125" style="6" bestFit="1" customWidth="1"/>
    <col min="126" max="126" width="23.75" style="6" bestFit="1" customWidth="1"/>
    <col min="127" max="127" width="24" style="6" bestFit="1" customWidth="1"/>
    <col min="128" max="128" width="15" style="6" bestFit="1" customWidth="1"/>
    <col min="129" max="129" width="20" style="6" bestFit="1" customWidth="1"/>
    <col min="130" max="130" width="20.625" style="6" bestFit="1" customWidth="1"/>
    <col min="131" max="131" width="22.125" style="6" bestFit="1" customWidth="1"/>
    <col min="132" max="132" width="20.75" style="6" bestFit="1" customWidth="1"/>
    <col min="133" max="133" width="21.5" style="6" bestFit="1" customWidth="1"/>
    <col min="134" max="134" width="21.875" style="6" bestFit="1" customWidth="1"/>
    <col min="135" max="135" width="24.25" style="6" bestFit="1" customWidth="1"/>
    <col min="136" max="136" width="21.875" style="6" bestFit="1" customWidth="1"/>
    <col min="137" max="137" width="23.375" style="6" bestFit="1" customWidth="1"/>
    <col min="138" max="138" width="21.25" style="6" bestFit="1" customWidth="1"/>
    <col min="139" max="139" width="20.25" style="6" bestFit="1" customWidth="1"/>
    <col min="140" max="140" width="20.625" style="6" bestFit="1" customWidth="1"/>
    <col min="141" max="141" width="19.125" style="6" bestFit="1" customWidth="1"/>
    <col min="142" max="142" width="17.875" style="6" bestFit="1" customWidth="1"/>
    <col min="143" max="143" width="8.75" style="6" bestFit="1" customWidth="1"/>
    <col min="144" max="144" width="11.375" style="6" bestFit="1" customWidth="1"/>
    <col min="145" max="145" width="19.125" style="6" bestFit="1" customWidth="1"/>
    <col min="146" max="146" width="19" style="6" bestFit="1" customWidth="1"/>
    <col min="147" max="147" width="19.125" style="6" bestFit="1" customWidth="1"/>
    <col min="148" max="148" width="15.25" style="6" bestFit="1" customWidth="1"/>
    <col min="149" max="149" width="16.25" style="6" bestFit="1" customWidth="1"/>
    <col min="150" max="150" width="15.125" style="6" bestFit="1" customWidth="1"/>
    <col min="151" max="151" width="14" style="6" bestFit="1" customWidth="1"/>
    <col min="152" max="152" width="9.75" style="6" bestFit="1" customWidth="1"/>
    <col min="153" max="153" width="13.875" style="6" bestFit="1" customWidth="1"/>
    <col min="154" max="154" width="21" style="6" bestFit="1" customWidth="1"/>
    <col min="155" max="155" width="17.5" style="6" bestFit="1" customWidth="1"/>
    <col min="156" max="156" width="13.5" style="6" bestFit="1" customWidth="1"/>
    <col min="157" max="157" width="13.25" style="6" bestFit="1" customWidth="1"/>
    <col min="158" max="158" width="16.375" style="6" bestFit="1" customWidth="1"/>
    <col min="159" max="159" width="14.75" style="6" bestFit="1" customWidth="1"/>
    <col min="160" max="160" width="18.875" style="6" bestFit="1" customWidth="1"/>
    <col min="161" max="161" width="16" style="6" bestFit="1" customWidth="1"/>
    <col min="162" max="162" width="16.5" style="6" bestFit="1" customWidth="1"/>
    <col min="163" max="165" width="13.25" style="6" bestFit="1" customWidth="1"/>
    <col min="166" max="167" width="13.5" style="6" bestFit="1" customWidth="1"/>
    <col min="168" max="168" width="12.5" style="6" bestFit="1" customWidth="1"/>
    <col min="169" max="169" width="13.875" style="6" bestFit="1" customWidth="1"/>
    <col min="170" max="170" width="14" style="6" bestFit="1" customWidth="1"/>
    <col min="171" max="171" width="14.125" style="6" bestFit="1" customWidth="1"/>
    <col min="172" max="176" width="24.25" style="6" bestFit="1" customWidth="1"/>
    <col min="177" max="177" width="24.125" style="6" bestFit="1" customWidth="1"/>
    <col min="178" max="180" width="24.25" style="6" bestFit="1" customWidth="1"/>
    <col min="181" max="181" width="21.375" style="6" bestFit="1" customWidth="1"/>
    <col min="182" max="184" width="21.75" style="6" bestFit="1" customWidth="1"/>
    <col min="185" max="185" width="23" style="6" bestFit="1" customWidth="1"/>
    <col min="186" max="186" width="21.5" style="6" bestFit="1" customWidth="1"/>
    <col min="187" max="187" width="23.75" style="6" bestFit="1" customWidth="1"/>
    <col min="188" max="188" width="20.25" style="6" bestFit="1" customWidth="1"/>
    <col min="189" max="191" width="20.75" style="6" bestFit="1" customWidth="1"/>
    <col min="192" max="194" width="21.125" style="6" bestFit="1" customWidth="1"/>
    <col min="195" max="195" width="14.875" style="6" bestFit="1" customWidth="1"/>
    <col min="196" max="196" width="13.375" style="6" bestFit="1" customWidth="1"/>
    <col min="197" max="197" width="14.625" style="6" bestFit="1" customWidth="1"/>
    <col min="198" max="198" width="14.875" style="6" bestFit="1" customWidth="1"/>
    <col min="199" max="199" width="13.375" style="6" bestFit="1" customWidth="1"/>
    <col min="200" max="200" width="15.25" style="6" bestFit="1" customWidth="1"/>
    <col min="201" max="201" width="15.5" style="6" bestFit="1" customWidth="1"/>
    <col min="202" max="202" width="12.75" style="6" bestFit="1" customWidth="1"/>
    <col min="203" max="203" width="14.875" style="6" bestFit="1" customWidth="1"/>
    <col min="204" max="204" width="15" style="6" bestFit="1" customWidth="1"/>
    <col min="205" max="205" width="12.375" style="6" bestFit="1" customWidth="1"/>
    <col min="206" max="206" width="13.75" style="6" bestFit="1" customWidth="1"/>
    <col min="207" max="207" width="13.875" style="6" customWidth="1"/>
    <col min="208" max="209" width="14" style="6" bestFit="1" customWidth="1"/>
    <col min="210" max="212" width="19.875" style="7" customWidth="1"/>
    <col min="213" max="223" width="17.125" style="6" customWidth="1"/>
    <col min="224" max="224" width="17.5" style="6" customWidth="1"/>
    <col min="225" max="225" width="17.625" style="6" customWidth="1"/>
    <col min="226" max="227" width="16.625" style="6" customWidth="1"/>
    <col min="228" max="228" width="17.375" style="6" customWidth="1"/>
    <col min="229" max="229" width="17.625" style="6" customWidth="1"/>
    <col min="230" max="231" width="17.5" style="6" customWidth="1"/>
    <col min="232" max="233" width="17.625" style="6" customWidth="1"/>
    <col min="234" max="234" width="17.5" style="6" customWidth="1"/>
    <col min="235" max="235" width="17.125" style="6" customWidth="1"/>
    <col min="236" max="236" width="18" style="6" customWidth="1"/>
    <col min="237" max="237" width="17.125" style="6" customWidth="1"/>
    <col min="238" max="238" width="17.625" style="6" customWidth="1"/>
    <col min="239" max="239" width="18.875" style="6" customWidth="1"/>
    <col min="240" max="241" width="17.125" style="6" customWidth="1"/>
    <col min="242" max="242" width="17.5" style="6" customWidth="1"/>
    <col min="243" max="244" width="17.625" style="6" customWidth="1"/>
    <col min="245" max="245" width="17.375" style="6" customWidth="1"/>
    <col min="246" max="246" width="18.5" style="6" customWidth="1"/>
    <col min="247" max="247" width="17.875" style="6" customWidth="1"/>
    <col min="248" max="248" width="17.375" style="6" customWidth="1"/>
    <col min="249" max="249" width="17.5" style="6" customWidth="1"/>
    <col min="250" max="250" width="16.625" style="6" customWidth="1"/>
    <col min="251" max="251" width="17.5" style="6" customWidth="1"/>
    <col min="252" max="254" width="17.875" style="6" customWidth="1"/>
    <col min="255" max="255" width="17.375" style="6" customWidth="1"/>
    <col min="256" max="256" width="18.5" style="6" customWidth="1"/>
    <col min="257" max="257" width="19.625" style="6" customWidth="1"/>
    <col min="258" max="262" width="17.5" style="6" customWidth="1"/>
    <col min="263" max="263" width="18" style="6" customWidth="1"/>
    <col min="264" max="274" width="17.5" style="6" customWidth="1"/>
    <col min="275" max="275" width="19" style="6" customWidth="1"/>
    <col min="276" max="276" width="18" style="6" customWidth="1"/>
    <col min="277" max="277" width="19.625" style="6" customWidth="1"/>
    <col min="278" max="280" width="22.875" style="6" customWidth="1"/>
    <col min="281" max="281" width="19.625" style="6" customWidth="1"/>
    <col min="282" max="282" width="21.625" style="6" customWidth="1"/>
    <col min="283" max="283" width="19.625" style="6" customWidth="1"/>
    <col min="284" max="284" width="18" style="6" customWidth="1"/>
    <col min="285" max="285" width="19" style="6" customWidth="1"/>
    <col min="286" max="287" width="18" style="6" customWidth="1"/>
    <col min="288" max="290" width="19" style="6" customWidth="1"/>
    <col min="291" max="292" width="18" style="6" customWidth="1"/>
    <col min="293" max="294" width="17" style="6" customWidth="1"/>
    <col min="295" max="296" width="17.125" style="6" customWidth="1"/>
    <col min="297" max="298" width="16.875" style="6" customWidth="1"/>
    <col min="299" max="299" width="17.5" style="6" customWidth="1"/>
    <col min="300" max="301" width="17.125" style="6" customWidth="1"/>
    <col min="302" max="302" width="17.625" style="6" customWidth="1"/>
    <col min="303" max="303" width="16.625" style="6" customWidth="1"/>
    <col min="304" max="304" width="17.375" style="6" customWidth="1"/>
    <col min="305" max="305" width="17.125" style="6" customWidth="1"/>
    <col min="306" max="306" width="17.625" style="6" customWidth="1"/>
    <col min="307" max="307" width="16.625" style="6" customWidth="1"/>
    <col min="308" max="309" width="17.375" style="6" customWidth="1"/>
    <col min="310" max="310" width="17.625" style="6" customWidth="1"/>
    <col min="311" max="312" width="17.125" style="6" customWidth="1"/>
    <col min="313" max="314" width="17.875" style="6" customWidth="1"/>
    <col min="315" max="315" width="19.875" style="6" customWidth="1"/>
    <col min="316" max="316" width="20.625" style="6" customWidth="1"/>
    <col min="317" max="319" width="19.875" style="6" customWidth="1"/>
    <col min="320" max="321" width="19" style="6" customWidth="1"/>
    <col min="322" max="322" width="20.625" style="6" customWidth="1"/>
    <col min="323" max="323" width="22.625" style="6" customWidth="1"/>
    <col min="324" max="324" width="23.875" style="6" customWidth="1"/>
    <col min="325" max="327" width="17.875" style="6" customWidth="1"/>
    <col min="328" max="328" width="16.875" style="6" customWidth="1"/>
    <col min="329" max="329" width="19.125" style="6" customWidth="1"/>
    <col min="330" max="331" width="21.625" style="6" customWidth="1"/>
    <col min="332" max="332" width="16.875" style="6" customWidth="1"/>
    <col min="333" max="333" width="20" style="6" customWidth="1"/>
    <col min="334" max="334" width="16.875" style="6" customWidth="1"/>
    <col min="335" max="336" width="20" style="6" customWidth="1"/>
    <col min="337" max="337" width="16.875" style="6" customWidth="1"/>
    <col min="338" max="338" width="18" style="6" customWidth="1"/>
    <col min="339" max="339" width="19.125" style="6" customWidth="1"/>
    <col min="340" max="340" width="18.875" style="6" customWidth="1"/>
    <col min="341" max="341" width="18.125" style="6" customWidth="1"/>
    <col min="342" max="343" width="18.875" style="6" customWidth="1"/>
    <col min="344" max="344" width="19.625" style="6" customWidth="1"/>
    <col min="345" max="345" width="19.125" style="6" customWidth="1"/>
    <col min="346" max="346" width="19.625" style="6" customWidth="1"/>
    <col min="347" max="349" width="18.625" style="6" customWidth="1"/>
    <col min="350" max="350" width="17.5" style="6" customWidth="1"/>
    <col min="351" max="351" width="17.125" style="6" customWidth="1"/>
    <col min="352" max="352" width="15.125" style="6" customWidth="1"/>
    <col min="353" max="353" width="17.375" style="6" customWidth="1"/>
    <col min="354" max="356" width="18" style="6" customWidth="1"/>
    <col min="357" max="359" width="17.375" style="6" customWidth="1"/>
    <col min="360" max="360" width="16.875" style="6" customWidth="1"/>
    <col min="361" max="362" width="18" style="6" customWidth="1"/>
    <col min="363" max="363" width="18.625" style="6" customWidth="1"/>
    <col min="364" max="366" width="18" style="6" customWidth="1"/>
    <col min="367" max="371" width="17.625" style="6" customWidth="1"/>
    <col min="372" max="16384" width="9" style="6"/>
  </cols>
  <sheetData>
    <row r="1" spans="1:212" s="5" customFormat="1" x14ac:dyDescent="0.2">
      <c r="A1" s="8" t="s">
        <v>6</v>
      </c>
      <c r="B1" s="8" t="s">
        <v>7</v>
      </c>
      <c r="C1" s="8" t="s">
        <v>8</v>
      </c>
      <c r="D1" s="9" t="s">
        <v>9</v>
      </c>
      <c r="E1" s="9" t="s">
        <v>10</v>
      </c>
      <c r="F1" s="9" t="s">
        <v>11</v>
      </c>
      <c r="G1" s="9" t="s">
        <v>12</v>
      </c>
      <c r="H1" s="9" t="s">
        <v>13</v>
      </c>
      <c r="I1" s="9" t="s">
        <v>14</v>
      </c>
      <c r="J1" s="9" t="s">
        <v>15</v>
      </c>
      <c r="K1" s="9" t="s">
        <v>16</v>
      </c>
      <c r="L1" s="9" t="s">
        <v>17</v>
      </c>
      <c r="M1" s="9" t="s">
        <v>18</v>
      </c>
      <c r="N1" s="9" t="s">
        <v>19</v>
      </c>
      <c r="O1" s="9" t="s">
        <v>20</v>
      </c>
      <c r="P1" s="9" t="s">
        <v>21</v>
      </c>
      <c r="Q1" s="9" t="s">
        <v>22</v>
      </c>
      <c r="R1" s="9" t="s">
        <v>23</v>
      </c>
      <c r="S1" s="9" t="s">
        <v>24</v>
      </c>
      <c r="T1" s="9" t="s">
        <v>25</v>
      </c>
      <c r="U1" s="9" t="s">
        <v>26</v>
      </c>
      <c r="V1" s="9" t="s">
        <v>27</v>
      </c>
      <c r="W1" s="9" t="s">
        <v>28</v>
      </c>
      <c r="X1" s="9" t="s">
        <v>29</v>
      </c>
      <c r="Y1" s="9" t="s">
        <v>30</v>
      </c>
      <c r="Z1" s="9" t="s">
        <v>31</v>
      </c>
      <c r="AA1" s="9" t="s">
        <v>32</v>
      </c>
      <c r="AB1" s="9" t="s">
        <v>33</v>
      </c>
      <c r="AC1" s="9" t="s">
        <v>34</v>
      </c>
      <c r="AD1" s="9" t="s">
        <v>35</v>
      </c>
      <c r="AE1" s="9" t="s">
        <v>36</v>
      </c>
      <c r="AF1" s="9" t="s">
        <v>37</v>
      </c>
      <c r="AG1" s="9" t="s">
        <v>38</v>
      </c>
      <c r="AH1" s="9" t="s">
        <v>39</v>
      </c>
      <c r="AI1" s="9" t="s">
        <v>40</v>
      </c>
      <c r="AJ1" s="9" t="s">
        <v>41</v>
      </c>
      <c r="AK1" s="9" t="s">
        <v>42</v>
      </c>
      <c r="AL1" s="9" t="s">
        <v>43</v>
      </c>
      <c r="AM1" s="9" t="s">
        <v>44</v>
      </c>
      <c r="AN1" s="9" t="s">
        <v>45</v>
      </c>
      <c r="AO1" s="9" t="s">
        <v>46</v>
      </c>
      <c r="AP1" s="9" t="s">
        <v>47</v>
      </c>
      <c r="AQ1" s="9" t="s">
        <v>48</v>
      </c>
      <c r="AR1" s="9" t="s">
        <v>49</v>
      </c>
      <c r="AS1" s="9" t="s">
        <v>50</v>
      </c>
      <c r="AT1" s="9" t="s">
        <v>51</v>
      </c>
      <c r="AU1" s="9" t="s">
        <v>52</v>
      </c>
      <c r="AV1" s="9" t="s">
        <v>53</v>
      </c>
      <c r="AW1" s="9" t="s">
        <v>54</v>
      </c>
      <c r="AX1" s="9" t="s">
        <v>55</v>
      </c>
      <c r="AY1" s="9" t="s">
        <v>56</v>
      </c>
      <c r="AZ1" s="9" t="s">
        <v>57</v>
      </c>
      <c r="BA1" s="9" t="s">
        <v>58</v>
      </c>
      <c r="BB1" s="9" t="s">
        <v>59</v>
      </c>
      <c r="BC1" s="9" t="s">
        <v>60</v>
      </c>
      <c r="BD1" s="9" t="s">
        <v>61</v>
      </c>
      <c r="BE1" s="9" t="s">
        <v>62</v>
      </c>
      <c r="BF1" s="9" t="s">
        <v>63</v>
      </c>
      <c r="BG1" s="9" t="s">
        <v>64</v>
      </c>
      <c r="BH1" s="9" t="s">
        <v>65</v>
      </c>
      <c r="BI1" s="9" t="s">
        <v>66</v>
      </c>
      <c r="BJ1" s="9" t="s">
        <v>67</v>
      </c>
      <c r="BK1" s="9" t="s">
        <v>68</v>
      </c>
      <c r="BL1" s="9" t="s">
        <v>69</v>
      </c>
      <c r="BM1" s="9" t="s">
        <v>70</v>
      </c>
      <c r="BN1" s="9" t="s">
        <v>71</v>
      </c>
      <c r="BO1" s="9" t="s">
        <v>72</v>
      </c>
      <c r="BP1" s="9" t="s">
        <v>73</v>
      </c>
      <c r="BQ1" s="9" t="s">
        <v>74</v>
      </c>
      <c r="BR1" s="9" t="s">
        <v>75</v>
      </c>
      <c r="BS1" s="9" t="s">
        <v>76</v>
      </c>
      <c r="BT1" s="9" t="s">
        <v>77</v>
      </c>
      <c r="BU1" s="9" t="s">
        <v>78</v>
      </c>
      <c r="BV1" s="9" t="s">
        <v>79</v>
      </c>
      <c r="BW1" s="9" t="s">
        <v>80</v>
      </c>
      <c r="BX1" s="9" t="s">
        <v>81</v>
      </c>
      <c r="BY1" s="9" t="s">
        <v>82</v>
      </c>
      <c r="BZ1" s="9" t="s">
        <v>83</v>
      </c>
      <c r="CA1" s="9" t="s">
        <v>84</v>
      </c>
      <c r="CB1" s="9" t="s">
        <v>85</v>
      </c>
      <c r="CC1" s="9" t="s">
        <v>86</v>
      </c>
      <c r="CD1" s="9" t="s">
        <v>87</v>
      </c>
      <c r="CE1" s="9" t="s">
        <v>88</v>
      </c>
      <c r="CF1" s="9" t="s">
        <v>89</v>
      </c>
      <c r="CG1" s="9" t="s">
        <v>90</v>
      </c>
      <c r="CH1" s="9" t="s">
        <v>91</v>
      </c>
      <c r="CI1" s="9" t="s">
        <v>92</v>
      </c>
      <c r="CJ1" s="9" t="s">
        <v>93</v>
      </c>
      <c r="CK1" s="9" t="s">
        <v>94</v>
      </c>
      <c r="CL1" s="9" t="s">
        <v>95</v>
      </c>
      <c r="CM1" s="9" t="s">
        <v>96</v>
      </c>
      <c r="CN1" s="9" t="s">
        <v>97</v>
      </c>
      <c r="CO1" s="9" t="s">
        <v>98</v>
      </c>
      <c r="CP1" s="9" t="s">
        <v>99</v>
      </c>
      <c r="CQ1" s="9" t="s">
        <v>100</v>
      </c>
      <c r="CR1" s="9" t="s">
        <v>101</v>
      </c>
      <c r="CS1" s="9" t="s">
        <v>102</v>
      </c>
      <c r="CT1" s="9" t="s">
        <v>103</v>
      </c>
      <c r="CU1" s="9" t="s">
        <v>104</v>
      </c>
      <c r="CV1" s="9" t="s">
        <v>105</v>
      </c>
      <c r="CW1" s="9" t="s">
        <v>106</v>
      </c>
      <c r="CX1" s="9" t="s">
        <v>107</v>
      </c>
      <c r="CY1" s="9" t="s">
        <v>108</v>
      </c>
      <c r="CZ1" s="9" t="s">
        <v>109</v>
      </c>
      <c r="DA1" s="9" t="s">
        <v>110</v>
      </c>
      <c r="DB1" s="9" t="s">
        <v>111</v>
      </c>
      <c r="DC1" s="9" t="s">
        <v>112</v>
      </c>
      <c r="DD1" s="9" t="s">
        <v>113</v>
      </c>
      <c r="DE1" s="9" t="s">
        <v>114</v>
      </c>
      <c r="DF1" s="9" t="s">
        <v>115</v>
      </c>
      <c r="DG1" s="9" t="s">
        <v>116</v>
      </c>
      <c r="DH1" s="9" t="s">
        <v>117</v>
      </c>
      <c r="DI1" s="9" t="s">
        <v>118</v>
      </c>
      <c r="DJ1" s="9" t="s">
        <v>119</v>
      </c>
      <c r="DK1" s="9" t="s">
        <v>120</v>
      </c>
      <c r="DL1" s="9" t="s">
        <v>121</v>
      </c>
      <c r="DM1" s="9" t="s">
        <v>122</v>
      </c>
      <c r="DN1" s="9" t="s">
        <v>123</v>
      </c>
      <c r="DO1" s="9" t="s">
        <v>124</v>
      </c>
      <c r="DP1" s="9" t="s">
        <v>125</v>
      </c>
      <c r="DQ1" s="9" t="s">
        <v>126</v>
      </c>
      <c r="DR1" s="9" t="s">
        <v>127</v>
      </c>
      <c r="DS1" s="9" t="s">
        <v>128</v>
      </c>
      <c r="DT1" s="9" t="s">
        <v>129</v>
      </c>
      <c r="DU1" s="9" t="s">
        <v>130</v>
      </c>
      <c r="DV1" s="9" t="s">
        <v>131</v>
      </c>
      <c r="DW1" s="9" t="s">
        <v>132</v>
      </c>
      <c r="DX1" s="9" t="s">
        <v>133</v>
      </c>
      <c r="DY1" s="9" t="s">
        <v>134</v>
      </c>
      <c r="DZ1" s="9" t="s">
        <v>135</v>
      </c>
      <c r="EA1" s="9" t="s">
        <v>136</v>
      </c>
      <c r="EB1" s="9" t="s">
        <v>137</v>
      </c>
      <c r="EC1" s="9" t="s">
        <v>138</v>
      </c>
      <c r="ED1" s="9" t="s">
        <v>139</v>
      </c>
      <c r="EE1" s="9" t="s">
        <v>140</v>
      </c>
      <c r="EF1" s="9" t="s">
        <v>141</v>
      </c>
      <c r="EG1" s="9" t="s">
        <v>142</v>
      </c>
      <c r="EH1" s="9" t="s">
        <v>143</v>
      </c>
      <c r="EI1" s="9" t="s">
        <v>144</v>
      </c>
      <c r="EJ1" s="9" t="s">
        <v>145</v>
      </c>
      <c r="EK1" s="9" t="s">
        <v>146</v>
      </c>
      <c r="EL1" s="9" t="s">
        <v>147</v>
      </c>
      <c r="EM1" s="9" t="s">
        <v>148</v>
      </c>
      <c r="EN1" s="9" t="s">
        <v>149</v>
      </c>
      <c r="EO1" s="9" t="s">
        <v>150</v>
      </c>
      <c r="EP1" s="9" t="s">
        <v>151</v>
      </c>
      <c r="EQ1" s="9" t="s">
        <v>152</v>
      </c>
      <c r="ER1" s="9" t="s">
        <v>153</v>
      </c>
      <c r="ES1" s="9" t="s">
        <v>154</v>
      </c>
      <c r="ET1" s="9" t="s">
        <v>155</v>
      </c>
      <c r="EU1" t="s">
        <v>826</v>
      </c>
      <c r="EV1" s="9" t="s">
        <v>156</v>
      </c>
      <c r="EW1" s="9" t="s">
        <v>157</v>
      </c>
      <c r="EX1" s="9" t="s">
        <v>158</v>
      </c>
      <c r="EY1" s="9" t="s">
        <v>159</v>
      </c>
      <c r="EZ1" s="9" t="s">
        <v>160</v>
      </c>
      <c r="FA1" s="9" t="s">
        <v>161</v>
      </c>
      <c r="FB1" s="9" t="s">
        <v>162</v>
      </c>
      <c r="FC1" s="9" t="s">
        <v>163</v>
      </c>
      <c r="FD1" s="9" t="s">
        <v>164</v>
      </c>
      <c r="FE1" s="9" t="s">
        <v>165</v>
      </c>
      <c r="FF1" s="9" t="s">
        <v>166</v>
      </c>
      <c r="FG1" t="s">
        <v>830</v>
      </c>
      <c r="FH1" t="s">
        <v>831</v>
      </c>
      <c r="FI1" t="s">
        <v>832</v>
      </c>
      <c r="FJ1" s="9" t="s">
        <v>167</v>
      </c>
      <c r="FK1" t="s">
        <v>833</v>
      </c>
      <c r="FL1" s="9" t="s">
        <v>168</v>
      </c>
      <c r="FM1" s="9" t="s">
        <v>169</v>
      </c>
      <c r="FN1" s="9" t="s">
        <v>170</v>
      </c>
      <c r="FO1" t="s">
        <v>828</v>
      </c>
      <c r="FP1" t="s">
        <v>834</v>
      </c>
      <c r="FQ1" t="s">
        <v>835</v>
      </c>
      <c r="FR1" t="s">
        <v>836</v>
      </c>
      <c r="FS1" t="s">
        <v>837</v>
      </c>
      <c r="FT1" t="s">
        <v>838</v>
      </c>
      <c r="FU1" t="s">
        <v>839</v>
      </c>
      <c r="FV1" t="s">
        <v>840</v>
      </c>
      <c r="FW1" t="s">
        <v>841</v>
      </c>
      <c r="FX1" t="s">
        <v>842</v>
      </c>
    </row>
    <row r="2" spans="1:212" x14ac:dyDescent="0.2">
      <c r="A2" s="8" t="s">
        <v>843</v>
      </c>
      <c r="B2" s="8" t="s">
        <v>171</v>
      </c>
      <c r="C2" s="8" t="s">
        <v>172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>
        <v>13474.4</v>
      </c>
      <c r="BO2" s="9">
        <v>10562.8</v>
      </c>
      <c r="BP2" s="9">
        <v>1923.8</v>
      </c>
      <c r="BQ2" s="9">
        <v>1240.5999999999999</v>
      </c>
      <c r="BR2" s="9">
        <v>683.1</v>
      </c>
      <c r="BS2" s="9">
        <v>2164.3000000000002</v>
      </c>
      <c r="BT2" s="9">
        <v>3369.1</v>
      </c>
      <c r="BU2" s="9">
        <v>1902.2</v>
      </c>
      <c r="BV2" s="9">
        <v>2704</v>
      </c>
      <c r="BW2" s="9">
        <v>20397.7</v>
      </c>
      <c r="BX2" s="9">
        <v>173.7</v>
      </c>
      <c r="BY2" s="9">
        <v>5602.4</v>
      </c>
      <c r="BZ2" s="9">
        <v>6622.2</v>
      </c>
      <c r="CA2" s="9">
        <v>280.5</v>
      </c>
      <c r="CB2" s="9">
        <v>0</v>
      </c>
      <c r="CC2" s="9">
        <v>0</v>
      </c>
      <c r="CD2" s="9">
        <v>0</v>
      </c>
      <c r="CE2" s="9">
        <v>827.3</v>
      </c>
      <c r="CF2" s="9">
        <v>102558.5889</v>
      </c>
      <c r="CG2" s="9">
        <v>211329.7599</v>
      </c>
      <c r="CH2" s="9"/>
      <c r="CI2" s="9"/>
      <c r="CJ2" s="9">
        <v>33.4</v>
      </c>
      <c r="CK2" s="9">
        <v>33.1</v>
      </c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>
        <v>41.27</v>
      </c>
      <c r="DP2" s="9">
        <v>8.65</v>
      </c>
      <c r="DQ2" s="9">
        <v>5.13</v>
      </c>
      <c r="DR2" s="9">
        <v>3.51</v>
      </c>
      <c r="DS2" s="9">
        <v>7.53</v>
      </c>
      <c r="DT2" s="9">
        <v>0.08</v>
      </c>
      <c r="DU2" s="9">
        <v>14.4</v>
      </c>
      <c r="DV2" s="9">
        <v>10.62</v>
      </c>
      <c r="DW2" s="9">
        <v>1.06</v>
      </c>
      <c r="DX2" s="9">
        <v>10.67</v>
      </c>
      <c r="DY2" s="9">
        <v>4.32</v>
      </c>
      <c r="DZ2" s="9">
        <v>0.56000000000000005</v>
      </c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>
        <v>1080.76</v>
      </c>
      <c r="EV2" s="9"/>
      <c r="EW2" s="9"/>
      <c r="EX2" s="9"/>
      <c r="EY2" s="9"/>
      <c r="EZ2" s="9"/>
      <c r="FA2" s="9"/>
      <c r="FB2" s="9">
        <v>25.1</v>
      </c>
      <c r="FC2" s="9">
        <v>25.22</v>
      </c>
      <c r="FD2" s="9">
        <v>1843.85</v>
      </c>
      <c r="FE2" s="9">
        <v>12.45</v>
      </c>
      <c r="FF2" s="9">
        <v>284.06562500000001</v>
      </c>
      <c r="FG2"/>
      <c r="FH2"/>
      <c r="FI2"/>
      <c r="FJ2" s="9"/>
      <c r="FK2"/>
      <c r="FL2" s="9"/>
      <c r="FM2" s="9"/>
      <c r="FN2" s="9"/>
      <c r="FO2">
        <v>1087.6099999999999</v>
      </c>
      <c r="FP2"/>
      <c r="FQ2"/>
      <c r="FR2"/>
      <c r="FS2"/>
      <c r="FT2"/>
      <c r="FU2"/>
      <c r="FV2"/>
      <c r="FW2"/>
      <c r="FX2"/>
      <c r="HB2" s="6"/>
      <c r="HC2" s="6"/>
      <c r="HD2" s="6"/>
    </row>
    <row r="3" spans="1:212" x14ac:dyDescent="0.2">
      <c r="A3" s="8" t="s">
        <v>843</v>
      </c>
      <c r="B3" s="8" t="s">
        <v>171</v>
      </c>
      <c r="C3" s="8" t="s">
        <v>173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>
        <v>16086</v>
      </c>
      <c r="BO3" s="9">
        <v>12777.4</v>
      </c>
      <c r="BP3" s="9">
        <v>3241.1</v>
      </c>
      <c r="BQ3" s="9">
        <v>2418.1999999999998</v>
      </c>
      <c r="BR3" s="9">
        <v>823</v>
      </c>
      <c r="BS3" s="9">
        <v>1349.1</v>
      </c>
      <c r="BT3" s="9">
        <v>4302.7</v>
      </c>
      <c r="BU3" s="9">
        <v>1655.4</v>
      </c>
      <c r="BV3" s="9">
        <v>2898.9</v>
      </c>
      <c r="BW3" s="9">
        <v>17890.2</v>
      </c>
      <c r="BX3" s="9">
        <v>4527.1000000000004</v>
      </c>
      <c r="BY3" s="9">
        <v>7042.7</v>
      </c>
      <c r="BZ3" s="9">
        <v>4848.3999999999996</v>
      </c>
      <c r="CA3" s="9">
        <v>930.5</v>
      </c>
      <c r="CB3" s="9">
        <v>0</v>
      </c>
      <c r="CC3" s="9">
        <v>0</v>
      </c>
      <c r="CD3" s="9">
        <v>0</v>
      </c>
      <c r="CE3" s="9">
        <v>840.5</v>
      </c>
      <c r="CF3" s="9">
        <v>94954.791500000007</v>
      </c>
      <c r="CG3" s="9">
        <v>207541.7941</v>
      </c>
      <c r="CH3" s="9"/>
      <c r="CI3" s="9"/>
      <c r="CJ3" s="9">
        <v>45</v>
      </c>
      <c r="CK3" s="9">
        <v>26.5</v>
      </c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>
        <v>34.36</v>
      </c>
      <c r="DP3" s="9">
        <v>7.61</v>
      </c>
      <c r="DQ3" s="9">
        <v>4.51</v>
      </c>
      <c r="DR3" s="9">
        <v>3.1</v>
      </c>
      <c r="DS3" s="9">
        <v>6.95</v>
      </c>
      <c r="DT3" s="9">
        <v>0</v>
      </c>
      <c r="DU3" s="9">
        <v>13.91</v>
      </c>
      <c r="DV3" s="9">
        <v>11.57</v>
      </c>
      <c r="DW3" s="9">
        <v>0.65</v>
      </c>
      <c r="DX3" s="9">
        <v>5.89</v>
      </c>
      <c r="DY3" s="9">
        <v>2.38</v>
      </c>
      <c r="DZ3" s="9">
        <v>0.37</v>
      </c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>
        <v>1089.17</v>
      </c>
      <c r="EV3" s="9"/>
      <c r="EW3" s="9"/>
      <c r="EX3" s="9"/>
      <c r="EY3" s="9"/>
      <c r="EZ3" s="9"/>
      <c r="FA3" s="9"/>
      <c r="FB3" s="9">
        <v>25.1</v>
      </c>
      <c r="FC3" s="9">
        <v>27.63</v>
      </c>
      <c r="FD3" s="9">
        <v>1807.0250000000001</v>
      </c>
      <c r="FE3" s="9">
        <v>12.45</v>
      </c>
      <c r="FF3" s="9">
        <v>299.71499999999997</v>
      </c>
      <c r="FG3"/>
      <c r="FH3"/>
      <c r="FI3"/>
      <c r="FJ3" s="9"/>
      <c r="FK3"/>
      <c r="FL3" s="9"/>
      <c r="FM3" s="9"/>
      <c r="FN3" s="9"/>
      <c r="FO3">
        <v>1092.75</v>
      </c>
      <c r="FP3"/>
      <c r="FQ3"/>
      <c r="FR3"/>
      <c r="FS3"/>
      <c r="FT3"/>
      <c r="FU3"/>
      <c r="FV3"/>
      <c r="FW3"/>
      <c r="FX3"/>
      <c r="HB3" s="6"/>
      <c r="HC3" s="6"/>
      <c r="HD3" s="6"/>
    </row>
    <row r="4" spans="1:212" x14ac:dyDescent="0.2">
      <c r="A4" s="8" t="s">
        <v>843</v>
      </c>
      <c r="B4" s="8" t="s">
        <v>171</v>
      </c>
      <c r="C4" s="8" t="s">
        <v>174</v>
      </c>
      <c r="D4" s="9">
        <v>190998.3</v>
      </c>
      <c r="E4" s="9">
        <v>13829.1</v>
      </c>
      <c r="F4" s="9">
        <v>22652.1</v>
      </c>
      <c r="G4" s="9">
        <v>15346.1</v>
      </c>
      <c r="H4" s="9">
        <v>9089.9</v>
      </c>
      <c r="I4" s="9">
        <v>1540.2</v>
      </c>
      <c r="J4" s="9">
        <v>27040.6</v>
      </c>
      <c r="K4" s="9">
        <v>17342.099999999999</v>
      </c>
      <c r="L4" s="9">
        <v>6469.9</v>
      </c>
      <c r="M4" s="9">
        <v>56543.4</v>
      </c>
      <c r="N4" s="9">
        <v>21144.799999999999</v>
      </c>
      <c r="O4" s="9">
        <v>1173575.1687436907</v>
      </c>
      <c r="P4" s="9">
        <v>57663.496183095398</v>
      </c>
      <c r="Q4" s="9">
        <v>187405.4738641404</v>
      </c>
      <c r="R4" s="9">
        <v>84427.361664097902</v>
      </c>
      <c r="S4" s="9">
        <v>76008.729131233704</v>
      </c>
      <c r="T4" s="9">
        <v>11071.8665871625</v>
      </c>
      <c r="U4" s="9">
        <v>128309.56142844391</v>
      </c>
      <c r="V4" s="9">
        <v>32881.724042677597</v>
      </c>
      <c r="W4" s="9">
        <v>13782.230632213101</v>
      </c>
      <c r="X4" s="9">
        <v>526768.46712988964</v>
      </c>
      <c r="Y4" s="9">
        <v>55256.258080736501</v>
      </c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>
        <v>25548.1</v>
      </c>
      <c r="BO4" s="9">
        <v>19680.5</v>
      </c>
      <c r="BP4" s="9">
        <v>5283.9</v>
      </c>
      <c r="BQ4" s="9">
        <v>4071.4</v>
      </c>
      <c r="BR4" s="9">
        <v>1212.5</v>
      </c>
      <c r="BS4" s="9">
        <v>5008.5</v>
      </c>
      <c r="BT4" s="9">
        <v>4369</v>
      </c>
      <c r="BU4" s="9">
        <v>2880.2</v>
      </c>
      <c r="BV4" s="9">
        <v>5405.8</v>
      </c>
      <c r="BW4" s="9">
        <v>30388</v>
      </c>
      <c r="BX4" s="9">
        <v>8729.1</v>
      </c>
      <c r="BY4" s="9">
        <v>13021.3</v>
      </c>
      <c r="BZ4" s="9">
        <v>7758.2</v>
      </c>
      <c r="CA4" s="9">
        <v>1409.1</v>
      </c>
      <c r="CB4" s="9">
        <v>0</v>
      </c>
      <c r="CC4" s="9">
        <v>0</v>
      </c>
      <c r="CD4" s="9">
        <v>0</v>
      </c>
      <c r="CE4" s="9">
        <v>1542.7</v>
      </c>
      <c r="CF4" s="9">
        <v>116236.9996</v>
      </c>
      <c r="CG4" s="9">
        <v>222434.0465</v>
      </c>
      <c r="CH4" s="9"/>
      <c r="CI4" s="9"/>
      <c r="CJ4" s="9">
        <v>36.5</v>
      </c>
      <c r="CK4" s="9">
        <v>31.7</v>
      </c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>
        <v>63.16</v>
      </c>
      <c r="DP4" s="9">
        <v>21.49</v>
      </c>
      <c r="DQ4" s="9">
        <v>9.2200000000000006</v>
      </c>
      <c r="DR4" s="9">
        <v>12.27</v>
      </c>
      <c r="DS4" s="9">
        <v>10.75</v>
      </c>
      <c r="DT4" s="9">
        <v>0.08</v>
      </c>
      <c r="DU4" s="9">
        <v>23.34</v>
      </c>
      <c r="DV4" s="9">
        <v>18.29</v>
      </c>
      <c r="DW4" s="9">
        <v>1.05</v>
      </c>
      <c r="DX4" s="9">
        <v>7.58</v>
      </c>
      <c r="DY4" s="9">
        <v>2.46</v>
      </c>
      <c r="DZ4" s="9">
        <v>0.37</v>
      </c>
      <c r="EA4" s="9">
        <v>-23.411000000000001</v>
      </c>
      <c r="EB4" s="9">
        <v>-22.934200000000001</v>
      </c>
      <c r="EC4" s="9">
        <v>-14.3344</v>
      </c>
      <c r="ED4" s="9">
        <v>-3.1242000000000001</v>
      </c>
      <c r="EE4" s="9">
        <v>16.981780000000001</v>
      </c>
      <c r="EF4" s="9">
        <v>0</v>
      </c>
      <c r="EG4" s="9">
        <v>-27.789200000000001</v>
      </c>
      <c r="EH4" s="9">
        <v>-15.9085</v>
      </c>
      <c r="EI4" s="9">
        <v>0</v>
      </c>
      <c r="EJ4" s="9">
        <v>0</v>
      </c>
      <c r="EK4" s="9">
        <v>-11.880699999999999</v>
      </c>
      <c r="EL4" s="9">
        <v>-9.7082200000000007</v>
      </c>
      <c r="EM4" s="9">
        <v>-5.33</v>
      </c>
      <c r="EN4" s="9"/>
      <c r="EO4" s="9"/>
      <c r="EP4" s="9"/>
      <c r="EQ4" s="9"/>
      <c r="ER4" s="9"/>
      <c r="ES4" s="9"/>
      <c r="ET4" s="9"/>
      <c r="EU4">
        <v>1091.83</v>
      </c>
      <c r="EV4" s="9">
        <v>4193.2700000000004</v>
      </c>
      <c r="EW4" s="9">
        <v>841.77</v>
      </c>
      <c r="EX4" s="9">
        <v>33</v>
      </c>
      <c r="EY4" s="9">
        <v>4.1399999999999997</v>
      </c>
      <c r="EZ4" s="9">
        <v>890.79</v>
      </c>
      <c r="FA4" s="9">
        <v>2423.58</v>
      </c>
      <c r="FB4" s="9">
        <v>25.1</v>
      </c>
      <c r="FC4" s="9">
        <v>27.47</v>
      </c>
      <c r="FD4" s="9">
        <v>1739.8</v>
      </c>
      <c r="FE4" s="9">
        <v>12.45</v>
      </c>
      <c r="FF4" s="9">
        <v>286.92399999999998</v>
      </c>
      <c r="FG4"/>
      <c r="FH4"/>
      <c r="FI4"/>
      <c r="FJ4" s="9"/>
      <c r="FK4"/>
      <c r="FL4" s="9"/>
      <c r="FM4" s="9"/>
      <c r="FN4" s="9"/>
      <c r="FO4">
        <v>1090</v>
      </c>
      <c r="FP4"/>
      <c r="FQ4"/>
      <c r="FR4"/>
      <c r="FS4"/>
      <c r="FT4"/>
      <c r="FU4"/>
      <c r="FV4"/>
      <c r="FW4"/>
      <c r="FX4"/>
      <c r="HB4" s="6"/>
      <c r="HC4" s="6"/>
      <c r="HD4" s="6"/>
    </row>
    <row r="5" spans="1:212" x14ac:dyDescent="0.2">
      <c r="A5" s="8" t="s">
        <v>843</v>
      </c>
      <c r="B5" s="8" t="s">
        <v>175</v>
      </c>
      <c r="C5" s="8" t="s">
        <v>176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>
        <v>19473.2</v>
      </c>
      <c r="BO5" s="9">
        <v>12201.5</v>
      </c>
      <c r="BP5" s="9">
        <v>3730.4</v>
      </c>
      <c r="BQ5" s="9">
        <v>2410.3000000000002</v>
      </c>
      <c r="BR5" s="9">
        <v>1320.1</v>
      </c>
      <c r="BS5" s="9">
        <v>-84.2</v>
      </c>
      <c r="BT5" s="9">
        <v>3954.6</v>
      </c>
      <c r="BU5" s="9">
        <v>1983</v>
      </c>
      <c r="BV5" s="9">
        <v>6626.3</v>
      </c>
      <c r="BW5" s="9">
        <v>16846</v>
      </c>
      <c r="BX5" s="9">
        <v>-173</v>
      </c>
      <c r="BY5" s="9">
        <v>8071.7</v>
      </c>
      <c r="BZ5" s="9">
        <v>5366.8</v>
      </c>
      <c r="CA5" s="9">
        <v>3097.3</v>
      </c>
      <c r="CB5" s="9">
        <v>0</v>
      </c>
      <c r="CC5" s="9">
        <v>0</v>
      </c>
      <c r="CD5" s="9">
        <v>0</v>
      </c>
      <c r="CE5" s="9">
        <v>3222.8</v>
      </c>
      <c r="CF5" s="9">
        <v>135686.1342</v>
      </c>
      <c r="CG5" s="9">
        <v>234587.2732</v>
      </c>
      <c r="CH5" s="9"/>
      <c r="CI5" s="9"/>
      <c r="CJ5" s="9">
        <v>37</v>
      </c>
      <c r="CK5" s="9">
        <v>29.7</v>
      </c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>
        <v>45.62</v>
      </c>
      <c r="DP5" s="9">
        <v>11.35</v>
      </c>
      <c r="DQ5" s="9">
        <v>6.33</v>
      </c>
      <c r="DR5" s="9">
        <v>5.0199999999999996</v>
      </c>
      <c r="DS5" s="9">
        <v>13.86</v>
      </c>
      <c r="DT5" s="9">
        <v>0.05</v>
      </c>
      <c r="DU5" s="9">
        <v>12.62</v>
      </c>
      <c r="DV5" s="9">
        <v>9.94</v>
      </c>
      <c r="DW5" s="9">
        <v>1.32</v>
      </c>
      <c r="DX5" s="9">
        <v>7.77</v>
      </c>
      <c r="DY5" s="9">
        <v>2.67</v>
      </c>
      <c r="DZ5" s="9">
        <v>1.21</v>
      </c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>
        <v>1059.6300000000001</v>
      </c>
      <c r="EV5" s="9"/>
      <c r="EW5" s="9"/>
      <c r="EX5" s="9"/>
      <c r="EY5" s="9"/>
      <c r="EZ5" s="9"/>
      <c r="FA5" s="9"/>
      <c r="FB5" s="9">
        <v>25.1</v>
      </c>
      <c r="FC5" s="9">
        <v>22.54</v>
      </c>
      <c r="FD5" s="9">
        <v>1681.9075</v>
      </c>
      <c r="FE5" s="9">
        <v>12.45</v>
      </c>
      <c r="FF5" s="9">
        <v>279.65263160000001</v>
      </c>
      <c r="FG5"/>
      <c r="FH5"/>
      <c r="FI5"/>
      <c r="FJ5" s="9"/>
      <c r="FK5"/>
      <c r="FL5" s="9"/>
      <c r="FM5" s="9"/>
      <c r="FN5" s="9"/>
      <c r="FO5">
        <v>1035</v>
      </c>
      <c r="FP5"/>
      <c r="FQ5"/>
      <c r="FR5"/>
      <c r="FS5"/>
      <c r="FT5"/>
      <c r="FU5"/>
      <c r="FV5"/>
      <c r="FW5"/>
      <c r="FX5"/>
      <c r="HB5" s="6"/>
      <c r="HC5" s="6"/>
      <c r="HD5" s="6"/>
    </row>
    <row r="6" spans="1:212" x14ac:dyDescent="0.2">
      <c r="A6" s="8" t="s">
        <v>843</v>
      </c>
      <c r="B6" s="8" t="s">
        <v>175</v>
      </c>
      <c r="C6" s="8" t="s">
        <v>177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>
        <v>25788.3</v>
      </c>
      <c r="BO6" s="9">
        <v>20166.099999999999</v>
      </c>
      <c r="BP6" s="9">
        <v>3976.4</v>
      </c>
      <c r="BQ6" s="9">
        <v>2825.8</v>
      </c>
      <c r="BR6" s="9">
        <v>1150.5999999999999</v>
      </c>
      <c r="BS6" s="9">
        <v>4126.6000000000004</v>
      </c>
      <c r="BT6" s="9">
        <v>3621.5</v>
      </c>
      <c r="BU6" s="9">
        <v>2137.1</v>
      </c>
      <c r="BV6" s="9">
        <v>5545.6</v>
      </c>
      <c r="BW6" s="9">
        <v>29647</v>
      </c>
      <c r="BX6" s="9">
        <v>3423.4</v>
      </c>
      <c r="BY6" s="9">
        <v>7947.1</v>
      </c>
      <c r="BZ6" s="9">
        <v>7583.5</v>
      </c>
      <c r="CA6" s="9">
        <v>1680.2</v>
      </c>
      <c r="CB6" s="9">
        <v>0</v>
      </c>
      <c r="CC6" s="9">
        <v>0</v>
      </c>
      <c r="CD6" s="9">
        <v>0</v>
      </c>
      <c r="CE6" s="9">
        <v>2273.8000000000002</v>
      </c>
      <c r="CF6" s="9">
        <v>139958.28750000001</v>
      </c>
      <c r="CG6" s="9">
        <v>242989.02900000001</v>
      </c>
      <c r="CH6" s="9"/>
      <c r="CI6" s="9"/>
      <c r="CJ6" s="9">
        <v>37.299999999999997</v>
      </c>
      <c r="CK6" s="9">
        <v>26.7</v>
      </c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>
        <v>54.16</v>
      </c>
      <c r="DP6" s="9">
        <v>15.97</v>
      </c>
      <c r="DQ6" s="9">
        <v>7.69</v>
      </c>
      <c r="DR6" s="9">
        <v>8.2799999999999994</v>
      </c>
      <c r="DS6" s="9">
        <v>18.16</v>
      </c>
      <c r="DT6" s="9">
        <v>3.77</v>
      </c>
      <c r="DU6" s="9">
        <v>12.63</v>
      </c>
      <c r="DV6" s="9">
        <v>7.71</v>
      </c>
      <c r="DW6" s="9">
        <v>1.76</v>
      </c>
      <c r="DX6" s="9">
        <v>7.39</v>
      </c>
      <c r="DY6" s="9">
        <v>2.59</v>
      </c>
      <c r="DZ6" s="9">
        <v>0.56999999999999995</v>
      </c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>
        <v>1024.68</v>
      </c>
      <c r="EV6" s="9"/>
      <c r="EW6" s="9"/>
      <c r="EX6" s="9"/>
      <c r="EY6" s="9"/>
      <c r="EZ6" s="9"/>
      <c r="FA6" s="9"/>
      <c r="FB6" s="9">
        <v>25.6</v>
      </c>
      <c r="FC6" s="9">
        <v>27.4</v>
      </c>
      <c r="FD6" s="9">
        <v>1785.0978260869999</v>
      </c>
      <c r="FE6" s="9">
        <v>12.45</v>
      </c>
      <c r="FF6" s="9">
        <v>276.74090910000001</v>
      </c>
      <c r="FG6"/>
      <c r="FH6"/>
      <c r="FI6"/>
      <c r="FJ6" s="9"/>
      <c r="FK6"/>
      <c r="FL6" s="9"/>
      <c r="FM6" s="9"/>
      <c r="FN6" s="9"/>
      <c r="FO6">
        <v>1032.7</v>
      </c>
      <c r="FP6"/>
      <c r="FQ6"/>
      <c r="FR6"/>
      <c r="FS6"/>
      <c r="FT6"/>
      <c r="FU6"/>
      <c r="FV6"/>
      <c r="FW6"/>
      <c r="FX6"/>
      <c r="HB6" s="6"/>
      <c r="HC6" s="6"/>
      <c r="HD6" s="6"/>
    </row>
    <row r="7" spans="1:212" x14ac:dyDescent="0.2">
      <c r="A7" s="8" t="s">
        <v>843</v>
      </c>
      <c r="B7" s="8" t="s">
        <v>175</v>
      </c>
      <c r="C7" s="8" t="s">
        <v>178</v>
      </c>
      <c r="D7" s="9">
        <v>340705</v>
      </c>
      <c r="E7" s="9">
        <v>133654.29999999999</v>
      </c>
      <c r="F7" s="9">
        <v>31140.2</v>
      </c>
      <c r="G7" s="9">
        <v>16559.400000000001</v>
      </c>
      <c r="H7" s="9">
        <v>5891.2</v>
      </c>
      <c r="I7" s="9">
        <v>4673.7</v>
      </c>
      <c r="J7" s="9">
        <v>30636.3</v>
      </c>
      <c r="K7" s="9">
        <v>19110.5</v>
      </c>
      <c r="L7" s="9">
        <v>9384.6</v>
      </c>
      <c r="M7" s="9">
        <v>61024.9</v>
      </c>
      <c r="N7" s="9">
        <v>28630</v>
      </c>
      <c r="O7" s="9">
        <v>2093437.103193166</v>
      </c>
      <c r="P7" s="9">
        <v>636197.66499134467</v>
      </c>
      <c r="Q7" s="9">
        <v>294101.5280537639</v>
      </c>
      <c r="R7" s="9">
        <v>103999.64877122</v>
      </c>
      <c r="S7" s="9">
        <v>56235.455115383404</v>
      </c>
      <c r="T7" s="9">
        <v>38353.644524343697</v>
      </c>
      <c r="U7" s="9">
        <v>165951.46551237151</v>
      </c>
      <c r="V7" s="9">
        <v>41364.428244844799</v>
      </c>
      <c r="W7" s="9">
        <v>22821.269155075999</v>
      </c>
      <c r="X7" s="9">
        <v>649003.45459176798</v>
      </c>
      <c r="Y7" s="9">
        <v>85408.544233049804</v>
      </c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>
        <v>30273.7</v>
      </c>
      <c r="BO7" s="9">
        <v>23644.5</v>
      </c>
      <c r="BP7" s="9">
        <v>4827.8999999999996</v>
      </c>
      <c r="BQ7" s="9">
        <v>3207.2</v>
      </c>
      <c r="BR7" s="9">
        <v>1620.7</v>
      </c>
      <c r="BS7" s="9">
        <v>4615.3</v>
      </c>
      <c r="BT7" s="9">
        <v>6976.9</v>
      </c>
      <c r="BU7" s="9">
        <v>3645.9</v>
      </c>
      <c r="BV7" s="9">
        <v>6337.6</v>
      </c>
      <c r="BW7" s="9">
        <v>31475.1</v>
      </c>
      <c r="BX7" s="9">
        <v>4371.3999999999996</v>
      </c>
      <c r="BY7" s="9">
        <v>11538.8</v>
      </c>
      <c r="BZ7" s="9">
        <v>10024.5</v>
      </c>
      <c r="CA7" s="9">
        <v>696.7</v>
      </c>
      <c r="CB7" s="9">
        <v>0</v>
      </c>
      <c r="CC7" s="9">
        <v>0</v>
      </c>
      <c r="CD7" s="9">
        <v>0</v>
      </c>
      <c r="CE7" s="9">
        <v>4333.5</v>
      </c>
      <c r="CF7" s="9">
        <v>143684.1727</v>
      </c>
      <c r="CG7" s="9">
        <v>255258.0833</v>
      </c>
      <c r="CH7" s="9"/>
      <c r="CI7" s="9"/>
      <c r="CJ7" s="9">
        <v>38.932315387000003</v>
      </c>
      <c r="CK7" s="9">
        <v>27.117853879199998</v>
      </c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>
        <v>59.88</v>
      </c>
      <c r="DP7" s="9">
        <v>18.87</v>
      </c>
      <c r="DQ7" s="9">
        <v>7.79</v>
      </c>
      <c r="DR7" s="9">
        <v>11.08</v>
      </c>
      <c r="DS7" s="9">
        <v>16.36</v>
      </c>
      <c r="DT7" s="9">
        <v>0.03</v>
      </c>
      <c r="DU7" s="9">
        <v>15.25</v>
      </c>
      <c r="DV7" s="9">
        <v>9.1</v>
      </c>
      <c r="DW7" s="9">
        <v>3.43</v>
      </c>
      <c r="DX7" s="9">
        <v>9.17</v>
      </c>
      <c r="DY7" s="9">
        <v>3.09</v>
      </c>
      <c r="DZ7" s="9">
        <v>0.76</v>
      </c>
      <c r="EA7" s="9">
        <v>-1.3337399999999999</v>
      </c>
      <c r="EB7" s="9">
        <v>-13.935600000000001</v>
      </c>
      <c r="EC7" s="9">
        <v>-22.984400000000001</v>
      </c>
      <c r="ED7" s="9">
        <v>-1.5906499999999999</v>
      </c>
      <c r="EE7" s="9">
        <v>37.176859999999998</v>
      </c>
      <c r="EF7" s="9">
        <v>0</v>
      </c>
      <c r="EG7" s="9">
        <v>-6.7677699999999996</v>
      </c>
      <c r="EH7" s="9">
        <v>-6.2015000000000002</v>
      </c>
      <c r="EI7" s="9">
        <v>0.8</v>
      </c>
      <c r="EJ7" s="9">
        <v>0</v>
      </c>
      <c r="EK7" s="9">
        <v>-1.3662700000000001</v>
      </c>
      <c r="EL7" s="9">
        <v>2.4559690000000001</v>
      </c>
      <c r="EM7" s="9">
        <v>7.89</v>
      </c>
      <c r="EN7" s="9"/>
      <c r="EO7" s="9"/>
      <c r="EP7" s="9"/>
      <c r="EQ7" s="9"/>
      <c r="ER7" s="9"/>
      <c r="ES7" s="9"/>
      <c r="ET7" s="9"/>
      <c r="EU7">
        <v>1053.57</v>
      </c>
      <c r="EV7" s="9">
        <v>4193.91</v>
      </c>
      <c r="EW7" s="9">
        <v>839.21</v>
      </c>
      <c r="EX7" s="9">
        <v>31.02</v>
      </c>
      <c r="EY7" s="9">
        <v>5.0199999999999996</v>
      </c>
      <c r="EZ7" s="9">
        <v>895.09</v>
      </c>
      <c r="FA7" s="9">
        <v>2423.58</v>
      </c>
      <c r="FB7" s="9">
        <v>25.6</v>
      </c>
      <c r="FC7" s="9">
        <v>29.68</v>
      </c>
      <c r="FD7" s="9">
        <v>1752.0727272726999</v>
      </c>
      <c r="FE7" s="9">
        <v>12.45</v>
      </c>
      <c r="FF7" s="9">
        <v>285.73181820000002</v>
      </c>
      <c r="FG7"/>
      <c r="FH7"/>
      <c r="FI7"/>
      <c r="FJ7" s="9"/>
      <c r="FK7"/>
      <c r="FL7" s="9"/>
      <c r="FM7" s="9"/>
      <c r="FN7" s="9"/>
      <c r="FO7">
        <v>1065</v>
      </c>
      <c r="FP7"/>
      <c r="FQ7"/>
      <c r="FR7"/>
      <c r="FS7"/>
      <c r="FT7"/>
      <c r="FU7"/>
      <c r="FV7"/>
      <c r="FW7"/>
      <c r="FX7"/>
      <c r="HB7" s="6"/>
      <c r="HC7" s="6"/>
      <c r="HD7" s="6"/>
    </row>
    <row r="8" spans="1:212" x14ac:dyDescent="0.2">
      <c r="A8" s="8" t="s">
        <v>843</v>
      </c>
      <c r="B8" s="8" t="s">
        <v>179</v>
      </c>
      <c r="C8" s="8" t="s">
        <v>180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>
        <v>25485</v>
      </c>
      <c r="BO8" s="9">
        <v>21765.8</v>
      </c>
      <c r="BP8" s="9">
        <v>5943.5</v>
      </c>
      <c r="BQ8" s="9">
        <v>4812.6000000000004</v>
      </c>
      <c r="BR8" s="9">
        <v>1130.9000000000001</v>
      </c>
      <c r="BS8" s="9">
        <v>1512.2</v>
      </c>
      <c r="BT8" s="9">
        <v>7780.1</v>
      </c>
      <c r="BU8" s="9">
        <v>3012.3</v>
      </c>
      <c r="BV8" s="9">
        <v>3524.5</v>
      </c>
      <c r="BW8" s="9">
        <v>19760.400000000001</v>
      </c>
      <c r="BX8" s="9">
        <v>4743.5</v>
      </c>
      <c r="BY8" s="9">
        <v>7943.7</v>
      </c>
      <c r="BZ8" s="9">
        <v>6780.1</v>
      </c>
      <c r="CA8" s="9">
        <v>701.9</v>
      </c>
      <c r="CB8" s="9">
        <v>0</v>
      </c>
      <c r="CC8" s="9">
        <v>0</v>
      </c>
      <c r="CD8" s="9">
        <v>0</v>
      </c>
      <c r="CE8" s="9">
        <v>1620</v>
      </c>
      <c r="CF8" s="9">
        <v>138547.36679999999</v>
      </c>
      <c r="CG8" s="9">
        <v>251841.29310000001</v>
      </c>
      <c r="CH8" s="9"/>
      <c r="CI8" s="9"/>
      <c r="CJ8" s="9">
        <v>32.200000000000003</v>
      </c>
      <c r="CK8" s="9">
        <v>30.9</v>
      </c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>
        <v>54.38</v>
      </c>
      <c r="DP8" s="9">
        <v>14.9</v>
      </c>
      <c r="DQ8" s="9">
        <v>6.85</v>
      </c>
      <c r="DR8" s="9">
        <v>8.0500000000000007</v>
      </c>
      <c r="DS8" s="9">
        <v>12.52</v>
      </c>
      <c r="DT8" s="9">
        <v>0.03</v>
      </c>
      <c r="DU8" s="9">
        <v>17.91</v>
      </c>
      <c r="DV8" s="9">
        <v>12.62</v>
      </c>
      <c r="DW8" s="9">
        <v>2.5499999999999998</v>
      </c>
      <c r="DX8" s="9">
        <v>9.02</v>
      </c>
      <c r="DY8" s="9">
        <v>4.18</v>
      </c>
      <c r="DZ8" s="9">
        <v>0.5</v>
      </c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>
        <v>1071.32</v>
      </c>
      <c r="EV8" s="9"/>
      <c r="EW8" s="9"/>
      <c r="EX8" s="9"/>
      <c r="EY8" s="9"/>
      <c r="EZ8" s="9"/>
      <c r="FA8" s="9"/>
      <c r="FB8" s="9">
        <v>25.6</v>
      </c>
      <c r="FC8" s="9">
        <v>28.51</v>
      </c>
      <c r="FD8" s="9">
        <v>1803.1428571429001</v>
      </c>
      <c r="FE8" s="9">
        <v>12.45</v>
      </c>
      <c r="FF8" s="9">
        <v>281.58571430000001</v>
      </c>
      <c r="FG8"/>
      <c r="FH8"/>
      <c r="FI8"/>
      <c r="FJ8" s="9"/>
      <c r="FK8"/>
      <c r="FL8" s="9"/>
      <c r="FM8" s="9"/>
      <c r="FN8" s="9"/>
      <c r="FO8">
        <v>1075.3699999999999</v>
      </c>
      <c r="FP8"/>
      <c r="FQ8"/>
      <c r="FR8"/>
      <c r="FS8"/>
      <c r="FT8"/>
      <c r="FU8"/>
      <c r="FV8"/>
      <c r="FW8"/>
      <c r="FX8"/>
      <c r="HB8" s="6"/>
      <c r="HC8" s="6"/>
      <c r="HD8" s="6"/>
    </row>
    <row r="9" spans="1:212" x14ac:dyDescent="0.2">
      <c r="A9" s="8" t="s">
        <v>843</v>
      </c>
      <c r="B9" s="8" t="s">
        <v>179</v>
      </c>
      <c r="C9" s="8" t="s">
        <v>181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>
        <v>31005.3</v>
      </c>
      <c r="BO9" s="9">
        <v>22787.3</v>
      </c>
      <c r="BP9" s="9">
        <v>6005.3</v>
      </c>
      <c r="BQ9" s="9">
        <v>5077.8</v>
      </c>
      <c r="BR9" s="9">
        <v>927.5</v>
      </c>
      <c r="BS9" s="9">
        <v>2183.9</v>
      </c>
      <c r="BT9" s="9">
        <v>7135.3</v>
      </c>
      <c r="BU9" s="9">
        <v>3529.2</v>
      </c>
      <c r="BV9" s="9">
        <v>8186.8</v>
      </c>
      <c r="BW9" s="9">
        <v>19830.400000000001</v>
      </c>
      <c r="BX9" s="9">
        <v>5022.1000000000004</v>
      </c>
      <c r="BY9" s="9">
        <v>9102.9</v>
      </c>
      <c r="BZ9" s="9">
        <v>4682.7</v>
      </c>
      <c r="CA9" s="9">
        <v>1275.7</v>
      </c>
      <c r="CB9" s="9">
        <v>0</v>
      </c>
      <c r="CC9" s="9">
        <v>0</v>
      </c>
      <c r="CD9" s="9">
        <v>0</v>
      </c>
      <c r="CE9" s="9">
        <v>6546.3</v>
      </c>
      <c r="CF9" s="9">
        <v>140028.6918</v>
      </c>
      <c r="CG9" s="9">
        <v>256864.23579999999</v>
      </c>
      <c r="CH9" s="9"/>
      <c r="CI9" s="9"/>
      <c r="CJ9" s="9">
        <v>35.299999999999997</v>
      </c>
      <c r="CK9" s="9">
        <v>23.5</v>
      </c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>
        <v>47.29</v>
      </c>
      <c r="DP9" s="9">
        <v>13.15</v>
      </c>
      <c r="DQ9" s="9">
        <v>7.62</v>
      </c>
      <c r="DR9" s="9">
        <v>5.53</v>
      </c>
      <c r="DS9" s="9">
        <v>13.29</v>
      </c>
      <c r="DT9" s="9">
        <v>0.03</v>
      </c>
      <c r="DU9" s="9">
        <v>14.23</v>
      </c>
      <c r="DV9" s="9">
        <v>10.84</v>
      </c>
      <c r="DW9" s="9">
        <v>1.87</v>
      </c>
      <c r="DX9" s="9">
        <v>6.59</v>
      </c>
      <c r="DY9" s="9">
        <v>1.98</v>
      </c>
      <c r="DZ9" s="9">
        <v>0.34</v>
      </c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>
        <v>1078.78</v>
      </c>
      <c r="EV9" s="9"/>
      <c r="EW9" s="9"/>
      <c r="EX9" s="9"/>
      <c r="EY9" s="9"/>
      <c r="EZ9" s="9"/>
      <c r="FA9" s="9"/>
      <c r="FB9" s="9">
        <v>25.6</v>
      </c>
      <c r="FC9" s="9">
        <v>29.89</v>
      </c>
      <c r="FD9" s="9">
        <v>1857.1239130434999</v>
      </c>
      <c r="FE9" s="9">
        <v>12.45</v>
      </c>
      <c r="FF9" s="9">
        <v>274.42500000000001</v>
      </c>
      <c r="FG9"/>
      <c r="FH9"/>
      <c r="FI9"/>
      <c r="FJ9" s="9"/>
      <c r="FK9"/>
      <c r="FL9" s="9"/>
      <c r="FM9" s="9"/>
      <c r="FN9" s="9"/>
      <c r="FO9">
        <v>1082.54</v>
      </c>
      <c r="FP9"/>
      <c r="FQ9"/>
      <c r="FR9"/>
      <c r="FS9"/>
      <c r="FT9"/>
      <c r="FU9"/>
      <c r="FV9"/>
      <c r="FW9"/>
      <c r="FX9"/>
      <c r="HB9" s="6"/>
      <c r="HC9" s="6"/>
      <c r="HD9" s="6"/>
    </row>
    <row r="10" spans="1:212" x14ac:dyDescent="0.2">
      <c r="A10" s="8" t="s">
        <v>843</v>
      </c>
      <c r="B10" s="8" t="s">
        <v>179</v>
      </c>
      <c r="C10" s="8" t="s">
        <v>182</v>
      </c>
      <c r="D10" s="9">
        <v>319676.79999999999</v>
      </c>
      <c r="E10" s="9">
        <v>80865.8</v>
      </c>
      <c r="F10" s="9">
        <v>44539.6</v>
      </c>
      <c r="G10" s="9">
        <v>19973.099999999999</v>
      </c>
      <c r="H10" s="9">
        <v>5284.9</v>
      </c>
      <c r="I10" s="9">
        <v>9672.2999999999993</v>
      </c>
      <c r="J10" s="9">
        <v>29009.4</v>
      </c>
      <c r="K10" s="9">
        <v>28326.6</v>
      </c>
      <c r="L10" s="9">
        <v>6836.2</v>
      </c>
      <c r="M10" s="9">
        <v>53639.3</v>
      </c>
      <c r="N10" s="9">
        <v>41529.699999999997</v>
      </c>
      <c r="O10" s="9">
        <v>1964230.8570465967</v>
      </c>
      <c r="P10" s="9">
        <v>379889.34788791538</v>
      </c>
      <c r="Q10" s="9">
        <v>415150.23631209153</v>
      </c>
      <c r="R10" s="9">
        <v>123798.6320276628</v>
      </c>
      <c r="S10" s="9">
        <v>49788.187351441396</v>
      </c>
      <c r="T10" s="9">
        <v>78335.507006274696</v>
      </c>
      <c r="U10" s="9">
        <v>155083.86587481751</v>
      </c>
      <c r="V10" s="9">
        <v>60510.747702383997</v>
      </c>
      <c r="W10" s="9">
        <v>16406.7243011069</v>
      </c>
      <c r="X10" s="9">
        <v>562997.06049450778</v>
      </c>
      <c r="Y10" s="9">
        <v>122270.54808839491</v>
      </c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>
        <v>31497.200000000001</v>
      </c>
      <c r="BO10" s="9">
        <v>27751.3</v>
      </c>
      <c r="BP10" s="9">
        <v>6898.9</v>
      </c>
      <c r="BQ10" s="9">
        <v>5648</v>
      </c>
      <c r="BR10" s="9">
        <v>1250.9000000000001</v>
      </c>
      <c r="BS10" s="9">
        <v>3697.3</v>
      </c>
      <c r="BT10" s="9">
        <v>8817.6</v>
      </c>
      <c r="BU10" s="9">
        <v>4453.5</v>
      </c>
      <c r="BV10" s="9">
        <v>3538</v>
      </c>
      <c r="BW10" s="9">
        <v>19450</v>
      </c>
      <c r="BX10" s="9">
        <v>-5205.6000000000004</v>
      </c>
      <c r="BY10" s="9">
        <v>5903.8</v>
      </c>
      <c r="BZ10" s="9">
        <v>5512.8</v>
      </c>
      <c r="CA10" s="9">
        <v>280.5</v>
      </c>
      <c r="CB10" s="9">
        <v>0</v>
      </c>
      <c r="CC10" s="9">
        <v>0</v>
      </c>
      <c r="CD10" s="9">
        <v>0</v>
      </c>
      <c r="CE10" s="9">
        <v>5933.3</v>
      </c>
      <c r="CF10" s="9">
        <v>143562.42480000001</v>
      </c>
      <c r="CG10" s="9">
        <v>264490.19770000002</v>
      </c>
      <c r="CH10" s="9"/>
      <c r="CI10" s="9"/>
      <c r="CJ10" s="9">
        <v>42.7</v>
      </c>
      <c r="CK10" s="9">
        <v>29.3</v>
      </c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>
        <v>48.85</v>
      </c>
      <c r="DP10" s="9">
        <v>13.75</v>
      </c>
      <c r="DQ10" s="9">
        <v>6.87</v>
      </c>
      <c r="DR10" s="9">
        <v>6.88</v>
      </c>
      <c r="DS10" s="9">
        <v>8.81</v>
      </c>
      <c r="DT10" s="9">
        <v>0.02</v>
      </c>
      <c r="DU10" s="9">
        <v>13.83</v>
      </c>
      <c r="DV10" s="9">
        <v>9.11</v>
      </c>
      <c r="DW10" s="9">
        <v>2.35</v>
      </c>
      <c r="DX10" s="9">
        <v>12.43</v>
      </c>
      <c r="DY10" s="9">
        <v>5.17</v>
      </c>
      <c r="DZ10" s="9">
        <v>1.23</v>
      </c>
      <c r="EA10" s="9">
        <v>-30.148099999999999</v>
      </c>
      <c r="EB10" s="9">
        <v>-22.054500000000001</v>
      </c>
      <c r="EC10" s="9">
        <v>-20.272500000000001</v>
      </c>
      <c r="ED10" s="9">
        <v>-0.69167999999999996</v>
      </c>
      <c r="EE10" s="9">
        <v>12.870509999999999</v>
      </c>
      <c r="EF10" s="9">
        <v>0</v>
      </c>
      <c r="EG10" s="9">
        <v>-1.8566</v>
      </c>
      <c r="EH10" s="9">
        <v>-9.5675000000000008</v>
      </c>
      <c r="EI10" s="9">
        <v>0</v>
      </c>
      <c r="EJ10" s="9">
        <v>0</v>
      </c>
      <c r="EK10" s="9">
        <v>7.710896</v>
      </c>
      <c r="EL10" s="9">
        <v>3.0815290000000002</v>
      </c>
      <c r="EM10" s="9">
        <v>-25.21</v>
      </c>
      <c r="EN10" s="9"/>
      <c r="EO10" s="9"/>
      <c r="EP10" s="9"/>
      <c r="EQ10" s="9"/>
      <c r="ER10" s="9"/>
      <c r="ES10" s="9"/>
      <c r="ET10" s="9"/>
      <c r="EU10">
        <v>1084.1400000000001</v>
      </c>
      <c r="EV10" s="9">
        <v>4192.12</v>
      </c>
      <c r="EW10" s="9">
        <v>841.91</v>
      </c>
      <c r="EX10" s="9">
        <v>29.82</v>
      </c>
      <c r="EY10" s="9">
        <v>4.72</v>
      </c>
      <c r="EZ10" s="9">
        <v>892.1</v>
      </c>
      <c r="FA10" s="9">
        <v>2423.58</v>
      </c>
      <c r="FB10" s="9">
        <v>27.15</v>
      </c>
      <c r="FC10" s="9">
        <v>32.619999999999997</v>
      </c>
      <c r="FD10" s="9">
        <v>1961.8928571429001</v>
      </c>
      <c r="FE10" s="9">
        <v>12.45</v>
      </c>
      <c r="FF10" s="9">
        <v>273.52999999999997</v>
      </c>
      <c r="FG10"/>
      <c r="FH10"/>
      <c r="FI10"/>
      <c r="FJ10" s="9"/>
      <c r="FK10"/>
      <c r="FL10" s="9"/>
      <c r="FM10" s="9"/>
      <c r="FN10" s="9"/>
      <c r="FO10">
        <v>1085.6199999999999</v>
      </c>
      <c r="FP10"/>
      <c r="FQ10"/>
      <c r="FR10"/>
      <c r="FS10"/>
      <c r="FT10"/>
      <c r="FU10"/>
      <c r="FV10"/>
      <c r="FW10"/>
      <c r="FX10"/>
      <c r="HB10" s="6"/>
      <c r="HC10" s="6"/>
      <c r="HD10" s="6"/>
    </row>
    <row r="11" spans="1:212" x14ac:dyDescent="0.2">
      <c r="A11" s="8" t="s">
        <v>843</v>
      </c>
      <c r="B11" s="8" t="s">
        <v>183</v>
      </c>
      <c r="C11" s="8" t="s">
        <v>184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>
        <v>27057.9</v>
      </c>
      <c r="BO11" s="9">
        <v>23860</v>
      </c>
      <c r="BP11" s="9">
        <v>5732.9</v>
      </c>
      <c r="BQ11" s="9">
        <v>4449.8999999999996</v>
      </c>
      <c r="BR11" s="9">
        <v>1283</v>
      </c>
      <c r="BS11" s="9">
        <v>3020.1</v>
      </c>
      <c r="BT11" s="9">
        <v>6665</v>
      </c>
      <c r="BU11" s="9">
        <v>3687.4</v>
      </c>
      <c r="BV11" s="9">
        <v>3013.2</v>
      </c>
      <c r="BW11" s="9">
        <v>27310.7</v>
      </c>
      <c r="BX11" s="9">
        <v>8612.7000000000007</v>
      </c>
      <c r="BY11" s="9">
        <v>11177.2</v>
      </c>
      <c r="BZ11" s="9">
        <v>6950.1</v>
      </c>
      <c r="CA11" s="9">
        <v>3672.3</v>
      </c>
      <c r="CB11" s="9">
        <v>0</v>
      </c>
      <c r="CC11" s="9">
        <v>0</v>
      </c>
      <c r="CD11" s="9">
        <v>0</v>
      </c>
      <c r="CE11" s="9">
        <v>7667</v>
      </c>
      <c r="CF11" s="9">
        <v>133372.93799999999</v>
      </c>
      <c r="CG11" s="9">
        <v>257528.98800000001</v>
      </c>
      <c r="CH11" s="9"/>
      <c r="CI11" s="9"/>
      <c r="CJ11" s="9">
        <v>37.700000000000003</v>
      </c>
      <c r="CK11" s="9">
        <v>31.6</v>
      </c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>
        <v>49.65</v>
      </c>
      <c r="DP11" s="9">
        <v>15.42</v>
      </c>
      <c r="DQ11" s="9">
        <v>8.73</v>
      </c>
      <c r="DR11" s="9">
        <v>6.69</v>
      </c>
      <c r="DS11" s="9">
        <v>9.75</v>
      </c>
      <c r="DT11" s="9">
        <v>0.02</v>
      </c>
      <c r="DU11" s="9">
        <v>14.79</v>
      </c>
      <c r="DV11" s="9">
        <v>10.37</v>
      </c>
      <c r="DW11" s="9">
        <v>1.72</v>
      </c>
      <c r="DX11" s="9">
        <v>9.69</v>
      </c>
      <c r="DY11" s="9">
        <v>3.13</v>
      </c>
      <c r="DZ11" s="9">
        <v>0.84</v>
      </c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>
        <v>1089.74</v>
      </c>
      <c r="EV11" s="9"/>
      <c r="EW11" s="9"/>
      <c r="EX11" s="9"/>
      <c r="EY11" s="9"/>
      <c r="EZ11" s="9"/>
      <c r="FA11" s="9"/>
      <c r="FB11" s="9">
        <v>27.15</v>
      </c>
      <c r="FC11" s="9">
        <v>30.93</v>
      </c>
      <c r="FD11" s="9">
        <v>1894.3727272727001</v>
      </c>
      <c r="FE11" s="9">
        <v>12.45</v>
      </c>
      <c r="FF11" s="9">
        <v>269.92857140000001</v>
      </c>
      <c r="FG11"/>
      <c r="FH11"/>
      <c r="FI11"/>
      <c r="FJ11" s="9"/>
      <c r="FK11"/>
      <c r="FL11" s="9"/>
      <c r="FM11" s="9"/>
      <c r="FN11" s="9"/>
      <c r="FO11">
        <v>1096</v>
      </c>
      <c r="FP11"/>
      <c r="FQ11"/>
      <c r="FR11"/>
      <c r="FS11"/>
      <c r="FT11"/>
      <c r="FU11"/>
      <c r="FV11"/>
      <c r="FW11"/>
      <c r="FX11"/>
      <c r="HB11" s="6"/>
      <c r="HC11" s="6"/>
      <c r="HD11" s="6"/>
    </row>
    <row r="12" spans="1:212" x14ac:dyDescent="0.2">
      <c r="A12" s="8" t="s">
        <v>843</v>
      </c>
      <c r="B12" s="8" t="s">
        <v>183</v>
      </c>
      <c r="C12" s="8" t="s">
        <v>185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>
        <v>33590.1</v>
      </c>
      <c r="BO12" s="9">
        <v>24512.9</v>
      </c>
      <c r="BP12" s="9">
        <v>7867.1</v>
      </c>
      <c r="BQ12" s="9">
        <v>6497.9</v>
      </c>
      <c r="BR12" s="9">
        <v>1369.2</v>
      </c>
      <c r="BS12" s="9">
        <v>2365.8000000000002</v>
      </c>
      <c r="BT12" s="9">
        <v>7916.9</v>
      </c>
      <c r="BU12" s="9">
        <v>4651</v>
      </c>
      <c r="BV12" s="9">
        <v>8924.2999999999993</v>
      </c>
      <c r="BW12" s="9">
        <v>30122.799999999999</v>
      </c>
      <c r="BX12" s="9">
        <v>-1811</v>
      </c>
      <c r="BY12" s="9">
        <v>13763.9</v>
      </c>
      <c r="BZ12" s="9">
        <v>7372.1</v>
      </c>
      <c r="CA12" s="9">
        <v>2217.1999999999998</v>
      </c>
      <c r="CB12" s="9">
        <v>0</v>
      </c>
      <c r="CC12" s="9">
        <v>0</v>
      </c>
      <c r="CD12" s="9">
        <v>0</v>
      </c>
      <c r="CE12" s="9">
        <v>1389.2</v>
      </c>
      <c r="CF12" s="9">
        <v>120093.2306</v>
      </c>
      <c r="CG12" s="9">
        <v>245547.87899999999</v>
      </c>
      <c r="CH12" s="9"/>
      <c r="CI12" s="9"/>
      <c r="CJ12" s="9">
        <v>32.700000000000003</v>
      </c>
      <c r="CK12" s="9">
        <v>26.6</v>
      </c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>
        <v>55.77</v>
      </c>
      <c r="DP12" s="9">
        <v>14.18</v>
      </c>
      <c r="DQ12" s="9">
        <v>7.97</v>
      </c>
      <c r="DR12" s="9">
        <v>6.21</v>
      </c>
      <c r="DS12" s="9">
        <v>9.94</v>
      </c>
      <c r="DT12" s="9">
        <v>0.03</v>
      </c>
      <c r="DU12" s="9">
        <v>18.39</v>
      </c>
      <c r="DV12" s="9">
        <v>14.04</v>
      </c>
      <c r="DW12" s="9">
        <v>1.52</v>
      </c>
      <c r="DX12" s="9">
        <v>13.27</v>
      </c>
      <c r="DY12" s="9">
        <v>4.88</v>
      </c>
      <c r="DZ12" s="9">
        <v>1.39</v>
      </c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>
        <v>1096.6099999999999</v>
      </c>
      <c r="EV12" s="9"/>
      <c r="EW12" s="9"/>
      <c r="EX12" s="9"/>
      <c r="EY12" s="9"/>
      <c r="EZ12" s="9"/>
      <c r="FA12" s="9"/>
      <c r="FB12" s="9">
        <v>27.15</v>
      </c>
      <c r="FC12" s="9">
        <v>32.520000000000003</v>
      </c>
      <c r="FD12" s="9">
        <v>1795.6022727273</v>
      </c>
      <c r="FE12" s="9">
        <v>12.45</v>
      </c>
      <c r="FF12" s="9">
        <v>266.29736839999998</v>
      </c>
      <c r="FG12"/>
      <c r="FH12"/>
      <c r="FI12"/>
      <c r="FJ12" s="9"/>
      <c r="FK12"/>
      <c r="FL12" s="9"/>
      <c r="FM12" s="9"/>
      <c r="FN12" s="9"/>
      <c r="FO12">
        <v>1097</v>
      </c>
      <c r="FP12"/>
      <c r="FQ12"/>
      <c r="FR12"/>
      <c r="FS12"/>
      <c r="FT12"/>
      <c r="FU12"/>
      <c r="FV12"/>
      <c r="FW12"/>
      <c r="FX12"/>
      <c r="HB12" s="6"/>
      <c r="HC12" s="6"/>
      <c r="HD12" s="6"/>
    </row>
    <row r="13" spans="1:212" x14ac:dyDescent="0.2">
      <c r="A13" s="8" t="s">
        <v>843</v>
      </c>
      <c r="B13" s="8" t="s">
        <v>183</v>
      </c>
      <c r="C13" s="8" t="s">
        <v>186</v>
      </c>
      <c r="D13" s="9">
        <v>372682</v>
      </c>
      <c r="E13" s="9">
        <v>107319.6</v>
      </c>
      <c r="F13" s="9">
        <v>34068.199999999997</v>
      </c>
      <c r="G13" s="9">
        <v>30162.2</v>
      </c>
      <c r="H13" s="9">
        <v>9732.7000000000007</v>
      </c>
      <c r="I13" s="9">
        <v>11368.7</v>
      </c>
      <c r="J13" s="9">
        <v>29216.799999999999</v>
      </c>
      <c r="K13" s="9">
        <v>27777.3</v>
      </c>
      <c r="L13" s="9">
        <v>11873.2</v>
      </c>
      <c r="M13" s="9">
        <v>65575.899999999994</v>
      </c>
      <c r="N13" s="9">
        <v>45587.3</v>
      </c>
      <c r="O13" s="9">
        <v>2289917.4549602601</v>
      </c>
      <c r="P13" s="9">
        <v>511073.86595793249</v>
      </c>
      <c r="Q13" s="9">
        <v>321899.69469766383</v>
      </c>
      <c r="R13" s="9">
        <v>189515.95761743709</v>
      </c>
      <c r="S13" s="9">
        <v>92946.978750042297</v>
      </c>
      <c r="T13" s="9">
        <v>93336.627854658494</v>
      </c>
      <c r="U13" s="9">
        <v>158333.5390790875</v>
      </c>
      <c r="V13" s="9">
        <v>60150.674034462398</v>
      </c>
      <c r="W13" s="9">
        <v>28885.993108413899</v>
      </c>
      <c r="X13" s="9">
        <v>697717.61102927988</v>
      </c>
      <c r="Y13" s="9">
        <v>136056.51283128161</v>
      </c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>
        <v>62.3</v>
      </c>
      <c r="AX13" s="9">
        <v>48.4</v>
      </c>
      <c r="AY13" s="9">
        <v>59.3</v>
      </c>
      <c r="AZ13" s="9">
        <v>66</v>
      </c>
      <c r="BA13" s="9">
        <v>72.8</v>
      </c>
      <c r="BB13" s="9"/>
      <c r="BC13" s="9">
        <v>70.2</v>
      </c>
      <c r="BD13" s="9">
        <v>51.1</v>
      </c>
      <c r="BE13" s="9">
        <v>78.400000000000006</v>
      </c>
      <c r="BF13" s="9">
        <v>62.9</v>
      </c>
      <c r="BG13" s="9"/>
      <c r="BH13" s="9">
        <v>47.3</v>
      </c>
      <c r="BI13" s="9">
        <v>50.5</v>
      </c>
      <c r="BJ13" s="9">
        <v>59.2</v>
      </c>
      <c r="BK13" s="9">
        <v>43.7</v>
      </c>
      <c r="BL13" s="9"/>
      <c r="BM13" s="9">
        <v>38.700000000000003</v>
      </c>
      <c r="BN13" s="9">
        <v>63893.9</v>
      </c>
      <c r="BO13" s="9">
        <v>54399.1</v>
      </c>
      <c r="BP13" s="9">
        <v>18657.5</v>
      </c>
      <c r="BQ13" s="9">
        <v>16514.8</v>
      </c>
      <c r="BR13" s="9">
        <v>2142.6999999999998</v>
      </c>
      <c r="BS13" s="9">
        <v>8732.7999999999993</v>
      </c>
      <c r="BT13" s="9">
        <v>10065.799999999999</v>
      </c>
      <c r="BU13" s="9">
        <v>2204.1</v>
      </c>
      <c r="BV13" s="9">
        <v>8850.7000000000007</v>
      </c>
      <c r="BW13" s="9">
        <v>55160.4</v>
      </c>
      <c r="BX13" s="9">
        <v>30990.1</v>
      </c>
      <c r="BY13" s="9">
        <v>46253.4</v>
      </c>
      <c r="BZ13" s="9">
        <v>-8171.7</v>
      </c>
      <c r="CA13" s="9">
        <v>1948.9</v>
      </c>
      <c r="CB13" s="9">
        <v>87389.2</v>
      </c>
      <c r="CC13" s="9">
        <v>0</v>
      </c>
      <c r="CD13" s="9">
        <v>0</v>
      </c>
      <c r="CE13" s="9">
        <v>16367.5</v>
      </c>
      <c r="CF13" s="9">
        <v>130774.98910000001</v>
      </c>
      <c r="CG13" s="9">
        <v>258842.64780000001</v>
      </c>
      <c r="CH13" s="9"/>
      <c r="CI13" s="9"/>
      <c r="CJ13" s="9">
        <v>34.700000000000003</v>
      </c>
      <c r="CK13" s="9">
        <v>25.8</v>
      </c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>
        <v>60.11</v>
      </c>
      <c r="DP13" s="9">
        <v>20.05</v>
      </c>
      <c r="DQ13" s="9">
        <v>14.11</v>
      </c>
      <c r="DR13" s="9">
        <v>5.94</v>
      </c>
      <c r="DS13" s="9">
        <v>16.440000000000001</v>
      </c>
      <c r="DT13" s="9">
        <v>1.1399999999999999</v>
      </c>
      <c r="DU13" s="9">
        <v>13.29</v>
      </c>
      <c r="DV13" s="9">
        <v>6.93</v>
      </c>
      <c r="DW13" s="9">
        <v>1.69</v>
      </c>
      <c r="DX13" s="9">
        <v>10.33</v>
      </c>
      <c r="DY13" s="9">
        <v>3.42</v>
      </c>
      <c r="DZ13" s="9">
        <v>0.66</v>
      </c>
      <c r="EA13" s="9">
        <v>-14.9748</v>
      </c>
      <c r="EB13" s="9">
        <v>-13.602600000000001</v>
      </c>
      <c r="EC13" s="9">
        <v>-27.598800000000001</v>
      </c>
      <c r="ED13" s="9">
        <v>-1.05728</v>
      </c>
      <c r="EE13" s="9">
        <v>27.283860000000001</v>
      </c>
      <c r="EF13" s="9">
        <v>0</v>
      </c>
      <c r="EG13" s="9">
        <v>-53.426499999999997</v>
      </c>
      <c r="EH13" s="9">
        <v>-22.019500000000001</v>
      </c>
      <c r="EI13" s="9">
        <v>-0.8</v>
      </c>
      <c r="EJ13" s="9">
        <v>0</v>
      </c>
      <c r="EK13" s="9">
        <v>-30.606999999999999</v>
      </c>
      <c r="EL13" s="9">
        <v>-14.8386</v>
      </c>
      <c r="EM13" s="9">
        <v>23.613</v>
      </c>
      <c r="EN13" s="9"/>
      <c r="EO13" s="9"/>
      <c r="EP13" s="9"/>
      <c r="EQ13" s="9"/>
      <c r="ER13" s="9"/>
      <c r="ES13" s="9"/>
      <c r="ET13" s="9"/>
      <c r="EU13">
        <v>1097</v>
      </c>
      <c r="EV13" s="9">
        <v>4214.67</v>
      </c>
      <c r="EW13" s="9">
        <v>838.28</v>
      </c>
      <c r="EX13" s="9">
        <v>27.82</v>
      </c>
      <c r="EY13" s="9">
        <v>5.4</v>
      </c>
      <c r="EZ13" s="9">
        <v>919.59</v>
      </c>
      <c r="FA13" s="9">
        <v>2423.58</v>
      </c>
      <c r="FB13" s="9">
        <v>30.75</v>
      </c>
      <c r="FC13" s="9">
        <v>25.28</v>
      </c>
      <c r="FD13" s="9">
        <v>1852.4</v>
      </c>
      <c r="FE13" s="9">
        <v>12.45</v>
      </c>
      <c r="FF13" s="9">
        <v>271.45</v>
      </c>
      <c r="FG13"/>
      <c r="FH13"/>
      <c r="FI13"/>
      <c r="FJ13" s="9"/>
      <c r="FK13"/>
      <c r="FL13" s="9"/>
      <c r="FM13" s="9"/>
      <c r="FN13" s="9"/>
      <c r="FO13">
        <v>1097</v>
      </c>
      <c r="FP13"/>
      <c r="FQ13"/>
      <c r="FR13"/>
      <c r="FS13"/>
      <c r="FT13"/>
      <c r="FU13"/>
      <c r="FV13"/>
      <c r="FW13"/>
      <c r="FX13"/>
      <c r="HB13" s="6"/>
      <c r="HC13" s="6"/>
      <c r="HD13" s="6"/>
    </row>
    <row r="14" spans="1:212" x14ac:dyDescent="0.2">
      <c r="A14" s="8" t="s">
        <v>844</v>
      </c>
      <c r="B14" s="8" t="s">
        <v>187</v>
      </c>
      <c r="C14" s="8" t="s">
        <v>188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>
        <v>20421.900000000001</v>
      </c>
      <c r="BO14" s="9">
        <v>16208.4</v>
      </c>
      <c r="BP14" s="9">
        <v>2647.5</v>
      </c>
      <c r="BQ14" s="9">
        <v>1687.3</v>
      </c>
      <c r="BR14" s="9">
        <v>960.2</v>
      </c>
      <c r="BS14" s="9">
        <v>2463.3000000000002</v>
      </c>
      <c r="BT14" s="9">
        <v>5523.8</v>
      </c>
      <c r="BU14" s="9">
        <v>2591.5</v>
      </c>
      <c r="BV14" s="9">
        <v>3398.2</v>
      </c>
      <c r="BW14" s="9">
        <v>21802.3</v>
      </c>
      <c r="BX14" s="9">
        <v>290.39999999999998</v>
      </c>
      <c r="BY14" s="9">
        <v>7531.6</v>
      </c>
      <c r="BZ14" s="9">
        <v>6672.6</v>
      </c>
      <c r="CA14" s="9">
        <v>673.4</v>
      </c>
      <c r="CB14" s="9">
        <v>0</v>
      </c>
      <c r="CC14" s="9">
        <v>0</v>
      </c>
      <c r="CD14" s="9">
        <v>0</v>
      </c>
      <c r="CE14" s="9">
        <v>253.1</v>
      </c>
      <c r="CF14" s="9">
        <v>116271.3934</v>
      </c>
      <c r="CG14" s="9">
        <v>250000.68840000001</v>
      </c>
      <c r="CH14" s="9"/>
      <c r="CI14" s="9"/>
      <c r="CJ14" s="9">
        <v>38.799999999999997</v>
      </c>
      <c r="CK14" s="9">
        <v>23.7</v>
      </c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>
        <v>41.42</v>
      </c>
      <c r="DP14" s="9">
        <v>12.42</v>
      </c>
      <c r="DQ14" s="9">
        <v>5.73</v>
      </c>
      <c r="DR14" s="9">
        <v>6.69</v>
      </c>
      <c r="DS14" s="9">
        <v>9.42</v>
      </c>
      <c r="DT14" s="9">
        <v>0.05</v>
      </c>
      <c r="DU14" s="9">
        <v>9.76</v>
      </c>
      <c r="DV14" s="9">
        <v>5.51</v>
      </c>
      <c r="DW14" s="9">
        <v>1.21</v>
      </c>
      <c r="DX14" s="9">
        <v>9.82</v>
      </c>
      <c r="DY14" s="9">
        <v>5.17</v>
      </c>
      <c r="DZ14" s="9">
        <v>0.71</v>
      </c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>
        <v>1097.77</v>
      </c>
      <c r="EV14" s="9"/>
      <c r="EW14" s="9"/>
      <c r="EX14" s="9"/>
      <c r="EY14" s="9"/>
      <c r="EZ14" s="9"/>
      <c r="FA14" s="9"/>
      <c r="FB14" s="9">
        <v>32.1</v>
      </c>
      <c r="FC14" s="9">
        <v>25.64</v>
      </c>
      <c r="FD14" s="9">
        <v>1787.0568181818001</v>
      </c>
      <c r="FE14" s="9">
        <v>12.99</v>
      </c>
      <c r="FF14" s="9">
        <v>265.4863636</v>
      </c>
      <c r="FG14"/>
      <c r="FH14"/>
      <c r="FI14"/>
      <c r="FJ14" s="9"/>
      <c r="FK14"/>
      <c r="FL14" s="9"/>
      <c r="FM14" s="9"/>
      <c r="FN14" s="9"/>
      <c r="FO14">
        <v>1099</v>
      </c>
      <c r="FP14"/>
      <c r="FQ14"/>
      <c r="FR14"/>
      <c r="FS14"/>
      <c r="FT14"/>
      <c r="FU14"/>
      <c r="FV14"/>
      <c r="FW14"/>
      <c r="FX14"/>
      <c r="HB14" s="6"/>
      <c r="HC14" s="6"/>
      <c r="HD14" s="6"/>
    </row>
    <row r="15" spans="1:212" x14ac:dyDescent="0.2">
      <c r="A15" s="8" t="s">
        <v>844</v>
      </c>
      <c r="B15" s="8" t="s">
        <v>187</v>
      </c>
      <c r="C15" s="8" t="s">
        <v>189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>
        <v>21682</v>
      </c>
      <c r="BO15" s="9">
        <v>17925.5</v>
      </c>
      <c r="BP15" s="9">
        <v>4961.1000000000004</v>
      </c>
      <c r="BQ15" s="9">
        <v>3623.7</v>
      </c>
      <c r="BR15" s="9">
        <v>1337.4</v>
      </c>
      <c r="BS15" s="9">
        <v>2849.8</v>
      </c>
      <c r="BT15" s="9">
        <v>4872.8999999999996</v>
      </c>
      <c r="BU15" s="9">
        <v>2704</v>
      </c>
      <c r="BV15" s="9">
        <v>3263.6</v>
      </c>
      <c r="BW15" s="9">
        <v>23052.3</v>
      </c>
      <c r="BX15" s="9">
        <v>3440.6</v>
      </c>
      <c r="BY15" s="9">
        <v>6562</v>
      </c>
      <c r="BZ15" s="9">
        <v>7412.5</v>
      </c>
      <c r="CA15" s="9">
        <v>1446.1</v>
      </c>
      <c r="CB15" s="9">
        <v>0</v>
      </c>
      <c r="CC15" s="9">
        <v>0</v>
      </c>
      <c r="CD15" s="9">
        <v>0</v>
      </c>
      <c r="CE15" s="9">
        <v>690.4</v>
      </c>
      <c r="CF15" s="9">
        <v>120030.4385</v>
      </c>
      <c r="CG15" s="9">
        <v>258147.58549999999</v>
      </c>
      <c r="CH15" s="9"/>
      <c r="CI15" s="9"/>
      <c r="CJ15" s="9">
        <v>40.1</v>
      </c>
      <c r="CK15" s="9">
        <v>27.2</v>
      </c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>
        <v>35.520000000000003</v>
      </c>
      <c r="DP15" s="9">
        <v>9.66</v>
      </c>
      <c r="DQ15" s="9">
        <v>4.3600000000000003</v>
      </c>
      <c r="DR15" s="9">
        <v>5.3</v>
      </c>
      <c r="DS15" s="9">
        <v>9.31</v>
      </c>
      <c r="DT15" s="9">
        <v>0.57999999999999996</v>
      </c>
      <c r="DU15" s="9">
        <v>9.4499999999999993</v>
      </c>
      <c r="DV15" s="9">
        <v>7.51</v>
      </c>
      <c r="DW15" s="9">
        <v>1.04</v>
      </c>
      <c r="DX15" s="9">
        <v>7.09</v>
      </c>
      <c r="DY15" s="9">
        <v>3.09</v>
      </c>
      <c r="DZ15" s="9">
        <v>0.72</v>
      </c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>
        <v>1098.99</v>
      </c>
      <c r="EV15" s="9"/>
      <c r="EW15" s="9"/>
      <c r="EX15" s="9"/>
      <c r="EY15" s="9"/>
      <c r="EZ15" s="9"/>
      <c r="FA15" s="9"/>
      <c r="FB15" s="9">
        <v>32.1</v>
      </c>
      <c r="FC15" s="9">
        <v>27.41</v>
      </c>
      <c r="FD15" s="9">
        <v>1766.125</v>
      </c>
      <c r="FE15" s="9">
        <v>12.99</v>
      </c>
      <c r="FF15" s="9">
        <v>262.08947369999999</v>
      </c>
      <c r="FG15"/>
      <c r="FH15"/>
      <c r="FI15"/>
      <c r="FJ15" s="9"/>
      <c r="FK15"/>
      <c r="FL15" s="9"/>
      <c r="FM15" s="9"/>
      <c r="FN15" s="9"/>
      <c r="FO15">
        <v>1098</v>
      </c>
      <c r="FP15"/>
      <c r="FQ15"/>
      <c r="FR15"/>
      <c r="FS15"/>
      <c r="FT15"/>
      <c r="FU15"/>
      <c r="FV15"/>
      <c r="FW15"/>
      <c r="FX15"/>
      <c r="HB15" s="6"/>
      <c r="HC15" s="6"/>
      <c r="HD15" s="6"/>
    </row>
    <row r="16" spans="1:212" x14ac:dyDescent="0.2">
      <c r="A16" s="8" t="s">
        <v>844</v>
      </c>
      <c r="B16" s="8" t="s">
        <v>187</v>
      </c>
      <c r="C16" s="8" t="s">
        <v>190</v>
      </c>
      <c r="D16" s="9">
        <v>230638.3</v>
      </c>
      <c r="E16" s="9">
        <v>10031.4</v>
      </c>
      <c r="F16" s="9">
        <v>22516.1</v>
      </c>
      <c r="G16" s="9">
        <v>21434.799999999999</v>
      </c>
      <c r="H16" s="9">
        <v>13066.5</v>
      </c>
      <c r="I16" s="9">
        <v>2046.7</v>
      </c>
      <c r="J16" s="9">
        <v>30104.400000000001</v>
      </c>
      <c r="K16" s="9">
        <v>22356.799999999999</v>
      </c>
      <c r="L16" s="9">
        <v>10066.799999999999</v>
      </c>
      <c r="M16" s="9">
        <v>68650.600000000006</v>
      </c>
      <c r="N16" s="9">
        <v>30364.2</v>
      </c>
      <c r="O16" s="9">
        <v>1283077.4056585219</v>
      </c>
      <c r="P16" s="9">
        <v>35759.2022633218</v>
      </c>
      <c r="Q16" s="9">
        <v>230117.7784046283</v>
      </c>
      <c r="R16" s="9">
        <v>115939.1669632398</v>
      </c>
      <c r="S16" s="9">
        <v>78957.485076237193</v>
      </c>
      <c r="T16" s="9">
        <v>14660.3940106467</v>
      </c>
      <c r="U16" s="9">
        <v>135676.95639936009</v>
      </c>
      <c r="V16" s="9">
        <v>37724.034481699397</v>
      </c>
      <c r="W16" s="9">
        <v>19098.330698209898</v>
      </c>
      <c r="X16" s="9">
        <v>536463.8304269457</v>
      </c>
      <c r="Y16" s="9">
        <v>78680.226934232807</v>
      </c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>
        <v>60.9</v>
      </c>
      <c r="AX16" s="9">
        <v>51.3</v>
      </c>
      <c r="AY16" s="9">
        <v>60.6</v>
      </c>
      <c r="AZ16" s="9">
        <v>64.900000000000006</v>
      </c>
      <c r="BA16" s="9">
        <v>67.900000000000006</v>
      </c>
      <c r="BB16" s="9"/>
      <c r="BC16" s="9">
        <v>64.400000000000006</v>
      </c>
      <c r="BD16" s="9">
        <v>52.2</v>
      </c>
      <c r="BE16" s="9">
        <v>74.900000000000006</v>
      </c>
      <c r="BF16" s="9">
        <v>61.6</v>
      </c>
      <c r="BG16" s="9"/>
      <c r="BH16" s="9">
        <v>53.7</v>
      </c>
      <c r="BI16" s="9">
        <v>50.9</v>
      </c>
      <c r="BJ16" s="9">
        <v>59.7</v>
      </c>
      <c r="BK16" s="9">
        <v>43.7</v>
      </c>
      <c r="BL16" s="9"/>
      <c r="BM16" s="9">
        <v>42.3</v>
      </c>
      <c r="BN16" s="9">
        <v>33279.199999999997</v>
      </c>
      <c r="BO16" s="9">
        <v>24924.799999999999</v>
      </c>
      <c r="BP16" s="9">
        <v>8912.7999999999993</v>
      </c>
      <c r="BQ16" s="9">
        <v>7273.9</v>
      </c>
      <c r="BR16" s="9">
        <v>1638.9</v>
      </c>
      <c r="BS16" s="9">
        <v>2315.6</v>
      </c>
      <c r="BT16" s="9">
        <v>7169.8</v>
      </c>
      <c r="BU16" s="9">
        <v>4055.6</v>
      </c>
      <c r="BV16" s="9">
        <v>6743.4</v>
      </c>
      <c r="BW16" s="9">
        <v>27056.1</v>
      </c>
      <c r="BX16" s="9">
        <v>3891.8</v>
      </c>
      <c r="BY16" s="9">
        <v>14930.3</v>
      </c>
      <c r="BZ16" s="9">
        <v>6061.5</v>
      </c>
      <c r="CA16" s="9">
        <v>1223.8</v>
      </c>
      <c r="CB16" s="9">
        <v>0</v>
      </c>
      <c r="CC16" s="9">
        <v>0</v>
      </c>
      <c r="CD16" s="9">
        <v>0</v>
      </c>
      <c r="CE16" s="9">
        <v>825.6</v>
      </c>
      <c r="CF16" s="9">
        <v>123586.28720000001</v>
      </c>
      <c r="CG16" s="9">
        <v>270540.75719999999</v>
      </c>
      <c r="CH16" s="9"/>
      <c r="CI16" s="9"/>
      <c r="CJ16" s="9">
        <v>38</v>
      </c>
      <c r="CK16" s="9">
        <v>21.5</v>
      </c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>
        <v>42.25</v>
      </c>
      <c r="DP16" s="9">
        <v>12.52</v>
      </c>
      <c r="DQ16" s="9">
        <v>7.25</v>
      </c>
      <c r="DR16" s="9">
        <v>5.27</v>
      </c>
      <c r="DS16" s="9">
        <v>8.81</v>
      </c>
      <c r="DT16" s="9">
        <v>0.26</v>
      </c>
      <c r="DU16" s="9">
        <v>13.65</v>
      </c>
      <c r="DV16" s="9">
        <v>11.1</v>
      </c>
      <c r="DW16" s="9">
        <v>1.66</v>
      </c>
      <c r="DX16" s="9">
        <v>7.17</v>
      </c>
      <c r="DY16" s="9">
        <v>2.82</v>
      </c>
      <c r="DZ16" s="9">
        <v>0.88</v>
      </c>
      <c r="EA16" s="9">
        <v>-25.9268</v>
      </c>
      <c r="EB16" s="9">
        <v>-32.851599999999998</v>
      </c>
      <c r="EC16" s="9">
        <v>-16.221900000000002</v>
      </c>
      <c r="ED16" s="9">
        <v>0.35034300000000002</v>
      </c>
      <c r="EE16" s="9">
        <v>22.79626</v>
      </c>
      <c r="EF16" s="9">
        <v>0</v>
      </c>
      <c r="EG16" s="9">
        <v>-21.117799999999999</v>
      </c>
      <c r="EH16" s="9">
        <v>-8.8156300000000005</v>
      </c>
      <c r="EI16" s="9">
        <v>0</v>
      </c>
      <c r="EJ16" s="9">
        <v>0</v>
      </c>
      <c r="EK16" s="9">
        <v>-12.302099999999999</v>
      </c>
      <c r="EL16" s="9">
        <v>-9.6971000000000007</v>
      </c>
      <c r="EM16" s="9">
        <v>-14.5062</v>
      </c>
      <c r="EN16" s="9"/>
      <c r="EO16" s="9"/>
      <c r="EP16" s="9"/>
      <c r="EQ16" s="9"/>
      <c r="ER16" s="9"/>
      <c r="ES16" s="9"/>
      <c r="ET16" s="9"/>
      <c r="EU16">
        <v>1098</v>
      </c>
      <c r="EV16" s="9">
        <v>4212.92</v>
      </c>
      <c r="EW16" s="9">
        <v>831.37</v>
      </c>
      <c r="EX16" s="9">
        <v>26.64</v>
      </c>
      <c r="EY16" s="9">
        <v>6.43</v>
      </c>
      <c r="EZ16" s="9">
        <v>924.9</v>
      </c>
      <c r="FA16" s="9">
        <v>2423.58</v>
      </c>
      <c r="FB16" s="9">
        <v>32.6</v>
      </c>
      <c r="FC16" s="9">
        <v>24.4</v>
      </c>
      <c r="FD16" s="9">
        <v>1742.1590909091001</v>
      </c>
      <c r="FE16" s="9">
        <v>12.99</v>
      </c>
      <c r="FF16" s="9">
        <v>263.02727270000003</v>
      </c>
      <c r="FG16"/>
      <c r="FH16"/>
      <c r="FI16"/>
      <c r="FJ16" s="9"/>
      <c r="FK16"/>
      <c r="FL16" s="9"/>
      <c r="FM16" s="9"/>
      <c r="FN16" s="9"/>
      <c r="FO16">
        <v>1097</v>
      </c>
      <c r="FP16"/>
      <c r="FQ16"/>
      <c r="FR16"/>
      <c r="FS16"/>
      <c r="FT16"/>
      <c r="FU16"/>
      <c r="FV16"/>
      <c r="FW16"/>
      <c r="FX16"/>
      <c r="HB16" s="6"/>
      <c r="HC16" s="6"/>
      <c r="HD16" s="6"/>
    </row>
    <row r="17" spans="1:212" x14ac:dyDescent="0.2">
      <c r="A17" s="8" t="s">
        <v>844</v>
      </c>
      <c r="B17" s="8" t="s">
        <v>191</v>
      </c>
      <c r="C17" s="8" t="s">
        <v>192</v>
      </c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>
        <v>24898.1</v>
      </c>
      <c r="BO17" s="9">
        <v>20827.7</v>
      </c>
      <c r="BP17" s="9">
        <v>3464.9</v>
      </c>
      <c r="BQ17" s="9">
        <v>2039.6</v>
      </c>
      <c r="BR17" s="9">
        <v>1425.3</v>
      </c>
      <c r="BS17" s="9">
        <v>3537.5</v>
      </c>
      <c r="BT17" s="9">
        <v>7705.7</v>
      </c>
      <c r="BU17" s="9">
        <v>2936.5</v>
      </c>
      <c r="BV17" s="9">
        <v>3457.2</v>
      </c>
      <c r="BW17" s="9">
        <v>23748.7</v>
      </c>
      <c r="BX17" s="9">
        <v>829</v>
      </c>
      <c r="BY17" s="9">
        <v>8791.1</v>
      </c>
      <c r="BZ17" s="9">
        <v>6730.8</v>
      </c>
      <c r="CA17" s="9">
        <v>956.9</v>
      </c>
      <c r="CB17" s="9">
        <v>0</v>
      </c>
      <c r="CC17" s="9">
        <v>0</v>
      </c>
      <c r="CD17" s="9">
        <v>0</v>
      </c>
      <c r="CE17" s="9">
        <v>3002.6</v>
      </c>
      <c r="CF17" s="9">
        <v>138232.7867</v>
      </c>
      <c r="CG17" s="9">
        <v>282745.49060000002</v>
      </c>
      <c r="CH17" s="9"/>
      <c r="CI17" s="9"/>
      <c r="CJ17" s="9">
        <v>37.9</v>
      </c>
      <c r="CK17" s="9">
        <v>21.6</v>
      </c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>
        <v>48.44</v>
      </c>
      <c r="DP17" s="9">
        <v>11.23</v>
      </c>
      <c r="DQ17" s="9">
        <v>5.31</v>
      </c>
      <c r="DR17" s="9">
        <v>5.92</v>
      </c>
      <c r="DS17" s="9">
        <v>11.5</v>
      </c>
      <c r="DT17" s="9">
        <v>0.48</v>
      </c>
      <c r="DU17" s="9">
        <v>12.25</v>
      </c>
      <c r="DV17" s="9">
        <v>8.7899999999999991</v>
      </c>
      <c r="DW17" s="9">
        <v>2.15</v>
      </c>
      <c r="DX17" s="9">
        <v>13.4</v>
      </c>
      <c r="DY17" s="9">
        <v>6.32</v>
      </c>
      <c r="DZ17" s="9">
        <v>2.09</v>
      </c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>
        <v>1092.95</v>
      </c>
      <c r="EV17" s="9"/>
      <c r="EW17" s="9"/>
      <c r="EX17" s="9"/>
      <c r="EY17" s="9"/>
      <c r="EZ17" s="9"/>
      <c r="FA17" s="9"/>
      <c r="FB17" s="9">
        <v>33.5</v>
      </c>
      <c r="FC17" s="9">
        <v>25.55</v>
      </c>
      <c r="FD17" s="9">
        <v>1665.9722222221999</v>
      </c>
      <c r="FE17" s="9">
        <v>12.99</v>
      </c>
      <c r="FF17" s="9">
        <v>260.33055560000003</v>
      </c>
      <c r="FG17"/>
      <c r="FH17"/>
      <c r="FI17"/>
      <c r="FJ17" s="9"/>
      <c r="FK17"/>
      <c r="FL17" s="9"/>
      <c r="FM17" s="9"/>
      <c r="FN17" s="9"/>
      <c r="FO17">
        <v>1091</v>
      </c>
      <c r="FP17"/>
      <c r="FQ17"/>
      <c r="FR17"/>
      <c r="FS17"/>
      <c r="FT17"/>
      <c r="FU17"/>
      <c r="FV17"/>
      <c r="FW17"/>
      <c r="FX17"/>
      <c r="HB17" s="6"/>
      <c r="HC17" s="6"/>
      <c r="HD17" s="6"/>
    </row>
    <row r="18" spans="1:212" x14ac:dyDescent="0.2">
      <c r="A18" s="8" t="s">
        <v>844</v>
      </c>
      <c r="B18" s="8" t="s">
        <v>191</v>
      </c>
      <c r="C18" s="8" t="s">
        <v>193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>
        <v>36168.699999999997</v>
      </c>
      <c r="BO18" s="9">
        <v>29477</v>
      </c>
      <c r="BP18" s="9">
        <v>7481.1</v>
      </c>
      <c r="BQ18" s="9">
        <v>5902.3</v>
      </c>
      <c r="BR18" s="9">
        <v>1578.8</v>
      </c>
      <c r="BS18" s="9">
        <v>4530.1000000000004</v>
      </c>
      <c r="BT18" s="9">
        <v>7991.9</v>
      </c>
      <c r="BU18" s="9">
        <v>4236.6000000000004</v>
      </c>
      <c r="BV18" s="9">
        <v>6611.8</v>
      </c>
      <c r="BW18" s="9">
        <v>29439.1</v>
      </c>
      <c r="BX18" s="9">
        <v>1246</v>
      </c>
      <c r="BY18" s="9">
        <v>12087.1</v>
      </c>
      <c r="BZ18" s="9">
        <v>8051.7</v>
      </c>
      <c r="CA18" s="9">
        <v>1662.4</v>
      </c>
      <c r="CB18" s="9">
        <v>0</v>
      </c>
      <c r="CC18" s="9">
        <v>0</v>
      </c>
      <c r="CD18" s="9">
        <v>0</v>
      </c>
      <c r="CE18" s="9">
        <v>3133.3</v>
      </c>
      <c r="CF18" s="9">
        <v>150926.73009999999</v>
      </c>
      <c r="CG18" s="9">
        <v>299891.74790000002</v>
      </c>
      <c r="CH18" s="9"/>
      <c r="CI18" s="9"/>
      <c r="CJ18" s="9">
        <v>37.6</v>
      </c>
      <c r="CK18" s="9">
        <v>24.2</v>
      </c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>
        <v>66.83</v>
      </c>
      <c r="DP18" s="9">
        <v>17.5</v>
      </c>
      <c r="DQ18" s="9">
        <v>8.68</v>
      </c>
      <c r="DR18" s="9">
        <v>8.82</v>
      </c>
      <c r="DS18" s="9">
        <v>15.4</v>
      </c>
      <c r="DT18" s="9">
        <v>0.46</v>
      </c>
      <c r="DU18" s="9">
        <v>23.74</v>
      </c>
      <c r="DV18" s="9">
        <v>19.21</v>
      </c>
      <c r="DW18" s="9">
        <v>2.19</v>
      </c>
      <c r="DX18" s="9">
        <v>10.19</v>
      </c>
      <c r="DY18" s="9">
        <v>4.67</v>
      </c>
      <c r="DZ18" s="9">
        <v>0.82</v>
      </c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>
        <v>1092.67</v>
      </c>
      <c r="EV18" s="9"/>
      <c r="EW18" s="9"/>
      <c r="EX18" s="9"/>
      <c r="EY18" s="9"/>
      <c r="EZ18" s="9"/>
      <c r="FA18" s="9"/>
      <c r="FB18" s="9">
        <v>33.799999999999997</v>
      </c>
      <c r="FC18" s="9">
        <v>28.45</v>
      </c>
      <c r="FD18" s="9">
        <v>1684.85</v>
      </c>
      <c r="FE18" s="9">
        <v>12.99</v>
      </c>
      <c r="FF18" s="9">
        <v>272.09318180000002</v>
      </c>
      <c r="FG18"/>
      <c r="FH18"/>
      <c r="FI18"/>
      <c r="FJ18" s="9"/>
      <c r="FK18"/>
      <c r="FL18" s="9"/>
      <c r="FM18" s="9"/>
      <c r="FN18" s="9"/>
      <c r="FO18">
        <v>1095</v>
      </c>
      <c r="FP18"/>
      <c r="FQ18"/>
      <c r="FR18"/>
      <c r="FS18"/>
      <c r="FT18"/>
      <c r="FU18"/>
      <c r="FV18"/>
      <c r="FW18"/>
      <c r="FX18"/>
      <c r="HB18" s="6"/>
      <c r="HC18" s="6"/>
      <c r="HD18" s="6"/>
    </row>
    <row r="19" spans="1:212" x14ac:dyDescent="0.2">
      <c r="A19" s="8" t="s">
        <v>844</v>
      </c>
      <c r="B19" s="8" t="s">
        <v>191</v>
      </c>
      <c r="C19" s="8" t="s">
        <v>194</v>
      </c>
      <c r="D19" s="9">
        <v>381561.2</v>
      </c>
      <c r="E19" s="9">
        <v>126232.4</v>
      </c>
      <c r="F19" s="9">
        <v>26485.5</v>
      </c>
      <c r="G19" s="9">
        <v>26071.7</v>
      </c>
      <c r="H19" s="9">
        <v>8242.6</v>
      </c>
      <c r="I19" s="9">
        <v>4401.8999999999996</v>
      </c>
      <c r="J19" s="9">
        <v>33466.699999999997</v>
      </c>
      <c r="K19" s="9">
        <v>26891.1</v>
      </c>
      <c r="L19" s="9">
        <v>8524.6</v>
      </c>
      <c r="M19" s="9">
        <v>77853.3</v>
      </c>
      <c r="N19" s="9">
        <v>43391.5</v>
      </c>
      <c r="O19" s="9">
        <v>2122685.4108617362</v>
      </c>
      <c r="P19" s="9">
        <v>509095.12533718842</v>
      </c>
      <c r="Q19" s="9">
        <v>306243.5888392732</v>
      </c>
      <c r="R19" s="9">
        <v>159544.52885388161</v>
      </c>
      <c r="S19" s="9">
        <v>56350.799810843797</v>
      </c>
      <c r="T19" s="9">
        <v>35672.492136405301</v>
      </c>
      <c r="U19" s="9">
        <v>170643.92551148331</v>
      </c>
      <c r="V19" s="9">
        <v>51335.628667379598</v>
      </c>
      <c r="W19" s="9">
        <v>18296.996462319701</v>
      </c>
      <c r="X19" s="9">
        <v>688295.54807531647</v>
      </c>
      <c r="Y19" s="9">
        <v>127206.77716764509</v>
      </c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>
        <v>67.7</v>
      </c>
      <c r="AX19" s="9"/>
      <c r="AY19" s="9">
        <v>50.4</v>
      </c>
      <c r="AZ19" s="9">
        <v>67.3</v>
      </c>
      <c r="BA19" s="9">
        <v>82.9</v>
      </c>
      <c r="BB19" s="9"/>
      <c r="BC19" s="9">
        <v>74.400000000000006</v>
      </c>
      <c r="BD19" s="9">
        <v>58.2</v>
      </c>
      <c r="BE19" s="9">
        <v>85.7</v>
      </c>
      <c r="BF19" s="9">
        <v>62.4</v>
      </c>
      <c r="BG19" s="9"/>
      <c r="BH19" s="9">
        <v>53.8</v>
      </c>
      <c r="BI19" s="9">
        <v>55</v>
      </c>
      <c r="BJ19" s="9">
        <v>75.3</v>
      </c>
      <c r="BK19" s="9">
        <v>48.4</v>
      </c>
      <c r="BL19" s="9"/>
      <c r="BM19" s="9">
        <v>60.2</v>
      </c>
      <c r="BN19" s="9">
        <v>57918</v>
      </c>
      <c r="BO19" s="9">
        <v>31436.6</v>
      </c>
      <c r="BP19" s="9">
        <v>6120.9</v>
      </c>
      <c r="BQ19" s="9">
        <v>3931.4</v>
      </c>
      <c r="BR19" s="9">
        <v>2189.4</v>
      </c>
      <c r="BS19" s="9">
        <v>4335.8</v>
      </c>
      <c r="BT19" s="9">
        <v>8904.7000000000007</v>
      </c>
      <c r="BU19" s="9">
        <v>6717.7</v>
      </c>
      <c r="BV19" s="9">
        <v>25738</v>
      </c>
      <c r="BW19" s="9">
        <v>38954.300000000003</v>
      </c>
      <c r="BX19" s="9">
        <v>4431.7</v>
      </c>
      <c r="BY19" s="9">
        <v>15798.2</v>
      </c>
      <c r="BZ19" s="9">
        <v>11675.1</v>
      </c>
      <c r="CA19" s="9">
        <v>1022.4</v>
      </c>
      <c r="CB19" s="9">
        <v>0</v>
      </c>
      <c r="CC19" s="9">
        <v>0</v>
      </c>
      <c r="CD19" s="9">
        <v>0</v>
      </c>
      <c r="CE19" s="9">
        <v>6347.4</v>
      </c>
      <c r="CF19" s="9">
        <v>155099.636</v>
      </c>
      <c r="CG19" s="9">
        <v>313946.14169999998</v>
      </c>
      <c r="CH19" s="9"/>
      <c r="CI19" s="9"/>
      <c r="CJ19" s="9">
        <v>34.5</v>
      </c>
      <c r="CK19" s="9">
        <v>22.8</v>
      </c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>
        <v>52.86</v>
      </c>
      <c r="DP19" s="9">
        <v>17.920000000000002</v>
      </c>
      <c r="DQ19" s="9">
        <v>8.56</v>
      </c>
      <c r="DR19" s="9">
        <v>9.36</v>
      </c>
      <c r="DS19" s="9">
        <v>11.01</v>
      </c>
      <c r="DT19" s="9">
        <v>0.65</v>
      </c>
      <c r="DU19" s="9">
        <v>12.55</v>
      </c>
      <c r="DV19" s="9">
        <v>8.35</v>
      </c>
      <c r="DW19" s="9">
        <v>2.84</v>
      </c>
      <c r="DX19" s="9">
        <v>11.37</v>
      </c>
      <c r="DY19" s="9">
        <v>4.47</v>
      </c>
      <c r="DZ19" s="9">
        <v>0.9</v>
      </c>
      <c r="EA19" s="9">
        <v>-27.630500000000001</v>
      </c>
      <c r="EB19" s="9">
        <v>-43.42</v>
      </c>
      <c r="EC19" s="9">
        <v>-18.9343</v>
      </c>
      <c r="ED19" s="9">
        <v>3.1020699999999999</v>
      </c>
      <c r="EE19" s="9">
        <v>31.62172</v>
      </c>
      <c r="EF19" s="9">
        <v>0</v>
      </c>
      <c r="EG19" s="9">
        <v>-33.4116</v>
      </c>
      <c r="EH19" s="9">
        <v>-20.882899999999999</v>
      </c>
      <c r="EI19" s="9">
        <v>0</v>
      </c>
      <c r="EJ19" s="9">
        <v>0</v>
      </c>
      <c r="EK19" s="9">
        <v>-12.528700000000001</v>
      </c>
      <c r="EL19" s="9">
        <v>3.1493579999999999</v>
      </c>
      <c r="EM19" s="9">
        <v>8.9304819999999996</v>
      </c>
      <c r="EN19" s="9"/>
      <c r="EO19" s="9"/>
      <c r="EP19" s="9"/>
      <c r="EQ19" s="9"/>
      <c r="ER19" s="9"/>
      <c r="ES19" s="9"/>
      <c r="ET19" s="9"/>
      <c r="EU19">
        <v>1096</v>
      </c>
      <c r="EV19" s="9">
        <v>4218.41</v>
      </c>
      <c r="EW19" s="9">
        <v>834.57</v>
      </c>
      <c r="EX19" s="9">
        <v>24.78</v>
      </c>
      <c r="EY19" s="9">
        <v>7.11</v>
      </c>
      <c r="EZ19" s="9">
        <v>928.36</v>
      </c>
      <c r="FA19" s="9">
        <v>2423.58</v>
      </c>
      <c r="FB19" s="9">
        <v>33.9</v>
      </c>
      <c r="FC19" s="9">
        <v>27.72</v>
      </c>
      <c r="FD19" s="9">
        <v>1610.4690476190001</v>
      </c>
      <c r="FE19" s="9">
        <v>12.99</v>
      </c>
      <c r="FF19" s="9">
        <v>270.202381</v>
      </c>
      <c r="FG19"/>
      <c r="FH19"/>
      <c r="FI19"/>
      <c r="FJ19" s="9"/>
      <c r="FK19"/>
      <c r="FL19" s="9"/>
      <c r="FM19" s="9"/>
      <c r="FN19" s="9"/>
      <c r="FO19">
        <v>1097</v>
      </c>
      <c r="FP19"/>
      <c r="FQ19"/>
      <c r="FR19"/>
      <c r="FS19"/>
      <c r="FT19"/>
      <c r="FU19"/>
      <c r="FV19"/>
      <c r="FW19"/>
      <c r="FX19"/>
      <c r="HB19" s="6"/>
      <c r="HC19" s="6"/>
      <c r="HD19" s="6"/>
    </row>
    <row r="20" spans="1:212" x14ac:dyDescent="0.2">
      <c r="A20" s="8" t="s">
        <v>844</v>
      </c>
      <c r="B20" s="8" t="s">
        <v>195</v>
      </c>
      <c r="C20" s="8" t="s">
        <v>196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>
        <v>30373.200000000001</v>
      </c>
      <c r="BO20" s="9">
        <v>23852.7</v>
      </c>
      <c r="BP20" s="9">
        <v>4399.2</v>
      </c>
      <c r="BQ20" s="9">
        <v>2934.7</v>
      </c>
      <c r="BR20" s="9">
        <v>1464.6</v>
      </c>
      <c r="BS20" s="9">
        <v>3359.2</v>
      </c>
      <c r="BT20" s="9">
        <v>6730.9</v>
      </c>
      <c r="BU20" s="9">
        <v>5373.3</v>
      </c>
      <c r="BV20" s="9">
        <v>6901.1</v>
      </c>
      <c r="BW20" s="9">
        <v>27138.3</v>
      </c>
      <c r="BX20" s="9">
        <v>3519.9</v>
      </c>
      <c r="BY20" s="9">
        <v>14027.8</v>
      </c>
      <c r="BZ20" s="9">
        <v>6352.6</v>
      </c>
      <c r="CA20" s="9">
        <v>889.7</v>
      </c>
      <c r="CB20" s="9">
        <v>0</v>
      </c>
      <c r="CC20" s="9">
        <v>0</v>
      </c>
      <c r="CD20" s="9">
        <v>0</v>
      </c>
      <c r="CE20" s="9">
        <v>2253.8000000000002</v>
      </c>
      <c r="CF20" s="9">
        <v>152484.5313</v>
      </c>
      <c r="CG20" s="9">
        <v>310975.84940000001</v>
      </c>
      <c r="CH20" s="9"/>
      <c r="CI20" s="9"/>
      <c r="CJ20" s="9">
        <v>33.9</v>
      </c>
      <c r="CK20" s="9">
        <v>20.7</v>
      </c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>
        <v>72.39</v>
      </c>
      <c r="DP20" s="9">
        <v>17.899999999999999</v>
      </c>
      <c r="DQ20" s="9">
        <v>9.74</v>
      </c>
      <c r="DR20" s="9">
        <v>8.16</v>
      </c>
      <c r="DS20" s="9">
        <v>8.92</v>
      </c>
      <c r="DT20" s="9">
        <v>0.19</v>
      </c>
      <c r="DU20" s="9">
        <v>27.05</v>
      </c>
      <c r="DV20" s="9">
        <v>18.3</v>
      </c>
      <c r="DW20" s="9">
        <v>5.62</v>
      </c>
      <c r="DX20" s="9">
        <v>18.39</v>
      </c>
      <c r="DY20" s="9">
        <v>6.78</v>
      </c>
      <c r="DZ20" s="9">
        <v>2.5499999999999998</v>
      </c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>
        <v>1096.67</v>
      </c>
      <c r="EV20" s="9"/>
      <c r="EW20" s="9"/>
      <c r="EX20" s="9"/>
      <c r="EY20" s="9"/>
      <c r="EZ20" s="9"/>
      <c r="FA20" s="9"/>
      <c r="FB20" s="9">
        <v>34</v>
      </c>
      <c r="FC20" s="9">
        <v>24.54</v>
      </c>
      <c r="FD20" s="9">
        <v>1526.7704545454999</v>
      </c>
      <c r="FE20" s="9">
        <v>12.99</v>
      </c>
      <c r="FF20" s="9">
        <v>267.52619049999998</v>
      </c>
      <c r="FG20"/>
      <c r="FH20"/>
      <c r="FI20"/>
      <c r="FJ20" s="9"/>
      <c r="FK20"/>
      <c r="FL20" s="9"/>
      <c r="FM20" s="9"/>
      <c r="FN20" s="9"/>
      <c r="FO20">
        <v>1098</v>
      </c>
      <c r="FP20"/>
      <c r="FQ20"/>
      <c r="FR20"/>
      <c r="FS20"/>
      <c r="FT20"/>
      <c r="FU20"/>
      <c r="FV20"/>
      <c r="FW20"/>
      <c r="FX20"/>
      <c r="HB20" s="6"/>
      <c r="HC20" s="6"/>
      <c r="HD20" s="6"/>
    </row>
    <row r="21" spans="1:212" x14ac:dyDescent="0.2">
      <c r="A21" s="8" t="s">
        <v>844</v>
      </c>
      <c r="B21" s="8" t="s">
        <v>195</v>
      </c>
      <c r="C21" s="8" t="s">
        <v>197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>
        <v>26603.3</v>
      </c>
      <c r="BO21" s="9">
        <v>23398.3</v>
      </c>
      <c r="BP21" s="9">
        <v>5162.1000000000004</v>
      </c>
      <c r="BQ21" s="9">
        <v>3661.6</v>
      </c>
      <c r="BR21" s="9">
        <v>1500.5</v>
      </c>
      <c r="BS21" s="9">
        <v>-4099.8</v>
      </c>
      <c r="BT21" s="9">
        <v>12545.3</v>
      </c>
      <c r="BU21" s="9">
        <v>4344.8999999999996</v>
      </c>
      <c r="BV21" s="9">
        <v>3149.6</v>
      </c>
      <c r="BW21" s="9">
        <v>22393.9</v>
      </c>
      <c r="BX21" s="9">
        <v>20079</v>
      </c>
      <c r="BY21" s="9">
        <v>7128.9</v>
      </c>
      <c r="BZ21" s="9">
        <v>5388</v>
      </c>
      <c r="CA21" s="9">
        <v>1622.2</v>
      </c>
      <c r="CB21" s="9">
        <v>0</v>
      </c>
      <c r="CC21" s="9">
        <v>0</v>
      </c>
      <c r="CD21" s="9">
        <v>0</v>
      </c>
      <c r="CE21" s="9">
        <v>4744.7</v>
      </c>
      <c r="CF21" s="9">
        <v>150334.58739999999</v>
      </c>
      <c r="CG21" s="9">
        <v>321088.29470000003</v>
      </c>
      <c r="CH21" s="9"/>
      <c r="CI21" s="9"/>
      <c r="CJ21" s="9">
        <v>35</v>
      </c>
      <c r="CK21" s="9">
        <v>23.5</v>
      </c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>
        <v>52.95</v>
      </c>
      <c r="DP21" s="9">
        <v>15.96</v>
      </c>
      <c r="DQ21" s="9">
        <v>8.24</v>
      </c>
      <c r="DR21" s="9">
        <v>7.72</v>
      </c>
      <c r="DS21" s="9">
        <v>8.1999999999999993</v>
      </c>
      <c r="DT21" s="9">
        <v>0.26</v>
      </c>
      <c r="DU21" s="9">
        <v>18.13</v>
      </c>
      <c r="DV21" s="9">
        <v>12.19</v>
      </c>
      <c r="DW21" s="9">
        <v>3.5</v>
      </c>
      <c r="DX21" s="9">
        <v>10.55</v>
      </c>
      <c r="DY21" s="9">
        <v>4.55</v>
      </c>
      <c r="DZ21" s="9">
        <v>0.75</v>
      </c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>
        <v>1098.43</v>
      </c>
      <c r="EV21" s="9"/>
      <c r="EW21" s="9"/>
      <c r="EX21" s="9"/>
      <c r="EY21" s="9"/>
      <c r="EZ21" s="9"/>
      <c r="FA21" s="9"/>
      <c r="FB21" s="9">
        <v>33.799999999999997</v>
      </c>
      <c r="FC21" s="9">
        <v>25.67</v>
      </c>
      <c r="FD21" s="9">
        <v>1466.4113636364</v>
      </c>
      <c r="FE21" s="9">
        <v>12.99</v>
      </c>
      <c r="FF21" s="9">
        <v>272.09210530000001</v>
      </c>
      <c r="FG21"/>
      <c r="FH21"/>
      <c r="FI21"/>
      <c r="FJ21" s="9"/>
      <c r="FK21"/>
      <c r="FL21" s="9"/>
      <c r="FM21" s="9"/>
      <c r="FN21" s="9"/>
      <c r="FO21">
        <v>1099</v>
      </c>
      <c r="FP21"/>
      <c r="FQ21"/>
      <c r="FR21"/>
      <c r="FS21"/>
      <c r="FT21"/>
      <c r="FU21"/>
      <c r="FV21"/>
      <c r="FW21"/>
      <c r="FX21"/>
      <c r="HB21" s="6"/>
      <c r="HC21" s="6"/>
      <c r="HD21" s="6"/>
    </row>
    <row r="22" spans="1:212" x14ac:dyDescent="0.2">
      <c r="A22" s="8" t="s">
        <v>844</v>
      </c>
      <c r="B22" s="8" t="s">
        <v>195</v>
      </c>
      <c r="C22" s="8" t="s">
        <v>198</v>
      </c>
      <c r="D22" s="9">
        <v>366390.7</v>
      </c>
      <c r="E22" s="9">
        <v>89884.3</v>
      </c>
      <c r="F22" s="9">
        <v>38083</v>
      </c>
      <c r="G22" s="9">
        <v>32268.2</v>
      </c>
      <c r="H22" s="9">
        <v>7909</v>
      </c>
      <c r="I22" s="9">
        <v>6090.6</v>
      </c>
      <c r="J22" s="9">
        <v>32115.4</v>
      </c>
      <c r="K22" s="9">
        <v>31394.9</v>
      </c>
      <c r="L22" s="9">
        <v>9871.2000000000007</v>
      </c>
      <c r="M22" s="9">
        <v>70004.3</v>
      </c>
      <c r="N22" s="9">
        <v>48769.7</v>
      </c>
      <c r="O22" s="9">
        <v>2038289.515719678</v>
      </c>
      <c r="P22" s="9">
        <v>350102.31917259801</v>
      </c>
      <c r="Q22" s="9">
        <v>425278.11083584349</v>
      </c>
      <c r="R22" s="9">
        <v>190708.63316642999</v>
      </c>
      <c r="S22" s="9">
        <v>52220.434751811503</v>
      </c>
      <c r="T22" s="9">
        <v>47669.039864954699</v>
      </c>
      <c r="U22" s="9">
        <v>158151.8679617336</v>
      </c>
      <c r="V22" s="9">
        <v>57883.191532509598</v>
      </c>
      <c r="W22" s="9">
        <v>20462.5047575387</v>
      </c>
      <c r="X22" s="9">
        <v>597730.88927876879</v>
      </c>
      <c r="Y22" s="9">
        <v>138082.52439748941</v>
      </c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>
        <v>64.900000000000006</v>
      </c>
      <c r="AX22" s="9">
        <v>29.2</v>
      </c>
      <c r="AY22" s="9">
        <v>59.6</v>
      </c>
      <c r="AZ22" s="9">
        <v>60.6</v>
      </c>
      <c r="BA22" s="9">
        <v>82.7</v>
      </c>
      <c r="BB22" s="9"/>
      <c r="BC22" s="9">
        <v>79.2</v>
      </c>
      <c r="BD22" s="9">
        <v>58.3</v>
      </c>
      <c r="BE22" s="9">
        <v>78.900000000000006</v>
      </c>
      <c r="BF22" s="9">
        <v>72.599999999999994</v>
      </c>
      <c r="BG22" s="9"/>
      <c r="BH22" s="9">
        <v>58.5</v>
      </c>
      <c r="BI22" s="9">
        <v>61.8</v>
      </c>
      <c r="BJ22" s="9">
        <v>49.8</v>
      </c>
      <c r="BK22" s="9">
        <v>53.6</v>
      </c>
      <c r="BL22" s="9"/>
      <c r="BM22" s="9">
        <v>42.5</v>
      </c>
      <c r="BN22" s="9">
        <v>39078.699999999997</v>
      </c>
      <c r="BO22" s="9">
        <v>28076.9</v>
      </c>
      <c r="BP22" s="9">
        <v>2700.3</v>
      </c>
      <c r="BQ22" s="9">
        <v>819.1</v>
      </c>
      <c r="BR22" s="9">
        <v>1881.2</v>
      </c>
      <c r="BS22" s="9">
        <v>7684.2</v>
      </c>
      <c r="BT22" s="9">
        <v>10111.799999999999</v>
      </c>
      <c r="BU22" s="9">
        <v>2982.9</v>
      </c>
      <c r="BV22" s="9">
        <v>10588.6</v>
      </c>
      <c r="BW22" s="9">
        <v>32291.7</v>
      </c>
      <c r="BX22" s="9">
        <v>-2413.9</v>
      </c>
      <c r="BY22" s="9">
        <v>16014</v>
      </c>
      <c r="BZ22" s="9">
        <v>7502.3</v>
      </c>
      <c r="CA22" s="9">
        <v>664.8</v>
      </c>
      <c r="CB22" s="9">
        <v>0</v>
      </c>
      <c r="CC22" s="9">
        <v>0</v>
      </c>
      <c r="CD22" s="9">
        <v>0</v>
      </c>
      <c r="CE22" s="9">
        <v>3413</v>
      </c>
      <c r="CF22" s="9">
        <v>151808.6311</v>
      </c>
      <c r="CG22" s="9">
        <v>317428.4938</v>
      </c>
      <c r="CH22" s="9"/>
      <c r="CI22" s="9"/>
      <c r="CJ22" s="9">
        <v>37.4</v>
      </c>
      <c r="CK22" s="9">
        <v>21.4</v>
      </c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>
        <v>47.69</v>
      </c>
      <c r="DP22" s="9">
        <v>13.26</v>
      </c>
      <c r="DQ22" s="9">
        <v>8.14</v>
      </c>
      <c r="DR22" s="9">
        <v>5.12</v>
      </c>
      <c r="DS22" s="9">
        <v>7.56</v>
      </c>
      <c r="DT22" s="9">
        <v>0.24</v>
      </c>
      <c r="DU22" s="9">
        <v>15.26</v>
      </c>
      <c r="DV22" s="9">
        <v>8.08</v>
      </c>
      <c r="DW22" s="9">
        <v>3.67</v>
      </c>
      <c r="DX22" s="9">
        <v>11.52</v>
      </c>
      <c r="DY22" s="9">
        <v>4.5199999999999996</v>
      </c>
      <c r="DZ22" s="9">
        <v>0.74</v>
      </c>
      <c r="EA22" s="9">
        <v>-2.5410599999999999</v>
      </c>
      <c r="EB22" s="9">
        <v>2.2161849999999998</v>
      </c>
      <c r="EC22" s="9">
        <v>-28.528099999999998</v>
      </c>
      <c r="ED22" s="9">
        <v>-1.2999700000000001</v>
      </c>
      <c r="EE22" s="9">
        <v>25.07084</v>
      </c>
      <c r="EF22" s="9">
        <v>0</v>
      </c>
      <c r="EG22" s="9">
        <v>-5.7752699999999999</v>
      </c>
      <c r="EH22" s="9">
        <v>-8.1594999999999995</v>
      </c>
      <c r="EI22" s="9">
        <v>0</v>
      </c>
      <c r="EJ22" s="9">
        <v>0</v>
      </c>
      <c r="EK22" s="9">
        <v>2.3842289999999999</v>
      </c>
      <c r="EL22" s="9">
        <v>-10.4976</v>
      </c>
      <c r="EM22" s="9">
        <v>-7.2633999999999999</v>
      </c>
      <c r="EN22" s="9"/>
      <c r="EO22" s="9"/>
      <c r="EP22" s="9"/>
      <c r="EQ22" s="9"/>
      <c r="ER22" s="9"/>
      <c r="ES22" s="9"/>
      <c r="ET22" s="9"/>
      <c r="EU22">
        <v>1099.5</v>
      </c>
      <c r="EV22" s="9">
        <v>4216.46</v>
      </c>
      <c r="EW22" s="9">
        <v>826.89</v>
      </c>
      <c r="EX22" s="9">
        <v>22.87</v>
      </c>
      <c r="EY22" s="9">
        <v>9.4600000000000009</v>
      </c>
      <c r="EZ22" s="9">
        <v>933.67</v>
      </c>
      <c r="FA22" s="9">
        <v>2423.58</v>
      </c>
      <c r="FB22" s="9">
        <v>32.799999999999997</v>
      </c>
      <c r="FC22" s="9">
        <v>25.54</v>
      </c>
      <c r="FD22" s="9">
        <v>1427.697368421</v>
      </c>
      <c r="FE22" s="9">
        <v>12.99</v>
      </c>
      <c r="FF22" s="9">
        <v>284.47235289999998</v>
      </c>
      <c r="FG22"/>
      <c r="FH22"/>
      <c r="FI22"/>
      <c r="FJ22" s="9"/>
      <c r="FK22"/>
      <c r="FL22" s="9"/>
      <c r="FM22" s="9"/>
      <c r="FN22" s="9"/>
      <c r="FO22">
        <v>1099</v>
      </c>
      <c r="FP22"/>
      <c r="FQ22"/>
      <c r="FR22"/>
      <c r="FS22"/>
      <c r="FT22"/>
      <c r="FU22"/>
      <c r="FV22"/>
      <c r="FW22"/>
      <c r="FX22"/>
      <c r="HB22" s="6"/>
      <c r="HC22" s="6"/>
      <c r="HD22" s="6"/>
    </row>
    <row r="23" spans="1:212" x14ac:dyDescent="0.2">
      <c r="A23" s="8" t="s">
        <v>844</v>
      </c>
      <c r="B23" s="8" t="s">
        <v>199</v>
      </c>
      <c r="C23" s="8" t="s">
        <v>200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>
        <v>39775.300000000003</v>
      </c>
      <c r="BO23" s="9">
        <v>35286.5</v>
      </c>
      <c r="BP23" s="9">
        <v>6251.1</v>
      </c>
      <c r="BQ23" s="9">
        <v>4296.8999999999996</v>
      </c>
      <c r="BR23" s="9">
        <v>1954.2</v>
      </c>
      <c r="BS23" s="9">
        <v>7393.1</v>
      </c>
      <c r="BT23" s="9">
        <v>10558.7</v>
      </c>
      <c r="BU23" s="9">
        <v>5617.4</v>
      </c>
      <c r="BV23" s="9">
        <v>2899.2</v>
      </c>
      <c r="BW23" s="9">
        <v>32627.599999999999</v>
      </c>
      <c r="BX23" s="9">
        <v>557.29999999999995</v>
      </c>
      <c r="BY23" s="9">
        <v>15675.2</v>
      </c>
      <c r="BZ23" s="9">
        <v>7707.6</v>
      </c>
      <c r="CA23" s="9">
        <v>2039.1</v>
      </c>
      <c r="CB23" s="9">
        <v>0</v>
      </c>
      <c r="CC23" s="9">
        <v>0</v>
      </c>
      <c r="CD23" s="9">
        <v>0</v>
      </c>
      <c r="CE23" s="9">
        <v>7389.4</v>
      </c>
      <c r="CF23" s="9">
        <v>145791.81630000001</v>
      </c>
      <c r="CG23" s="9">
        <v>316102.35389999999</v>
      </c>
      <c r="CH23" s="9"/>
      <c r="CI23" s="9"/>
      <c r="CJ23" s="9">
        <v>36.200000000000003</v>
      </c>
      <c r="CK23" s="9">
        <v>25.5</v>
      </c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>
        <v>51.85</v>
      </c>
      <c r="DP23" s="9">
        <v>16.600000000000001</v>
      </c>
      <c r="DQ23" s="9">
        <v>10.39</v>
      </c>
      <c r="DR23" s="9">
        <v>6.21</v>
      </c>
      <c r="DS23" s="9">
        <v>9.74</v>
      </c>
      <c r="DT23" s="9">
        <v>0.52</v>
      </c>
      <c r="DU23" s="9">
        <v>14.72</v>
      </c>
      <c r="DV23" s="9">
        <v>8.9600000000000009</v>
      </c>
      <c r="DW23" s="9">
        <v>3.33</v>
      </c>
      <c r="DX23" s="9">
        <v>10.79</v>
      </c>
      <c r="DY23" s="9">
        <v>4.32</v>
      </c>
      <c r="DZ23" s="9">
        <v>0.97</v>
      </c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>
        <v>1099.57</v>
      </c>
      <c r="EV23" s="9"/>
      <c r="EW23" s="9"/>
      <c r="EX23" s="9"/>
      <c r="EY23" s="9"/>
      <c r="EZ23" s="9"/>
      <c r="FA23" s="9"/>
      <c r="FB23" s="9">
        <v>32.4</v>
      </c>
      <c r="FC23" s="9">
        <v>20.48</v>
      </c>
      <c r="FD23" s="9">
        <v>1377.3760869565001</v>
      </c>
      <c r="FE23" s="9">
        <v>12.99</v>
      </c>
      <c r="FF23" s="9">
        <v>282.26714290000001</v>
      </c>
      <c r="FG23"/>
      <c r="FH23"/>
      <c r="FI23"/>
      <c r="FJ23" s="9"/>
      <c r="FK23"/>
      <c r="FL23" s="9"/>
      <c r="FM23" s="9"/>
      <c r="FN23" s="9"/>
      <c r="FO23">
        <v>1100</v>
      </c>
      <c r="FP23"/>
      <c r="FQ23"/>
      <c r="FR23"/>
      <c r="FS23"/>
      <c r="FT23"/>
      <c r="FU23"/>
      <c r="FV23"/>
      <c r="FW23"/>
      <c r="FX23"/>
      <c r="HB23" s="6"/>
      <c r="HC23" s="6"/>
      <c r="HD23" s="6"/>
    </row>
    <row r="24" spans="1:212" x14ac:dyDescent="0.2">
      <c r="A24" s="8" t="s">
        <v>844</v>
      </c>
      <c r="B24" s="8" t="s">
        <v>199</v>
      </c>
      <c r="C24" s="8" t="s">
        <v>201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>
        <v>34749.9</v>
      </c>
      <c r="BO24" s="9">
        <v>26785.599999999999</v>
      </c>
      <c r="BP24" s="9">
        <v>5120.3</v>
      </c>
      <c r="BQ24" s="9">
        <v>3708.4</v>
      </c>
      <c r="BR24" s="9">
        <v>1411.8</v>
      </c>
      <c r="BS24" s="9">
        <v>744.3</v>
      </c>
      <c r="BT24" s="9">
        <v>12759.3</v>
      </c>
      <c r="BU24" s="9">
        <v>3553.1</v>
      </c>
      <c r="BV24" s="9">
        <v>6328.9</v>
      </c>
      <c r="BW24" s="9">
        <v>29578.9</v>
      </c>
      <c r="BX24" s="9">
        <v>7543.7</v>
      </c>
      <c r="BY24" s="9">
        <v>11898.9</v>
      </c>
      <c r="BZ24" s="9">
        <v>7411.5</v>
      </c>
      <c r="CA24" s="9">
        <v>2405.1999999999998</v>
      </c>
      <c r="CB24" s="9">
        <v>0</v>
      </c>
      <c r="CC24" s="9">
        <v>0</v>
      </c>
      <c r="CD24" s="9">
        <v>0</v>
      </c>
      <c r="CE24" s="9">
        <v>3004</v>
      </c>
      <c r="CF24" s="9">
        <v>146029.89739999999</v>
      </c>
      <c r="CG24" s="9">
        <v>315864.47930000001</v>
      </c>
      <c r="CH24" s="9"/>
      <c r="CI24" s="9"/>
      <c r="CJ24" s="9">
        <v>37.4</v>
      </c>
      <c r="CK24" s="9">
        <v>23.3</v>
      </c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>
        <v>49.13</v>
      </c>
      <c r="DP24" s="9">
        <v>16.71</v>
      </c>
      <c r="DQ24" s="9">
        <v>9.1</v>
      </c>
      <c r="DR24" s="9">
        <v>7.61</v>
      </c>
      <c r="DS24" s="9">
        <v>8.81</v>
      </c>
      <c r="DT24" s="9">
        <v>0.17</v>
      </c>
      <c r="DU24" s="9">
        <v>12.31</v>
      </c>
      <c r="DV24" s="9">
        <v>7.85</v>
      </c>
      <c r="DW24" s="9">
        <v>2.27</v>
      </c>
      <c r="DX24" s="9">
        <v>11.27</v>
      </c>
      <c r="DY24" s="9">
        <v>4.3600000000000003</v>
      </c>
      <c r="DZ24" s="9">
        <v>1.37</v>
      </c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>
        <v>1100</v>
      </c>
      <c r="EV24" s="9"/>
      <c r="EW24" s="9"/>
      <c r="EX24" s="9"/>
      <c r="EY24" s="9"/>
      <c r="EZ24" s="9"/>
      <c r="FA24" s="9"/>
      <c r="FB24" s="9">
        <v>29.4</v>
      </c>
      <c r="FC24" s="9">
        <v>18.940000000000001</v>
      </c>
      <c r="FD24" s="9">
        <v>1434.2931818182001</v>
      </c>
      <c r="FE24" s="9">
        <v>12.99</v>
      </c>
      <c r="FF24" s="9">
        <v>277.18437499999999</v>
      </c>
      <c r="FG24"/>
      <c r="FH24"/>
      <c r="FI24"/>
      <c r="FJ24" s="9"/>
      <c r="FK24"/>
      <c r="FL24" s="9"/>
      <c r="FM24" s="9"/>
      <c r="FN24" s="9"/>
      <c r="FO24">
        <v>1100</v>
      </c>
      <c r="FP24"/>
      <c r="FQ24"/>
      <c r="FR24"/>
      <c r="FS24"/>
      <c r="FT24"/>
      <c r="FU24"/>
      <c r="FV24"/>
      <c r="FW24"/>
      <c r="FX24"/>
      <c r="HB24" s="6"/>
      <c r="HC24" s="6"/>
      <c r="HD24" s="6"/>
    </row>
    <row r="25" spans="1:212" x14ac:dyDescent="0.2">
      <c r="A25" s="8" t="s">
        <v>844</v>
      </c>
      <c r="B25" s="8" t="s">
        <v>199</v>
      </c>
      <c r="C25" s="8" t="s">
        <v>202</v>
      </c>
      <c r="D25" s="9">
        <v>413287.9</v>
      </c>
      <c r="E25" s="9">
        <v>93550.8</v>
      </c>
      <c r="F25" s="9">
        <v>29991.5</v>
      </c>
      <c r="G25" s="9">
        <v>35053.4</v>
      </c>
      <c r="H25" s="9">
        <v>13543.3</v>
      </c>
      <c r="I25" s="9">
        <v>18199.400000000001</v>
      </c>
      <c r="J25" s="9">
        <v>33858.199999999997</v>
      </c>
      <c r="K25" s="9">
        <v>38242.1</v>
      </c>
      <c r="L25" s="9">
        <v>16087.4</v>
      </c>
      <c r="M25" s="9">
        <v>78665</v>
      </c>
      <c r="N25" s="9">
        <v>56096.800000000003</v>
      </c>
      <c r="O25" s="9">
        <v>2299186.0697987219</v>
      </c>
      <c r="P25" s="9">
        <v>374106.09370609123</v>
      </c>
      <c r="Q25" s="9">
        <v>343855.6731787207</v>
      </c>
      <c r="R25" s="9">
        <v>212697.25823777751</v>
      </c>
      <c r="S25" s="9">
        <v>91807.790568335899</v>
      </c>
      <c r="T25" s="9">
        <v>146241.1273563444</v>
      </c>
      <c r="U25" s="9">
        <v>171183.13901312969</v>
      </c>
      <c r="V25" s="9">
        <v>72388.774992100705</v>
      </c>
      <c r="W25" s="9">
        <v>34238.192711283496</v>
      </c>
      <c r="X25" s="9">
        <v>689602.23276703153</v>
      </c>
      <c r="Y25" s="9">
        <v>163065.78726790691</v>
      </c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>
        <v>67.400000000000006</v>
      </c>
      <c r="AX25" s="9">
        <v>70.3</v>
      </c>
      <c r="AY25" s="9">
        <v>58.5</v>
      </c>
      <c r="AZ25" s="9">
        <v>73.599999999999994</v>
      </c>
      <c r="BA25" s="9">
        <v>76.5</v>
      </c>
      <c r="BB25" s="9"/>
      <c r="BC25" s="9">
        <v>76.7</v>
      </c>
      <c r="BD25" s="9">
        <v>50.8</v>
      </c>
      <c r="BE25" s="9">
        <v>96.7</v>
      </c>
      <c r="BF25" s="9">
        <v>86.8</v>
      </c>
      <c r="BG25" s="9"/>
      <c r="BH25" s="9">
        <v>70.599999999999994</v>
      </c>
      <c r="BI25" s="9">
        <v>67</v>
      </c>
      <c r="BJ25" s="9">
        <v>58.5</v>
      </c>
      <c r="BK25" s="9">
        <v>47.9</v>
      </c>
      <c r="BL25" s="9"/>
      <c r="BM25" s="9">
        <v>46.6</v>
      </c>
      <c r="BN25" s="9">
        <v>59596</v>
      </c>
      <c r="BO25" s="9">
        <v>41219.199999999997</v>
      </c>
      <c r="BP25" s="9">
        <v>7743.9</v>
      </c>
      <c r="BQ25" s="9">
        <v>4417.1000000000004</v>
      </c>
      <c r="BR25" s="9">
        <v>3327</v>
      </c>
      <c r="BS25" s="9">
        <v>11031.6</v>
      </c>
      <c r="BT25" s="9">
        <v>11276.9</v>
      </c>
      <c r="BU25" s="9">
        <v>4535</v>
      </c>
      <c r="BV25" s="9">
        <v>16577.900000000001</v>
      </c>
      <c r="BW25" s="9">
        <v>58617.599999999999</v>
      </c>
      <c r="BX25" s="9">
        <v>20478.900000000001</v>
      </c>
      <c r="BY25" s="9">
        <v>32200.799999999999</v>
      </c>
      <c r="BZ25" s="9">
        <v>11094.2</v>
      </c>
      <c r="CA25" s="9">
        <v>1907.6</v>
      </c>
      <c r="CB25" s="9">
        <v>6069.3</v>
      </c>
      <c r="CC25" s="9">
        <v>0</v>
      </c>
      <c r="CD25" s="9">
        <v>0</v>
      </c>
      <c r="CE25" s="9">
        <v>24077.9</v>
      </c>
      <c r="CF25" s="9">
        <v>156155.34080000001</v>
      </c>
      <c r="CG25" s="9">
        <v>331064.28039999999</v>
      </c>
      <c r="CH25" s="9"/>
      <c r="CI25" s="9"/>
      <c r="CJ25" s="9">
        <v>41.4</v>
      </c>
      <c r="CK25" s="9">
        <v>22.2</v>
      </c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>
        <v>68.53</v>
      </c>
      <c r="DP25" s="9">
        <v>14.53</v>
      </c>
      <c r="DQ25" s="9">
        <v>8.34</v>
      </c>
      <c r="DR25" s="9">
        <v>6.19</v>
      </c>
      <c r="DS25" s="9">
        <v>29.49</v>
      </c>
      <c r="DT25" s="9">
        <v>0.36</v>
      </c>
      <c r="DU25" s="9">
        <v>13.58</v>
      </c>
      <c r="DV25" s="9">
        <v>7.4</v>
      </c>
      <c r="DW25" s="9">
        <v>2.98</v>
      </c>
      <c r="DX25" s="9">
        <v>10.92</v>
      </c>
      <c r="DY25" s="9">
        <v>3.43</v>
      </c>
      <c r="DZ25" s="9">
        <v>1.0900000000000001</v>
      </c>
      <c r="EA25" s="9">
        <v>-5.6016500000000002</v>
      </c>
      <c r="EB25" s="9">
        <v>-26.573</v>
      </c>
      <c r="EC25" s="9">
        <v>-27.7883</v>
      </c>
      <c r="ED25" s="9">
        <v>-4.1943299999999999</v>
      </c>
      <c r="EE25" s="9">
        <v>52.953940000000003</v>
      </c>
      <c r="EF25" s="9">
        <v>0</v>
      </c>
      <c r="EG25" s="9">
        <v>-57.417000000000002</v>
      </c>
      <c r="EH25" s="9">
        <v>-25.141999999999999</v>
      </c>
      <c r="EI25" s="9">
        <v>0</v>
      </c>
      <c r="EJ25" s="9">
        <v>0</v>
      </c>
      <c r="EK25" s="9">
        <v>-32.275100000000002</v>
      </c>
      <c r="EL25" s="9">
        <v>-37.924500000000002</v>
      </c>
      <c r="EM25" s="9">
        <v>13.890840000000001</v>
      </c>
      <c r="EN25" s="9"/>
      <c r="EO25" s="9"/>
      <c r="EP25" s="9"/>
      <c r="EQ25" s="9"/>
      <c r="ER25" s="9"/>
      <c r="ES25" s="9"/>
      <c r="ET25" s="9"/>
      <c r="EU25">
        <v>1101.29</v>
      </c>
      <c r="EV25" s="9">
        <v>4244.4399999999996</v>
      </c>
      <c r="EW25" s="9">
        <v>852.23</v>
      </c>
      <c r="EX25" s="9">
        <v>26.08</v>
      </c>
      <c r="EY25" s="9">
        <v>8.02</v>
      </c>
      <c r="EZ25" s="9">
        <v>934.54</v>
      </c>
      <c r="FA25" s="9">
        <v>2423.58</v>
      </c>
      <c r="FB25" s="9">
        <v>27.35</v>
      </c>
      <c r="FC25" s="9">
        <v>18.600000000000001</v>
      </c>
      <c r="FD25" s="9">
        <v>1472.8470588235</v>
      </c>
      <c r="FE25" s="9">
        <v>12.99</v>
      </c>
      <c r="FF25" s="9">
        <v>275.83571430000001</v>
      </c>
      <c r="FG25"/>
      <c r="FH25"/>
      <c r="FI25"/>
      <c r="FJ25" s="9"/>
      <c r="FK25"/>
      <c r="FL25" s="9"/>
      <c r="FM25" s="9"/>
      <c r="FN25" s="9"/>
      <c r="FO25">
        <v>1102</v>
      </c>
      <c r="FP25"/>
      <c r="FQ25"/>
      <c r="FR25"/>
      <c r="FS25"/>
      <c r="FT25"/>
      <c r="FU25"/>
      <c r="FV25"/>
      <c r="FW25"/>
      <c r="FX25"/>
      <c r="HB25" s="6"/>
      <c r="HC25" s="6"/>
      <c r="HD25" s="6"/>
    </row>
    <row r="26" spans="1:212" x14ac:dyDescent="0.2">
      <c r="A26" s="8" t="s">
        <v>845</v>
      </c>
      <c r="B26" s="8" t="s">
        <v>203</v>
      </c>
      <c r="C26" s="8" t="s">
        <v>204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>
        <v>23049.8</v>
      </c>
      <c r="BO26" s="9">
        <v>18260.2</v>
      </c>
      <c r="BP26" s="9">
        <v>2578.8000000000002</v>
      </c>
      <c r="BQ26" s="9">
        <v>1380.3</v>
      </c>
      <c r="BR26" s="9">
        <v>1198.5</v>
      </c>
      <c r="BS26" s="9">
        <v>1563.8</v>
      </c>
      <c r="BT26" s="9">
        <v>6912.7</v>
      </c>
      <c r="BU26" s="9">
        <v>3863.8</v>
      </c>
      <c r="BV26" s="9">
        <v>4652.6000000000004</v>
      </c>
      <c r="BW26" s="9">
        <v>23766.400000000001</v>
      </c>
      <c r="BX26" s="9">
        <v>7817.1</v>
      </c>
      <c r="BY26" s="9">
        <v>8947.9</v>
      </c>
      <c r="BZ26" s="9">
        <v>7124.1</v>
      </c>
      <c r="CA26" s="9">
        <v>310.10000000000002</v>
      </c>
      <c r="CB26" s="9">
        <v>0</v>
      </c>
      <c r="CC26" s="9">
        <v>0</v>
      </c>
      <c r="CD26" s="9">
        <v>0</v>
      </c>
      <c r="CE26" s="9">
        <v>597.9</v>
      </c>
      <c r="CF26" s="9">
        <v>141027.61970000001</v>
      </c>
      <c r="CG26" s="9">
        <v>324736.0148</v>
      </c>
      <c r="CH26" s="9"/>
      <c r="CI26" s="9"/>
      <c r="CJ26" s="9">
        <v>39</v>
      </c>
      <c r="CK26" s="9">
        <v>24.2</v>
      </c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>
        <v>45.96</v>
      </c>
      <c r="DP26" s="9">
        <v>18.5</v>
      </c>
      <c r="DQ26" s="9">
        <v>11.63</v>
      </c>
      <c r="DR26" s="9">
        <v>6.87</v>
      </c>
      <c r="DS26" s="9">
        <v>10.24</v>
      </c>
      <c r="DT26" s="9">
        <v>0.23</v>
      </c>
      <c r="DU26" s="9">
        <v>9.58</v>
      </c>
      <c r="DV26" s="9">
        <v>5.7</v>
      </c>
      <c r="DW26" s="9">
        <v>1.51</v>
      </c>
      <c r="DX26" s="9">
        <v>7.65</v>
      </c>
      <c r="DY26" s="9">
        <v>2.61</v>
      </c>
      <c r="DZ26" s="9">
        <v>1.17</v>
      </c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>
        <v>1102</v>
      </c>
      <c r="EV26" s="9"/>
      <c r="EW26" s="9"/>
      <c r="EX26" s="9"/>
      <c r="EY26" s="9"/>
      <c r="EZ26" s="9"/>
      <c r="FA26" s="9"/>
      <c r="FB26" s="9">
        <v>29.1</v>
      </c>
      <c r="FC26" s="9">
        <v>19.48</v>
      </c>
      <c r="FD26" s="9">
        <v>1508.2272727273</v>
      </c>
      <c r="FE26" s="9">
        <v>12.68</v>
      </c>
      <c r="FF26" s="9">
        <v>281</v>
      </c>
      <c r="FG26"/>
      <c r="FH26"/>
      <c r="FI26"/>
      <c r="FJ26" s="9"/>
      <c r="FK26"/>
      <c r="FL26" s="9"/>
      <c r="FM26" s="9"/>
      <c r="FN26" s="9"/>
      <c r="FO26">
        <v>1102</v>
      </c>
      <c r="FP26"/>
      <c r="FQ26"/>
      <c r="FR26"/>
      <c r="FS26"/>
      <c r="FT26"/>
      <c r="FU26"/>
      <c r="FV26"/>
      <c r="FW26"/>
      <c r="FX26"/>
      <c r="HB26" s="6"/>
      <c r="HC26" s="6"/>
      <c r="HD26" s="6"/>
    </row>
    <row r="27" spans="1:212" x14ac:dyDescent="0.2">
      <c r="A27" s="8" t="s">
        <v>845</v>
      </c>
      <c r="B27" s="8" t="s">
        <v>203</v>
      </c>
      <c r="C27" s="8" t="s">
        <v>205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>
        <v>24550.3</v>
      </c>
      <c r="BO27" s="9">
        <v>19509.8</v>
      </c>
      <c r="BP27" s="9">
        <v>4542.1000000000004</v>
      </c>
      <c r="BQ27" s="9">
        <v>3095.2</v>
      </c>
      <c r="BR27" s="9">
        <v>1446.9</v>
      </c>
      <c r="BS27" s="9">
        <v>2984.1</v>
      </c>
      <c r="BT27" s="9">
        <v>6434</v>
      </c>
      <c r="BU27" s="9">
        <v>3462.7</v>
      </c>
      <c r="BV27" s="9">
        <v>4962.8</v>
      </c>
      <c r="BW27" s="9">
        <v>25814.6</v>
      </c>
      <c r="BX27" s="9">
        <v>2773.4</v>
      </c>
      <c r="BY27" s="9">
        <v>9159.7999999999993</v>
      </c>
      <c r="BZ27" s="9">
        <v>7220</v>
      </c>
      <c r="CA27" s="9">
        <v>922.6</v>
      </c>
      <c r="CB27" s="9">
        <v>0</v>
      </c>
      <c r="CC27" s="9">
        <v>0</v>
      </c>
      <c r="CD27" s="9">
        <v>0</v>
      </c>
      <c r="CE27" s="9">
        <v>930.6</v>
      </c>
      <c r="CF27" s="9">
        <v>138758.8181</v>
      </c>
      <c r="CG27" s="9">
        <v>375321.29139999999</v>
      </c>
      <c r="CH27" s="9"/>
      <c r="CI27" s="9"/>
      <c r="CJ27" s="9">
        <v>34.200000000000003</v>
      </c>
      <c r="CK27" s="9">
        <v>21.4</v>
      </c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>
        <v>43.31</v>
      </c>
      <c r="DP27" s="9">
        <v>20.02</v>
      </c>
      <c r="DQ27" s="9">
        <v>14.82</v>
      </c>
      <c r="DR27" s="9">
        <v>5.21</v>
      </c>
      <c r="DS27" s="9">
        <v>7.72</v>
      </c>
      <c r="DT27" s="9">
        <v>0.19</v>
      </c>
      <c r="DU27" s="9">
        <v>8.15</v>
      </c>
      <c r="DV27" s="9">
        <v>5.48</v>
      </c>
      <c r="DW27" s="9">
        <v>1.1399999999999999</v>
      </c>
      <c r="DX27" s="9">
        <v>7.41</v>
      </c>
      <c r="DY27" s="9">
        <v>3.42</v>
      </c>
      <c r="DZ27" s="9">
        <v>0.92</v>
      </c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>
        <v>1103.4000000000001</v>
      </c>
      <c r="EV27" s="9"/>
      <c r="EW27" s="9"/>
      <c r="EX27" s="9"/>
      <c r="EY27" s="9"/>
      <c r="EZ27" s="9"/>
      <c r="FA27" s="9"/>
      <c r="FB27" s="9">
        <v>29.85</v>
      </c>
      <c r="FC27" s="9">
        <v>20.29</v>
      </c>
      <c r="FD27" s="9">
        <v>1561.3675000000001</v>
      </c>
      <c r="FE27" s="9">
        <v>12.68</v>
      </c>
      <c r="FF27" s="9">
        <v>295.28750000000002</v>
      </c>
      <c r="FG27"/>
      <c r="FH27"/>
      <c r="FI27"/>
      <c r="FJ27" s="9"/>
      <c r="FK27"/>
      <c r="FL27" s="9"/>
      <c r="FM27" s="9"/>
      <c r="FN27" s="9"/>
      <c r="FO27">
        <v>1104</v>
      </c>
      <c r="FP27"/>
      <c r="FQ27"/>
      <c r="FR27"/>
      <c r="FS27"/>
      <c r="FT27"/>
      <c r="FU27"/>
      <c r="FV27"/>
      <c r="FW27"/>
      <c r="FX27"/>
      <c r="HB27" s="6"/>
      <c r="HC27" s="6"/>
      <c r="HD27" s="6"/>
    </row>
    <row r="28" spans="1:212" x14ac:dyDescent="0.2">
      <c r="A28" s="8" t="s">
        <v>845</v>
      </c>
      <c r="B28" s="8" t="s">
        <v>203</v>
      </c>
      <c r="C28" s="8" t="s">
        <v>206</v>
      </c>
      <c r="D28" s="9">
        <v>275719.5</v>
      </c>
      <c r="E28" s="9">
        <v>8997.6</v>
      </c>
      <c r="F28" s="9">
        <v>23550.7</v>
      </c>
      <c r="G28" s="9">
        <v>21831.9</v>
      </c>
      <c r="H28" s="9">
        <v>17149.8</v>
      </c>
      <c r="I28" s="9">
        <v>2283.3000000000002</v>
      </c>
      <c r="J28" s="9">
        <v>36257.599999999999</v>
      </c>
      <c r="K28" s="9">
        <v>32990</v>
      </c>
      <c r="L28" s="9">
        <v>14035.9</v>
      </c>
      <c r="M28" s="9">
        <v>83171.399999999994</v>
      </c>
      <c r="N28" s="9">
        <v>35451.4</v>
      </c>
      <c r="O28" s="9">
        <v>1442019.1330022749</v>
      </c>
      <c r="P28" s="9">
        <v>32143.6514527094</v>
      </c>
      <c r="Q28" s="9">
        <v>189708.5951133495</v>
      </c>
      <c r="R28" s="9">
        <v>176930.9824891423</v>
      </c>
      <c r="S28" s="9">
        <v>77634.137282452793</v>
      </c>
      <c r="T28" s="9">
        <v>14905.712353749799</v>
      </c>
      <c r="U28" s="9">
        <v>170170.79215420861</v>
      </c>
      <c r="V28" s="9">
        <v>54028.1925381318</v>
      </c>
      <c r="W28" s="9">
        <v>25653.0056561864</v>
      </c>
      <c r="X28" s="9">
        <v>599528.57827091066</v>
      </c>
      <c r="Y28" s="9">
        <v>101315.4856914337</v>
      </c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>
        <v>68</v>
      </c>
      <c r="AX28" s="9">
        <v>38.9</v>
      </c>
      <c r="AY28" s="9">
        <v>77.7</v>
      </c>
      <c r="AZ28" s="9">
        <v>67.099999999999994</v>
      </c>
      <c r="BA28" s="9">
        <v>88.8</v>
      </c>
      <c r="BB28" s="9"/>
      <c r="BC28" s="9">
        <v>74</v>
      </c>
      <c r="BD28" s="9">
        <v>51.3</v>
      </c>
      <c r="BE28" s="9">
        <v>82.9</v>
      </c>
      <c r="BF28" s="9">
        <v>72.400000000000006</v>
      </c>
      <c r="BG28" s="9"/>
      <c r="BH28" s="9">
        <v>71.2</v>
      </c>
      <c r="BI28" s="9">
        <v>50.5</v>
      </c>
      <c r="BJ28" s="9">
        <v>60.2</v>
      </c>
      <c r="BK28" s="9">
        <v>49.8</v>
      </c>
      <c r="BL28" s="9"/>
      <c r="BM28" s="9">
        <v>46.2</v>
      </c>
      <c r="BN28" s="9">
        <v>36512.800000000003</v>
      </c>
      <c r="BO28" s="9">
        <v>26812.5</v>
      </c>
      <c r="BP28" s="9">
        <v>4979.6000000000004</v>
      </c>
      <c r="BQ28" s="9">
        <v>3026.6</v>
      </c>
      <c r="BR28" s="9">
        <v>1953.1</v>
      </c>
      <c r="BS28" s="9">
        <v>6429.2</v>
      </c>
      <c r="BT28" s="9">
        <v>8980.2000000000007</v>
      </c>
      <c r="BU28" s="9">
        <v>2767.9</v>
      </c>
      <c r="BV28" s="9">
        <v>8599.9</v>
      </c>
      <c r="BW28" s="9">
        <v>31406.6</v>
      </c>
      <c r="BX28" s="9">
        <v>1832.4</v>
      </c>
      <c r="BY28" s="9">
        <v>13939.7</v>
      </c>
      <c r="BZ28" s="9">
        <v>7795.4</v>
      </c>
      <c r="CA28" s="9">
        <v>1546.3</v>
      </c>
      <c r="CB28" s="9">
        <v>0</v>
      </c>
      <c r="CC28" s="9">
        <v>0</v>
      </c>
      <c r="CD28" s="9">
        <v>0</v>
      </c>
      <c r="CE28" s="9">
        <v>2384.5</v>
      </c>
      <c r="CF28" s="9">
        <v>146932.2199</v>
      </c>
      <c r="CG28" s="9">
        <v>345871.8933</v>
      </c>
      <c r="CH28" s="9"/>
      <c r="CI28" s="9"/>
      <c r="CJ28" s="9">
        <v>39.299999999999997</v>
      </c>
      <c r="CK28" s="9">
        <v>21.1</v>
      </c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>
        <v>42.7</v>
      </c>
      <c r="DP28" s="9">
        <v>14.26</v>
      </c>
      <c r="DQ28" s="9">
        <v>9.2799999999999994</v>
      </c>
      <c r="DR28" s="9">
        <v>4.9800000000000004</v>
      </c>
      <c r="DS28" s="9">
        <v>11.24</v>
      </c>
      <c r="DT28" s="9">
        <v>0.18</v>
      </c>
      <c r="DU28" s="9">
        <v>11.36</v>
      </c>
      <c r="DV28" s="9">
        <v>6.83</v>
      </c>
      <c r="DW28" s="9">
        <v>2.4</v>
      </c>
      <c r="DX28" s="9">
        <v>5.83</v>
      </c>
      <c r="DY28" s="9">
        <v>1.89</v>
      </c>
      <c r="DZ28" s="9">
        <v>0.69</v>
      </c>
      <c r="EA28" s="9">
        <v>0.86574300000000004</v>
      </c>
      <c r="EB28" s="9">
        <v>0.65576000000000001</v>
      </c>
      <c r="EC28" s="9">
        <v>-25.917000000000002</v>
      </c>
      <c r="ED28" s="9">
        <v>1.0140119999999999</v>
      </c>
      <c r="EE28" s="9">
        <v>25.112950000000001</v>
      </c>
      <c r="EF28" s="9">
        <v>0</v>
      </c>
      <c r="EG28" s="9">
        <v>-21.933</v>
      </c>
      <c r="EH28" s="9">
        <v>-6.9909999999999997</v>
      </c>
      <c r="EI28" s="9">
        <v>0</v>
      </c>
      <c r="EJ28" s="9">
        <v>0</v>
      </c>
      <c r="EK28" s="9">
        <v>-14.942</v>
      </c>
      <c r="EL28" s="9">
        <v>-29.998799999999999</v>
      </c>
      <c r="EM28" s="9">
        <v>-7.2</v>
      </c>
      <c r="EN28" s="9"/>
      <c r="EO28" s="9"/>
      <c r="EP28" s="9"/>
      <c r="EQ28" s="9"/>
      <c r="ER28" s="9"/>
      <c r="ES28" s="9"/>
      <c r="ET28" s="9"/>
      <c r="EU28">
        <v>1104</v>
      </c>
      <c r="EV28" s="9">
        <v>4272.82</v>
      </c>
      <c r="EW28" s="9">
        <v>878.89</v>
      </c>
      <c r="EX28" s="9">
        <v>24.22</v>
      </c>
      <c r="EY28" s="9">
        <v>9.58</v>
      </c>
      <c r="EZ28" s="9">
        <v>936.55</v>
      </c>
      <c r="FA28" s="9">
        <v>2423.58</v>
      </c>
      <c r="FB28" s="9">
        <v>29.55</v>
      </c>
      <c r="FC28" s="9">
        <v>23.69</v>
      </c>
      <c r="FD28" s="9">
        <v>1607.3924999999999</v>
      </c>
      <c r="FE28" s="9">
        <v>12.68</v>
      </c>
      <c r="FF28" s="9">
        <v>294.04750000000001</v>
      </c>
      <c r="FG28"/>
      <c r="FH28"/>
      <c r="FI28"/>
      <c r="FJ28" s="9"/>
      <c r="FK28"/>
      <c r="FL28" s="9"/>
      <c r="FM28" s="9"/>
      <c r="FN28" s="9"/>
      <c r="FO28">
        <v>1104</v>
      </c>
      <c r="FP28"/>
      <c r="FQ28"/>
      <c r="FR28"/>
      <c r="FS28"/>
      <c r="FT28"/>
      <c r="FU28"/>
      <c r="FV28"/>
      <c r="FW28"/>
      <c r="FX28"/>
      <c r="HB28" s="6"/>
      <c r="HC28" s="6"/>
      <c r="HD28" s="6"/>
    </row>
    <row r="29" spans="1:212" x14ac:dyDescent="0.2">
      <c r="A29" s="8" t="s">
        <v>845</v>
      </c>
      <c r="B29" s="8" t="s">
        <v>207</v>
      </c>
      <c r="C29" s="8" t="s">
        <v>208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>
        <v>37290.300000000003</v>
      </c>
      <c r="BO29" s="9">
        <v>32307.599999999999</v>
      </c>
      <c r="BP29" s="9">
        <v>5292.3</v>
      </c>
      <c r="BQ29" s="9">
        <v>2985.7</v>
      </c>
      <c r="BR29" s="9">
        <v>2306.5</v>
      </c>
      <c r="BS29" s="9">
        <v>1824</v>
      </c>
      <c r="BT29" s="9">
        <v>15831.1</v>
      </c>
      <c r="BU29" s="9">
        <v>5490.1</v>
      </c>
      <c r="BV29" s="9">
        <v>4972.1000000000004</v>
      </c>
      <c r="BW29" s="9">
        <v>28183.3</v>
      </c>
      <c r="BX29" s="9">
        <v>5711.8</v>
      </c>
      <c r="BY29" s="9">
        <v>12234.9</v>
      </c>
      <c r="BZ29" s="9">
        <v>6943</v>
      </c>
      <c r="CA29" s="9">
        <v>1697.9</v>
      </c>
      <c r="CB29" s="9">
        <v>0</v>
      </c>
      <c r="CC29" s="9">
        <v>0</v>
      </c>
      <c r="CD29" s="9">
        <v>0</v>
      </c>
      <c r="CE29" s="9">
        <v>1211</v>
      </c>
      <c r="CF29" s="9">
        <v>164200.921</v>
      </c>
      <c r="CG29" s="9">
        <v>369434.99342000001</v>
      </c>
      <c r="CH29" s="9"/>
      <c r="CI29" s="9"/>
      <c r="CJ29" s="9">
        <v>37.799999999999997</v>
      </c>
      <c r="CK29" s="9">
        <v>22.3</v>
      </c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>
        <v>63.05</v>
      </c>
      <c r="DP29" s="9">
        <v>19.59</v>
      </c>
      <c r="DQ29" s="9">
        <v>11.07</v>
      </c>
      <c r="DR29" s="9">
        <v>8.52</v>
      </c>
      <c r="DS29" s="9">
        <v>12.82</v>
      </c>
      <c r="DT29" s="9">
        <v>0.18</v>
      </c>
      <c r="DU29" s="9">
        <v>22.43</v>
      </c>
      <c r="DV29" s="9">
        <v>12.39</v>
      </c>
      <c r="DW29" s="9">
        <v>5.44</v>
      </c>
      <c r="DX29" s="9">
        <v>8.2100000000000009</v>
      </c>
      <c r="DY29" s="9">
        <v>4.03</v>
      </c>
      <c r="DZ29" s="9">
        <v>1.03</v>
      </c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>
        <v>1104</v>
      </c>
      <c r="EV29" s="9"/>
      <c r="EW29" s="9"/>
      <c r="EX29" s="9"/>
      <c r="EY29" s="9"/>
      <c r="EZ29" s="9"/>
      <c r="FA29" s="9"/>
      <c r="FB29" s="9">
        <v>28.84</v>
      </c>
      <c r="FC29" s="9">
        <v>25.65</v>
      </c>
      <c r="FD29" s="9">
        <v>1588.5714285714</v>
      </c>
      <c r="FE29" s="9">
        <v>12.68</v>
      </c>
      <c r="FF29" s="9">
        <v>302.68333330000002</v>
      </c>
      <c r="FG29"/>
      <c r="FH29"/>
      <c r="FI29"/>
      <c r="FJ29" s="9"/>
      <c r="FK29"/>
      <c r="FL29" s="9"/>
      <c r="FM29" s="9"/>
      <c r="FN29" s="9"/>
      <c r="FO29">
        <v>1104</v>
      </c>
      <c r="FP29"/>
      <c r="FQ29"/>
      <c r="FR29"/>
      <c r="FS29"/>
      <c r="FT29"/>
      <c r="FU29"/>
      <c r="FV29"/>
      <c r="FW29"/>
      <c r="FX29"/>
      <c r="HB29" s="6"/>
      <c r="HC29" s="6"/>
      <c r="HD29" s="6"/>
    </row>
    <row r="30" spans="1:212" x14ac:dyDescent="0.2">
      <c r="A30" s="8" t="s">
        <v>845</v>
      </c>
      <c r="B30" s="8" t="s">
        <v>207</v>
      </c>
      <c r="C30" s="8" t="s">
        <v>209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>
        <v>24039</v>
      </c>
      <c r="BO30" s="9">
        <v>17851.8</v>
      </c>
      <c r="BP30" s="9">
        <v>5033.6000000000004</v>
      </c>
      <c r="BQ30" s="9">
        <v>2907.6</v>
      </c>
      <c r="BR30" s="9">
        <v>2126</v>
      </c>
      <c r="BS30" s="9">
        <v>937.7</v>
      </c>
      <c r="BT30" s="9">
        <v>3856.7</v>
      </c>
      <c r="BU30" s="9">
        <v>3428</v>
      </c>
      <c r="BV30" s="9">
        <v>5735.3</v>
      </c>
      <c r="BW30" s="9">
        <v>31426.7</v>
      </c>
      <c r="BX30" s="9">
        <v>6450.4</v>
      </c>
      <c r="BY30" s="9">
        <v>12311.8</v>
      </c>
      <c r="BZ30" s="9">
        <v>8780.2000000000007</v>
      </c>
      <c r="CA30" s="9">
        <v>1985.9</v>
      </c>
      <c r="CB30" s="9">
        <v>0</v>
      </c>
      <c r="CC30" s="9">
        <v>0</v>
      </c>
      <c r="CD30" s="9">
        <v>0</v>
      </c>
      <c r="CE30" s="9">
        <v>5224.1000000000004</v>
      </c>
      <c r="CF30" s="9">
        <v>178267.6434</v>
      </c>
      <c r="CG30" s="9">
        <v>388396.19603300001</v>
      </c>
      <c r="CH30" s="9"/>
      <c r="CI30" s="9"/>
      <c r="CJ30" s="9">
        <v>35.5</v>
      </c>
      <c r="CK30" s="9">
        <v>19.600000000000001</v>
      </c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>
        <v>63.43</v>
      </c>
      <c r="DP30" s="9">
        <v>19.89</v>
      </c>
      <c r="DQ30" s="9">
        <v>12.26</v>
      </c>
      <c r="DR30" s="9">
        <v>7.64</v>
      </c>
      <c r="DS30" s="9">
        <v>16.309999999999999</v>
      </c>
      <c r="DT30" s="9">
        <v>1.17</v>
      </c>
      <c r="DU30" s="9">
        <v>18.61</v>
      </c>
      <c r="DV30" s="9">
        <v>12.42</v>
      </c>
      <c r="DW30" s="9">
        <v>4.6100000000000003</v>
      </c>
      <c r="DX30" s="9">
        <v>8.61</v>
      </c>
      <c r="DY30" s="9">
        <v>3.06</v>
      </c>
      <c r="DZ30" s="9">
        <v>1.23</v>
      </c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>
        <v>1103.3499999999999</v>
      </c>
      <c r="EV30" s="9"/>
      <c r="EW30" s="9"/>
      <c r="EX30" s="9"/>
      <c r="EY30" s="9"/>
      <c r="EZ30" s="9"/>
      <c r="FA30" s="9"/>
      <c r="FB30" s="9">
        <v>28.63</v>
      </c>
      <c r="FC30" s="9">
        <v>25.43</v>
      </c>
      <c r="FD30" s="9">
        <v>1597.0227272727</v>
      </c>
      <c r="FE30" s="9">
        <v>12.68</v>
      </c>
      <c r="FF30" s="9">
        <v>314.4931818</v>
      </c>
      <c r="FG30"/>
      <c r="FH30"/>
      <c r="FI30"/>
      <c r="FJ30" s="9"/>
      <c r="FK30"/>
      <c r="FL30" s="9"/>
      <c r="FM30" s="9"/>
      <c r="FN30" s="9"/>
      <c r="FO30">
        <v>1103</v>
      </c>
      <c r="FP30"/>
      <c r="FQ30"/>
      <c r="FR30"/>
      <c r="FS30"/>
      <c r="FT30"/>
      <c r="FU30"/>
      <c r="FV30"/>
      <c r="FW30"/>
      <c r="FX30"/>
      <c r="HB30" s="6"/>
      <c r="HC30" s="6"/>
      <c r="HD30" s="6"/>
    </row>
    <row r="31" spans="1:212" x14ac:dyDescent="0.2">
      <c r="A31" s="8" t="s">
        <v>845</v>
      </c>
      <c r="B31" s="8" t="s">
        <v>207</v>
      </c>
      <c r="C31" s="8" t="s">
        <v>210</v>
      </c>
      <c r="D31" s="9">
        <v>425193.8</v>
      </c>
      <c r="E31" s="9">
        <v>117966.2</v>
      </c>
      <c r="F31" s="9">
        <v>37980.699999999997</v>
      </c>
      <c r="G31" s="9">
        <v>23626.1</v>
      </c>
      <c r="H31" s="9">
        <v>12692.7</v>
      </c>
      <c r="I31" s="9">
        <v>6553.1</v>
      </c>
      <c r="J31" s="9">
        <v>42389.7</v>
      </c>
      <c r="K31" s="9">
        <v>31453.8</v>
      </c>
      <c r="L31" s="9">
        <v>14296.6</v>
      </c>
      <c r="M31" s="9">
        <v>92748.6</v>
      </c>
      <c r="N31" s="9">
        <v>45486.2</v>
      </c>
      <c r="O31" s="9">
        <v>2223773.0549850222</v>
      </c>
      <c r="P31" s="9">
        <v>447497.56578701222</v>
      </c>
      <c r="Q31" s="9">
        <v>324870.82526979782</v>
      </c>
      <c r="R31" s="9">
        <v>203314.7809353832</v>
      </c>
      <c r="S31" s="9">
        <v>61011.576384882399</v>
      </c>
      <c r="T31" s="9">
        <v>45425.646201397503</v>
      </c>
      <c r="U31" s="9">
        <v>211256.88383601169</v>
      </c>
      <c r="V31" s="9">
        <v>54698.548719812301</v>
      </c>
      <c r="W31" s="9">
        <v>27745.676429013802</v>
      </c>
      <c r="X31" s="9">
        <v>709917.36616191559</v>
      </c>
      <c r="Y31" s="9">
        <v>138034.18525979531</v>
      </c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>
        <v>70.099999999999994</v>
      </c>
      <c r="AX31" s="9">
        <v>42.6</v>
      </c>
      <c r="AY31" s="9">
        <v>70.7</v>
      </c>
      <c r="AZ31" s="9">
        <v>65.400000000000006</v>
      </c>
      <c r="BA31" s="9">
        <v>77</v>
      </c>
      <c r="BB31" s="9"/>
      <c r="BC31" s="9">
        <v>87.4</v>
      </c>
      <c r="BD31" s="9">
        <v>60</v>
      </c>
      <c r="BE31" s="9">
        <v>95.2</v>
      </c>
      <c r="BF31" s="9">
        <v>72.5</v>
      </c>
      <c r="BG31" s="9"/>
      <c r="BH31" s="9">
        <v>77.599999999999994</v>
      </c>
      <c r="BI31" s="9">
        <v>55.1</v>
      </c>
      <c r="BJ31" s="9">
        <v>74.099999999999994</v>
      </c>
      <c r="BK31" s="9">
        <v>51.7</v>
      </c>
      <c r="BL31" s="9"/>
      <c r="BM31" s="9">
        <v>50</v>
      </c>
      <c r="BN31" s="9">
        <v>42261.3</v>
      </c>
      <c r="BO31" s="9">
        <v>27943</v>
      </c>
      <c r="BP31" s="9">
        <v>5457.9</v>
      </c>
      <c r="BQ31" s="9">
        <v>3794.3</v>
      </c>
      <c r="BR31" s="9">
        <v>1663.6</v>
      </c>
      <c r="BS31" s="9">
        <v>3031.6</v>
      </c>
      <c r="BT31" s="9">
        <v>9693.5</v>
      </c>
      <c r="BU31" s="9">
        <v>4212.1000000000004</v>
      </c>
      <c r="BV31" s="9">
        <v>13506.6</v>
      </c>
      <c r="BW31" s="9">
        <v>46251.3</v>
      </c>
      <c r="BX31" s="9">
        <v>6125.2</v>
      </c>
      <c r="BY31" s="9">
        <v>19099.5</v>
      </c>
      <c r="BZ31" s="9">
        <v>14340.3</v>
      </c>
      <c r="CA31" s="9">
        <v>3202.3</v>
      </c>
      <c r="CB31" s="9">
        <v>0</v>
      </c>
      <c r="CC31" s="9">
        <v>0</v>
      </c>
      <c r="CD31" s="9">
        <v>0</v>
      </c>
      <c r="CE31" s="9">
        <v>5165.8999999999996</v>
      </c>
      <c r="CF31" s="9">
        <v>187708.4448</v>
      </c>
      <c r="CG31" s="9">
        <v>401163.56407999998</v>
      </c>
      <c r="CH31" s="9"/>
      <c r="CI31" s="9"/>
      <c r="CJ31" s="9">
        <v>33.4</v>
      </c>
      <c r="CK31" s="9">
        <v>22.3</v>
      </c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>
        <v>59.71</v>
      </c>
      <c r="DP31" s="9">
        <v>18.23</v>
      </c>
      <c r="DQ31" s="9">
        <v>10.41</v>
      </c>
      <c r="DR31" s="9">
        <v>7.81</v>
      </c>
      <c r="DS31" s="9">
        <v>11.66</v>
      </c>
      <c r="DT31" s="9">
        <v>0.12</v>
      </c>
      <c r="DU31" s="9">
        <v>18.489999999999998</v>
      </c>
      <c r="DV31" s="9">
        <v>12.24</v>
      </c>
      <c r="DW31" s="9">
        <v>4.01</v>
      </c>
      <c r="DX31" s="9">
        <v>11.33</v>
      </c>
      <c r="DY31" s="9">
        <v>4.0199999999999996</v>
      </c>
      <c r="DZ31" s="9">
        <v>1.05</v>
      </c>
      <c r="EA31" s="9">
        <v>-74.683899999999994</v>
      </c>
      <c r="EB31" s="9">
        <v>-75.221900000000005</v>
      </c>
      <c r="EC31" s="9">
        <v>-25.787199999999999</v>
      </c>
      <c r="ED31" s="9">
        <v>-4.30518</v>
      </c>
      <c r="EE31" s="9">
        <v>30.630299999999998</v>
      </c>
      <c r="EF31" s="9">
        <v>0</v>
      </c>
      <c r="EG31" s="9">
        <v>-23.014900000000001</v>
      </c>
      <c r="EH31" s="9">
        <v>-20</v>
      </c>
      <c r="EI31" s="9">
        <v>0</v>
      </c>
      <c r="EJ31" s="9">
        <v>0</v>
      </c>
      <c r="EK31" s="9">
        <v>-3.0148600000000001</v>
      </c>
      <c r="EL31" s="9">
        <v>63.06906</v>
      </c>
      <c r="EM31" s="9">
        <v>11.4</v>
      </c>
      <c r="EN31" s="9"/>
      <c r="EO31" s="9"/>
      <c r="EP31" s="9"/>
      <c r="EQ31" s="9"/>
      <c r="ER31" s="9"/>
      <c r="ES31" s="9"/>
      <c r="ET31" s="9"/>
      <c r="EU31">
        <v>1104</v>
      </c>
      <c r="EV31" s="9">
        <v>4285.72</v>
      </c>
      <c r="EW31" s="9">
        <v>901.99</v>
      </c>
      <c r="EX31" s="9">
        <v>22.25</v>
      </c>
      <c r="EY31" s="9">
        <v>10.68</v>
      </c>
      <c r="EZ31" s="9">
        <v>927.22</v>
      </c>
      <c r="FA31" s="9">
        <v>2423.58</v>
      </c>
      <c r="FB31" s="9">
        <v>26.65</v>
      </c>
      <c r="FC31" s="9">
        <v>24.13</v>
      </c>
      <c r="FD31" s="9">
        <v>1650.5944444444001</v>
      </c>
      <c r="FE31" s="9">
        <v>12.68</v>
      </c>
      <c r="FF31" s="9">
        <v>321.1777778</v>
      </c>
      <c r="FG31"/>
      <c r="FH31"/>
      <c r="FI31"/>
      <c r="FJ31" s="9"/>
      <c r="FK31"/>
      <c r="FL31" s="9"/>
      <c r="FM31" s="9"/>
      <c r="FN31" s="9"/>
      <c r="FO31">
        <v>1105</v>
      </c>
      <c r="FP31"/>
      <c r="FQ31"/>
      <c r="FR31"/>
      <c r="FS31"/>
      <c r="FT31"/>
      <c r="FU31"/>
      <c r="FV31"/>
      <c r="FW31"/>
      <c r="FX31"/>
      <c r="HB31" s="6"/>
      <c r="HC31" s="6"/>
      <c r="HD31" s="6"/>
    </row>
    <row r="32" spans="1:212" x14ac:dyDescent="0.2">
      <c r="A32" s="8" t="s">
        <v>845</v>
      </c>
      <c r="B32" s="8" t="s">
        <v>211</v>
      </c>
      <c r="C32" s="8" t="s">
        <v>212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>
        <v>39849.300000000003</v>
      </c>
      <c r="BO32" s="9">
        <v>31298.799999999999</v>
      </c>
      <c r="BP32" s="9">
        <v>5897.3</v>
      </c>
      <c r="BQ32" s="9">
        <v>3454.1</v>
      </c>
      <c r="BR32" s="9">
        <v>2443.1999999999998</v>
      </c>
      <c r="BS32" s="9">
        <v>5069.8999999999996</v>
      </c>
      <c r="BT32" s="9">
        <v>10889.9</v>
      </c>
      <c r="BU32" s="9">
        <v>4713.2</v>
      </c>
      <c r="BV32" s="9">
        <v>8141.5</v>
      </c>
      <c r="BW32" s="9">
        <v>33350</v>
      </c>
      <c r="BX32" s="9">
        <v>995.7</v>
      </c>
      <c r="BY32" s="9">
        <v>15033.7</v>
      </c>
      <c r="BZ32" s="9">
        <v>7785.8</v>
      </c>
      <c r="CA32" s="9">
        <v>305.89999999999998</v>
      </c>
      <c r="CB32" s="9">
        <v>0</v>
      </c>
      <c r="CC32" s="9">
        <v>0</v>
      </c>
      <c r="CD32" s="9">
        <v>0</v>
      </c>
      <c r="CE32" s="9">
        <v>5569.7</v>
      </c>
      <c r="CF32" s="9">
        <v>185360.31330000001</v>
      </c>
      <c r="CG32" s="9">
        <v>421872.69257999997</v>
      </c>
      <c r="CH32" s="9"/>
      <c r="CI32" s="9"/>
      <c r="CJ32" s="9">
        <v>33.200000000000003</v>
      </c>
      <c r="CK32" s="9">
        <v>19.899999999999999</v>
      </c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>
        <v>72.72</v>
      </c>
      <c r="DP32" s="9">
        <v>28.08</v>
      </c>
      <c r="DQ32" s="9">
        <v>14.45</v>
      </c>
      <c r="DR32" s="9">
        <v>13.63</v>
      </c>
      <c r="DS32" s="9">
        <v>11.42</v>
      </c>
      <c r="DT32" s="9">
        <v>0.52</v>
      </c>
      <c r="DU32" s="9">
        <v>21.56</v>
      </c>
      <c r="DV32" s="9">
        <v>11.33</v>
      </c>
      <c r="DW32" s="9">
        <v>5.8</v>
      </c>
      <c r="DX32" s="9">
        <v>11.65</v>
      </c>
      <c r="DY32" s="9">
        <v>5.53</v>
      </c>
      <c r="DZ32" s="9">
        <v>0.87</v>
      </c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>
        <v>1108.3800000000001</v>
      </c>
      <c r="EV32" s="9"/>
      <c r="EW32" s="9"/>
      <c r="EX32" s="9"/>
      <c r="EY32" s="9"/>
      <c r="EZ32" s="9"/>
      <c r="FA32" s="9"/>
      <c r="FB32" s="9">
        <v>24.9</v>
      </c>
      <c r="FC32" s="9">
        <v>25.77</v>
      </c>
      <c r="FD32" s="9">
        <v>1588.2847826087</v>
      </c>
      <c r="FE32" s="9">
        <v>12.68</v>
      </c>
      <c r="FF32" s="9">
        <v>313.29130429999998</v>
      </c>
      <c r="FG32"/>
      <c r="FH32"/>
      <c r="FI32"/>
      <c r="FJ32" s="9"/>
      <c r="FK32"/>
      <c r="FL32" s="9"/>
      <c r="FM32" s="9"/>
      <c r="FN32" s="9"/>
      <c r="FO32">
        <v>1110</v>
      </c>
      <c r="FP32"/>
      <c r="FQ32"/>
      <c r="FR32"/>
      <c r="FS32"/>
      <c r="FT32"/>
      <c r="FU32"/>
      <c r="FV32"/>
      <c r="FW32"/>
      <c r="FX32"/>
      <c r="HB32" s="6"/>
      <c r="HC32" s="6"/>
      <c r="HD32" s="6"/>
    </row>
    <row r="33" spans="1:212" x14ac:dyDescent="0.2">
      <c r="A33" s="8" t="s">
        <v>845</v>
      </c>
      <c r="B33" s="8" t="s">
        <v>211</v>
      </c>
      <c r="C33" s="8" t="s">
        <v>213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>
        <v>37066.400000000001</v>
      </c>
      <c r="BO33" s="9">
        <v>29076.1</v>
      </c>
      <c r="BP33" s="9">
        <v>4548.5</v>
      </c>
      <c r="BQ33" s="9">
        <v>2704.1</v>
      </c>
      <c r="BR33" s="9">
        <v>1844.4</v>
      </c>
      <c r="BS33" s="9">
        <v>315</v>
      </c>
      <c r="BT33" s="9">
        <v>9958.6</v>
      </c>
      <c r="BU33" s="9">
        <v>5092.7</v>
      </c>
      <c r="BV33" s="9">
        <v>7197.9</v>
      </c>
      <c r="BW33" s="9">
        <v>24526.3</v>
      </c>
      <c r="BX33" s="9">
        <v>4530</v>
      </c>
      <c r="BY33" s="9">
        <v>10900.7</v>
      </c>
      <c r="BZ33" s="9">
        <v>5771.4</v>
      </c>
      <c r="CA33" s="9">
        <v>1390.1</v>
      </c>
      <c r="CB33" s="9">
        <v>0</v>
      </c>
      <c r="CC33" s="9">
        <v>0</v>
      </c>
      <c r="CD33" s="9">
        <v>0</v>
      </c>
      <c r="CE33" s="9">
        <v>5505.2</v>
      </c>
      <c r="CF33" s="9">
        <v>189423.1329</v>
      </c>
      <c r="CG33" s="9">
        <v>431021.13945999998</v>
      </c>
      <c r="CH33" s="9"/>
      <c r="CI33" s="9"/>
      <c r="CJ33" s="9">
        <v>35</v>
      </c>
      <c r="CK33" s="9">
        <v>20.399999999999999</v>
      </c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>
        <v>63.9</v>
      </c>
      <c r="DP33" s="9">
        <v>19.739999999999998</v>
      </c>
      <c r="DQ33" s="9">
        <v>10.41</v>
      </c>
      <c r="DR33" s="9">
        <v>9.33</v>
      </c>
      <c r="DS33" s="9">
        <v>9.4600000000000009</v>
      </c>
      <c r="DT33" s="9">
        <v>0.11</v>
      </c>
      <c r="DU33" s="9">
        <v>20.66</v>
      </c>
      <c r="DV33" s="9">
        <v>13.25</v>
      </c>
      <c r="DW33" s="9">
        <v>4.6399999999999997</v>
      </c>
      <c r="DX33" s="9">
        <v>14.03</v>
      </c>
      <c r="DY33" s="9">
        <v>5.72</v>
      </c>
      <c r="DZ33" s="9">
        <v>2.09</v>
      </c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>
        <v>1113.23</v>
      </c>
      <c r="EV33" s="9"/>
      <c r="EW33" s="9"/>
      <c r="EX33" s="9"/>
      <c r="EY33" s="9"/>
      <c r="EZ33" s="9"/>
      <c r="FA33" s="9"/>
      <c r="FB33" s="9">
        <v>24</v>
      </c>
      <c r="FC33" s="9">
        <v>26.63</v>
      </c>
      <c r="FD33" s="9">
        <v>1482.9166666666999</v>
      </c>
      <c r="FE33" s="9">
        <v>12.68</v>
      </c>
      <c r="FF33" s="9">
        <v>310.28095239999999</v>
      </c>
      <c r="FG33"/>
      <c r="FH33"/>
      <c r="FI33"/>
      <c r="FJ33" s="9"/>
      <c r="FK33"/>
      <c r="FL33" s="9"/>
      <c r="FM33" s="9"/>
      <c r="FN33" s="9"/>
      <c r="FO33">
        <v>1116</v>
      </c>
      <c r="FP33"/>
      <c r="FQ33"/>
      <c r="FR33"/>
      <c r="FS33"/>
      <c r="FT33"/>
      <c r="FU33"/>
      <c r="FV33"/>
      <c r="FW33"/>
      <c r="FX33"/>
      <c r="HB33" s="6"/>
      <c r="HC33" s="6"/>
      <c r="HD33" s="6"/>
    </row>
    <row r="34" spans="1:212" x14ac:dyDescent="0.2">
      <c r="A34" s="8" t="s">
        <v>845</v>
      </c>
      <c r="B34" s="8" t="s">
        <v>211</v>
      </c>
      <c r="C34" s="8" t="s">
        <v>214</v>
      </c>
      <c r="D34" s="9">
        <v>401063.5</v>
      </c>
      <c r="E34" s="9">
        <v>82992.399999999994</v>
      </c>
      <c r="F34" s="9">
        <v>45167.5</v>
      </c>
      <c r="G34" s="9">
        <v>24318.9</v>
      </c>
      <c r="H34" s="9">
        <v>12011.8</v>
      </c>
      <c r="I34" s="9">
        <v>7426.8</v>
      </c>
      <c r="J34" s="9">
        <v>41332.800000000003</v>
      </c>
      <c r="K34" s="9">
        <v>42510.8</v>
      </c>
      <c r="L34" s="9">
        <v>11975.6</v>
      </c>
      <c r="M34" s="9">
        <v>83089.899999999994</v>
      </c>
      <c r="N34" s="9">
        <v>50237</v>
      </c>
      <c r="O34" s="9">
        <v>2097571.0479268171</v>
      </c>
      <c r="P34" s="9">
        <v>312784.71629866463</v>
      </c>
      <c r="Q34" s="9">
        <v>383837.95147383597</v>
      </c>
      <c r="R34" s="9">
        <v>207919.37191820689</v>
      </c>
      <c r="S34" s="9">
        <v>57364.133248361402</v>
      </c>
      <c r="T34" s="9">
        <v>51148.177083475603</v>
      </c>
      <c r="U34" s="9">
        <v>204653.63630290781</v>
      </c>
      <c r="V34" s="9">
        <v>73447.340232859104</v>
      </c>
      <c r="W34" s="9">
        <v>23090.532319149999</v>
      </c>
      <c r="X34" s="9">
        <v>631862.79783184559</v>
      </c>
      <c r="Y34" s="9">
        <v>151462.3912175103</v>
      </c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>
        <v>71.400000000000006</v>
      </c>
      <c r="AX34" s="9">
        <v>52.8</v>
      </c>
      <c r="AY34" s="9">
        <v>79.599999999999994</v>
      </c>
      <c r="AZ34" s="9">
        <v>69</v>
      </c>
      <c r="BA34" s="9">
        <v>77.599999999999994</v>
      </c>
      <c r="BB34" s="9"/>
      <c r="BC34" s="9">
        <v>98</v>
      </c>
      <c r="BD34" s="9">
        <v>59.7</v>
      </c>
      <c r="BE34" s="9">
        <v>90.4</v>
      </c>
      <c r="BF34" s="9">
        <v>87.8</v>
      </c>
      <c r="BG34" s="9"/>
      <c r="BH34" s="9">
        <v>85.3</v>
      </c>
      <c r="BI34" s="9">
        <v>60.5</v>
      </c>
      <c r="BJ34" s="9">
        <v>54.2</v>
      </c>
      <c r="BK34" s="9">
        <v>50.6</v>
      </c>
      <c r="BL34" s="9"/>
      <c r="BM34" s="9">
        <v>50.9</v>
      </c>
      <c r="BN34" s="9">
        <v>43963.8</v>
      </c>
      <c r="BO34" s="9">
        <v>30643.599999999999</v>
      </c>
      <c r="BP34" s="9">
        <v>5719.1</v>
      </c>
      <c r="BQ34" s="9">
        <v>3592.5</v>
      </c>
      <c r="BR34" s="9">
        <v>2126.5</v>
      </c>
      <c r="BS34" s="9">
        <v>4060.5</v>
      </c>
      <c r="BT34" s="9">
        <v>8889.2000000000007</v>
      </c>
      <c r="BU34" s="9">
        <v>4734.8999999999996</v>
      </c>
      <c r="BV34" s="9">
        <v>12717.5</v>
      </c>
      <c r="BW34" s="9">
        <v>34116</v>
      </c>
      <c r="BX34" s="9">
        <v>2155.5</v>
      </c>
      <c r="BY34" s="9">
        <v>15519.9</v>
      </c>
      <c r="BZ34" s="9">
        <v>7937.5</v>
      </c>
      <c r="CA34" s="9">
        <v>1018.6</v>
      </c>
      <c r="CB34" s="9">
        <v>0</v>
      </c>
      <c r="CC34" s="9">
        <v>0</v>
      </c>
      <c r="CD34" s="9">
        <v>0</v>
      </c>
      <c r="CE34" s="9">
        <v>10603.8</v>
      </c>
      <c r="CF34" s="9">
        <v>181084.6814</v>
      </c>
      <c r="CG34" s="9">
        <v>437671.00468399998</v>
      </c>
      <c r="CH34" s="9"/>
      <c r="CI34" s="9"/>
      <c r="CJ34" s="9">
        <v>35</v>
      </c>
      <c r="CK34" s="9">
        <v>23.6</v>
      </c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>
        <v>52.98</v>
      </c>
      <c r="DP34" s="9">
        <v>19.68</v>
      </c>
      <c r="DQ34" s="9">
        <v>11.13</v>
      </c>
      <c r="DR34" s="9">
        <v>8.5500000000000007</v>
      </c>
      <c r="DS34" s="9">
        <v>9.5299999999999994</v>
      </c>
      <c r="DT34" s="9">
        <v>0.11</v>
      </c>
      <c r="DU34" s="9">
        <v>14.48</v>
      </c>
      <c r="DV34" s="9">
        <v>7.96</v>
      </c>
      <c r="DW34" s="9">
        <v>3.42</v>
      </c>
      <c r="DX34" s="9">
        <v>9.2899999999999991</v>
      </c>
      <c r="DY34" s="9">
        <v>3.76</v>
      </c>
      <c r="DZ34" s="9">
        <v>0.97</v>
      </c>
      <c r="EA34" s="9">
        <v>-52.287100000000002</v>
      </c>
      <c r="EB34" s="9">
        <v>-85.586699999999993</v>
      </c>
      <c r="EC34" s="9">
        <v>3.1366520000000002</v>
      </c>
      <c r="ED34" s="9">
        <v>-1.10334</v>
      </c>
      <c r="EE34" s="9">
        <v>31.266290000000001</v>
      </c>
      <c r="EF34" s="9">
        <v>0</v>
      </c>
      <c r="EG34" s="9">
        <v>-74.377300000000005</v>
      </c>
      <c r="EH34" s="9">
        <v>-22.794</v>
      </c>
      <c r="EI34" s="9">
        <v>0</v>
      </c>
      <c r="EJ34" s="9">
        <v>0</v>
      </c>
      <c r="EK34" s="9">
        <v>-51.583300000000001</v>
      </c>
      <c r="EL34" s="9">
        <v>12.7098</v>
      </c>
      <c r="EM34" s="9">
        <v>34.799999999999997</v>
      </c>
      <c r="EN34" s="9"/>
      <c r="EO34" s="9"/>
      <c r="EP34" s="9"/>
      <c r="EQ34" s="9"/>
      <c r="ER34" s="9"/>
      <c r="ES34" s="9"/>
      <c r="ET34" s="9"/>
      <c r="EU34">
        <v>1116.05</v>
      </c>
      <c r="EV34" s="9">
        <v>4372.13</v>
      </c>
      <c r="EW34" s="9">
        <v>946.58</v>
      </c>
      <c r="EX34" s="9">
        <v>20.28</v>
      </c>
      <c r="EY34" s="9">
        <v>14.43</v>
      </c>
      <c r="EZ34" s="9">
        <v>967.27</v>
      </c>
      <c r="FA34" s="9">
        <v>2423.58</v>
      </c>
      <c r="FB34" s="9">
        <v>24.45</v>
      </c>
      <c r="FC34" s="9">
        <v>28.34</v>
      </c>
      <c r="FD34" s="9">
        <v>1478.9333333333</v>
      </c>
      <c r="FE34" s="9">
        <v>12.68</v>
      </c>
      <c r="FF34" s="9">
        <v>319.13571430000002</v>
      </c>
      <c r="FG34"/>
      <c r="FH34"/>
      <c r="FI34"/>
      <c r="FJ34" s="9"/>
      <c r="FK34"/>
      <c r="FL34" s="9"/>
      <c r="FM34" s="9"/>
      <c r="FN34" s="9"/>
      <c r="FO34">
        <v>1117</v>
      </c>
      <c r="FP34"/>
      <c r="FQ34"/>
      <c r="FR34"/>
      <c r="FS34"/>
      <c r="FT34"/>
      <c r="FU34"/>
      <c r="FV34"/>
      <c r="FW34"/>
      <c r="FX34"/>
      <c r="HB34" s="6"/>
      <c r="HC34" s="6"/>
      <c r="HD34" s="6"/>
    </row>
    <row r="35" spans="1:212" x14ac:dyDescent="0.2">
      <c r="A35" s="8" t="s">
        <v>845</v>
      </c>
      <c r="B35" s="8" t="s">
        <v>215</v>
      </c>
      <c r="C35" s="8" t="s">
        <v>216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>
        <v>42792.800000000003</v>
      </c>
      <c r="BO35" s="9">
        <v>33560.300000000003</v>
      </c>
      <c r="BP35" s="9">
        <v>7384.5</v>
      </c>
      <c r="BQ35" s="9">
        <v>4960.8999999999996</v>
      </c>
      <c r="BR35" s="9">
        <v>2423.6999999999998</v>
      </c>
      <c r="BS35" s="9">
        <v>3656.5</v>
      </c>
      <c r="BT35" s="9">
        <v>10172.6</v>
      </c>
      <c r="BU35" s="9">
        <v>5211.3</v>
      </c>
      <c r="BV35" s="9">
        <v>8442</v>
      </c>
      <c r="BW35" s="9">
        <v>32170.400000000001</v>
      </c>
      <c r="BX35" s="9">
        <v>13633.3</v>
      </c>
      <c r="BY35" s="9">
        <v>11509.2</v>
      </c>
      <c r="BZ35" s="9">
        <v>8743.2000000000007</v>
      </c>
      <c r="CA35" s="9">
        <v>2043.7</v>
      </c>
      <c r="CB35" s="9">
        <v>0</v>
      </c>
      <c r="CC35" s="9">
        <v>0</v>
      </c>
      <c r="CD35" s="9">
        <v>0</v>
      </c>
      <c r="CE35" s="9">
        <v>6047.8</v>
      </c>
      <c r="CF35" s="9">
        <v>177714.52410000001</v>
      </c>
      <c r="CG35" s="9">
        <v>439855.76556999987</v>
      </c>
      <c r="CH35" s="9"/>
      <c r="CI35" s="9"/>
      <c r="CJ35" s="9">
        <v>35.1</v>
      </c>
      <c r="CK35" s="9">
        <v>19.899999999999999</v>
      </c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>
        <v>59.63</v>
      </c>
      <c r="DP35" s="9">
        <v>23.4</v>
      </c>
      <c r="DQ35" s="9">
        <v>13.47</v>
      </c>
      <c r="DR35" s="9">
        <v>9.93</v>
      </c>
      <c r="DS35" s="9">
        <v>10.5</v>
      </c>
      <c r="DT35" s="9">
        <v>0.28000000000000003</v>
      </c>
      <c r="DU35" s="9">
        <v>17.489999999999998</v>
      </c>
      <c r="DV35" s="9">
        <v>10.09</v>
      </c>
      <c r="DW35" s="9">
        <v>4.17</v>
      </c>
      <c r="DX35" s="9">
        <v>8.2200000000000006</v>
      </c>
      <c r="DY35" s="9">
        <v>2.08</v>
      </c>
      <c r="DZ35" s="9">
        <v>1.51</v>
      </c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>
        <v>1119</v>
      </c>
      <c r="EV35" s="9"/>
      <c r="EW35" s="9"/>
      <c r="EX35" s="9"/>
      <c r="EY35" s="9"/>
      <c r="EZ35" s="9"/>
      <c r="FA35" s="9"/>
      <c r="FB35" s="9">
        <v>26.25</v>
      </c>
      <c r="FC35" s="9">
        <v>27.55</v>
      </c>
      <c r="FD35" s="9">
        <v>1486.1717391304001</v>
      </c>
      <c r="FE35" s="9">
        <v>12.68</v>
      </c>
      <c r="FF35" s="9">
        <v>316.55652170000002</v>
      </c>
      <c r="FG35"/>
      <c r="FH35"/>
      <c r="FI35"/>
      <c r="FJ35" s="9"/>
      <c r="FK35"/>
      <c r="FL35" s="9"/>
      <c r="FM35" s="9"/>
      <c r="FN35" s="9"/>
      <c r="FO35">
        <v>1121</v>
      </c>
      <c r="FP35"/>
      <c r="FQ35"/>
      <c r="FR35"/>
      <c r="FS35"/>
      <c r="FT35"/>
      <c r="FU35"/>
      <c r="FV35"/>
      <c r="FW35"/>
      <c r="FX35"/>
      <c r="HB35" s="6"/>
      <c r="HC35" s="6"/>
      <c r="HD35" s="6"/>
    </row>
    <row r="36" spans="1:212" x14ac:dyDescent="0.2">
      <c r="A36" s="8" t="s">
        <v>845</v>
      </c>
      <c r="B36" s="8" t="s">
        <v>215</v>
      </c>
      <c r="C36" s="8" t="s">
        <v>217</v>
      </c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>
        <v>51281.8</v>
      </c>
      <c r="BO36" s="9">
        <v>42479.4</v>
      </c>
      <c r="BP36" s="9">
        <v>6164.8</v>
      </c>
      <c r="BQ36" s="9">
        <v>3725.6</v>
      </c>
      <c r="BR36" s="9">
        <v>2439.1999999999998</v>
      </c>
      <c r="BS36" s="9">
        <v>16531.5</v>
      </c>
      <c r="BT36" s="9">
        <v>12332.1</v>
      </c>
      <c r="BU36" s="9">
        <v>3359.5</v>
      </c>
      <c r="BV36" s="9">
        <v>8055.4</v>
      </c>
      <c r="BW36" s="9">
        <v>32350.1</v>
      </c>
      <c r="BX36" s="9">
        <v>4945.8999999999996</v>
      </c>
      <c r="BY36" s="9">
        <v>13087.6</v>
      </c>
      <c r="BZ36" s="9">
        <v>9338.9</v>
      </c>
      <c r="CA36" s="9">
        <v>1644.9</v>
      </c>
      <c r="CB36" s="9">
        <v>0</v>
      </c>
      <c r="CC36" s="9">
        <v>0</v>
      </c>
      <c r="CD36" s="9">
        <v>0</v>
      </c>
      <c r="CE36" s="9">
        <v>5313</v>
      </c>
      <c r="CF36" s="9">
        <v>175576.60250000001</v>
      </c>
      <c r="CG36" s="9">
        <v>447783.81600899989</v>
      </c>
      <c r="CH36" s="9"/>
      <c r="CI36" s="9"/>
      <c r="CJ36" s="9">
        <v>35.299999999999997</v>
      </c>
      <c r="CK36" s="9">
        <v>20.399999999999999</v>
      </c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>
        <v>58.91</v>
      </c>
      <c r="DP36" s="9">
        <v>23.53</v>
      </c>
      <c r="DQ36" s="9">
        <v>14.77</v>
      </c>
      <c r="DR36" s="9">
        <v>8.76</v>
      </c>
      <c r="DS36" s="9">
        <v>8.6</v>
      </c>
      <c r="DT36" s="9">
        <v>0.18</v>
      </c>
      <c r="DU36" s="9">
        <v>16.920000000000002</v>
      </c>
      <c r="DV36" s="9">
        <v>11.12</v>
      </c>
      <c r="DW36" s="9">
        <v>1.7</v>
      </c>
      <c r="DX36" s="9">
        <v>9.84</v>
      </c>
      <c r="DY36" s="9">
        <v>4.92</v>
      </c>
      <c r="DZ36" s="9">
        <v>1.03</v>
      </c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>
        <v>1122.22</v>
      </c>
      <c r="EV36" s="9"/>
      <c r="EW36" s="9"/>
      <c r="EX36" s="9"/>
      <c r="EY36" s="9"/>
      <c r="EZ36" s="9"/>
      <c r="FA36" s="9"/>
      <c r="FB36" s="9">
        <v>26.25</v>
      </c>
      <c r="FC36" s="9">
        <v>24.5</v>
      </c>
      <c r="FD36" s="9">
        <v>1581.0357142856999</v>
      </c>
      <c r="FE36" s="9">
        <v>12.68</v>
      </c>
      <c r="FF36" s="9">
        <v>320.43571429999997</v>
      </c>
      <c r="FG36"/>
      <c r="FH36"/>
      <c r="FI36"/>
      <c r="FJ36" s="9"/>
      <c r="FK36"/>
      <c r="FL36" s="9"/>
      <c r="FM36" s="9"/>
      <c r="FN36" s="9"/>
      <c r="FO36">
        <v>1123</v>
      </c>
      <c r="FP36"/>
      <c r="FQ36"/>
      <c r="FR36"/>
      <c r="FS36"/>
      <c r="FT36"/>
      <c r="FU36"/>
      <c r="FV36"/>
      <c r="FW36"/>
      <c r="FX36"/>
      <c r="HB36" s="6"/>
      <c r="HC36" s="6"/>
      <c r="HD36" s="6"/>
    </row>
    <row r="37" spans="1:212" x14ac:dyDescent="0.2">
      <c r="A37" s="8" t="s">
        <v>845</v>
      </c>
      <c r="B37" s="8" t="s">
        <v>215</v>
      </c>
      <c r="C37" s="8" t="s">
        <v>218</v>
      </c>
      <c r="D37" s="9">
        <v>448633.1</v>
      </c>
      <c r="E37" s="9">
        <v>83405.600000000006</v>
      </c>
      <c r="F37" s="9">
        <v>38054.800000000003</v>
      </c>
      <c r="G37" s="9">
        <v>29361.7</v>
      </c>
      <c r="H37" s="9">
        <v>20043.5</v>
      </c>
      <c r="I37" s="9">
        <v>26595.599999999999</v>
      </c>
      <c r="J37" s="9">
        <v>42823.3</v>
      </c>
      <c r="K37" s="9">
        <v>42810.8</v>
      </c>
      <c r="L37" s="9">
        <v>16319.6</v>
      </c>
      <c r="M37" s="9">
        <v>94289.7</v>
      </c>
      <c r="N37" s="9">
        <v>54928.5</v>
      </c>
      <c r="O37" s="9">
        <v>2346361.1166352872</v>
      </c>
      <c r="P37" s="9">
        <v>311501.31401743973</v>
      </c>
      <c r="Q37" s="9">
        <v>320471.02947369829</v>
      </c>
      <c r="R37" s="9">
        <v>248765.24029698421</v>
      </c>
      <c r="S37" s="9">
        <v>94855.687473166894</v>
      </c>
      <c r="T37" s="9">
        <v>181507.96846330649</v>
      </c>
      <c r="U37" s="9">
        <v>210117.50850186311</v>
      </c>
      <c r="V37" s="9">
        <v>73297.238182693603</v>
      </c>
      <c r="W37" s="9">
        <v>31181.976891974798</v>
      </c>
      <c r="X37" s="9">
        <v>710552.67033652356</v>
      </c>
      <c r="Y37" s="9">
        <v>164110.4829976366</v>
      </c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>
        <v>75.5</v>
      </c>
      <c r="AX37" s="9">
        <v>50.3</v>
      </c>
      <c r="AY37" s="9">
        <v>81.400000000000006</v>
      </c>
      <c r="AZ37" s="9">
        <v>73.3</v>
      </c>
      <c r="BA37" s="9">
        <v>80.599999999999994</v>
      </c>
      <c r="BB37" s="9"/>
      <c r="BC37" s="9">
        <v>103</v>
      </c>
      <c r="BD37" s="9">
        <v>59.2</v>
      </c>
      <c r="BE37" s="9">
        <v>95.1</v>
      </c>
      <c r="BF37" s="9">
        <v>89</v>
      </c>
      <c r="BG37" s="9"/>
      <c r="BH37" s="9">
        <v>98.6</v>
      </c>
      <c r="BI37" s="9">
        <v>55.2</v>
      </c>
      <c r="BJ37" s="9">
        <v>69.3</v>
      </c>
      <c r="BK37" s="9">
        <v>53.9</v>
      </c>
      <c r="BL37" s="9"/>
      <c r="BM37" s="9">
        <v>55.6</v>
      </c>
      <c r="BN37" s="9">
        <v>74391.399999999994</v>
      </c>
      <c r="BO37" s="9">
        <v>49436.1</v>
      </c>
      <c r="BP37" s="9">
        <v>14835.4</v>
      </c>
      <c r="BQ37" s="9">
        <v>10641.9</v>
      </c>
      <c r="BR37" s="9">
        <v>4193.5</v>
      </c>
      <c r="BS37" s="9">
        <v>7993.8</v>
      </c>
      <c r="BT37" s="9">
        <v>14737.6</v>
      </c>
      <c r="BU37" s="9">
        <v>4985.1000000000004</v>
      </c>
      <c r="BV37" s="9">
        <v>23585.8</v>
      </c>
      <c r="BW37" s="9">
        <v>70105.399999999994</v>
      </c>
      <c r="BX37" s="9">
        <v>10101.200000000001</v>
      </c>
      <c r="BY37" s="9">
        <v>37178.400000000001</v>
      </c>
      <c r="BZ37" s="9">
        <v>13254.3</v>
      </c>
      <c r="CA37" s="9">
        <v>3513.6</v>
      </c>
      <c r="CB37" s="9">
        <v>0</v>
      </c>
      <c r="CC37" s="9">
        <v>0</v>
      </c>
      <c r="CD37" s="9">
        <v>0</v>
      </c>
      <c r="CE37" s="9">
        <v>19546.8</v>
      </c>
      <c r="CF37" s="9">
        <v>187727.77799999999</v>
      </c>
      <c r="CG37" s="9">
        <v>470298.70493699989</v>
      </c>
      <c r="CH37" s="9"/>
      <c r="CI37" s="9"/>
      <c r="CJ37" s="9">
        <v>33.4</v>
      </c>
      <c r="CK37" s="9">
        <v>19.8</v>
      </c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>
        <v>64.459999999999994</v>
      </c>
      <c r="DP37" s="9">
        <v>25.67</v>
      </c>
      <c r="DQ37" s="9">
        <v>14.43</v>
      </c>
      <c r="DR37" s="9">
        <v>11.24</v>
      </c>
      <c r="DS37" s="9">
        <v>10.34</v>
      </c>
      <c r="DT37" s="9">
        <v>0.13</v>
      </c>
      <c r="DU37" s="9">
        <v>14.23</v>
      </c>
      <c r="DV37" s="9">
        <v>6.73</v>
      </c>
      <c r="DW37" s="9">
        <v>4.1900000000000004</v>
      </c>
      <c r="DX37" s="9">
        <v>14.18</v>
      </c>
      <c r="DY37" s="9">
        <v>4.49</v>
      </c>
      <c r="DZ37" s="9">
        <v>2.8</v>
      </c>
      <c r="EA37" s="9">
        <v>20.94642</v>
      </c>
      <c r="EB37" s="9">
        <v>3.8210609999999998</v>
      </c>
      <c r="EC37" s="9">
        <v>-33.286200000000001</v>
      </c>
      <c r="ED37" s="9">
        <v>-0.12474</v>
      </c>
      <c r="EE37" s="9">
        <v>50.536259999999999</v>
      </c>
      <c r="EF37" s="9">
        <v>0</v>
      </c>
      <c r="EG37" s="9">
        <v>-38.025799999999997</v>
      </c>
      <c r="EH37" s="9">
        <v>-27.966000000000001</v>
      </c>
      <c r="EI37" s="9">
        <v>0</v>
      </c>
      <c r="EJ37" s="9">
        <v>0</v>
      </c>
      <c r="EK37" s="9">
        <v>-10.059799999999999</v>
      </c>
      <c r="EL37" s="9">
        <v>-31.472200000000001</v>
      </c>
      <c r="EM37" s="9">
        <v>27.5</v>
      </c>
      <c r="EN37" s="9"/>
      <c r="EO37" s="9"/>
      <c r="EP37" s="9"/>
      <c r="EQ37" s="9"/>
      <c r="ER37" s="9"/>
      <c r="ES37" s="9"/>
      <c r="ET37" s="9"/>
      <c r="EU37">
        <v>1124.0899999999999</v>
      </c>
      <c r="EV37" s="9">
        <v>4398.7</v>
      </c>
      <c r="EW37" s="9">
        <v>984.89</v>
      </c>
      <c r="EX37" s="9">
        <v>18.28</v>
      </c>
      <c r="EY37" s="9">
        <v>14.65</v>
      </c>
      <c r="EZ37" s="9">
        <v>957.29</v>
      </c>
      <c r="FA37" s="9">
        <v>2423.58</v>
      </c>
      <c r="FB37" s="9">
        <v>26.25</v>
      </c>
      <c r="FC37" s="9">
        <v>28.52</v>
      </c>
      <c r="FD37" s="9">
        <v>1592.9642857143001</v>
      </c>
      <c r="FE37" s="9">
        <v>12.68</v>
      </c>
      <c r="FF37" s="9">
        <v>332.03611110000003</v>
      </c>
      <c r="FG37"/>
      <c r="FH37"/>
      <c r="FI37"/>
      <c r="FJ37" s="9"/>
      <c r="FK37"/>
      <c r="FL37" s="9"/>
      <c r="FM37" s="9"/>
      <c r="FN37" s="9"/>
      <c r="FO37">
        <v>1125</v>
      </c>
      <c r="FP37"/>
      <c r="FQ37"/>
      <c r="FR37"/>
      <c r="FS37"/>
      <c r="FT37"/>
      <c r="FU37"/>
      <c r="FV37"/>
      <c r="FW37"/>
      <c r="FX37"/>
      <c r="HB37" s="6"/>
      <c r="HC37" s="6"/>
      <c r="HD37" s="6"/>
    </row>
    <row r="38" spans="1:212" x14ac:dyDescent="0.2">
      <c r="A38" s="8" t="s">
        <v>846</v>
      </c>
      <c r="B38" s="8" t="s">
        <v>219</v>
      </c>
      <c r="C38" s="8" t="s">
        <v>220</v>
      </c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>
        <v>27239.9</v>
      </c>
      <c r="BO38" s="9">
        <v>23611.3</v>
      </c>
      <c r="BP38" s="9">
        <v>2212.3000000000002</v>
      </c>
      <c r="BQ38" s="9">
        <v>1349.1</v>
      </c>
      <c r="BR38" s="9">
        <v>863.2</v>
      </c>
      <c r="BS38" s="9">
        <v>3441.2</v>
      </c>
      <c r="BT38" s="9">
        <v>12765</v>
      </c>
      <c r="BU38" s="9">
        <v>3589.6</v>
      </c>
      <c r="BV38" s="9">
        <v>3502</v>
      </c>
      <c r="BW38" s="9">
        <v>29008.5</v>
      </c>
      <c r="BX38" s="9">
        <v>1643.9</v>
      </c>
      <c r="BY38" s="9">
        <v>8860.5</v>
      </c>
      <c r="BZ38" s="9">
        <v>9478.7999999999993</v>
      </c>
      <c r="CA38" s="9">
        <v>583.1</v>
      </c>
      <c r="CB38" s="9">
        <v>0</v>
      </c>
      <c r="CC38" s="9">
        <v>0</v>
      </c>
      <c r="CD38" s="9">
        <v>0</v>
      </c>
      <c r="CE38" s="9">
        <v>717.6</v>
      </c>
      <c r="CF38" s="9">
        <v>196577.6078</v>
      </c>
      <c r="CG38" s="9">
        <v>487741.61339000001</v>
      </c>
      <c r="CH38" s="9"/>
      <c r="CI38" s="9"/>
      <c r="CJ38" s="9">
        <v>30.7</v>
      </c>
      <c r="CK38" s="9">
        <v>20.7</v>
      </c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>
        <v>43</v>
      </c>
      <c r="DA38" s="9">
        <v>27</v>
      </c>
      <c r="DB38" s="9">
        <v>27</v>
      </c>
      <c r="DC38" s="9">
        <v>0</v>
      </c>
      <c r="DD38" s="9">
        <v>0</v>
      </c>
      <c r="DE38" s="9">
        <v>0</v>
      </c>
      <c r="DF38" s="9">
        <v>0</v>
      </c>
      <c r="DG38" s="9">
        <v>0</v>
      </c>
      <c r="DH38" s="9">
        <v>6</v>
      </c>
      <c r="DI38" s="9">
        <v>1</v>
      </c>
      <c r="DJ38" s="9">
        <v>4</v>
      </c>
      <c r="DK38" s="9">
        <v>0</v>
      </c>
      <c r="DL38" s="9">
        <v>0</v>
      </c>
      <c r="DM38" s="9">
        <v>10</v>
      </c>
      <c r="DN38" s="9">
        <v>0</v>
      </c>
      <c r="DO38" s="9">
        <v>60.12</v>
      </c>
      <c r="DP38" s="9">
        <v>19.16</v>
      </c>
      <c r="DQ38" s="9">
        <v>9.93</v>
      </c>
      <c r="DR38" s="9">
        <v>9.2200000000000006</v>
      </c>
      <c r="DS38" s="9">
        <v>8.32</v>
      </c>
      <c r="DT38" s="9">
        <v>0.2</v>
      </c>
      <c r="DU38" s="9">
        <v>20.04</v>
      </c>
      <c r="DV38" s="9">
        <v>13.47</v>
      </c>
      <c r="DW38" s="9">
        <v>3.76</v>
      </c>
      <c r="DX38" s="9">
        <v>12.57</v>
      </c>
      <c r="DY38" s="9">
        <v>4.17</v>
      </c>
      <c r="DZ38" s="9">
        <v>2.79</v>
      </c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>
        <v>1129.5</v>
      </c>
      <c r="EV38" s="9"/>
      <c r="EW38" s="9"/>
      <c r="EX38" s="9"/>
      <c r="EY38" s="9"/>
      <c r="EZ38" s="9"/>
      <c r="FA38" s="9"/>
      <c r="FB38" s="9">
        <v>26.678571428600002</v>
      </c>
      <c r="FC38" s="9">
        <v>31.230869565199999</v>
      </c>
      <c r="FD38" s="9">
        <v>1650.3113636364001</v>
      </c>
      <c r="FE38" s="9">
        <v>13.82</v>
      </c>
      <c r="FF38" s="9">
        <v>356.85909090910002</v>
      </c>
      <c r="FG38"/>
      <c r="FH38"/>
      <c r="FI38"/>
      <c r="FJ38" s="9"/>
      <c r="FK38"/>
      <c r="FL38" s="9"/>
      <c r="FM38" s="9"/>
      <c r="FN38" s="9"/>
      <c r="FO38">
        <v>1132</v>
      </c>
      <c r="FP38">
        <v>2570.1999999999998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1213.98</v>
      </c>
      <c r="FW38">
        <v>17913.45</v>
      </c>
      <c r="FX38">
        <v>4.6900000000000004</v>
      </c>
      <c r="HB38" s="6"/>
      <c r="HC38" s="6"/>
      <c r="HD38" s="6"/>
    </row>
    <row r="39" spans="1:212" x14ac:dyDescent="0.2">
      <c r="A39" s="8" t="s">
        <v>846</v>
      </c>
      <c r="B39" s="8" t="s">
        <v>219</v>
      </c>
      <c r="C39" s="8" t="s">
        <v>221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>
        <v>28775.599999999999</v>
      </c>
      <c r="BO39" s="9">
        <v>23626.9</v>
      </c>
      <c r="BP39" s="9">
        <v>5795.1</v>
      </c>
      <c r="BQ39" s="9">
        <v>4355.8999999999996</v>
      </c>
      <c r="BR39" s="9">
        <v>1439.2</v>
      </c>
      <c r="BS39" s="9">
        <v>3729</v>
      </c>
      <c r="BT39" s="9">
        <v>5706.1</v>
      </c>
      <c r="BU39" s="9">
        <v>3315.3</v>
      </c>
      <c r="BV39" s="9">
        <v>4543.3999999999996</v>
      </c>
      <c r="BW39" s="9">
        <v>31227.7</v>
      </c>
      <c r="BX39" s="9">
        <v>4563.7</v>
      </c>
      <c r="BY39" s="9">
        <v>12174.9</v>
      </c>
      <c r="BZ39" s="9">
        <v>9126.4</v>
      </c>
      <c r="CA39" s="9">
        <v>1952.9</v>
      </c>
      <c r="CB39" s="9">
        <v>0</v>
      </c>
      <c r="CC39" s="9">
        <v>0</v>
      </c>
      <c r="CD39" s="9">
        <v>0</v>
      </c>
      <c r="CE39" s="9">
        <v>1284.7</v>
      </c>
      <c r="CF39" s="9">
        <v>176951.0839</v>
      </c>
      <c r="CG39" s="9">
        <v>490489.34913999989</v>
      </c>
      <c r="CH39" s="9"/>
      <c r="CI39" s="9"/>
      <c r="CJ39" s="9">
        <v>31.4</v>
      </c>
      <c r="CK39" s="9">
        <v>21.3</v>
      </c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>
        <v>27</v>
      </c>
      <c r="DA39" s="9">
        <v>14</v>
      </c>
      <c r="DB39" s="9">
        <v>14</v>
      </c>
      <c r="DC39" s="9">
        <v>0</v>
      </c>
      <c r="DD39" s="9">
        <v>0</v>
      </c>
      <c r="DE39" s="9">
        <v>0</v>
      </c>
      <c r="DF39" s="9">
        <v>0</v>
      </c>
      <c r="DG39" s="9">
        <v>0</v>
      </c>
      <c r="DH39" s="9">
        <v>4</v>
      </c>
      <c r="DI39" s="9">
        <v>1</v>
      </c>
      <c r="DJ39" s="9">
        <v>3</v>
      </c>
      <c r="DK39" s="9">
        <v>0</v>
      </c>
      <c r="DL39" s="9">
        <v>0</v>
      </c>
      <c r="DM39" s="9">
        <v>9</v>
      </c>
      <c r="DN39" s="9">
        <v>0</v>
      </c>
      <c r="DO39" s="9">
        <v>42.93</v>
      </c>
      <c r="DP39" s="9">
        <v>13.64</v>
      </c>
      <c r="DQ39" s="9">
        <v>6.15</v>
      </c>
      <c r="DR39" s="9">
        <v>7.5</v>
      </c>
      <c r="DS39" s="9">
        <v>7.82</v>
      </c>
      <c r="DT39" s="9">
        <v>0.16</v>
      </c>
      <c r="DU39" s="9">
        <v>12.94</v>
      </c>
      <c r="DV39" s="9">
        <v>10.01</v>
      </c>
      <c r="DW39" s="9">
        <v>1.7</v>
      </c>
      <c r="DX39" s="9">
        <v>8.4700000000000006</v>
      </c>
      <c r="DY39" s="9">
        <v>2.4500000000000002</v>
      </c>
      <c r="DZ39" s="9">
        <v>1.45</v>
      </c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>
        <v>1134.05</v>
      </c>
      <c r="EV39" s="9"/>
      <c r="EW39" s="9"/>
      <c r="EX39" s="9"/>
      <c r="EY39" s="9"/>
      <c r="EZ39" s="9"/>
      <c r="FA39" s="9"/>
      <c r="FB39" s="9">
        <v>26.946428571399998</v>
      </c>
      <c r="FC39" s="9">
        <v>32.648499999999999</v>
      </c>
      <c r="FD39" s="9">
        <v>1682.145</v>
      </c>
      <c r="FE39" s="9">
        <v>13.82</v>
      </c>
      <c r="FF39" s="9">
        <v>358.97</v>
      </c>
      <c r="FG39"/>
      <c r="FH39"/>
      <c r="FI39"/>
      <c r="FJ39" s="9"/>
      <c r="FK39"/>
      <c r="FL39" s="9"/>
      <c r="FM39" s="9"/>
      <c r="FN39" s="9"/>
      <c r="FO39">
        <v>1138</v>
      </c>
      <c r="FP39">
        <v>1294.7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720</v>
      </c>
      <c r="FW39">
        <v>15756.46</v>
      </c>
      <c r="FX39">
        <v>8.09</v>
      </c>
      <c r="HB39" s="6"/>
      <c r="HC39" s="6"/>
      <c r="HD39" s="6"/>
    </row>
    <row r="40" spans="1:212" x14ac:dyDescent="0.2">
      <c r="A40" s="8" t="s">
        <v>846</v>
      </c>
      <c r="B40" s="8" t="s">
        <v>219</v>
      </c>
      <c r="C40" s="8" t="s">
        <v>222</v>
      </c>
      <c r="D40" s="9">
        <v>318811.3</v>
      </c>
      <c r="E40" s="9">
        <v>19349.7</v>
      </c>
      <c r="F40" s="9">
        <v>30207.5</v>
      </c>
      <c r="G40" s="9">
        <v>24638.400000000001</v>
      </c>
      <c r="H40" s="9">
        <v>19795.400000000001</v>
      </c>
      <c r="I40" s="9">
        <v>2559.6999999999998</v>
      </c>
      <c r="J40" s="9">
        <v>37230.1</v>
      </c>
      <c r="K40" s="9">
        <v>35211.199999999997</v>
      </c>
      <c r="L40" s="9">
        <v>9137.4</v>
      </c>
      <c r="M40" s="9">
        <v>99370.9</v>
      </c>
      <c r="N40" s="9">
        <v>41310.9</v>
      </c>
      <c r="O40" s="9">
        <v>1512556.2432051089</v>
      </c>
      <c r="P40" s="9">
        <v>62182.946064251097</v>
      </c>
      <c r="Q40" s="9">
        <v>166738.87720246319</v>
      </c>
      <c r="R40" s="9">
        <v>184186.42197640319</v>
      </c>
      <c r="S40" s="9">
        <v>87243.557057847298</v>
      </c>
      <c r="T40" s="9">
        <v>15500.910863339501</v>
      </c>
      <c r="U40" s="9">
        <v>165252.169091875</v>
      </c>
      <c r="V40" s="9">
        <v>58496.279172269104</v>
      </c>
      <c r="W40" s="9">
        <v>16844.105944784202</v>
      </c>
      <c r="X40" s="9">
        <v>644178.03248403454</v>
      </c>
      <c r="Y40" s="9">
        <v>111932.9433478422</v>
      </c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>
        <v>75.7</v>
      </c>
      <c r="AX40" s="9">
        <v>41.8</v>
      </c>
      <c r="AY40" s="9">
        <v>81.099999999999994</v>
      </c>
      <c r="AZ40" s="9">
        <v>74.8</v>
      </c>
      <c r="BA40" s="9">
        <v>97.4</v>
      </c>
      <c r="BB40" s="9"/>
      <c r="BC40" s="9">
        <v>75.099999999999994</v>
      </c>
      <c r="BD40" s="9">
        <v>60</v>
      </c>
      <c r="BE40" s="9">
        <v>101.6</v>
      </c>
      <c r="BF40" s="9">
        <v>89</v>
      </c>
      <c r="BG40" s="9"/>
      <c r="BH40" s="9">
        <v>92</v>
      </c>
      <c r="BI40" s="9">
        <v>59.3</v>
      </c>
      <c r="BJ40" s="9">
        <v>71.599999999999994</v>
      </c>
      <c r="BK40" s="9">
        <v>58.5</v>
      </c>
      <c r="BL40" s="9"/>
      <c r="BM40" s="9">
        <v>50.7</v>
      </c>
      <c r="BN40" s="9">
        <v>35887.5</v>
      </c>
      <c r="BO40" s="9">
        <v>27732.5</v>
      </c>
      <c r="BP40" s="9">
        <v>4896.2</v>
      </c>
      <c r="BQ40" s="9">
        <v>2864</v>
      </c>
      <c r="BR40" s="9">
        <v>2032.2</v>
      </c>
      <c r="BS40" s="9">
        <v>6233.7</v>
      </c>
      <c r="BT40" s="9">
        <v>7610.3</v>
      </c>
      <c r="BU40" s="9">
        <v>3977.5</v>
      </c>
      <c r="BV40" s="9">
        <v>6969.4</v>
      </c>
      <c r="BW40" s="9">
        <v>34904.5</v>
      </c>
      <c r="BX40" s="9">
        <v>5181.3999999999996</v>
      </c>
      <c r="BY40" s="9">
        <v>14401</v>
      </c>
      <c r="BZ40" s="9">
        <v>9466.5</v>
      </c>
      <c r="CA40" s="9">
        <v>501.8</v>
      </c>
      <c r="CB40" s="9">
        <v>0</v>
      </c>
      <c r="CC40" s="9">
        <v>0</v>
      </c>
      <c r="CD40" s="9">
        <v>0</v>
      </c>
      <c r="CE40" s="9">
        <v>2905.1</v>
      </c>
      <c r="CF40" s="9">
        <v>180109.59179999999</v>
      </c>
      <c r="CG40" s="9">
        <v>504293.43034100003</v>
      </c>
      <c r="CH40" s="9"/>
      <c r="CI40" s="9"/>
      <c r="CJ40" s="9">
        <v>32.6</v>
      </c>
      <c r="CK40" s="9">
        <v>20.8</v>
      </c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>
        <v>16</v>
      </c>
      <c r="DA40" s="9">
        <v>2</v>
      </c>
      <c r="DB40" s="9">
        <v>0</v>
      </c>
      <c r="DC40" s="9">
        <v>2</v>
      </c>
      <c r="DD40" s="9">
        <v>0</v>
      </c>
      <c r="DE40" s="9">
        <v>0</v>
      </c>
      <c r="DF40" s="9">
        <v>0</v>
      </c>
      <c r="DG40" s="9">
        <v>0</v>
      </c>
      <c r="DH40" s="9">
        <v>6</v>
      </c>
      <c r="DI40" s="9">
        <v>1</v>
      </c>
      <c r="DJ40" s="9">
        <v>4</v>
      </c>
      <c r="DK40" s="9">
        <v>1</v>
      </c>
      <c r="DL40" s="9">
        <v>0</v>
      </c>
      <c r="DM40" s="9">
        <v>8</v>
      </c>
      <c r="DN40" s="9">
        <v>0</v>
      </c>
      <c r="DO40" s="9">
        <v>47.29</v>
      </c>
      <c r="DP40" s="9">
        <v>17.989999999999998</v>
      </c>
      <c r="DQ40" s="9">
        <v>10.54</v>
      </c>
      <c r="DR40" s="9">
        <v>7.45</v>
      </c>
      <c r="DS40" s="9">
        <v>7.72</v>
      </c>
      <c r="DT40" s="9">
        <v>0.39</v>
      </c>
      <c r="DU40" s="9">
        <v>12.23</v>
      </c>
      <c r="DV40" s="9">
        <v>7.79</v>
      </c>
      <c r="DW40" s="9">
        <v>3.06</v>
      </c>
      <c r="DX40" s="9">
        <v>9.2899999999999991</v>
      </c>
      <c r="DY40" s="9">
        <v>4.05</v>
      </c>
      <c r="DZ40" s="9">
        <v>1.57</v>
      </c>
      <c r="EA40" s="9">
        <v>-17.761800000000001</v>
      </c>
      <c r="EB40" s="9">
        <v>-21.48</v>
      </c>
      <c r="EC40" s="9">
        <v>-38.137700000000002</v>
      </c>
      <c r="ED40" s="9">
        <v>1.177546</v>
      </c>
      <c r="EE40" s="9">
        <v>40.678310000000003</v>
      </c>
      <c r="EF40" s="9">
        <v>0</v>
      </c>
      <c r="EG40" s="9">
        <v>-22.8416</v>
      </c>
      <c r="EH40" s="9">
        <v>-15.5</v>
      </c>
      <c r="EI40" s="9">
        <v>0</v>
      </c>
      <c r="EJ40" s="9">
        <v>0</v>
      </c>
      <c r="EK40" s="9">
        <v>-7.3415699999999999</v>
      </c>
      <c r="EL40" s="9">
        <v>-17.899799999999999</v>
      </c>
      <c r="EM40" s="9">
        <v>-12.82</v>
      </c>
      <c r="EN40" s="9"/>
      <c r="EO40" s="9"/>
      <c r="EP40" s="9"/>
      <c r="EQ40" s="9"/>
      <c r="ER40" s="9"/>
      <c r="ES40" s="9"/>
      <c r="ET40" s="9"/>
      <c r="EU40">
        <v>1139.74</v>
      </c>
      <c r="EV40" s="9">
        <v>4523.3900000000003</v>
      </c>
      <c r="EW40" s="9">
        <v>1095.9100000000001</v>
      </c>
      <c r="EX40" s="9">
        <v>15.92</v>
      </c>
      <c r="EY40" s="9">
        <v>15.32</v>
      </c>
      <c r="EZ40" s="9">
        <v>972.66</v>
      </c>
      <c r="FA40" s="9">
        <v>2423.58</v>
      </c>
      <c r="FB40" s="9">
        <v>26.142857142899999</v>
      </c>
      <c r="FC40" s="9">
        <v>30.339047618999999</v>
      </c>
      <c r="FD40" s="9">
        <v>1655.6928571429</v>
      </c>
      <c r="FE40" s="9">
        <v>13.82</v>
      </c>
      <c r="FF40" s="9">
        <v>340.55</v>
      </c>
      <c r="FG40"/>
      <c r="FH40"/>
      <c r="FI40"/>
      <c r="FJ40" s="9"/>
      <c r="FK40"/>
      <c r="FL40" s="9"/>
      <c r="FM40" s="9"/>
      <c r="FN40" s="9"/>
      <c r="FO40">
        <v>1140</v>
      </c>
      <c r="FP40">
        <v>0</v>
      </c>
      <c r="FQ40">
        <v>7.39</v>
      </c>
      <c r="FR40">
        <v>0</v>
      </c>
      <c r="FS40">
        <v>0</v>
      </c>
      <c r="FT40">
        <v>0</v>
      </c>
      <c r="FU40">
        <v>0</v>
      </c>
      <c r="FV40">
        <v>919.5</v>
      </c>
      <c r="FW40">
        <v>20974.45</v>
      </c>
      <c r="FX40">
        <v>13.11</v>
      </c>
      <c r="HB40" s="6"/>
      <c r="HC40" s="6"/>
      <c r="HD40" s="6"/>
    </row>
    <row r="41" spans="1:212" x14ac:dyDescent="0.2">
      <c r="A41" s="8" t="s">
        <v>846</v>
      </c>
      <c r="B41" s="8" t="s">
        <v>223</v>
      </c>
      <c r="C41" s="8" t="s">
        <v>224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>
        <v>46147.3</v>
      </c>
      <c r="BO41" s="9">
        <v>35007.800000000003</v>
      </c>
      <c r="BP41" s="9">
        <v>7455.2</v>
      </c>
      <c r="BQ41" s="9">
        <v>4624.5</v>
      </c>
      <c r="BR41" s="9">
        <v>2830.8</v>
      </c>
      <c r="BS41" s="9">
        <v>3794</v>
      </c>
      <c r="BT41" s="9">
        <v>12068.7</v>
      </c>
      <c r="BU41" s="9">
        <v>4980.5</v>
      </c>
      <c r="BV41" s="9">
        <v>9702.7999999999993</v>
      </c>
      <c r="BW41" s="9">
        <v>38373.300000000003</v>
      </c>
      <c r="BX41" s="9">
        <v>10228.200000000001</v>
      </c>
      <c r="BY41" s="9">
        <v>15855.4</v>
      </c>
      <c r="BZ41" s="9">
        <v>10394.799999999999</v>
      </c>
      <c r="CA41" s="9">
        <v>1977.8</v>
      </c>
      <c r="CB41" s="9">
        <v>0</v>
      </c>
      <c r="CC41" s="9">
        <v>0</v>
      </c>
      <c r="CD41" s="9">
        <v>0</v>
      </c>
      <c r="CE41" s="9">
        <v>6729.9</v>
      </c>
      <c r="CF41" s="9">
        <v>193596.34150000001</v>
      </c>
      <c r="CG41" s="9">
        <v>530569.31427500001</v>
      </c>
      <c r="CH41" s="9"/>
      <c r="CI41" s="9"/>
      <c r="CJ41" s="9">
        <v>31</v>
      </c>
      <c r="CK41" s="9">
        <v>20.2</v>
      </c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>
        <v>25</v>
      </c>
      <c r="DA41" s="9">
        <v>4</v>
      </c>
      <c r="DB41" s="9">
        <v>0</v>
      </c>
      <c r="DC41" s="9">
        <v>4</v>
      </c>
      <c r="DD41" s="9">
        <v>0</v>
      </c>
      <c r="DE41" s="9">
        <v>0</v>
      </c>
      <c r="DF41" s="9">
        <v>0</v>
      </c>
      <c r="DG41" s="9">
        <v>0</v>
      </c>
      <c r="DH41" s="9">
        <v>11</v>
      </c>
      <c r="DI41" s="9">
        <v>1</v>
      </c>
      <c r="DJ41" s="9">
        <v>6</v>
      </c>
      <c r="DK41" s="9">
        <v>4</v>
      </c>
      <c r="DL41" s="9">
        <v>0</v>
      </c>
      <c r="DM41" s="9">
        <v>10</v>
      </c>
      <c r="DN41" s="9">
        <v>0</v>
      </c>
      <c r="DO41" s="9">
        <v>66.36</v>
      </c>
      <c r="DP41" s="9">
        <v>20.09</v>
      </c>
      <c r="DQ41" s="9">
        <v>13.04</v>
      </c>
      <c r="DR41" s="9">
        <v>7.05</v>
      </c>
      <c r="DS41" s="9">
        <v>11.62</v>
      </c>
      <c r="DT41" s="9">
        <v>0.39</v>
      </c>
      <c r="DU41" s="9">
        <v>23.57</v>
      </c>
      <c r="DV41" s="9">
        <v>15.56</v>
      </c>
      <c r="DW41" s="9">
        <v>3.68</v>
      </c>
      <c r="DX41" s="9">
        <v>11.05</v>
      </c>
      <c r="DY41" s="9">
        <v>5.04</v>
      </c>
      <c r="DZ41" s="9">
        <v>1.61</v>
      </c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>
        <v>1136.18</v>
      </c>
      <c r="EV41" s="9"/>
      <c r="EW41" s="9"/>
      <c r="EX41" s="9"/>
      <c r="EY41" s="9"/>
      <c r="EZ41" s="9"/>
      <c r="FA41" s="9"/>
      <c r="FB41" s="9">
        <v>25.125</v>
      </c>
      <c r="FC41" s="9">
        <v>25.108181818199999</v>
      </c>
      <c r="FD41" s="9">
        <v>1587.8675000000001</v>
      </c>
      <c r="FE41" s="9">
        <v>13.82</v>
      </c>
      <c r="FF41" s="9">
        <v>328.18</v>
      </c>
      <c r="FG41"/>
      <c r="FH41"/>
      <c r="FI41"/>
      <c r="FJ41" s="9"/>
      <c r="FK41"/>
      <c r="FL41" s="9"/>
      <c r="FM41" s="9"/>
      <c r="FN41" s="9"/>
      <c r="FO41">
        <v>1134</v>
      </c>
      <c r="FP41">
        <v>0</v>
      </c>
      <c r="FQ41">
        <v>13.54</v>
      </c>
      <c r="FR41">
        <v>0</v>
      </c>
      <c r="FS41">
        <v>0</v>
      </c>
      <c r="FT41">
        <v>0</v>
      </c>
      <c r="FU41">
        <v>6.43</v>
      </c>
      <c r="FV41">
        <v>1108.5</v>
      </c>
      <c r="FW41">
        <v>29222.18</v>
      </c>
      <c r="FX41">
        <v>79.09</v>
      </c>
      <c r="HB41" s="6"/>
      <c r="HC41" s="6"/>
      <c r="HD41" s="6"/>
    </row>
    <row r="42" spans="1:212" x14ac:dyDescent="0.2">
      <c r="A42" s="8" t="s">
        <v>846</v>
      </c>
      <c r="B42" s="8" t="s">
        <v>223</v>
      </c>
      <c r="C42" s="8" t="s">
        <v>225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>
        <v>45637.599999999999</v>
      </c>
      <c r="BO42" s="9">
        <v>35467.599999999999</v>
      </c>
      <c r="BP42" s="9">
        <v>7112.8</v>
      </c>
      <c r="BQ42" s="9">
        <v>4729.2</v>
      </c>
      <c r="BR42" s="9">
        <v>2383.5</v>
      </c>
      <c r="BS42" s="9">
        <v>5138.8</v>
      </c>
      <c r="BT42" s="9">
        <v>11396.6</v>
      </c>
      <c r="BU42" s="9">
        <v>4049.8</v>
      </c>
      <c r="BV42" s="9">
        <v>8700</v>
      </c>
      <c r="BW42" s="9">
        <v>35692.199999999997</v>
      </c>
      <c r="BX42" s="9">
        <v>1110.0999999999999</v>
      </c>
      <c r="BY42" s="9">
        <v>13628</v>
      </c>
      <c r="BZ42" s="9">
        <v>9913.4</v>
      </c>
      <c r="CA42" s="9">
        <v>1657.6</v>
      </c>
      <c r="CB42" s="9">
        <v>0</v>
      </c>
      <c r="CC42" s="9">
        <v>0</v>
      </c>
      <c r="CD42" s="9">
        <v>0</v>
      </c>
      <c r="CE42" s="9">
        <v>3196.4</v>
      </c>
      <c r="CF42" s="9">
        <v>200968.68340000001</v>
      </c>
      <c r="CG42" s="9">
        <v>542450.42720200005</v>
      </c>
      <c r="CH42" s="9"/>
      <c r="CI42" s="9"/>
      <c r="CJ42" s="9">
        <v>32</v>
      </c>
      <c r="CK42" s="9">
        <v>16.600000000000001</v>
      </c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>
        <v>38</v>
      </c>
      <c r="DA42" s="9">
        <v>16</v>
      </c>
      <c r="DB42" s="9">
        <v>0</v>
      </c>
      <c r="DC42" s="9">
        <v>12</v>
      </c>
      <c r="DD42" s="9">
        <v>0</v>
      </c>
      <c r="DE42" s="9">
        <v>0</v>
      </c>
      <c r="DF42" s="9">
        <v>0</v>
      </c>
      <c r="DG42" s="9">
        <v>0</v>
      </c>
      <c r="DH42" s="9">
        <v>11</v>
      </c>
      <c r="DI42" s="9">
        <v>0</v>
      </c>
      <c r="DJ42" s="9">
        <v>3</v>
      </c>
      <c r="DK42" s="9">
        <v>7</v>
      </c>
      <c r="DL42" s="9">
        <v>0</v>
      </c>
      <c r="DM42" s="9">
        <v>12</v>
      </c>
      <c r="DN42" s="9">
        <v>1</v>
      </c>
      <c r="DO42" s="9">
        <v>75.040000000000006</v>
      </c>
      <c r="DP42" s="9">
        <v>20.6</v>
      </c>
      <c r="DQ42" s="9">
        <v>14.21</v>
      </c>
      <c r="DR42" s="9">
        <v>6.39</v>
      </c>
      <c r="DS42" s="9">
        <v>15.15</v>
      </c>
      <c r="DT42" s="9">
        <v>0.34</v>
      </c>
      <c r="DU42" s="9">
        <v>27.49</v>
      </c>
      <c r="DV42" s="9">
        <v>14.94</v>
      </c>
      <c r="DW42" s="9">
        <v>4.97</v>
      </c>
      <c r="DX42" s="9">
        <v>11.72</v>
      </c>
      <c r="DY42" s="9">
        <v>5.55</v>
      </c>
      <c r="DZ42" s="9">
        <v>1.63</v>
      </c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>
        <v>1130</v>
      </c>
      <c r="EV42" s="9"/>
      <c r="EW42" s="9"/>
      <c r="EX42" s="9"/>
      <c r="EY42" s="9"/>
      <c r="EZ42" s="9"/>
      <c r="FA42" s="9"/>
      <c r="FB42" s="9">
        <v>24.964285714300001</v>
      </c>
      <c r="FC42" s="9">
        <v>25.750454545499998</v>
      </c>
      <c r="FD42" s="9">
        <v>1651.1</v>
      </c>
      <c r="FE42" s="9">
        <v>13.82</v>
      </c>
      <c r="FF42" s="9">
        <v>355.6825</v>
      </c>
      <c r="FG42"/>
      <c r="FH42"/>
      <c r="FI42"/>
      <c r="FJ42" s="9"/>
      <c r="FK42"/>
      <c r="FL42" s="9"/>
      <c r="FM42" s="9"/>
      <c r="FN42" s="9"/>
      <c r="FO42">
        <v>1130</v>
      </c>
      <c r="FP42">
        <v>0</v>
      </c>
      <c r="FQ42">
        <v>44.95</v>
      </c>
      <c r="FR42">
        <v>0</v>
      </c>
      <c r="FS42">
        <v>0</v>
      </c>
      <c r="FT42">
        <v>1.97</v>
      </c>
      <c r="FU42">
        <v>7.56</v>
      </c>
      <c r="FV42">
        <v>0</v>
      </c>
      <c r="FW42">
        <v>14836.07</v>
      </c>
      <c r="FX42">
        <v>158.06</v>
      </c>
      <c r="HB42" s="6"/>
      <c r="HC42" s="6"/>
      <c r="HD42" s="6"/>
    </row>
    <row r="43" spans="1:212" x14ac:dyDescent="0.2">
      <c r="A43" s="8" t="s">
        <v>846</v>
      </c>
      <c r="B43" s="8" t="s">
        <v>223</v>
      </c>
      <c r="C43" s="8" t="s">
        <v>226</v>
      </c>
      <c r="D43" s="9">
        <v>504294.2</v>
      </c>
      <c r="E43" s="9">
        <v>135364.9</v>
      </c>
      <c r="F43" s="9">
        <v>50298.9</v>
      </c>
      <c r="G43" s="9">
        <v>30802.799999999999</v>
      </c>
      <c r="H43" s="9">
        <v>16340.9</v>
      </c>
      <c r="I43" s="9">
        <v>15546.8</v>
      </c>
      <c r="J43" s="9">
        <v>47919.7</v>
      </c>
      <c r="K43" s="9">
        <v>35881.300000000003</v>
      </c>
      <c r="L43" s="9">
        <v>7111.7</v>
      </c>
      <c r="M43" s="9">
        <v>109225.5</v>
      </c>
      <c r="N43" s="9">
        <v>55801.599999999999</v>
      </c>
      <c r="O43" s="9">
        <v>2392554.2809245661</v>
      </c>
      <c r="P43" s="9">
        <v>461802.66890632157</v>
      </c>
      <c r="Q43" s="9">
        <v>294736.47822137189</v>
      </c>
      <c r="R43" s="9">
        <v>244449.1995975578</v>
      </c>
      <c r="S43" s="9">
        <v>76453.675423750799</v>
      </c>
      <c r="T43" s="9">
        <v>99945.3230315049</v>
      </c>
      <c r="U43" s="9">
        <v>225798.14532537991</v>
      </c>
      <c r="V43" s="9">
        <v>63280.353933653802</v>
      </c>
      <c r="W43" s="9">
        <v>13917.2064358689</v>
      </c>
      <c r="X43" s="9">
        <v>751664.50526127929</v>
      </c>
      <c r="Y43" s="9">
        <v>160506.7247878772</v>
      </c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>
        <v>84.2</v>
      </c>
      <c r="AX43" s="9">
        <v>54.9</v>
      </c>
      <c r="AY43" s="9">
        <v>90</v>
      </c>
      <c r="AZ43" s="9">
        <v>86.6</v>
      </c>
      <c r="BA43" s="9">
        <v>96.9</v>
      </c>
      <c r="BB43" s="9"/>
      <c r="BC43" s="9">
        <v>85.7</v>
      </c>
      <c r="BD43" s="9">
        <v>68.900000000000006</v>
      </c>
      <c r="BE43" s="9">
        <v>105.8</v>
      </c>
      <c r="BF43" s="9">
        <v>74.5</v>
      </c>
      <c r="BG43" s="9"/>
      <c r="BH43" s="9">
        <v>109.2</v>
      </c>
      <c r="BI43" s="9">
        <v>69.400000000000006</v>
      </c>
      <c r="BJ43" s="9">
        <v>94.5</v>
      </c>
      <c r="BK43" s="9">
        <v>61.9</v>
      </c>
      <c r="BL43" s="9"/>
      <c r="BM43" s="9">
        <v>53.2</v>
      </c>
      <c r="BN43" s="9">
        <v>45593.7</v>
      </c>
      <c r="BO43" s="9">
        <v>34710.1</v>
      </c>
      <c r="BP43" s="9">
        <v>5623.2</v>
      </c>
      <c r="BQ43" s="9">
        <v>2870.9</v>
      </c>
      <c r="BR43" s="9">
        <v>2752.3</v>
      </c>
      <c r="BS43" s="9">
        <v>4592.8</v>
      </c>
      <c r="BT43" s="9">
        <v>6675.3</v>
      </c>
      <c r="BU43" s="9">
        <v>6003.9</v>
      </c>
      <c r="BV43" s="9">
        <v>8602.6</v>
      </c>
      <c r="BW43" s="9">
        <v>45113.2</v>
      </c>
      <c r="BX43" s="9">
        <v>4859.3</v>
      </c>
      <c r="BY43" s="9">
        <v>16342.4</v>
      </c>
      <c r="BZ43" s="9">
        <v>14471.7</v>
      </c>
      <c r="CA43" s="9">
        <v>5259.2</v>
      </c>
      <c r="CB43" s="9">
        <v>0</v>
      </c>
      <c r="CC43" s="9">
        <v>0</v>
      </c>
      <c r="CD43" s="9">
        <v>0</v>
      </c>
      <c r="CE43" s="9">
        <v>5007.7</v>
      </c>
      <c r="CF43" s="9">
        <v>208987.87599999999</v>
      </c>
      <c r="CG43" s="9">
        <v>557744.362035</v>
      </c>
      <c r="CH43" s="9"/>
      <c r="CI43" s="9"/>
      <c r="CJ43" s="9">
        <v>32.4</v>
      </c>
      <c r="CK43" s="9">
        <v>20.9</v>
      </c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>
        <v>39</v>
      </c>
      <c r="DA43" s="9">
        <v>18</v>
      </c>
      <c r="DB43" s="9">
        <v>0</v>
      </c>
      <c r="DC43" s="9">
        <v>14</v>
      </c>
      <c r="DD43" s="9">
        <v>0</v>
      </c>
      <c r="DE43" s="9">
        <v>0</v>
      </c>
      <c r="DF43" s="9">
        <v>1</v>
      </c>
      <c r="DG43" s="9">
        <v>1</v>
      </c>
      <c r="DH43" s="9">
        <v>7</v>
      </c>
      <c r="DI43" s="9">
        <v>0</v>
      </c>
      <c r="DJ43" s="9">
        <v>2</v>
      </c>
      <c r="DK43" s="9">
        <v>4</v>
      </c>
      <c r="DL43" s="9">
        <v>0</v>
      </c>
      <c r="DM43" s="9">
        <v>13</v>
      </c>
      <c r="DN43" s="9">
        <v>0</v>
      </c>
      <c r="DO43" s="9">
        <v>78.3</v>
      </c>
      <c r="DP43" s="9">
        <v>22.36</v>
      </c>
      <c r="DQ43" s="9">
        <v>13.74</v>
      </c>
      <c r="DR43" s="9">
        <v>8.6199999999999992</v>
      </c>
      <c r="DS43" s="9">
        <v>13.05</v>
      </c>
      <c r="DT43" s="9">
        <v>0.63</v>
      </c>
      <c r="DU43" s="9">
        <v>32.08</v>
      </c>
      <c r="DV43" s="9">
        <v>21.64</v>
      </c>
      <c r="DW43" s="9">
        <v>6.26</v>
      </c>
      <c r="DX43" s="9">
        <v>10.78</v>
      </c>
      <c r="DY43" s="9">
        <v>5.2</v>
      </c>
      <c r="DZ43" s="9">
        <v>1.67</v>
      </c>
      <c r="EA43" s="9">
        <v>-68.855000000000004</v>
      </c>
      <c r="EB43" s="9">
        <v>-85.214799999999997</v>
      </c>
      <c r="EC43" s="9">
        <v>-33.7346</v>
      </c>
      <c r="ED43" s="9">
        <v>0.117297</v>
      </c>
      <c r="EE43" s="9">
        <v>49.977049999999998</v>
      </c>
      <c r="EF43" s="9">
        <v>0</v>
      </c>
      <c r="EG43" s="9">
        <v>-58.136200000000002</v>
      </c>
      <c r="EH43" s="9">
        <v>-42.84</v>
      </c>
      <c r="EI43" s="9">
        <v>0</v>
      </c>
      <c r="EJ43" s="9">
        <v>0</v>
      </c>
      <c r="EK43" s="9">
        <v>-15.296200000000001</v>
      </c>
      <c r="EL43" s="9">
        <v>32.488810000000001</v>
      </c>
      <c r="EM43" s="9">
        <v>21.77</v>
      </c>
      <c r="EN43" s="9"/>
      <c r="EO43" s="9"/>
      <c r="EP43" s="9"/>
      <c r="EQ43" s="9"/>
      <c r="ER43" s="9"/>
      <c r="ES43" s="9"/>
      <c r="ET43" s="9"/>
      <c r="EU43">
        <v>1133.67</v>
      </c>
      <c r="EV43" s="9">
        <v>4632.91</v>
      </c>
      <c r="EW43" s="9">
        <v>1209.52</v>
      </c>
      <c r="EX43" s="9">
        <v>15.07</v>
      </c>
      <c r="EY43" s="9">
        <v>16.09</v>
      </c>
      <c r="EZ43" s="9">
        <v>968.65</v>
      </c>
      <c r="FA43" s="9">
        <v>2423.58</v>
      </c>
      <c r="FB43" s="9">
        <v>25.821428571399998</v>
      </c>
      <c r="FC43" s="9">
        <v>27.545714285700001</v>
      </c>
      <c r="FD43" s="9">
        <v>1685.1071428570999</v>
      </c>
      <c r="FE43" s="9">
        <v>13.82</v>
      </c>
      <c r="FF43" s="9">
        <v>356.35238095239998</v>
      </c>
      <c r="FG43"/>
      <c r="FH43"/>
      <c r="FI43"/>
      <c r="FJ43" s="9"/>
      <c r="FK43"/>
      <c r="FL43" s="9"/>
      <c r="FM43" s="9"/>
      <c r="FN43" s="9"/>
      <c r="FO43">
        <v>1139</v>
      </c>
      <c r="FP43">
        <v>3</v>
      </c>
      <c r="FQ43">
        <v>52.41</v>
      </c>
      <c r="FR43">
        <v>0</v>
      </c>
      <c r="FS43">
        <v>0</v>
      </c>
      <c r="FT43">
        <v>24.79</v>
      </c>
      <c r="FU43">
        <v>20.3</v>
      </c>
      <c r="FV43">
        <v>160</v>
      </c>
      <c r="FW43">
        <v>11021.98</v>
      </c>
      <c r="FX43">
        <v>88.88</v>
      </c>
      <c r="HB43" s="6"/>
      <c r="HC43" s="6"/>
      <c r="HD43" s="6"/>
    </row>
    <row r="44" spans="1:212" x14ac:dyDescent="0.2">
      <c r="A44" s="8" t="s">
        <v>846</v>
      </c>
      <c r="B44" s="8" t="s">
        <v>227</v>
      </c>
      <c r="C44" s="8" t="s">
        <v>228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>
        <v>48190.1</v>
      </c>
      <c r="BO44" s="9">
        <v>38515.4</v>
      </c>
      <c r="BP44" s="9">
        <v>5748.5</v>
      </c>
      <c r="BQ44" s="9">
        <v>3394.2</v>
      </c>
      <c r="BR44" s="9">
        <v>2354.3000000000002</v>
      </c>
      <c r="BS44" s="9">
        <v>5732.9</v>
      </c>
      <c r="BT44" s="9">
        <v>15032.2</v>
      </c>
      <c r="BU44" s="9">
        <v>4739.8</v>
      </c>
      <c r="BV44" s="9">
        <v>9352.9</v>
      </c>
      <c r="BW44" s="9">
        <v>27030.1</v>
      </c>
      <c r="BX44" s="9">
        <v>2690.9</v>
      </c>
      <c r="BY44" s="9">
        <v>10802.6</v>
      </c>
      <c r="BZ44" s="9">
        <v>7310.8</v>
      </c>
      <c r="CA44" s="9">
        <v>-2620.1999999999998</v>
      </c>
      <c r="CB44" s="9">
        <v>0</v>
      </c>
      <c r="CC44" s="9">
        <v>0</v>
      </c>
      <c r="CD44" s="9">
        <v>0</v>
      </c>
      <c r="CE44" s="9">
        <v>7412.2</v>
      </c>
      <c r="CF44" s="9">
        <v>204711.3382</v>
      </c>
      <c r="CG44" s="9">
        <v>582405.13740499993</v>
      </c>
      <c r="CH44" s="9"/>
      <c r="CI44" s="9"/>
      <c r="CJ44" s="9">
        <v>32.799999999999997</v>
      </c>
      <c r="CK44" s="9">
        <v>19.899999999999999</v>
      </c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>
        <v>47</v>
      </c>
      <c r="DA44" s="9">
        <v>17</v>
      </c>
      <c r="DB44" s="9">
        <v>1</v>
      </c>
      <c r="DC44" s="9">
        <v>13</v>
      </c>
      <c r="DD44" s="9">
        <v>0</v>
      </c>
      <c r="DE44" s="9">
        <v>0</v>
      </c>
      <c r="DF44" s="9">
        <v>1</v>
      </c>
      <c r="DG44" s="9">
        <v>0</v>
      </c>
      <c r="DH44" s="9">
        <v>11</v>
      </c>
      <c r="DI44" s="9">
        <v>0</v>
      </c>
      <c r="DJ44" s="9">
        <v>4</v>
      </c>
      <c r="DK44" s="9">
        <v>5</v>
      </c>
      <c r="DL44" s="9">
        <v>0</v>
      </c>
      <c r="DM44" s="9">
        <v>18</v>
      </c>
      <c r="DN44" s="9">
        <v>0</v>
      </c>
      <c r="DO44" s="9">
        <v>90.49</v>
      </c>
      <c r="DP44" s="9">
        <v>24.53</v>
      </c>
      <c r="DQ44" s="9">
        <v>14.08</v>
      </c>
      <c r="DR44" s="9">
        <v>10.45</v>
      </c>
      <c r="DS44" s="9">
        <v>12.25</v>
      </c>
      <c r="DT44" s="9">
        <v>0.68</v>
      </c>
      <c r="DU44" s="9">
        <v>39.409999999999997</v>
      </c>
      <c r="DV44" s="9">
        <v>25.49</v>
      </c>
      <c r="DW44" s="9">
        <v>7.6</v>
      </c>
      <c r="DX44" s="9">
        <v>14.27</v>
      </c>
      <c r="DY44" s="9">
        <v>7.47</v>
      </c>
      <c r="DZ44" s="9">
        <v>1.65</v>
      </c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>
        <v>1146.5899999999999</v>
      </c>
      <c r="EV44" s="9"/>
      <c r="EW44" s="9"/>
      <c r="EX44" s="9"/>
      <c r="EY44" s="9"/>
      <c r="EZ44" s="9"/>
      <c r="FA44" s="9"/>
      <c r="FB44" s="9">
        <v>26.089285714300001</v>
      </c>
      <c r="FC44" s="9">
        <v>28.398260869600001</v>
      </c>
      <c r="FD44" s="9">
        <v>1712.8260869564999</v>
      </c>
      <c r="FE44" s="9">
        <v>13.82</v>
      </c>
      <c r="FF44" s="9">
        <v>351.01956521739999</v>
      </c>
      <c r="FG44"/>
      <c r="FH44"/>
      <c r="FI44"/>
      <c r="FJ44" s="9"/>
      <c r="FK44"/>
      <c r="FL44" s="9"/>
      <c r="FM44" s="9"/>
      <c r="FN44" s="9"/>
      <c r="FO44">
        <v>1153</v>
      </c>
      <c r="FP44">
        <v>98.3</v>
      </c>
      <c r="FQ44">
        <v>49.23</v>
      </c>
      <c r="FR44">
        <v>0</v>
      </c>
      <c r="FS44">
        <v>0</v>
      </c>
      <c r="FT44">
        <v>26.82</v>
      </c>
      <c r="FU44">
        <v>9.94</v>
      </c>
      <c r="FV44">
        <v>5.5</v>
      </c>
      <c r="FW44">
        <v>21518.98</v>
      </c>
      <c r="FX44">
        <v>265.7</v>
      </c>
      <c r="HB44" s="6"/>
      <c r="HC44" s="6"/>
      <c r="HD44" s="6"/>
    </row>
    <row r="45" spans="1:212" x14ac:dyDescent="0.2">
      <c r="A45" s="8" t="s">
        <v>846</v>
      </c>
      <c r="B45" s="8" t="s">
        <v>227</v>
      </c>
      <c r="C45" s="8" t="s">
        <v>229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>
        <v>49280.3</v>
      </c>
      <c r="BO45" s="9">
        <v>40381.9</v>
      </c>
      <c r="BP45" s="9">
        <v>5728.1</v>
      </c>
      <c r="BQ45" s="9">
        <v>3991.3</v>
      </c>
      <c r="BR45" s="9">
        <v>1736.7</v>
      </c>
      <c r="BS45" s="9">
        <v>4227.6000000000004</v>
      </c>
      <c r="BT45" s="9">
        <v>22525.8</v>
      </c>
      <c r="BU45" s="9">
        <v>5892.3</v>
      </c>
      <c r="BV45" s="9">
        <v>8754.6</v>
      </c>
      <c r="BW45" s="9">
        <v>31306.2</v>
      </c>
      <c r="BX45" s="9">
        <v>10752.3</v>
      </c>
      <c r="BY45" s="9">
        <v>11705.9</v>
      </c>
      <c r="BZ45" s="9">
        <v>6578.3</v>
      </c>
      <c r="CA45" s="9">
        <v>2719.3</v>
      </c>
      <c r="CB45" s="9">
        <v>0</v>
      </c>
      <c r="CC45" s="9">
        <v>0</v>
      </c>
      <c r="CD45" s="9">
        <v>0</v>
      </c>
      <c r="CE45" s="9">
        <v>11208.2</v>
      </c>
      <c r="CF45" s="9">
        <v>217316.67939999999</v>
      </c>
      <c r="CG45" s="9">
        <v>588513.23330900003</v>
      </c>
      <c r="CH45" s="9"/>
      <c r="CI45" s="9"/>
      <c r="CJ45" s="9">
        <v>33.200000000000003</v>
      </c>
      <c r="CK45" s="9">
        <v>23.5</v>
      </c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>
        <v>63</v>
      </c>
      <c r="DA45" s="9">
        <v>37</v>
      </c>
      <c r="DB45" s="9">
        <v>18</v>
      </c>
      <c r="DC45" s="9">
        <v>14</v>
      </c>
      <c r="DD45" s="9">
        <v>0</v>
      </c>
      <c r="DE45" s="9">
        <v>0</v>
      </c>
      <c r="DF45" s="9">
        <v>1</v>
      </c>
      <c r="DG45" s="9">
        <v>0</v>
      </c>
      <c r="DH45" s="9">
        <v>9</v>
      </c>
      <c r="DI45" s="9">
        <v>1</v>
      </c>
      <c r="DJ45" s="9">
        <v>3</v>
      </c>
      <c r="DK45" s="9">
        <v>4</v>
      </c>
      <c r="DL45" s="9">
        <v>0</v>
      </c>
      <c r="DM45" s="9">
        <v>16</v>
      </c>
      <c r="DN45" s="9">
        <v>0</v>
      </c>
      <c r="DO45" s="9">
        <v>70.790000000000006</v>
      </c>
      <c r="DP45" s="9">
        <v>18.690000000000001</v>
      </c>
      <c r="DQ45" s="9">
        <v>12.24</v>
      </c>
      <c r="DR45" s="9">
        <v>6.45</v>
      </c>
      <c r="DS45" s="9">
        <v>9.68</v>
      </c>
      <c r="DT45" s="9">
        <v>0.44</v>
      </c>
      <c r="DU45" s="9">
        <v>26.38</v>
      </c>
      <c r="DV45" s="9">
        <v>13.52</v>
      </c>
      <c r="DW45" s="9">
        <v>8.8000000000000007</v>
      </c>
      <c r="DX45" s="9">
        <v>16.03</v>
      </c>
      <c r="DY45" s="9">
        <v>6.14</v>
      </c>
      <c r="DZ45" s="9">
        <v>1.96</v>
      </c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>
        <v>1152.19</v>
      </c>
      <c r="EV45" s="9"/>
      <c r="EW45" s="9"/>
      <c r="EX45" s="9"/>
      <c r="EY45" s="9"/>
      <c r="EZ45" s="9"/>
      <c r="FA45" s="9"/>
      <c r="FB45" s="9">
        <v>27.133928571399998</v>
      </c>
      <c r="FC45" s="9">
        <v>29.825714285699998</v>
      </c>
      <c r="FD45" s="9">
        <v>1756.7249999999999</v>
      </c>
      <c r="FE45" s="9">
        <v>13.82</v>
      </c>
      <c r="FF45" s="9">
        <v>359.76749999999998</v>
      </c>
      <c r="FG45"/>
      <c r="FH45"/>
      <c r="FI45"/>
      <c r="FJ45" s="9"/>
      <c r="FK45"/>
      <c r="FL45" s="9"/>
      <c r="FM45" s="9"/>
      <c r="FN45" s="9"/>
      <c r="FO45">
        <v>1154</v>
      </c>
      <c r="FP45">
        <v>1682</v>
      </c>
      <c r="FQ45">
        <v>50.11</v>
      </c>
      <c r="FR45">
        <v>0</v>
      </c>
      <c r="FS45">
        <v>0</v>
      </c>
      <c r="FT45">
        <v>52.57</v>
      </c>
      <c r="FU45">
        <v>11.67</v>
      </c>
      <c r="FV45">
        <v>538.15</v>
      </c>
      <c r="FW45">
        <v>15468.15</v>
      </c>
      <c r="FX45">
        <v>98.25</v>
      </c>
      <c r="HB45" s="6"/>
      <c r="HC45" s="6"/>
      <c r="HD45" s="6"/>
    </row>
    <row r="46" spans="1:212" x14ac:dyDescent="0.2">
      <c r="A46" s="8" t="s">
        <v>846</v>
      </c>
      <c r="B46" s="8" t="s">
        <v>227</v>
      </c>
      <c r="C46" s="8" t="s">
        <v>230</v>
      </c>
      <c r="D46" s="9">
        <v>502933.2</v>
      </c>
      <c r="E46" s="9">
        <v>97888.7</v>
      </c>
      <c r="F46" s="9">
        <v>65055.6</v>
      </c>
      <c r="G46" s="9">
        <v>28260.2</v>
      </c>
      <c r="H46" s="9">
        <v>12530.5</v>
      </c>
      <c r="I46" s="9">
        <v>21132.3</v>
      </c>
      <c r="J46" s="9">
        <v>42567.7</v>
      </c>
      <c r="K46" s="9">
        <v>44710.8</v>
      </c>
      <c r="L46" s="9">
        <v>28418.7</v>
      </c>
      <c r="M46" s="9">
        <v>95789.5</v>
      </c>
      <c r="N46" s="9">
        <v>66579.5</v>
      </c>
      <c r="O46" s="9">
        <v>2386097.20413023</v>
      </c>
      <c r="P46" s="9">
        <v>343515.5093557596</v>
      </c>
      <c r="Q46" s="9">
        <v>392124.07402869692</v>
      </c>
      <c r="R46" s="9">
        <v>230694.41027931549</v>
      </c>
      <c r="S46" s="9">
        <v>60305.123900932304</v>
      </c>
      <c r="T46" s="9">
        <v>139743.51045266961</v>
      </c>
      <c r="U46" s="9">
        <v>206324.06331101319</v>
      </c>
      <c r="V46" s="9">
        <v>81110.408356989807</v>
      </c>
      <c r="W46" s="9">
        <v>57206.616977573103</v>
      </c>
      <c r="X46" s="9">
        <v>678080.60833116702</v>
      </c>
      <c r="Y46" s="9">
        <v>196992.87913611301</v>
      </c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>
        <v>83.1</v>
      </c>
      <c r="AX46" s="9">
        <v>52.5</v>
      </c>
      <c r="AY46" s="9">
        <v>90</v>
      </c>
      <c r="AZ46" s="9">
        <v>86.5</v>
      </c>
      <c r="BA46" s="9">
        <v>97</v>
      </c>
      <c r="BB46" s="9"/>
      <c r="BC46" s="9">
        <v>92</v>
      </c>
      <c r="BD46" s="9">
        <v>66.900000000000006</v>
      </c>
      <c r="BE46" s="9">
        <v>107.9</v>
      </c>
      <c r="BF46" s="9">
        <v>91.5</v>
      </c>
      <c r="BG46" s="9"/>
      <c r="BH46" s="9">
        <v>90.6</v>
      </c>
      <c r="BI46" s="9">
        <v>72.5</v>
      </c>
      <c r="BJ46" s="9">
        <v>67.400000000000006</v>
      </c>
      <c r="BK46" s="9">
        <v>61.4</v>
      </c>
      <c r="BL46" s="9"/>
      <c r="BM46" s="9">
        <v>57</v>
      </c>
      <c r="BN46" s="9">
        <v>51703.6</v>
      </c>
      <c r="BO46" s="9">
        <v>37626.6</v>
      </c>
      <c r="BP46" s="9">
        <v>6727.8</v>
      </c>
      <c r="BQ46" s="9">
        <v>3859.9</v>
      </c>
      <c r="BR46" s="9">
        <v>2868</v>
      </c>
      <c r="BS46" s="9">
        <v>6885.3</v>
      </c>
      <c r="BT46" s="9">
        <v>8376.2000000000007</v>
      </c>
      <c r="BU46" s="9">
        <v>7899.5</v>
      </c>
      <c r="BV46" s="9">
        <v>13988.9</v>
      </c>
      <c r="BW46" s="9">
        <v>35337.800000000003</v>
      </c>
      <c r="BX46" s="9">
        <v>11999.8</v>
      </c>
      <c r="BY46" s="9">
        <v>15158.4</v>
      </c>
      <c r="BZ46" s="9">
        <v>9334</v>
      </c>
      <c r="CA46" s="9">
        <v>511.4</v>
      </c>
      <c r="CB46" s="9">
        <v>0</v>
      </c>
      <c r="CC46" s="9">
        <v>0</v>
      </c>
      <c r="CD46" s="9">
        <v>0</v>
      </c>
      <c r="CE46" s="9">
        <v>7381.8</v>
      </c>
      <c r="CF46" s="9">
        <v>214417.4829</v>
      </c>
      <c r="CG46" s="9">
        <v>609367.39290899993</v>
      </c>
      <c r="CH46" s="9"/>
      <c r="CI46" s="9"/>
      <c r="CJ46" s="9">
        <v>32.200000000000003</v>
      </c>
      <c r="CK46" s="9">
        <v>22.6</v>
      </c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>
        <v>57</v>
      </c>
      <c r="DA46" s="9">
        <v>31</v>
      </c>
      <c r="DB46" s="9">
        <v>15</v>
      </c>
      <c r="DC46" s="9">
        <v>13</v>
      </c>
      <c r="DD46" s="9">
        <v>0</v>
      </c>
      <c r="DE46" s="9">
        <v>0</v>
      </c>
      <c r="DF46" s="9">
        <v>0</v>
      </c>
      <c r="DG46" s="9">
        <v>1</v>
      </c>
      <c r="DH46" s="9">
        <v>15</v>
      </c>
      <c r="DI46" s="9">
        <v>3</v>
      </c>
      <c r="DJ46" s="9">
        <v>5</v>
      </c>
      <c r="DK46" s="9">
        <v>6</v>
      </c>
      <c r="DL46" s="9">
        <v>0</v>
      </c>
      <c r="DM46" s="9">
        <v>10</v>
      </c>
      <c r="DN46" s="9">
        <v>0</v>
      </c>
      <c r="DO46" s="9">
        <v>67.069999999999993</v>
      </c>
      <c r="DP46" s="9">
        <v>21.62</v>
      </c>
      <c r="DQ46" s="9">
        <v>13.15</v>
      </c>
      <c r="DR46" s="9">
        <v>8.48</v>
      </c>
      <c r="DS46" s="9">
        <v>11.76</v>
      </c>
      <c r="DT46" s="9">
        <v>0.73</v>
      </c>
      <c r="DU46" s="9">
        <v>20.72</v>
      </c>
      <c r="DV46" s="9">
        <v>12.54</v>
      </c>
      <c r="DW46" s="9">
        <v>5.81</v>
      </c>
      <c r="DX46" s="9">
        <v>12.89</v>
      </c>
      <c r="DY46" s="9">
        <v>5.04</v>
      </c>
      <c r="DZ46" s="9">
        <v>2.14</v>
      </c>
      <c r="EA46" s="9">
        <v>6.9606490000000001</v>
      </c>
      <c r="EB46" s="9">
        <v>-28.123899999999999</v>
      </c>
      <c r="EC46" s="9">
        <v>-13.2356</v>
      </c>
      <c r="ED46" s="9">
        <v>-2.2041499999999998</v>
      </c>
      <c r="EE46" s="9">
        <v>50.524290000000001</v>
      </c>
      <c r="EF46" s="9">
        <v>0</v>
      </c>
      <c r="EG46" s="9">
        <v>-55.046500000000002</v>
      </c>
      <c r="EH46" s="9">
        <v>-39.6</v>
      </c>
      <c r="EI46" s="9">
        <v>0</v>
      </c>
      <c r="EJ46" s="9">
        <v>0</v>
      </c>
      <c r="EK46" s="9">
        <v>-15.4465</v>
      </c>
      <c r="EL46" s="9">
        <v>-37.008099999999999</v>
      </c>
      <c r="EM46" s="9">
        <v>24.998999999999999</v>
      </c>
      <c r="EN46" s="9"/>
      <c r="EO46" s="9"/>
      <c r="EP46" s="9"/>
      <c r="EQ46" s="9"/>
      <c r="ER46" s="9"/>
      <c r="ES46" s="9"/>
      <c r="ET46" s="9"/>
      <c r="EU46">
        <v>1156.6400000000001</v>
      </c>
      <c r="EV46" s="9">
        <v>4771.07</v>
      </c>
      <c r="EW46" s="9">
        <v>1329.01</v>
      </c>
      <c r="EX46" s="9">
        <v>24</v>
      </c>
      <c r="EY46" s="9">
        <v>19.71</v>
      </c>
      <c r="EZ46" s="9">
        <v>974.78</v>
      </c>
      <c r="FA46" s="9">
        <v>2423.58</v>
      </c>
      <c r="FB46" s="9">
        <v>28.607142857100001</v>
      </c>
      <c r="FC46" s="9">
        <v>27.0981818182</v>
      </c>
      <c r="FD46" s="9">
        <v>1789.6704545453999</v>
      </c>
      <c r="FE46" s="9">
        <v>13.82</v>
      </c>
      <c r="FF46" s="9">
        <v>378.94545454550001</v>
      </c>
      <c r="FG46"/>
      <c r="FH46"/>
      <c r="FI46"/>
      <c r="FJ46" s="9"/>
      <c r="FK46"/>
      <c r="FL46" s="9"/>
      <c r="FM46" s="9"/>
      <c r="FN46" s="9"/>
      <c r="FO46">
        <v>1159</v>
      </c>
      <c r="FP46">
        <v>1254.3</v>
      </c>
      <c r="FQ46">
        <v>45.99</v>
      </c>
      <c r="FR46">
        <v>0</v>
      </c>
      <c r="FS46">
        <v>0</v>
      </c>
      <c r="FT46">
        <v>47.84</v>
      </c>
      <c r="FU46">
        <v>20.84</v>
      </c>
      <c r="FV46">
        <v>1906.75</v>
      </c>
      <c r="FW46">
        <v>24371.81</v>
      </c>
      <c r="FX46">
        <v>138.41</v>
      </c>
      <c r="HB46" s="6"/>
      <c r="HC46" s="6"/>
      <c r="HD46" s="6"/>
    </row>
    <row r="47" spans="1:212" x14ac:dyDescent="0.2">
      <c r="A47" s="8" t="s">
        <v>846</v>
      </c>
      <c r="B47" s="8" t="s">
        <v>231</v>
      </c>
      <c r="C47" s="8" t="s">
        <v>232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>
        <v>54965.3</v>
      </c>
      <c r="BO47" s="9">
        <v>38419.4</v>
      </c>
      <c r="BP47" s="9">
        <v>8863.4</v>
      </c>
      <c r="BQ47" s="9">
        <v>5254.6</v>
      </c>
      <c r="BR47" s="9">
        <v>3608.8</v>
      </c>
      <c r="BS47" s="9">
        <v>5815.9</v>
      </c>
      <c r="BT47" s="9">
        <v>12517.9</v>
      </c>
      <c r="BU47" s="9">
        <v>3485.2</v>
      </c>
      <c r="BV47" s="9">
        <v>16682.400000000001</v>
      </c>
      <c r="BW47" s="9">
        <v>36202.5</v>
      </c>
      <c r="BX47" s="9">
        <v>12517.7</v>
      </c>
      <c r="BY47" s="9">
        <v>14048.4</v>
      </c>
      <c r="BZ47" s="9">
        <v>9467.4</v>
      </c>
      <c r="CA47" s="9">
        <v>1863.1</v>
      </c>
      <c r="CB47" s="9">
        <v>0</v>
      </c>
      <c r="CC47" s="9">
        <v>0</v>
      </c>
      <c r="CD47" s="9">
        <v>0</v>
      </c>
      <c r="CE47" s="9">
        <v>11619.3</v>
      </c>
      <c r="CF47" s="9">
        <v>213157.54620000001</v>
      </c>
      <c r="CG47" s="9">
        <v>623413.44727599993</v>
      </c>
      <c r="CH47" s="9"/>
      <c r="CI47" s="9"/>
      <c r="CJ47" s="9">
        <v>29.9</v>
      </c>
      <c r="CK47" s="9">
        <v>20.8</v>
      </c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>
        <v>54</v>
      </c>
      <c r="DA47" s="9">
        <v>32</v>
      </c>
      <c r="DB47" s="9">
        <v>12</v>
      </c>
      <c r="DC47" s="9">
        <v>14</v>
      </c>
      <c r="DD47" s="9">
        <v>0</v>
      </c>
      <c r="DE47" s="9">
        <v>0</v>
      </c>
      <c r="DF47" s="9">
        <v>1</v>
      </c>
      <c r="DG47" s="9">
        <v>0</v>
      </c>
      <c r="DH47" s="9">
        <v>10</v>
      </c>
      <c r="DI47" s="9">
        <v>2</v>
      </c>
      <c r="DJ47" s="9">
        <v>5</v>
      </c>
      <c r="DK47" s="9">
        <v>2</v>
      </c>
      <c r="DL47" s="9">
        <v>0</v>
      </c>
      <c r="DM47" s="9">
        <v>12</v>
      </c>
      <c r="DN47" s="9">
        <v>0</v>
      </c>
      <c r="DO47" s="9">
        <v>67.97</v>
      </c>
      <c r="DP47" s="9">
        <v>23.11</v>
      </c>
      <c r="DQ47" s="9">
        <v>15.48</v>
      </c>
      <c r="DR47" s="9">
        <v>7.63</v>
      </c>
      <c r="DS47" s="9">
        <v>11.25</v>
      </c>
      <c r="DT47" s="9">
        <v>0.45</v>
      </c>
      <c r="DU47" s="9">
        <v>20.48</v>
      </c>
      <c r="DV47" s="9">
        <v>13.74</v>
      </c>
      <c r="DW47" s="9">
        <v>3.91</v>
      </c>
      <c r="DX47" s="9">
        <v>13.12</v>
      </c>
      <c r="DY47" s="9">
        <v>5.19</v>
      </c>
      <c r="DZ47" s="9">
        <v>1.97</v>
      </c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>
        <v>1161.3900000000001</v>
      </c>
      <c r="EV47" s="9"/>
      <c r="EW47" s="9"/>
      <c r="EX47" s="9"/>
      <c r="EY47" s="9"/>
      <c r="EZ47" s="9"/>
      <c r="FA47" s="9"/>
      <c r="FB47" s="9">
        <v>29.464285714300001</v>
      </c>
      <c r="FC47" s="9">
        <v>29.590434782599999</v>
      </c>
      <c r="FD47" s="9">
        <v>1925.5826086955999</v>
      </c>
      <c r="FE47" s="9">
        <v>13.82</v>
      </c>
      <c r="FF47" s="9">
        <v>378.91956521740002</v>
      </c>
      <c r="FG47"/>
      <c r="FH47"/>
      <c r="FI47"/>
      <c r="FJ47" s="9"/>
      <c r="FK47"/>
      <c r="FL47" s="9"/>
      <c r="FM47" s="9"/>
      <c r="FN47" s="9"/>
      <c r="FO47">
        <v>1165</v>
      </c>
      <c r="FP47">
        <v>1006.4</v>
      </c>
      <c r="FQ47">
        <v>47.4</v>
      </c>
      <c r="FR47">
        <v>0</v>
      </c>
      <c r="FS47">
        <v>0</v>
      </c>
      <c r="FT47">
        <v>102.89</v>
      </c>
      <c r="FU47">
        <v>14.79</v>
      </c>
      <c r="FV47">
        <v>1811.94</v>
      </c>
      <c r="FW47">
        <v>19191.52</v>
      </c>
      <c r="FX47">
        <v>35.69</v>
      </c>
      <c r="HB47" s="6"/>
      <c r="HC47" s="6"/>
      <c r="HD47" s="6"/>
    </row>
    <row r="48" spans="1:212" x14ac:dyDescent="0.2">
      <c r="A48" s="8" t="s">
        <v>846</v>
      </c>
      <c r="B48" s="8" t="s">
        <v>231</v>
      </c>
      <c r="C48" s="8" t="s">
        <v>233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>
        <v>52984.7</v>
      </c>
      <c r="BO48" s="9">
        <v>39518.5</v>
      </c>
      <c r="BP48" s="9">
        <v>10839.4</v>
      </c>
      <c r="BQ48" s="9">
        <v>8641.2999999999993</v>
      </c>
      <c r="BR48" s="9">
        <v>2198.1</v>
      </c>
      <c r="BS48" s="9">
        <v>4981.1000000000004</v>
      </c>
      <c r="BT48" s="9">
        <v>11452.9</v>
      </c>
      <c r="BU48" s="9">
        <v>5523.6</v>
      </c>
      <c r="BV48" s="9">
        <v>11496.8</v>
      </c>
      <c r="BW48" s="9">
        <v>40749.9</v>
      </c>
      <c r="BX48" s="9">
        <v>10289</v>
      </c>
      <c r="BY48" s="9">
        <v>18791</v>
      </c>
      <c r="BZ48" s="9">
        <v>9170.5</v>
      </c>
      <c r="CA48" s="9">
        <v>1672.8</v>
      </c>
      <c r="CB48" s="9">
        <v>0</v>
      </c>
      <c r="CC48" s="9">
        <v>0</v>
      </c>
      <c r="CD48" s="9">
        <v>0</v>
      </c>
      <c r="CE48" s="9">
        <v>8303.7999999999993</v>
      </c>
      <c r="CF48" s="9">
        <v>203784.5765</v>
      </c>
      <c r="CG48" s="9">
        <v>627501.19570000004</v>
      </c>
      <c r="CH48" s="9"/>
      <c r="CI48" s="9"/>
      <c r="CJ48" s="9">
        <v>33.200000000000003</v>
      </c>
      <c r="CK48" s="9">
        <v>21.7</v>
      </c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>
        <v>59</v>
      </c>
      <c r="DA48" s="9">
        <v>39</v>
      </c>
      <c r="DB48" s="9">
        <v>18</v>
      </c>
      <c r="DC48" s="9">
        <v>16</v>
      </c>
      <c r="DD48" s="9">
        <v>0</v>
      </c>
      <c r="DE48" s="9">
        <v>0</v>
      </c>
      <c r="DF48" s="9">
        <v>1</v>
      </c>
      <c r="DG48" s="9">
        <v>0</v>
      </c>
      <c r="DH48" s="9">
        <v>11</v>
      </c>
      <c r="DI48" s="9">
        <v>3</v>
      </c>
      <c r="DJ48" s="9">
        <v>5</v>
      </c>
      <c r="DK48" s="9">
        <v>2</v>
      </c>
      <c r="DL48" s="9">
        <v>0</v>
      </c>
      <c r="DM48" s="9">
        <v>9</v>
      </c>
      <c r="DN48" s="9">
        <v>0</v>
      </c>
      <c r="DO48" s="9">
        <v>59.97</v>
      </c>
      <c r="DP48" s="9">
        <v>20.57</v>
      </c>
      <c r="DQ48" s="9">
        <v>12.8</v>
      </c>
      <c r="DR48" s="9">
        <v>7.76</v>
      </c>
      <c r="DS48" s="9">
        <v>11.17</v>
      </c>
      <c r="DT48" s="9">
        <v>0.46</v>
      </c>
      <c r="DU48" s="9">
        <v>14.59</v>
      </c>
      <c r="DV48" s="9">
        <v>9.07</v>
      </c>
      <c r="DW48" s="9">
        <v>2.82</v>
      </c>
      <c r="DX48" s="9">
        <v>13.62</v>
      </c>
      <c r="DY48" s="9">
        <v>4.6399999999999997</v>
      </c>
      <c r="DZ48" s="9">
        <v>2.19</v>
      </c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>
        <v>1168.26</v>
      </c>
      <c r="EV48" s="9"/>
      <c r="EW48" s="9"/>
      <c r="EX48" s="9"/>
      <c r="EY48" s="9"/>
      <c r="EZ48" s="9"/>
      <c r="FA48" s="9"/>
      <c r="FB48" s="9">
        <v>32.049107142899999</v>
      </c>
      <c r="FC48" s="9">
        <v>28.771999999999998</v>
      </c>
      <c r="FD48" s="9">
        <v>2053.2750000000001</v>
      </c>
      <c r="FE48" s="9">
        <v>13.82</v>
      </c>
      <c r="FF48" s="9">
        <v>389.91</v>
      </c>
      <c r="FG48"/>
      <c r="FH48"/>
      <c r="FI48"/>
      <c r="FJ48" s="9"/>
      <c r="FK48"/>
      <c r="FL48" s="9"/>
      <c r="FM48" s="9"/>
      <c r="FN48" s="9"/>
      <c r="FO48">
        <v>1171</v>
      </c>
      <c r="FP48">
        <v>1492.9</v>
      </c>
      <c r="FQ48">
        <v>51.26</v>
      </c>
      <c r="FR48">
        <v>0</v>
      </c>
      <c r="FS48">
        <v>0</v>
      </c>
      <c r="FT48">
        <v>113.36</v>
      </c>
      <c r="FU48">
        <v>13.93</v>
      </c>
      <c r="FV48">
        <v>3058</v>
      </c>
      <c r="FW48">
        <v>22379.16</v>
      </c>
      <c r="FX48">
        <v>35.5</v>
      </c>
      <c r="HB48" s="6"/>
      <c r="HC48" s="6"/>
      <c r="HD48" s="6"/>
    </row>
    <row r="49" spans="1:212" x14ac:dyDescent="0.2">
      <c r="A49" s="8" t="s">
        <v>846</v>
      </c>
      <c r="B49" s="8" t="s">
        <v>231</v>
      </c>
      <c r="C49" s="8" t="s">
        <v>234</v>
      </c>
      <c r="D49" s="9">
        <v>503033.5</v>
      </c>
      <c r="E49" s="9">
        <v>84668.800000000003</v>
      </c>
      <c r="F49" s="9">
        <v>60995.8</v>
      </c>
      <c r="G49" s="9">
        <v>37850.1</v>
      </c>
      <c r="H49" s="9">
        <v>14831.3</v>
      </c>
      <c r="I49" s="9">
        <v>30445</v>
      </c>
      <c r="J49" s="9">
        <v>57493.3</v>
      </c>
      <c r="K49" s="9">
        <v>50297.9</v>
      </c>
      <c r="L49" s="9">
        <v>18201.400000000001</v>
      </c>
      <c r="M49" s="9">
        <v>107338.1</v>
      </c>
      <c r="N49" s="9">
        <v>40911.699999999997</v>
      </c>
      <c r="O49" s="9">
        <v>2386573.0636471091</v>
      </c>
      <c r="P49" s="9">
        <v>279848.88959820621</v>
      </c>
      <c r="Q49" s="9">
        <v>346278.19559986593</v>
      </c>
      <c r="R49" s="9">
        <v>291014.9274621199</v>
      </c>
      <c r="S49" s="9">
        <v>67228.191349396002</v>
      </c>
      <c r="T49" s="9">
        <v>189621.358818212</v>
      </c>
      <c r="U49" s="9">
        <v>262466.16674033302</v>
      </c>
      <c r="V49" s="9">
        <v>85940.9984440798</v>
      </c>
      <c r="W49" s="9">
        <v>34509.069312056097</v>
      </c>
      <c r="X49" s="9">
        <v>715655.01082131464</v>
      </c>
      <c r="Y49" s="9">
        <v>114010.255501525</v>
      </c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>
        <v>82.8</v>
      </c>
      <c r="AX49" s="9">
        <v>42.9</v>
      </c>
      <c r="AY49" s="9">
        <v>93.6</v>
      </c>
      <c r="AZ49" s="9">
        <v>82.8</v>
      </c>
      <c r="BA49" s="9">
        <v>97.2</v>
      </c>
      <c r="BB49" s="9"/>
      <c r="BC49" s="9">
        <v>90.6</v>
      </c>
      <c r="BD49" s="9">
        <v>62.6</v>
      </c>
      <c r="BE49" s="9">
        <v>108.9</v>
      </c>
      <c r="BF49" s="9">
        <v>97.2</v>
      </c>
      <c r="BG49" s="9"/>
      <c r="BH49" s="9">
        <v>123.5</v>
      </c>
      <c r="BI49" s="9">
        <v>60</v>
      </c>
      <c r="BJ49" s="9">
        <v>76.3</v>
      </c>
      <c r="BK49" s="9">
        <v>61.1</v>
      </c>
      <c r="BL49" s="9"/>
      <c r="BM49" s="9">
        <v>53.9</v>
      </c>
      <c r="BN49" s="9">
        <v>67483.7</v>
      </c>
      <c r="BO49" s="9">
        <v>46351.199999999997</v>
      </c>
      <c r="BP49" s="9">
        <v>26582.7</v>
      </c>
      <c r="BQ49" s="9">
        <v>22846.5</v>
      </c>
      <c r="BR49" s="9">
        <v>3736.2</v>
      </c>
      <c r="BS49" s="9">
        <v>10632.9</v>
      </c>
      <c r="BT49" s="9">
        <v>-4256.3999999999996</v>
      </c>
      <c r="BU49" s="9">
        <v>5118.3</v>
      </c>
      <c r="BV49" s="9">
        <v>21962.1</v>
      </c>
      <c r="BW49" s="9">
        <v>49885.8</v>
      </c>
      <c r="BX49" s="9">
        <v>14638.2</v>
      </c>
      <c r="BY49" s="9">
        <v>23102.2</v>
      </c>
      <c r="BZ49" s="9">
        <v>12233.3</v>
      </c>
      <c r="CA49" s="9">
        <v>1570.6</v>
      </c>
      <c r="CB49" s="9">
        <v>0</v>
      </c>
      <c r="CC49" s="9">
        <v>0</v>
      </c>
      <c r="CD49" s="9">
        <v>0</v>
      </c>
      <c r="CE49" s="9">
        <v>24698.400000000001</v>
      </c>
      <c r="CF49" s="9">
        <v>212833.37270000001</v>
      </c>
      <c r="CG49" s="9">
        <v>703332.41570000001</v>
      </c>
      <c r="CH49" s="9"/>
      <c r="CI49" s="9"/>
      <c r="CJ49" s="9">
        <v>31.48</v>
      </c>
      <c r="CK49" s="9">
        <v>19.61</v>
      </c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>
        <v>148</v>
      </c>
      <c r="DA49" s="9">
        <v>114</v>
      </c>
      <c r="DB49" s="9">
        <v>36</v>
      </c>
      <c r="DC49" s="9">
        <v>61</v>
      </c>
      <c r="DD49" s="9">
        <v>0</v>
      </c>
      <c r="DE49" s="9">
        <v>0</v>
      </c>
      <c r="DF49" s="9">
        <v>1</v>
      </c>
      <c r="DG49" s="9">
        <v>2</v>
      </c>
      <c r="DH49" s="9">
        <v>16</v>
      </c>
      <c r="DI49" s="9">
        <v>3</v>
      </c>
      <c r="DJ49" s="9">
        <v>8</v>
      </c>
      <c r="DK49" s="9">
        <v>2</v>
      </c>
      <c r="DL49" s="9">
        <v>0</v>
      </c>
      <c r="DM49" s="9">
        <v>18</v>
      </c>
      <c r="DN49" s="9">
        <v>0</v>
      </c>
      <c r="DO49" s="9">
        <v>74.69</v>
      </c>
      <c r="DP49" s="9">
        <v>21.46</v>
      </c>
      <c r="DQ49" s="9">
        <v>12.92</v>
      </c>
      <c r="DR49" s="9">
        <v>8.5399999999999991</v>
      </c>
      <c r="DS49" s="9">
        <v>10.68</v>
      </c>
      <c r="DT49" s="9">
        <v>0.61</v>
      </c>
      <c r="DU49" s="9">
        <v>28.47</v>
      </c>
      <c r="DV49" s="9">
        <v>20.45</v>
      </c>
      <c r="DW49" s="9">
        <v>3.65</v>
      </c>
      <c r="DX49" s="9">
        <v>14.04</v>
      </c>
      <c r="DY49" s="9">
        <v>4.9800000000000004</v>
      </c>
      <c r="DZ49" s="9">
        <v>2.58</v>
      </c>
      <c r="EA49" s="9">
        <v>-19.013000000000002</v>
      </c>
      <c r="EB49" s="9">
        <v>15.318580000000001</v>
      </c>
      <c r="EC49" s="9">
        <v>-44.140099999999997</v>
      </c>
      <c r="ED49" s="9">
        <v>-10.5448</v>
      </c>
      <c r="EE49" s="9">
        <v>20.353390000000001</v>
      </c>
      <c r="EF49" s="9">
        <v>0</v>
      </c>
      <c r="EG49" s="9">
        <v>131.09559999999999</v>
      </c>
      <c r="EH49" s="9">
        <v>-33.6</v>
      </c>
      <c r="EI49" s="9">
        <v>-50</v>
      </c>
      <c r="EJ49" s="9">
        <v>0</v>
      </c>
      <c r="EK49" s="9">
        <v>214.69560000000001</v>
      </c>
      <c r="EL49" s="9">
        <v>19.327559999999998</v>
      </c>
      <c r="EM49" s="9">
        <v>-130.78100000000001</v>
      </c>
      <c r="EN49" s="9"/>
      <c r="EO49" s="9"/>
      <c r="EP49" s="9"/>
      <c r="EQ49" s="9"/>
      <c r="ER49" s="9"/>
      <c r="ES49" s="9"/>
      <c r="ET49" s="9"/>
      <c r="EU49">
        <v>1170.3</v>
      </c>
      <c r="EV49" s="9">
        <v>4737.6499999999996</v>
      </c>
      <c r="EW49" s="9">
        <v>1290.3</v>
      </c>
      <c r="EX49" s="9">
        <v>25.32</v>
      </c>
      <c r="EY49" s="9">
        <v>44.04</v>
      </c>
      <c r="EZ49" s="9">
        <v>954.4</v>
      </c>
      <c r="FA49" s="9">
        <v>2423.58</v>
      </c>
      <c r="FB49" s="9">
        <v>36.428571428600002</v>
      </c>
      <c r="FC49" s="9">
        <v>29.8313043478</v>
      </c>
      <c r="FD49" s="9">
        <v>2202.0357142857001</v>
      </c>
      <c r="FE49" s="9">
        <v>13.82</v>
      </c>
      <c r="FF49" s="9">
        <v>406.95263157890003</v>
      </c>
      <c r="FG49"/>
      <c r="FH49"/>
      <c r="FI49"/>
      <c r="FJ49" s="9"/>
      <c r="FK49"/>
      <c r="FL49" s="9"/>
      <c r="FM49" s="9"/>
      <c r="FN49" s="9"/>
      <c r="FO49">
        <v>1168</v>
      </c>
      <c r="FP49">
        <v>2991.4</v>
      </c>
      <c r="FQ49">
        <v>50.07</v>
      </c>
      <c r="FR49">
        <v>0.06</v>
      </c>
      <c r="FS49">
        <v>0</v>
      </c>
      <c r="FT49">
        <v>60.96</v>
      </c>
      <c r="FU49">
        <v>15.03</v>
      </c>
      <c r="FV49">
        <v>3717.8</v>
      </c>
      <c r="FW49">
        <v>39721.42</v>
      </c>
      <c r="FX49">
        <v>51.53</v>
      </c>
      <c r="HB49" s="6"/>
      <c r="HC49" s="6"/>
      <c r="HD49" s="6"/>
    </row>
    <row r="50" spans="1:212" x14ac:dyDescent="0.2">
      <c r="A50" s="8" t="s">
        <v>847</v>
      </c>
      <c r="B50" s="8" t="s">
        <v>235</v>
      </c>
      <c r="C50" s="8" t="s">
        <v>236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>
        <v>38396.400000000001</v>
      </c>
      <c r="BO50" s="9">
        <v>32067</v>
      </c>
      <c r="BP50" s="9">
        <v>5319.9</v>
      </c>
      <c r="BQ50" s="9">
        <v>2880.7</v>
      </c>
      <c r="BR50" s="9">
        <v>2439.1999999999998</v>
      </c>
      <c r="BS50" s="9">
        <v>4170.3</v>
      </c>
      <c r="BT50" s="9">
        <v>12013.6</v>
      </c>
      <c r="BU50" s="9">
        <v>4869</v>
      </c>
      <c r="BV50" s="9">
        <v>6057.9</v>
      </c>
      <c r="BW50" s="9">
        <v>32393.7</v>
      </c>
      <c r="BX50" s="9">
        <v>2665</v>
      </c>
      <c r="BY50" s="9">
        <v>12245.7</v>
      </c>
      <c r="BZ50" s="9">
        <v>8593.6</v>
      </c>
      <c r="CA50" s="9">
        <v>786.7</v>
      </c>
      <c r="CB50" s="9">
        <v>0</v>
      </c>
      <c r="CC50" s="9">
        <v>0</v>
      </c>
      <c r="CD50" s="9">
        <v>0</v>
      </c>
      <c r="CE50" s="9">
        <v>1229.7</v>
      </c>
      <c r="CF50" s="9">
        <v>200434.13198151</v>
      </c>
      <c r="CG50" s="9">
        <v>694242.91891459993</v>
      </c>
      <c r="CH50" s="9"/>
      <c r="CI50" s="9"/>
      <c r="CJ50" s="9">
        <v>34</v>
      </c>
      <c r="CK50" s="9">
        <v>19.2</v>
      </c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>
        <v>40</v>
      </c>
      <c r="DA50" s="9">
        <v>23</v>
      </c>
      <c r="DB50" s="9">
        <v>3</v>
      </c>
      <c r="DC50" s="9">
        <v>18</v>
      </c>
      <c r="DD50" s="9">
        <v>0</v>
      </c>
      <c r="DE50" s="9">
        <v>0</v>
      </c>
      <c r="DF50" s="9">
        <v>0</v>
      </c>
      <c r="DG50" s="9">
        <v>0</v>
      </c>
      <c r="DH50" s="9">
        <v>7</v>
      </c>
      <c r="DI50" s="9">
        <v>0</v>
      </c>
      <c r="DJ50" s="9">
        <v>5</v>
      </c>
      <c r="DK50" s="9">
        <v>1</v>
      </c>
      <c r="DL50" s="9">
        <v>0</v>
      </c>
      <c r="DM50" s="9">
        <v>9</v>
      </c>
      <c r="DN50" s="9">
        <v>0</v>
      </c>
      <c r="DO50" s="9">
        <v>61.92</v>
      </c>
      <c r="DP50" s="9">
        <v>17.66</v>
      </c>
      <c r="DQ50" s="9">
        <v>11.54</v>
      </c>
      <c r="DR50" s="9">
        <v>6.13</v>
      </c>
      <c r="DS50" s="9">
        <v>10.14</v>
      </c>
      <c r="DT50" s="9">
        <v>0.49</v>
      </c>
      <c r="DU50" s="9">
        <v>20.45</v>
      </c>
      <c r="DV50" s="9">
        <v>15.5</v>
      </c>
      <c r="DW50" s="9">
        <v>2.36</v>
      </c>
      <c r="DX50" s="9">
        <v>13.63</v>
      </c>
      <c r="DY50" s="9">
        <v>4.7699999999999996</v>
      </c>
      <c r="DZ50" s="9">
        <v>2.2000000000000002</v>
      </c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>
        <v>1170.1500000000001</v>
      </c>
      <c r="EV50" s="9"/>
      <c r="EW50" s="9"/>
      <c r="EX50" s="9"/>
      <c r="EY50" s="9"/>
      <c r="EZ50" s="9"/>
      <c r="FA50" s="9"/>
      <c r="FB50" s="9">
        <v>40.446428571399998</v>
      </c>
      <c r="FC50" s="9">
        <v>31.143636363599999</v>
      </c>
      <c r="FD50" s="9">
        <v>2421.4761904761999</v>
      </c>
      <c r="FE50" s="9">
        <v>16.39</v>
      </c>
      <c r="FF50" s="9">
        <v>413.78809523810003</v>
      </c>
      <c r="FG50">
        <v>452004.35</v>
      </c>
      <c r="FH50">
        <v>426749.79</v>
      </c>
      <c r="FI50">
        <v>25254.560000000001</v>
      </c>
      <c r="FJ50" s="9">
        <v>594823.05999999994</v>
      </c>
      <c r="FK50">
        <v>565095.5</v>
      </c>
      <c r="FL50" s="9">
        <v>29727.56</v>
      </c>
      <c r="FM50" s="9">
        <v>825094.71</v>
      </c>
      <c r="FN50" s="9">
        <v>114168.66</v>
      </c>
      <c r="FO50">
        <v>1171</v>
      </c>
      <c r="FP50">
        <v>192.62</v>
      </c>
      <c r="FQ50">
        <v>49.98</v>
      </c>
      <c r="FR50">
        <v>0</v>
      </c>
      <c r="FS50">
        <v>0</v>
      </c>
      <c r="FT50">
        <v>30.09</v>
      </c>
      <c r="FU50">
        <v>12.37</v>
      </c>
      <c r="FV50">
        <v>125.74</v>
      </c>
      <c r="FW50">
        <v>19902.53</v>
      </c>
      <c r="FX50">
        <v>15.6</v>
      </c>
      <c r="HB50" s="6"/>
      <c r="HC50" s="6"/>
      <c r="HD50" s="6"/>
    </row>
    <row r="51" spans="1:212" x14ac:dyDescent="0.2">
      <c r="A51" s="8" t="s">
        <v>847</v>
      </c>
      <c r="B51" s="8" t="s">
        <v>235</v>
      </c>
      <c r="C51" s="8" t="s">
        <v>237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>
        <v>40885.199999999997</v>
      </c>
      <c r="BO51" s="9">
        <v>34052.5</v>
      </c>
      <c r="BP51" s="9">
        <v>8338.6</v>
      </c>
      <c r="BQ51" s="9">
        <v>5598.7</v>
      </c>
      <c r="BR51" s="9">
        <v>2739.9</v>
      </c>
      <c r="BS51" s="9">
        <v>4938</v>
      </c>
      <c r="BT51" s="9">
        <v>10120.4</v>
      </c>
      <c r="BU51" s="9">
        <v>4702.1000000000004</v>
      </c>
      <c r="BV51" s="9">
        <v>6470.9</v>
      </c>
      <c r="BW51" s="9">
        <v>41502.199999999997</v>
      </c>
      <c r="BX51" s="9">
        <v>2913.9</v>
      </c>
      <c r="BY51" s="9">
        <v>16394.900000000001</v>
      </c>
      <c r="BZ51" s="9">
        <v>9231.2000000000007</v>
      </c>
      <c r="CA51" s="9">
        <v>2171.1999999999998</v>
      </c>
      <c r="CB51" s="9">
        <v>0</v>
      </c>
      <c r="CC51" s="9">
        <v>0</v>
      </c>
      <c r="CD51" s="9">
        <v>0</v>
      </c>
      <c r="CE51" s="9">
        <v>2939.6</v>
      </c>
      <c r="CF51" s="9">
        <v>198110.75490999999</v>
      </c>
      <c r="CG51" s="9">
        <v>721312.26560000004</v>
      </c>
      <c r="CH51" s="9"/>
      <c r="CI51" s="9"/>
      <c r="CJ51" s="9">
        <v>32.42</v>
      </c>
      <c r="CK51" s="9">
        <v>17.8</v>
      </c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>
        <v>49</v>
      </c>
      <c r="DA51" s="9">
        <v>36</v>
      </c>
      <c r="DB51" s="9">
        <v>14</v>
      </c>
      <c r="DC51" s="9">
        <v>19</v>
      </c>
      <c r="DD51" s="9">
        <v>0</v>
      </c>
      <c r="DE51" s="9">
        <v>0</v>
      </c>
      <c r="DF51" s="9">
        <v>0</v>
      </c>
      <c r="DG51" s="9">
        <v>0</v>
      </c>
      <c r="DH51" s="9">
        <v>3</v>
      </c>
      <c r="DI51" s="9">
        <v>0</v>
      </c>
      <c r="DJ51" s="9">
        <v>2</v>
      </c>
      <c r="DK51" s="9">
        <v>1</v>
      </c>
      <c r="DL51" s="9">
        <v>0</v>
      </c>
      <c r="DM51" s="9">
        <v>9</v>
      </c>
      <c r="DN51" s="9">
        <v>0</v>
      </c>
      <c r="DO51" s="9">
        <v>56.52</v>
      </c>
      <c r="DP51" s="9">
        <v>23.91</v>
      </c>
      <c r="DQ51" s="9">
        <v>18.170000000000002</v>
      </c>
      <c r="DR51" s="9">
        <v>5.74</v>
      </c>
      <c r="DS51" s="9">
        <v>9.5299999999999994</v>
      </c>
      <c r="DT51" s="9">
        <v>0.28999999999999998</v>
      </c>
      <c r="DU51" s="9">
        <v>10.77</v>
      </c>
      <c r="DV51" s="9">
        <v>6.67</v>
      </c>
      <c r="DW51" s="9">
        <v>1.71</v>
      </c>
      <c r="DX51" s="9">
        <v>12.31</v>
      </c>
      <c r="DY51" s="9">
        <v>5.12</v>
      </c>
      <c r="DZ51" s="9">
        <v>2.12</v>
      </c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>
        <v>1173.18</v>
      </c>
      <c r="EV51" s="9"/>
      <c r="EW51" s="9"/>
      <c r="EX51" s="9"/>
      <c r="EY51" s="9"/>
      <c r="EZ51" s="9"/>
      <c r="FA51" s="9"/>
      <c r="FB51" s="9">
        <v>44.732142857100001</v>
      </c>
      <c r="FC51" s="9">
        <v>30.866</v>
      </c>
      <c r="FD51" s="9">
        <v>2751.7175000000002</v>
      </c>
      <c r="FE51" s="9">
        <v>16.39</v>
      </c>
      <c r="FF51" s="9">
        <v>404.8775</v>
      </c>
      <c r="FG51">
        <v>468951.46</v>
      </c>
      <c r="FH51">
        <v>441791.74</v>
      </c>
      <c r="FI51">
        <v>27159.72</v>
      </c>
      <c r="FJ51" s="9">
        <v>622150.16</v>
      </c>
      <c r="FK51">
        <v>589823.30000000005</v>
      </c>
      <c r="FL51" s="9">
        <v>32326.86</v>
      </c>
      <c r="FM51" s="9">
        <v>876437.07</v>
      </c>
      <c r="FN51" s="9">
        <v>121655.65</v>
      </c>
      <c r="FO51">
        <v>1176</v>
      </c>
      <c r="FP51">
        <v>1126.47</v>
      </c>
      <c r="FQ51">
        <v>46.03</v>
      </c>
      <c r="FR51">
        <v>0</v>
      </c>
      <c r="FS51">
        <v>0</v>
      </c>
      <c r="FT51">
        <v>46.04</v>
      </c>
      <c r="FU51">
        <v>7.49</v>
      </c>
      <c r="FV51">
        <v>361.64</v>
      </c>
      <c r="FW51">
        <v>6555.25</v>
      </c>
      <c r="FX51">
        <v>16.38</v>
      </c>
      <c r="HB51" s="6"/>
      <c r="HC51" s="6"/>
      <c r="HD51" s="6"/>
    </row>
    <row r="52" spans="1:212" x14ac:dyDescent="0.2">
      <c r="A52" s="8" t="s">
        <v>847</v>
      </c>
      <c r="B52" s="8" t="s">
        <v>235</v>
      </c>
      <c r="C52" s="8" t="s">
        <v>238</v>
      </c>
      <c r="D52" s="9">
        <v>402144.7</v>
      </c>
      <c r="E52" s="9">
        <v>31775.4</v>
      </c>
      <c r="F52" s="9">
        <v>49312</v>
      </c>
      <c r="G52" s="9">
        <v>24342.3</v>
      </c>
      <c r="H52" s="9">
        <v>22626.1</v>
      </c>
      <c r="I52" s="9">
        <v>3892.2</v>
      </c>
      <c r="J52" s="9">
        <v>43324</v>
      </c>
      <c r="K52" s="9">
        <v>41429.9</v>
      </c>
      <c r="L52" s="9">
        <v>15642.3</v>
      </c>
      <c r="M52" s="9">
        <v>111423.1</v>
      </c>
      <c r="N52" s="9">
        <v>58377.4</v>
      </c>
      <c r="O52" s="9">
        <v>1635012.299243279</v>
      </c>
      <c r="P52" s="9">
        <v>87036.810762484805</v>
      </c>
      <c r="Q52" s="9">
        <v>192702.92010795511</v>
      </c>
      <c r="R52" s="9">
        <v>168383.99576694591</v>
      </c>
      <c r="S52" s="9">
        <v>87770.4582739381</v>
      </c>
      <c r="T52" s="9">
        <v>22807.023439685501</v>
      </c>
      <c r="U52" s="9">
        <v>172493.77768411089</v>
      </c>
      <c r="V52" s="9">
        <v>64136.795278506797</v>
      </c>
      <c r="W52" s="9">
        <v>26869.666109035399</v>
      </c>
      <c r="X52" s="9">
        <v>670819.75778783858</v>
      </c>
      <c r="Y52" s="9">
        <v>141991.09403277829</v>
      </c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>
        <v>87</v>
      </c>
      <c r="AX52" s="9">
        <v>52.6</v>
      </c>
      <c r="AY52" s="9">
        <v>80.7</v>
      </c>
      <c r="AZ52" s="9">
        <v>82.6</v>
      </c>
      <c r="BA52" s="9">
        <v>119</v>
      </c>
      <c r="BB52" s="9"/>
      <c r="BC52" s="9">
        <v>90.3</v>
      </c>
      <c r="BD52" s="9">
        <v>72.599999999999994</v>
      </c>
      <c r="BE52" s="9">
        <v>99</v>
      </c>
      <c r="BF52" s="9">
        <v>89.2</v>
      </c>
      <c r="BG52" s="9"/>
      <c r="BH52" s="9">
        <v>119.7</v>
      </c>
      <c r="BI52" s="9">
        <v>61</v>
      </c>
      <c r="BJ52" s="9">
        <v>81.599999999999994</v>
      </c>
      <c r="BK52" s="9">
        <v>70.599999999999994</v>
      </c>
      <c r="BL52" s="9"/>
      <c r="BM52" s="9">
        <v>56</v>
      </c>
      <c r="BN52" s="9">
        <v>58080.6</v>
      </c>
      <c r="BO52" s="9">
        <v>44621.3</v>
      </c>
      <c r="BP52" s="9">
        <v>8381.5</v>
      </c>
      <c r="BQ52" s="9">
        <v>5233.6000000000004</v>
      </c>
      <c r="BR52" s="9">
        <v>3147.9</v>
      </c>
      <c r="BS52" s="9">
        <v>7948.4</v>
      </c>
      <c r="BT52" s="9">
        <v>13865.2</v>
      </c>
      <c r="BU52" s="9">
        <v>5224.8999999999996</v>
      </c>
      <c r="BV52" s="9">
        <v>13317.6</v>
      </c>
      <c r="BW52" s="9">
        <v>43017.599999999999</v>
      </c>
      <c r="BX52" s="9">
        <v>5368</v>
      </c>
      <c r="BY52" s="9">
        <v>19126.7</v>
      </c>
      <c r="BZ52" s="9">
        <v>10715.8</v>
      </c>
      <c r="CA52" s="9">
        <v>1005.9</v>
      </c>
      <c r="CB52" s="9">
        <v>0</v>
      </c>
      <c r="CC52" s="9">
        <v>0</v>
      </c>
      <c r="CD52" s="9">
        <v>0</v>
      </c>
      <c r="CE52" s="9">
        <v>734.6</v>
      </c>
      <c r="CF52" s="9">
        <v>210799.29615000001</v>
      </c>
      <c r="CG52" s="9">
        <v>740190.63988999999</v>
      </c>
      <c r="CH52" s="9"/>
      <c r="CI52" s="9"/>
      <c r="CJ52" s="9">
        <v>30.3</v>
      </c>
      <c r="CK52" s="9">
        <v>19.7</v>
      </c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>
        <v>50</v>
      </c>
      <c r="DA52" s="9">
        <v>33</v>
      </c>
      <c r="DB52" s="9">
        <v>7</v>
      </c>
      <c r="DC52" s="9">
        <v>22</v>
      </c>
      <c r="DD52" s="9">
        <v>0</v>
      </c>
      <c r="DE52" s="9">
        <v>0</v>
      </c>
      <c r="DF52" s="9">
        <v>1</v>
      </c>
      <c r="DG52" s="9">
        <v>0</v>
      </c>
      <c r="DH52" s="9">
        <v>4</v>
      </c>
      <c r="DI52" s="9">
        <v>0</v>
      </c>
      <c r="DJ52" s="9">
        <v>2</v>
      </c>
      <c r="DK52" s="9">
        <v>2</v>
      </c>
      <c r="DL52" s="9">
        <v>0</v>
      </c>
      <c r="DM52" s="9">
        <v>12</v>
      </c>
      <c r="DN52" s="9">
        <v>1</v>
      </c>
      <c r="DO52" s="9">
        <v>75.930000000000007</v>
      </c>
      <c r="DP52" s="9">
        <v>19.73</v>
      </c>
      <c r="DQ52" s="9">
        <v>11.9</v>
      </c>
      <c r="DR52" s="9">
        <v>7.83</v>
      </c>
      <c r="DS52" s="9">
        <v>17.63</v>
      </c>
      <c r="DT52" s="9">
        <v>0.76</v>
      </c>
      <c r="DU52" s="9">
        <v>22.48</v>
      </c>
      <c r="DV52" s="9">
        <v>14.95</v>
      </c>
      <c r="DW52" s="9">
        <v>4.3600000000000003</v>
      </c>
      <c r="DX52" s="9">
        <v>16.079999999999998</v>
      </c>
      <c r="DY52" s="9">
        <v>7.22</v>
      </c>
      <c r="DZ52" s="9">
        <v>2.96</v>
      </c>
      <c r="EA52" s="9">
        <v>4.4835260000000003</v>
      </c>
      <c r="EB52" s="9">
        <v>-44.172400000000003</v>
      </c>
      <c r="EC52" s="9">
        <v>-17.315899999999999</v>
      </c>
      <c r="ED52" s="9">
        <v>-1.7</v>
      </c>
      <c r="EE52" s="9">
        <v>67.671800000000005</v>
      </c>
      <c r="EF52" s="9">
        <v>0</v>
      </c>
      <c r="EG52" s="9">
        <v>-12.087999999999999</v>
      </c>
      <c r="EH52" s="9">
        <v>-24.3</v>
      </c>
      <c r="EI52" s="9">
        <v>2.5</v>
      </c>
      <c r="EJ52" s="9">
        <v>0</v>
      </c>
      <c r="EK52" s="9">
        <v>9.7119999999999997</v>
      </c>
      <c r="EL52" s="9">
        <v>4.1884740000000003</v>
      </c>
      <c r="EM52" s="9">
        <v>20.76</v>
      </c>
      <c r="EN52" s="9"/>
      <c r="EO52" s="9"/>
      <c r="EP52" s="9"/>
      <c r="EQ52" s="9"/>
      <c r="ER52" s="9"/>
      <c r="ES52" s="9"/>
      <c r="ET52" s="9"/>
      <c r="EU52">
        <v>1177.45</v>
      </c>
      <c r="EV52" s="9">
        <v>4720.93</v>
      </c>
      <c r="EW52" s="9">
        <v>1303.7</v>
      </c>
      <c r="EX52" s="9">
        <v>23.36</v>
      </c>
      <c r="EY52" s="9">
        <v>47.99</v>
      </c>
      <c r="EZ52" s="9">
        <v>922.3</v>
      </c>
      <c r="FA52" s="9">
        <v>2423.58</v>
      </c>
      <c r="FB52" s="9">
        <v>52.433035714299997</v>
      </c>
      <c r="FC52" s="9">
        <v>33.799130434799999</v>
      </c>
      <c r="FD52" s="9">
        <v>3000.2826086957002</v>
      </c>
      <c r="FE52" s="9">
        <v>16.39</v>
      </c>
      <c r="FF52" s="9">
        <v>406.6673913043</v>
      </c>
      <c r="FG52">
        <v>499563.61999999988</v>
      </c>
      <c r="FH52">
        <v>472302.34</v>
      </c>
      <c r="FI52">
        <v>27261.279999999999</v>
      </c>
      <c r="FJ52" s="9">
        <v>629321.03000000014</v>
      </c>
      <c r="FK52">
        <v>595873.16999999993</v>
      </c>
      <c r="FL52" s="9">
        <v>33447.86</v>
      </c>
      <c r="FM52" s="9">
        <v>912823.65</v>
      </c>
      <c r="FN52" s="9">
        <v>138015.56</v>
      </c>
      <c r="FO52">
        <v>1177</v>
      </c>
      <c r="FP52">
        <v>609.36</v>
      </c>
      <c r="FQ52">
        <v>46.42</v>
      </c>
      <c r="FR52">
        <v>0</v>
      </c>
      <c r="FS52">
        <v>0</v>
      </c>
      <c r="FT52">
        <v>141.93</v>
      </c>
      <c r="FU52">
        <v>11.78</v>
      </c>
      <c r="FV52">
        <v>6.32</v>
      </c>
      <c r="FW52">
        <v>7037.88</v>
      </c>
      <c r="FX52">
        <v>29.83</v>
      </c>
      <c r="HB52" s="6"/>
      <c r="HC52" s="6"/>
      <c r="HD52" s="6"/>
    </row>
    <row r="53" spans="1:212" x14ac:dyDescent="0.2">
      <c r="A53" s="8" t="s">
        <v>847</v>
      </c>
      <c r="B53" s="8" t="s">
        <v>239</v>
      </c>
      <c r="C53" s="8" t="s">
        <v>240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>
        <v>55459.6</v>
      </c>
      <c r="BO53" s="9">
        <v>39654.800000000003</v>
      </c>
      <c r="BP53" s="9">
        <v>13524.7</v>
      </c>
      <c r="BQ53" s="9">
        <v>9419.5</v>
      </c>
      <c r="BR53" s="9">
        <v>4105.2</v>
      </c>
      <c r="BS53" s="9">
        <v>5085.1000000000004</v>
      </c>
      <c r="BT53" s="9">
        <v>5870.7</v>
      </c>
      <c r="BU53" s="9">
        <v>4841.8999999999996</v>
      </c>
      <c r="BV53" s="9">
        <v>11773.9</v>
      </c>
      <c r="BW53" s="9">
        <v>44871.6</v>
      </c>
      <c r="BX53" s="9">
        <v>12350</v>
      </c>
      <c r="BY53" s="9">
        <v>17643.5</v>
      </c>
      <c r="BZ53" s="9">
        <v>10948.9</v>
      </c>
      <c r="CA53" s="9">
        <v>2424.6</v>
      </c>
      <c r="CB53" s="9">
        <v>0</v>
      </c>
      <c r="CC53" s="9">
        <v>0</v>
      </c>
      <c r="CD53" s="9">
        <v>0</v>
      </c>
      <c r="CE53" s="9">
        <v>6503.6</v>
      </c>
      <c r="CF53" s="9">
        <v>225477.74741000001</v>
      </c>
      <c r="CG53" s="9">
        <v>774876.33025000012</v>
      </c>
      <c r="CH53" s="9"/>
      <c r="CI53" s="9"/>
      <c r="CJ53" s="9">
        <v>30.48</v>
      </c>
      <c r="CK53" s="9">
        <v>21</v>
      </c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>
        <v>54</v>
      </c>
      <c r="DA53" s="9">
        <v>38</v>
      </c>
      <c r="DB53" s="9">
        <v>7</v>
      </c>
      <c r="DC53" s="9">
        <v>27</v>
      </c>
      <c r="DD53" s="9">
        <v>0</v>
      </c>
      <c r="DE53" s="9">
        <v>0</v>
      </c>
      <c r="DF53" s="9">
        <v>2</v>
      </c>
      <c r="DG53" s="9">
        <v>0</v>
      </c>
      <c r="DH53" s="9">
        <v>4</v>
      </c>
      <c r="DI53" s="9">
        <v>0</v>
      </c>
      <c r="DJ53" s="9">
        <v>1</v>
      </c>
      <c r="DK53" s="9">
        <v>2</v>
      </c>
      <c r="DL53" s="9">
        <v>0</v>
      </c>
      <c r="DM53" s="9">
        <v>12</v>
      </c>
      <c r="DN53" s="9">
        <v>1</v>
      </c>
      <c r="DO53" s="9">
        <v>89.99</v>
      </c>
      <c r="DP53" s="9">
        <v>21.46</v>
      </c>
      <c r="DQ53" s="9">
        <v>12.9</v>
      </c>
      <c r="DR53" s="9">
        <v>8.5500000000000007</v>
      </c>
      <c r="DS53" s="9">
        <v>19.68</v>
      </c>
      <c r="DT53" s="9">
        <v>0.45</v>
      </c>
      <c r="DU53" s="9">
        <v>37.33</v>
      </c>
      <c r="DV53" s="9">
        <v>26.53</v>
      </c>
      <c r="DW53" s="9">
        <v>6.61</v>
      </c>
      <c r="DX53" s="9">
        <v>11.51</v>
      </c>
      <c r="DY53" s="9">
        <v>4.29</v>
      </c>
      <c r="DZ53" s="9">
        <v>2.1800000000000002</v>
      </c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>
        <v>1173.01</v>
      </c>
      <c r="EV53" s="9"/>
      <c r="EW53" s="9"/>
      <c r="EX53" s="9"/>
      <c r="EY53" s="9"/>
      <c r="EZ53" s="9"/>
      <c r="FA53" s="9"/>
      <c r="FB53" s="9">
        <v>57.053571428600002</v>
      </c>
      <c r="FC53" s="9">
        <v>33.362727272699999</v>
      </c>
      <c r="FD53" s="9">
        <v>2926.9749999999999</v>
      </c>
      <c r="FE53" s="9">
        <v>16.39</v>
      </c>
      <c r="FF53" s="9">
        <v>403.26</v>
      </c>
      <c r="FG53">
        <v>540012.66</v>
      </c>
      <c r="FH53">
        <v>508715.55</v>
      </c>
      <c r="FI53">
        <v>31297.11</v>
      </c>
      <c r="FJ53" s="9">
        <v>648581.7300000001</v>
      </c>
      <c r="FK53">
        <v>611831.85999999987</v>
      </c>
      <c r="FL53" s="9">
        <v>36749.870000000003</v>
      </c>
      <c r="FM53" s="9">
        <v>931887.66</v>
      </c>
      <c r="FN53" s="9">
        <v>138424.87</v>
      </c>
      <c r="FO53">
        <v>1170</v>
      </c>
      <c r="FP53">
        <v>552.53</v>
      </c>
      <c r="FQ53">
        <v>50.54</v>
      </c>
      <c r="FR53">
        <v>0</v>
      </c>
      <c r="FS53">
        <v>0</v>
      </c>
      <c r="FT53">
        <v>208.11</v>
      </c>
      <c r="FU53">
        <v>11.61</v>
      </c>
      <c r="FV53">
        <v>1.1000000000000001</v>
      </c>
      <c r="FW53">
        <v>4137.53</v>
      </c>
      <c r="FX53">
        <v>48.81</v>
      </c>
      <c r="HB53" s="6"/>
      <c r="HC53" s="6"/>
      <c r="HD53" s="6"/>
    </row>
    <row r="54" spans="1:212" x14ac:dyDescent="0.2">
      <c r="A54" s="8" t="s">
        <v>847</v>
      </c>
      <c r="B54" s="8" t="s">
        <v>239</v>
      </c>
      <c r="C54" s="8" t="s">
        <v>241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>
        <v>55868.2</v>
      </c>
      <c r="BO54" s="9">
        <v>49129.5</v>
      </c>
      <c r="BP54" s="9">
        <v>10979.9</v>
      </c>
      <c r="BQ54" s="9">
        <v>7782.4</v>
      </c>
      <c r="BR54" s="9">
        <v>3197.6</v>
      </c>
      <c r="BS54" s="9">
        <v>5363.1</v>
      </c>
      <c r="BT54" s="9">
        <v>13827.3</v>
      </c>
      <c r="BU54" s="9">
        <v>6169.9</v>
      </c>
      <c r="BV54" s="9">
        <v>6580.3</v>
      </c>
      <c r="BW54" s="9">
        <v>44950.3</v>
      </c>
      <c r="BX54" s="9">
        <v>3213.4</v>
      </c>
      <c r="BY54" s="9">
        <v>14875.3</v>
      </c>
      <c r="BZ54" s="9">
        <v>14920.5</v>
      </c>
      <c r="CA54" s="9">
        <v>1746.1</v>
      </c>
      <c r="CB54" s="9">
        <v>0</v>
      </c>
      <c r="CC54" s="9">
        <v>0</v>
      </c>
      <c r="CD54" s="9">
        <v>0</v>
      </c>
      <c r="CE54" s="9">
        <v>5477.2</v>
      </c>
      <c r="CF54" s="9">
        <v>237217.93668000001</v>
      </c>
      <c r="CG54" s="9">
        <v>789378.20776999998</v>
      </c>
      <c r="CH54" s="9"/>
      <c r="CI54" s="9"/>
      <c r="CJ54" s="9">
        <v>30.48</v>
      </c>
      <c r="CK54" s="9">
        <v>19.899999999999999</v>
      </c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>
        <v>66</v>
      </c>
      <c r="DA54" s="9">
        <v>43</v>
      </c>
      <c r="DB54" s="9">
        <v>8</v>
      </c>
      <c r="DC54" s="9">
        <v>28</v>
      </c>
      <c r="DD54" s="9">
        <v>0</v>
      </c>
      <c r="DE54" s="9">
        <v>0</v>
      </c>
      <c r="DF54" s="9">
        <v>2</v>
      </c>
      <c r="DG54" s="9">
        <v>1</v>
      </c>
      <c r="DH54" s="9">
        <v>7</v>
      </c>
      <c r="DI54" s="9">
        <v>0</v>
      </c>
      <c r="DJ54" s="9">
        <v>0</v>
      </c>
      <c r="DK54" s="9">
        <v>5</v>
      </c>
      <c r="DL54" s="9">
        <v>0</v>
      </c>
      <c r="DM54" s="9">
        <v>16</v>
      </c>
      <c r="DN54" s="9">
        <v>0</v>
      </c>
      <c r="DO54" s="9">
        <v>108.41</v>
      </c>
      <c r="DP54" s="9">
        <v>26.84</v>
      </c>
      <c r="DQ54" s="9">
        <v>16.149999999999999</v>
      </c>
      <c r="DR54" s="9">
        <v>10.69</v>
      </c>
      <c r="DS54" s="9">
        <v>21.48</v>
      </c>
      <c r="DT54" s="9">
        <v>0.56000000000000005</v>
      </c>
      <c r="DU54" s="9">
        <v>44.38</v>
      </c>
      <c r="DV54" s="9">
        <v>32.1</v>
      </c>
      <c r="DW54" s="9">
        <v>7.99</v>
      </c>
      <c r="DX54" s="9">
        <v>14.29</v>
      </c>
      <c r="DY54" s="9">
        <v>6.71</v>
      </c>
      <c r="DZ54" s="9">
        <v>2.17</v>
      </c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>
        <v>1162.9000000000001</v>
      </c>
      <c r="EV54" s="9"/>
      <c r="EW54" s="9"/>
      <c r="EX54" s="9"/>
      <c r="EY54" s="9"/>
      <c r="EZ54" s="9"/>
      <c r="FA54" s="9"/>
      <c r="FB54" s="9">
        <v>60.46875</v>
      </c>
      <c r="FC54" s="9">
        <v>37.740952381</v>
      </c>
      <c r="FD54" s="9">
        <v>2728.4605263158001</v>
      </c>
      <c r="FE54" s="9">
        <v>16.39</v>
      </c>
      <c r="FF54" s="9">
        <v>383.7789473684</v>
      </c>
      <c r="FG54">
        <v>551115.26</v>
      </c>
      <c r="FH54">
        <v>520138.29</v>
      </c>
      <c r="FI54">
        <v>30976.97</v>
      </c>
      <c r="FJ54" s="9">
        <v>658458.69000000006</v>
      </c>
      <c r="FK54">
        <v>616844.07000000007</v>
      </c>
      <c r="FL54" s="9">
        <v>41614.620000000003</v>
      </c>
      <c r="FM54" s="9">
        <v>974942.75</v>
      </c>
      <c r="FN54" s="9">
        <v>139240.01999999999</v>
      </c>
      <c r="FO54">
        <v>1159</v>
      </c>
      <c r="FP54">
        <v>705.5</v>
      </c>
      <c r="FQ54">
        <v>49.36</v>
      </c>
      <c r="FR54">
        <v>0.01</v>
      </c>
      <c r="FS54">
        <v>0</v>
      </c>
      <c r="FT54">
        <v>231.36</v>
      </c>
      <c r="FU54">
        <v>26.19</v>
      </c>
      <c r="FV54">
        <v>0</v>
      </c>
      <c r="FW54">
        <v>1701</v>
      </c>
      <c r="FX54">
        <v>116.52</v>
      </c>
      <c r="HB54" s="6"/>
      <c r="HC54" s="6"/>
      <c r="HD54" s="6"/>
    </row>
    <row r="55" spans="1:212" x14ac:dyDescent="0.2">
      <c r="A55" s="8" t="s">
        <v>847</v>
      </c>
      <c r="B55" s="8" t="s">
        <v>239</v>
      </c>
      <c r="C55" s="8" t="s">
        <v>242</v>
      </c>
      <c r="D55" s="9">
        <v>657504.30000000005</v>
      </c>
      <c r="E55" s="9">
        <v>193172.6</v>
      </c>
      <c r="F55" s="9">
        <v>87736.1</v>
      </c>
      <c r="G55" s="9">
        <v>30244.799999999999</v>
      </c>
      <c r="H55" s="9">
        <v>18455</v>
      </c>
      <c r="I55" s="9">
        <v>12057.6</v>
      </c>
      <c r="J55" s="9">
        <v>51774.6</v>
      </c>
      <c r="K55" s="9">
        <v>49461.8</v>
      </c>
      <c r="L55" s="9">
        <v>20237.599999999999</v>
      </c>
      <c r="M55" s="9">
        <v>131870.29999999999</v>
      </c>
      <c r="N55" s="9">
        <v>62494</v>
      </c>
      <c r="O55" s="9">
        <v>2673235.821099577</v>
      </c>
      <c r="P55" s="9">
        <v>568783.76687861688</v>
      </c>
      <c r="Q55" s="9">
        <v>368556.20666051132</v>
      </c>
      <c r="R55" s="9">
        <v>224894.91858274091</v>
      </c>
      <c r="S55" s="9">
        <v>76955.991567713398</v>
      </c>
      <c r="T55" s="9">
        <v>75949.349440198494</v>
      </c>
      <c r="U55" s="9">
        <v>221590.61550218589</v>
      </c>
      <c r="V55" s="9">
        <v>82310.077935160807</v>
      </c>
      <c r="W55" s="9">
        <v>37368.906691958699</v>
      </c>
      <c r="X55" s="9">
        <v>853428.86499136977</v>
      </c>
      <c r="Y55" s="9">
        <v>163397.1228491212</v>
      </c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>
        <v>95</v>
      </c>
      <c r="AX55" s="9">
        <v>55.9</v>
      </c>
      <c r="AY55" s="9">
        <v>86.5</v>
      </c>
      <c r="AZ55" s="9">
        <v>95.6</v>
      </c>
      <c r="BA55" s="9">
        <v>109.3</v>
      </c>
      <c r="BB55" s="9"/>
      <c r="BC55" s="9">
        <v>94.9</v>
      </c>
      <c r="BD55" s="9">
        <v>77</v>
      </c>
      <c r="BE55" s="9">
        <v>102.2</v>
      </c>
      <c r="BF55" s="9">
        <v>95.7</v>
      </c>
      <c r="BG55" s="9"/>
      <c r="BH55" s="9">
        <v>128.30000000000001</v>
      </c>
      <c r="BI55" s="9">
        <v>67.7</v>
      </c>
      <c r="BJ55" s="9">
        <v>109.4</v>
      </c>
      <c r="BK55" s="9">
        <v>82.6</v>
      </c>
      <c r="BL55" s="9"/>
      <c r="BM55" s="9">
        <v>66.099999999999994</v>
      </c>
      <c r="BN55" s="9">
        <v>80184.899999999994</v>
      </c>
      <c r="BO55" s="9">
        <v>70981.3</v>
      </c>
      <c r="BP55" s="9">
        <v>12646.8</v>
      </c>
      <c r="BQ55" s="9">
        <v>8171</v>
      </c>
      <c r="BR55" s="9">
        <v>4475.7</v>
      </c>
      <c r="BS55" s="9">
        <v>22747.5</v>
      </c>
      <c r="BT55" s="9">
        <v>16955.099999999999</v>
      </c>
      <c r="BU55" s="9">
        <v>6795.7</v>
      </c>
      <c r="BV55" s="9">
        <v>9085.4</v>
      </c>
      <c r="BW55" s="9">
        <v>50298.7</v>
      </c>
      <c r="BX55" s="9">
        <v>3640.1</v>
      </c>
      <c r="BY55" s="9">
        <v>17920.599999999999</v>
      </c>
      <c r="BZ55" s="9">
        <v>17708</v>
      </c>
      <c r="CA55" s="9">
        <v>1493.6</v>
      </c>
      <c r="CB55" s="9">
        <v>0</v>
      </c>
      <c r="CC55" s="9">
        <v>0</v>
      </c>
      <c r="CD55" s="9">
        <v>0</v>
      </c>
      <c r="CE55" s="9">
        <v>10052.1</v>
      </c>
      <c r="CF55" s="9">
        <v>254806.99372999999</v>
      </c>
      <c r="CG55" s="9">
        <v>812171.47517999995</v>
      </c>
      <c r="CH55" s="9"/>
      <c r="CI55" s="9"/>
      <c r="CJ55" s="9">
        <v>30.3</v>
      </c>
      <c r="CK55" s="9">
        <v>21.8</v>
      </c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>
        <v>64</v>
      </c>
      <c r="DA55" s="9">
        <v>39</v>
      </c>
      <c r="DB55" s="9">
        <v>10</v>
      </c>
      <c r="DC55" s="9">
        <v>25</v>
      </c>
      <c r="DD55" s="9">
        <v>0</v>
      </c>
      <c r="DE55" s="9">
        <v>0</v>
      </c>
      <c r="DF55" s="9">
        <v>1</v>
      </c>
      <c r="DG55" s="9">
        <v>1</v>
      </c>
      <c r="DH55" s="9">
        <v>5</v>
      </c>
      <c r="DI55" s="9">
        <v>1</v>
      </c>
      <c r="DJ55" s="9">
        <v>0</v>
      </c>
      <c r="DK55" s="9">
        <v>3</v>
      </c>
      <c r="DL55" s="9">
        <v>0</v>
      </c>
      <c r="DM55" s="9">
        <v>20</v>
      </c>
      <c r="DN55" s="9">
        <v>0</v>
      </c>
      <c r="DO55" s="9">
        <v>101.21</v>
      </c>
      <c r="DP55" s="9">
        <v>29.63</v>
      </c>
      <c r="DQ55" s="9">
        <v>16.64</v>
      </c>
      <c r="DR55" s="9">
        <v>12.99</v>
      </c>
      <c r="DS55" s="9">
        <v>18.32</v>
      </c>
      <c r="DT55" s="9">
        <v>0.66</v>
      </c>
      <c r="DU55" s="9">
        <v>36.020000000000003</v>
      </c>
      <c r="DV55" s="9">
        <v>22.74</v>
      </c>
      <c r="DW55" s="9">
        <v>7.65</v>
      </c>
      <c r="DX55" s="9">
        <v>17.13</v>
      </c>
      <c r="DY55" s="9">
        <v>8.1999999999999993</v>
      </c>
      <c r="DZ55" s="9">
        <v>3.17</v>
      </c>
      <c r="EA55" s="9">
        <v>-68.4709</v>
      </c>
      <c r="EB55" s="9">
        <v>-102.878</v>
      </c>
      <c r="EC55" s="9">
        <v>-28.0077</v>
      </c>
      <c r="ED55" s="9">
        <v>-3.9</v>
      </c>
      <c r="EE55" s="9">
        <v>66.315179999999998</v>
      </c>
      <c r="EF55" s="9">
        <v>0</v>
      </c>
      <c r="EG55" s="9">
        <v>8.4337070000000001</v>
      </c>
      <c r="EH55" s="9">
        <v>-42.86</v>
      </c>
      <c r="EI55" s="9">
        <v>0</v>
      </c>
      <c r="EJ55" s="9">
        <v>0</v>
      </c>
      <c r="EK55" s="9">
        <v>51.293709999999997</v>
      </c>
      <c r="EL55" s="9">
        <v>83.104640000000003</v>
      </c>
      <c r="EM55" s="9">
        <v>6.2</v>
      </c>
      <c r="EN55" s="9"/>
      <c r="EO55" s="9"/>
      <c r="EP55" s="9"/>
      <c r="EQ55" s="9"/>
      <c r="ER55" s="9"/>
      <c r="ES55" s="9"/>
      <c r="ET55" s="9"/>
      <c r="EU55">
        <v>1166.95</v>
      </c>
      <c r="EV55" s="9">
        <v>4730.34</v>
      </c>
      <c r="EW55" s="9">
        <v>1319</v>
      </c>
      <c r="EX55" s="9">
        <v>22.55</v>
      </c>
      <c r="EY55" s="9">
        <v>49.3</v>
      </c>
      <c r="EZ55" s="9">
        <v>915.9</v>
      </c>
      <c r="FA55" s="9">
        <v>2423.58</v>
      </c>
      <c r="FB55" s="9">
        <v>63.803571428600002</v>
      </c>
      <c r="FC55" s="9">
        <v>35.192727272699997</v>
      </c>
      <c r="FD55" s="9">
        <v>2689.0454545453999</v>
      </c>
      <c r="FE55" s="9">
        <v>16.39</v>
      </c>
      <c r="FF55" s="9">
        <v>392.37272727269999</v>
      </c>
      <c r="FG55">
        <v>558230.68999999994</v>
      </c>
      <c r="FH55">
        <v>526855.93999999994</v>
      </c>
      <c r="FI55">
        <v>31374.75</v>
      </c>
      <c r="FJ55" s="9">
        <v>676436.83</v>
      </c>
      <c r="FK55">
        <v>638318.27</v>
      </c>
      <c r="FL55" s="9">
        <v>38118.559999999998</v>
      </c>
      <c r="FM55" s="9">
        <v>977531.68</v>
      </c>
      <c r="FN55" s="9">
        <v>141026.76999999999</v>
      </c>
      <c r="FO55">
        <v>1174</v>
      </c>
      <c r="FP55">
        <v>874.1</v>
      </c>
      <c r="FQ55">
        <v>46.84</v>
      </c>
      <c r="FR55">
        <v>0.01</v>
      </c>
      <c r="FS55">
        <v>0</v>
      </c>
      <c r="FT55">
        <v>79.17</v>
      </c>
      <c r="FU55">
        <v>15.91</v>
      </c>
      <c r="FV55">
        <v>890.2</v>
      </c>
      <c r="FW55">
        <v>2111.1</v>
      </c>
      <c r="FX55">
        <v>58.66</v>
      </c>
      <c r="HB55" s="6"/>
      <c r="HC55" s="6"/>
      <c r="HD55" s="6"/>
    </row>
    <row r="56" spans="1:212" x14ac:dyDescent="0.2">
      <c r="A56" s="8" t="s">
        <v>847</v>
      </c>
      <c r="B56" s="8" t="s">
        <v>243</v>
      </c>
      <c r="C56" s="8" t="s">
        <v>244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>
        <v>37199.699999999997</v>
      </c>
      <c r="BO56" s="9">
        <v>29898.2</v>
      </c>
      <c r="BP56" s="9">
        <v>13393.1</v>
      </c>
      <c r="BQ56" s="9">
        <v>9573.1</v>
      </c>
      <c r="BR56" s="9">
        <v>3819.9</v>
      </c>
      <c r="BS56" s="9">
        <v>-9423.4</v>
      </c>
      <c r="BT56" s="9">
        <v>10842.1</v>
      </c>
      <c r="BU56" s="9">
        <v>5437.4</v>
      </c>
      <c r="BV56" s="9">
        <v>6964.9</v>
      </c>
      <c r="BW56" s="9">
        <v>32406.400000000001</v>
      </c>
      <c r="BX56" s="9">
        <v>6862.3</v>
      </c>
      <c r="BY56" s="9">
        <v>10513.3</v>
      </c>
      <c r="BZ56" s="9">
        <v>9187.4</v>
      </c>
      <c r="CA56" s="9">
        <v>568.70000000000005</v>
      </c>
      <c r="CB56" s="9">
        <v>0</v>
      </c>
      <c r="CC56" s="9">
        <v>0</v>
      </c>
      <c r="CD56" s="9">
        <v>0</v>
      </c>
      <c r="CE56" s="9">
        <v>8130.2</v>
      </c>
      <c r="CF56" s="9">
        <v>248764.67984</v>
      </c>
      <c r="CG56" s="9">
        <v>813572.31289000006</v>
      </c>
      <c r="CH56" s="9"/>
      <c r="CI56" s="9"/>
      <c r="CJ56" s="9">
        <v>31</v>
      </c>
      <c r="CK56" s="9">
        <v>20.399999999999999</v>
      </c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>
        <v>75</v>
      </c>
      <c r="DA56" s="9">
        <v>41</v>
      </c>
      <c r="DB56" s="9">
        <v>13</v>
      </c>
      <c r="DC56" s="9">
        <v>23</v>
      </c>
      <c r="DD56" s="9">
        <v>0</v>
      </c>
      <c r="DE56" s="9">
        <v>0</v>
      </c>
      <c r="DF56" s="9">
        <v>1</v>
      </c>
      <c r="DG56" s="9">
        <v>1</v>
      </c>
      <c r="DH56" s="9">
        <v>9</v>
      </c>
      <c r="DI56" s="9">
        <v>0</v>
      </c>
      <c r="DJ56" s="9">
        <v>1</v>
      </c>
      <c r="DK56" s="9">
        <v>6</v>
      </c>
      <c r="DL56" s="9">
        <v>0</v>
      </c>
      <c r="DM56" s="9">
        <v>25</v>
      </c>
      <c r="DN56" s="9">
        <v>0</v>
      </c>
      <c r="DO56" s="9">
        <v>96.14</v>
      </c>
      <c r="DP56" s="9">
        <v>27.27</v>
      </c>
      <c r="DQ56" s="9">
        <v>13.18</v>
      </c>
      <c r="DR56" s="9">
        <v>14.08</v>
      </c>
      <c r="DS56" s="9">
        <v>18.13</v>
      </c>
      <c r="DT56" s="9">
        <v>0.95</v>
      </c>
      <c r="DU56" s="9">
        <v>32.729999999999997</v>
      </c>
      <c r="DV56" s="9">
        <v>19</v>
      </c>
      <c r="DW56" s="9">
        <v>8.31</v>
      </c>
      <c r="DX56" s="9">
        <v>18</v>
      </c>
      <c r="DY56" s="9">
        <v>7.66</v>
      </c>
      <c r="DZ56" s="9">
        <v>2.9</v>
      </c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>
        <v>1182.8399999999999</v>
      </c>
      <c r="EV56" s="9"/>
      <c r="EW56" s="9"/>
      <c r="EX56" s="9"/>
      <c r="EY56" s="9"/>
      <c r="EZ56" s="9"/>
      <c r="FA56" s="9"/>
      <c r="FB56" s="9">
        <v>65.758928571400006</v>
      </c>
      <c r="FC56" s="9">
        <v>38.371363636399998</v>
      </c>
      <c r="FD56" s="9">
        <v>2816.7954545453999</v>
      </c>
      <c r="FE56" s="9">
        <v>16.39</v>
      </c>
      <c r="FF56" s="9">
        <v>398.09090909090003</v>
      </c>
      <c r="FG56">
        <v>575304.72</v>
      </c>
      <c r="FH56">
        <v>540672.69999999995</v>
      </c>
      <c r="FI56">
        <v>34632.019999999997</v>
      </c>
      <c r="FJ56" s="9">
        <v>676067.20000000007</v>
      </c>
      <c r="FK56">
        <v>636542.19999999995</v>
      </c>
      <c r="FL56" s="9">
        <v>39525</v>
      </c>
      <c r="FM56" s="9">
        <v>995124.58</v>
      </c>
      <c r="FN56" s="9">
        <v>145169.82</v>
      </c>
      <c r="FO56">
        <v>1188</v>
      </c>
      <c r="FP56">
        <v>1144.5</v>
      </c>
      <c r="FQ56">
        <v>45.5</v>
      </c>
      <c r="FR56">
        <v>0</v>
      </c>
      <c r="FS56">
        <v>0</v>
      </c>
      <c r="FT56">
        <v>143.34</v>
      </c>
      <c r="FU56">
        <v>18.690000000000001</v>
      </c>
      <c r="FV56">
        <v>80.13</v>
      </c>
      <c r="FW56">
        <v>5378.2</v>
      </c>
      <c r="FX56">
        <v>126.39</v>
      </c>
      <c r="HB56" s="6"/>
      <c r="HC56" s="6"/>
      <c r="HD56" s="6"/>
    </row>
    <row r="57" spans="1:212" x14ac:dyDescent="0.2">
      <c r="A57" s="8" t="s">
        <v>847</v>
      </c>
      <c r="B57" s="8" t="s">
        <v>243</v>
      </c>
      <c r="C57" s="8" t="s">
        <v>245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>
        <v>59565.8</v>
      </c>
      <c r="BO57" s="9">
        <v>45003.1</v>
      </c>
      <c r="BP57" s="9">
        <v>7088.7</v>
      </c>
      <c r="BQ57" s="9">
        <v>4016.9</v>
      </c>
      <c r="BR57" s="9">
        <v>3071.9</v>
      </c>
      <c r="BS57" s="9">
        <v>5380.9</v>
      </c>
      <c r="BT57" s="9">
        <v>16413.099999999999</v>
      </c>
      <c r="BU57" s="9">
        <v>8138.2</v>
      </c>
      <c r="BV57" s="9">
        <v>14015.8</v>
      </c>
      <c r="BW57" s="9">
        <v>38307.1</v>
      </c>
      <c r="BX57" s="9">
        <v>1716.3</v>
      </c>
      <c r="BY57" s="9">
        <v>15632.2</v>
      </c>
      <c r="BZ57" s="9">
        <v>7925</v>
      </c>
      <c r="CA57" s="9">
        <v>2479</v>
      </c>
      <c r="CB57" s="9">
        <v>0</v>
      </c>
      <c r="CC57" s="9">
        <v>0</v>
      </c>
      <c r="CD57" s="9">
        <v>0</v>
      </c>
      <c r="CE57" s="9">
        <v>11166.5</v>
      </c>
      <c r="CF57" s="9">
        <v>254029.23542000001</v>
      </c>
      <c r="CG57" s="9">
        <v>842464.82606000011</v>
      </c>
      <c r="CH57" s="9"/>
      <c r="CI57" s="9"/>
      <c r="CJ57" s="9">
        <v>33.1</v>
      </c>
      <c r="CK57" s="9">
        <v>19.2</v>
      </c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>
        <v>95</v>
      </c>
      <c r="DA57" s="9">
        <v>64</v>
      </c>
      <c r="DB57" s="9">
        <v>30</v>
      </c>
      <c r="DC57" s="9">
        <v>25</v>
      </c>
      <c r="DD57" s="9">
        <v>0</v>
      </c>
      <c r="DE57" s="9">
        <v>0</v>
      </c>
      <c r="DF57" s="9">
        <v>2</v>
      </c>
      <c r="DG57" s="9">
        <v>1</v>
      </c>
      <c r="DH57" s="9">
        <v>10</v>
      </c>
      <c r="DI57" s="9">
        <v>0</v>
      </c>
      <c r="DJ57" s="9">
        <v>1</v>
      </c>
      <c r="DK57" s="9">
        <v>6</v>
      </c>
      <c r="DL57" s="9">
        <v>0</v>
      </c>
      <c r="DM57" s="9">
        <v>21</v>
      </c>
      <c r="DN57" s="9">
        <v>0</v>
      </c>
      <c r="DO57" s="9">
        <v>95.23</v>
      </c>
      <c r="DP57" s="9">
        <v>24.05</v>
      </c>
      <c r="DQ57" s="9">
        <v>13.88</v>
      </c>
      <c r="DR57" s="9">
        <v>10.17</v>
      </c>
      <c r="DS57" s="9">
        <v>20.48</v>
      </c>
      <c r="DT57" s="9">
        <v>0.52</v>
      </c>
      <c r="DU57" s="9">
        <v>28.33</v>
      </c>
      <c r="DV57" s="9">
        <v>16.010000000000002</v>
      </c>
      <c r="DW57" s="9">
        <v>8.64</v>
      </c>
      <c r="DX57" s="9">
        <v>22.26</v>
      </c>
      <c r="DY57" s="9">
        <v>10.39</v>
      </c>
      <c r="DZ57" s="9">
        <v>3.55</v>
      </c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>
        <v>1191.58</v>
      </c>
      <c r="EV57" s="9"/>
      <c r="EW57" s="9"/>
      <c r="EX57" s="9"/>
      <c r="EY57" s="9"/>
      <c r="EZ57" s="9"/>
      <c r="FA57" s="9"/>
      <c r="FB57" s="9">
        <v>63.482142857100001</v>
      </c>
      <c r="FC57" s="9">
        <v>43.030909090900003</v>
      </c>
      <c r="FD57" s="9">
        <v>2844.2023809523998</v>
      </c>
      <c r="FE57" s="9">
        <v>16.39</v>
      </c>
      <c r="FF57" s="9">
        <v>400.50952380950002</v>
      </c>
      <c r="FG57">
        <v>594511.25</v>
      </c>
      <c r="FH57">
        <v>560558.1</v>
      </c>
      <c r="FI57">
        <v>33953.15</v>
      </c>
      <c r="FJ57" s="9">
        <v>711424.77</v>
      </c>
      <c r="FK57">
        <v>664855.87999999989</v>
      </c>
      <c r="FL57" s="9">
        <v>46568.89</v>
      </c>
      <c r="FM57" s="9">
        <v>1040788.3</v>
      </c>
      <c r="FN57" s="9">
        <v>147482.56</v>
      </c>
      <c r="FO57">
        <v>1193</v>
      </c>
      <c r="FP57">
        <v>2425.4</v>
      </c>
      <c r="FQ57">
        <v>48.67</v>
      </c>
      <c r="FR57">
        <v>0.02</v>
      </c>
      <c r="FS57">
        <v>0</v>
      </c>
      <c r="FT57">
        <v>187.44</v>
      </c>
      <c r="FU57">
        <v>17.600000000000001</v>
      </c>
      <c r="FV57">
        <v>1.62</v>
      </c>
      <c r="FW57">
        <v>7274.46</v>
      </c>
      <c r="FX57">
        <v>116.08</v>
      </c>
      <c r="HB57" s="6"/>
      <c r="HC57" s="6"/>
      <c r="HD57" s="6"/>
    </row>
    <row r="58" spans="1:212" x14ac:dyDescent="0.2">
      <c r="A58" s="8" t="s">
        <v>847</v>
      </c>
      <c r="B58" s="8" t="s">
        <v>243</v>
      </c>
      <c r="C58" s="8" t="s">
        <v>246</v>
      </c>
      <c r="D58" s="9">
        <v>595899.9</v>
      </c>
      <c r="E58" s="9">
        <v>127347.1</v>
      </c>
      <c r="F58" s="9">
        <v>101557.1</v>
      </c>
      <c r="G58" s="9">
        <v>36673.9</v>
      </c>
      <c r="H58" s="9">
        <v>14866.7</v>
      </c>
      <c r="I58" s="9">
        <v>23623.599999999999</v>
      </c>
      <c r="J58" s="9">
        <v>27419.8</v>
      </c>
      <c r="K58" s="9">
        <v>54395.3</v>
      </c>
      <c r="L58" s="9">
        <v>20911.099999999999</v>
      </c>
      <c r="M58" s="9">
        <v>113848.2</v>
      </c>
      <c r="N58" s="9">
        <v>75257</v>
      </c>
      <c r="O58" s="9">
        <v>2422768.8829862489</v>
      </c>
      <c r="P58" s="9">
        <v>368522.41967614362</v>
      </c>
      <c r="Q58" s="9">
        <v>419284.57109973999</v>
      </c>
      <c r="R58" s="9">
        <v>268015.06668909069</v>
      </c>
      <c r="S58" s="9">
        <v>60927.892099353703</v>
      </c>
      <c r="T58" s="9">
        <v>146245.48020064819</v>
      </c>
      <c r="U58" s="9">
        <v>115337.9109144675</v>
      </c>
      <c r="V58" s="9">
        <v>88964.687757899999</v>
      </c>
      <c r="W58" s="9">
        <v>37949.097289644502</v>
      </c>
      <c r="X58" s="9">
        <v>724135.249637492</v>
      </c>
      <c r="Y58" s="9">
        <v>193386.50762176909</v>
      </c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>
        <v>94.1</v>
      </c>
      <c r="AX58" s="9">
        <v>52.1</v>
      </c>
      <c r="AY58" s="9">
        <v>99.2</v>
      </c>
      <c r="AZ58" s="9">
        <v>95.7</v>
      </c>
      <c r="BA58" s="9">
        <v>106.2</v>
      </c>
      <c r="BB58" s="9"/>
      <c r="BC58" s="9">
        <v>104</v>
      </c>
      <c r="BD58" s="9">
        <v>73</v>
      </c>
      <c r="BE58" s="9">
        <v>113.5</v>
      </c>
      <c r="BF58" s="9">
        <v>110</v>
      </c>
      <c r="BG58" s="9"/>
      <c r="BH58" s="9">
        <v>128.4</v>
      </c>
      <c r="BI58" s="9">
        <v>66.7</v>
      </c>
      <c r="BJ58" s="9">
        <v>74.900000000000006</v>
      </c>
      <c r="BK58" s="9">
        <v>85.6</v>
      </c>
      <c r="BL58" s="9"/>
      <c r="BM58" s="9">
        <v>65.099999999999994</v>
      </c>
      <c r="BN58" s="9">
        <v>63041.599999999999</v>
      </c>
      <c r="BO58" s="9">
        <v>52079.6</v>
      </c>
      <c r="BP58" s="9">
        <v>11338.5</v>
      </c>
      <c r="BQ58" s="9">
        <v>7616.3</v>
      </c>
      <c r="BR58" s="9">
        <v>3722.1</v>
      </c>
      <c r="BS58" s="9">
        <v>7491.2</v>
      </c>
      <c r="BT58" s="9">
        <v>17088.400000000001</v>
      </c>
      <c r="BU58" s="9">
        <v>6179.7</v>
      </c>
      <c r="BV58" s="9">
        <v>10819</v>
      </c>
      <c r="BW58" s="9">
        <v>40738</v>
      </c>
      <c r="BX58" s="9">
        <v>8906.2999999999993</v>
      </c>
      <c r="BY58" s="9">
        <v>15830.8</v>
      </c>
      <c r="BZ58" s="9">
        <v>11353</v>
      </c>
      <c r="CA58" s="9">
        <v>951.5</v>
      </c>
      <c r="CB58" s="9">
        <v>0</v>
      </c>
      <c r="CC58" s="9">
        <v>0</v>
      </c>
      <c r="CD58" s="9">
        <v>0</v>
      </c>
      <c r="CE58" s="9">
        <v>20380.7</v>
      </c>
      <c r="CF58" s="9">
        <v>241994.90289</v>
      </c>
      <c r="CG58" s="9">
        <v>827249.99378000002</v>
      </c>
      <c r="CH58" s="9"/>
      <c r="CI58" s="9"/>
      <c r="CJ58" s="9">
        <v>32.299999999999997</v>
      </c>
      <c r="CK58" s="9">
        <v>18.2</v>
      </c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>
        <v>93</v>
      </c>
      <c r="DA58" s="9">
        <v>69</v>
      </c>
      <c r="DB58" s="9">
        <v>39</v>
      </c>
      <c r="DC58" s="9">
        <v>23</v>
      </c>
      <c r="DD58" s="9">
        <v>0</v>
      </c>
      <c r="DE58" s="9">
        <v>0</v>
      </c>
      <c r="DF58" s="9">
        <v>1</v>
      </c>
      <c r="DG58" s="9">
        <v>1</v>
      </c>
      <c r="DH58" s="9">
        <v>9</v>
      </c>
      <c r="DI58" s="9">
        <v>1</v>
      </c>
      <c r="DJ58" s="9">
        <v>2</v>
      </c>
      <c r="DK58" s="9">
        <v>4</v>
      </c>
      <c r="DL58" s="9">
        <v>0</v>
      </c>
      <c r="DM58" s="9">
        <v>14</v>
      </c>
      <c r="DN58" s="9">
        <v>0</v>
      </c>
      <c r="DO58" s="9">
        <v>91.67</v>
      </c>
      <c r="DP58" s="9">
        <v>23.49</v>
      </c>
      <c r="DQ58" s="9">
        <v>13.77</v>
      </c>
      <c r="DR58" s="9">
        <v>9.7200000000000006</v>
      </c>
      <c r="DS58" s="9">
        <v>11.97</v>
      </c>
      <c r="DT58" s="9">
        <v>0.19</v>
      </c>
      <c r="DU58" s="9">
        <v>35.159999999999997</v>
      </c>
      <c r="DV58" s="9">
        <v>18.78</v>
      </c>
      <c r="DW58" s="9">
        <v>7.43</v>
      </c>
      <c r="DX58" s="9">
        <v>21.02</v>
      </c>
      <c r="DY58" s="9">
        <v>8.7799999999999994</v>
      </c>
      <c r="DZ58" s="9">
        <v>2.38</v>
      </c>
      <c r="EA58" s="9">
        <v>65.860029999999995</v>
      </c>
      <c r="EB58" s="9">
        <v>-6.5232400000000004</v>
      </c>
      <c r="EC58" s="9">
        <v>-2.6050399999999998</v>
      </c>
      <c r="ED58" s="9">
        <v>-0.60848999999999998</v>
      </c>
      <c r="EE58" s="9">
        <v>75.596789999999999</v>
      </c>
      <c r="EF58" s="9">
        <v>0</v>
      </c>
      <c r="EG58" s="9">
        <v>32.75658</v>
      </c>
      <c r="EH58" s="9">
        <v>-16.100000000000001</v>
      </c>
      <c r="EI58" s="9">
        <v>0</v>
      </c>
      <c r="EJ58" s="9">
        <v>0</v>
      </c>
      <c r="EK58" s="9">
        <v>48.856580000000001</v>
      </c>
      <c r="EL58" s="9">
        <v>-35.133400000000002</v>
      </c>
      <c r="EM58" s="9">
        <v>-2.0299999999999998</v>
      </c>
      <c r="EN58" s="9"/>
      <c r="EO58" s="9"/>
      <c r="EP58" s="9"/>
      <c r="EQ58" s="9"/>
      <c r="ER58" s="9"/>
      <c r="ES58" s="9"/>
      <c r="ET58" s="9"/>
      <c r="EU58">
        <v>1198.93</v>
      </c>
      <c r="EV58" s="9">
        <v>4737.25</v>
      </c>
      <c r="EW58" s="9">
        <v>1340.01</v>
      </c>
      <c r="EX58" s="9">
        <v>18.87</v>
      </c>
      <c r="EY58" s="9">
        <v>52.28</v>
      </c>
      <c r="EZ58" s="9">
        <v>902.51</v>
      </c>
      <c r="FA58" s="9">
        <v>2423.58</v>
      </c>
      <c r="FB58" s="9">
        <v>59.330357142899999</v>
      </c>
      <c r="FC58" s="9">
        <v>43.382272727299998</v>
      </c>
      <c r="FD58" s="9">
        <v>2903.1704545453999</v>
      </c>
      <c r="FE58" s="9">
        <v>16.39</v>
      </c>
      <c r="FF58" s="9">
        <v>405.27499999999998</v>
      </c>
      <c r="FG58">
        <v>602067.99</v>
      </c>
      <c r="FH58">
        <v>567661.71</v>
      </c>
      <c r="FI58">
        <v>34406.28</v>
      </c>
      <c r="FJ58" s="9">
        <v>698282.43000000017</v>
      </c>
      <c r="FK58">
        <v>659245.97</v>
      </c>
      <c r="FL58" s="9">
        <v>39036.46</v>
      </c>
      <c r="FM58" s="9">
        <v>1031214.98</v>
      </c>
      <c r="FN58" s="9">
        <v>146739.29999999999</v>
      </c>
      <c r="FO58">
        <v>1202</v>
      </c>
      <c r="FP58">
        <v>3140.7</v>
      </c>
      <c r="FQ58">
        <v>43.91</v>
      </c>
      <c r="FR58">
        <v>0</v>
      </c>
      <c r="FS58">
        <v>0</v>
      </c>
      <c r="FT58">
        <v>146.30000000000001</v>
      </c>
      <c r="FU58">
        <v>26.23</v>
      </c>
      <c r="FV58">
        <v>0.5</v>
      </c>
      <c r="FW58">
        <v>7252.32</v>
      </c>
      <c r="FX58">
        <v>77.22</v>
      </c>
      <c r="HB58" s="6"/>
      <c r="HC58" s="6"/>
      <c r="HD58" s="6"/>
    </row>
    <row r="59" spans="1:212" x14ac:dyDescent="0.2">
      <c r="A59" s="8" t="s">
        <v>847</v>
      </c>
      <c r="B59" s="8" t="s">
        <v>247</v>
      </c>
      <c r="C59" s="8" t="s">
        <v>248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>
        <v>54393.7</v>
      </c>
      <c r="BO59" s="9">
        <v>49898</v>
      </c>
      <c r="BP59" s="9">
        <v>12069.4</v>
      </c>
      <c r="BQ59" s="9">
        <v>7927.7</v>
      </c>
      <c r="BR59" s="9">
        <v>4141.8</v>
      </c>
      <c r="BS59" s="9">
        <v>7340.9</v>
      </c>
      <c r="BT59" s="9">
        <v>11384.5</v>
      </c>
      <c r="BU59" s="9">
        <v>5456.7</v>
      </c>
      <c r="BV59" s="9">
        <v>4321.3999999999996</v>
      </c>
      <c r="BW59" s="9">
        <v>49597.2</v>
      </c>
      <c r="BX59" s="9">
        <v>7437.2</v>
      </c>
      <c r="BY59" s="9">
        <v>16117.5</v>
      </c>
      <c r="BZ59" s="9">
        <v>11645</v>
      </c>
      <c r="CA59" s="9">
        <v>4116.5</v>
      </c>
      <c r="CB59" s="9">
        <v>0</v>
      </c>
      <c r="CC59" s="9">
        <v>0</v>
      </c>
      <c r="CD59" s="9">
        <v>0</v>
      </c>
      <c r="CE59" s="9">
        <v>8260.9</v>
      </c>
      <c r="CF59" s="9">
        <v>225739.37085000001</v>
      </c>
      <c r="CG59" s="9">
        <v>831122.39406999992</v>
      </c>
      <c r="CH59" s="9"/>
      <c r="CI59" s="9"/>
      <c r="CJ59" s="9">
        <v>31.5</v>
      </c>
      <c r="CK59" s="9">
        <v>17.7</v>
      </c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>
        <v>83</v>
      </c>
      <c r="DA59" s="9">
        <v>56</v>
      </c>
      <c r="DB59" s="9">
        <v>22</v>
      </c>
      <c r="DC59" s="9">
        <v>28</v>
      </c>
      <c r="DD59" s="9">
        <v>0</v>
      </c>
      <c r="DE59" s="9">
        <v>0</v>
      </c>
      <c r="DF59" s="9">
        <v>1</v>
      </c>
      <c r="DG59" s="9">
        <v>1</v>
      </c>
      <c r="DH59" s="9">
        <v>13</v>
      </c>
      <c r="DI59" s="9">
        <v>2</v>
      </c>
      <c r="DJ59" s="9">
        <v>2</v>
      </c>
      <c r="DK59" s="9">
        <v>6</v>
      </c>
      <c r="DL59" s="9">
        <v>0</v>
      </c>
      <c r="DM59" s="9">
        <v>13</v>
      </c>
      <c r="DN59" s="9">
        <v>0</v>
      </c>
      <c r="DO59" s="9">
        <v>91.2</v>
      </c>
      <c r="DP59" s="9">
        <v>26.71</v>
      </c>
      <c r="DQ59" s="9">
        <v>18.440000000000001</v>
      </c>
      <c r="DR59" s="9">
        <v>8.27</v>
      </c>
      <c r="DS59" s="9">
        <v>12.54</v>
      </c>
      <c r="DT59" s="9">
        <v>0.76</v>
      </c>
      <c r="DU59" s="9">
        <v>25.01</v>
      </c>
      <c r="DV59" s="9">
        <v>14.6</v>
      </c>
      <c r="DW59" s="9">
        <v>7.49</v>
      </c>
      <c r="DX59" s="9">
        <v>26.88</v>
      </c>
      <c r="DY59" s="9">
        <v>13.19</v>
      </c>
      <c r="DZ59" s="9">
        <v>2.81</v>
      </c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>
        <v>1204.42</v>
      </c>
      <c r="EV59" s="9"/>
      <c r="EW59" s="9"/>
      <c r="EX59" s="9"/>
      <c r="EY59" s="9"/>
      <c r="EZ59" s="9"/>
      <c r="FA59" s="9"/>
      <c r="FB59" s="9">
        <v>60.669642857100001</v>
      </c>
      <c r="FC59" s="9">
        <v>49.770476190499998</v>
      </c>
      <c r="FD59" s="9">
        <v>3009.4047619048001</v>
      </c>
      <c r="FE59" s="9">
        <v>16.39</v>
      </c>
      <c r="FF59" s="9">
        <v>420.46428571429999</v>
      </c>
      <c r="FG59">
        <v>612663.41999999993</v>
      </c>
      <c r="FH59">
        <v>575364.64999999991</v>
      </c>
      <c r="FI59">
        <v>37298.769999999997</v>
      </c>
      <c r="FJ59" s="9">
        <v>714085.32999999984</v>
      </c>
      <c r="FK59">
        <v>673504.28</v>
      </c>
      <c r="FL59" s="9">
        <v>40581.050000000003</v>
      </c>
      <c r="FM59" s="9">
        <v>1053490.29</v>
      </c>
      <c r="FN59" s="9">
        <v>147078.85999999999</v>
      </c>
      <c r="FO59">
        <v>1207</v>
      </c>
      <c r="FP59">
        <v>1736.6</v>
      </c>
      <c r="FQ59">
        <v>52.81</v>
      </c>
      <c r="FR59">
        <v>2.21</v>
      </c>
      <c r="FS59">
        <v>0</v>
      </c>
      <c r="FT59">
        <v>140.05000000000001</v>
      </c>
      <c r="FU59">
        <v>11.6</v>
      </c>
      <c r="FV59">
        <v>1987.62</v>
      </c>
      <c r="FW59">
        <v>11570.5</v>
      </c>
      <c r="FX59">
        <v>120.64</v>
      </c>
      <c r="HB59" s="6"/>
      <c r="HC59" s="6"/>
      <c r="HD59" s="6"/>
    </row>
    <row r="60" spans="1:212" x14ac:dyDescent="0.2">
      <c r="A60" s="8" t="s">
        <v>847</v>
      </c>
      <c r="B60" s="8" t="s">
        <v>247</v>
      </c>
      <c r="C60" s="8" t="s">
        <v>249</v>
      </c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>
        <v>66314.7</v>
      </c>
      <c r="BO60" s="9">
        <v>58631.199999999997</v>
      </c>
      <c r="BP60" s="9">
        <v>21302.799999999999</v>
      </c>
      <c r="BQ60" s="9">
        <v>17865.8</v>
      </c>
      <c r="BR60" s="9">
        <v>3437.1</v>
      </c>
      <c r="BS60" s="9">
        <v>6950.6</v>
      </c>
      <c r="BT60" s="9">
        <v>13640.4</v>
      </c>
      <c r="BU60" s="9">
        <v>5579.4</v>
      </c>
      <c r="BV60" s="9">
        <v>7357.3</v>
      </c>
      <c r="BW60" s="9">
        <v>42704.800000000003</v>
      </c>
      <c r="BX60" s="9">
        <v>3863</v>
      </c>
      <c r="BY60" s="9">
        <v>25674.6</v>
      </c>
      <c r="BZ60" s="9">
        <v>4538</v>
      </c>
      <c r="CA60" s="9">
        <v>2123.9</v>
      </c>
      <c r="CB60" s="9">
        <v>0</v>
      </c>
      <c r="CC60" s="9">
        <v>0</v>
      </c>
      <c r="CD60" s="9">
        <v>0</v>
      </c>
      <c r="CE60" s="9">
        <v>6596.6</v>
      </c>
      <c r="CF60" s="9">
        <v>212578.69102</v>
      </c>
      <c r="CG60" s="9">
        <v>839547.81331</v>
      </c>
      <c r="CH60" s="9"/>
      <c r="CI60" s="9"/>
      <c r="CJ60" s="9">
        <v>31.8</v>
      </c>
      <c r="CK60" s="9">
        <v>18.5</v>
      </c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>
        <v>66</v>
      </c>
      <c r="DA60" s="9">
        <v>39</v>
      </c>
      <c r="DB60" s="9">
        <v>8</v>
      </c>
      <c r="DC60" s="9">
        <v>24</v>
      </c>
      <c r="DD60" s="9">
        <v>0</v>
      </c>
      <c r="DE60" s="9">
        <v>0</v>
      </c>
      <c r="DF60" s="9">
        <v>1</v>
      </c>
      <c r="DG60" s="9">
        <v>0</v>
      </c>
      <c r="DH60" s="9">
        <v>13</v>
      </c>
      <c r="DI60" s="9">
        <v>2</v>
      </c>
      <c r="DJ60" s="9">
        <v>3</v>
      </c>
      <c r="DK60" s="9">
        <v>6</v>
      </c>
      <c r="DL60" s="9">
        <v>0</v>
      </c>
      <c r="DM60" s="9">
        <v>15</v>
      </c>
      <c r="DN60" s="9">
        <v>0</v>
      </c>
      <c r="DO60" s="9">
        <v>84.82</v>
      </c>
      <c r="DP60" s="9">
        <v>30.58</v>
      </c>
      <c r="DQ60" s="9">
        <v>20.07</v>
      </c>
      <c r="DR60" s="9">
        <v>10.51</v>
      </c>
      <c r="DS60" s="9">
        <v>9.6</v>
      </c>
      <c r="DT60" s="9">
        <v>0.28000000000000003</v>
      </c>
      <c r="DU60" s="9">
        <v>20.75</v>
      </c>
      <c r="DV60" s="9">
        <v>12.56</v>
      </c>
      <c r="DW60" s="9">
        <v>4.09</v>
      </c>
      <c r="DX60" s="9">
        <v>23.86</v>
      </c>
      <c r="DY60" s="9">
        <v>12.88</v>
      </c>
      <c r="DZ60" s="9">
        <v>2.4700000000000002</v>
      </c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>
        <v>1210.2</v>
      </c>
      <c r="EV60" s="9"/>
      <c r="EW60" s="9"/>
      <c r="EX60" s="9"/>
      <c r="EY60" s="9"/>
      <c r="EZ60" s="9"/>
      <c r="FA60" s="9"/>
      <c r="FB60" s="9">
        <v>56.598214285700003</v>
      </c>
      <c r="FC60" s="9">
        <v>43.055</v>
      </c>
      <c r="FD60" s="9">
        <v>3130.3090909091002</v>
      </c>
      <c r="FE60" s="9">
        <v>16.39</v>
      </c>
      <c r="FF60" s="9">
        <v>439.375</v>
      </c>
      <c r="FG60">
        <v>625352.37</v>
      </c>
      <c r="FH60">
        <v>592040.75</v>
      </c>
      <c r="FI60">
        <v>33311.620000000003</v>
      </c>
      <c r="FJ60" s="9">
        <v>733875.33</v>
      </c>
      <c r="FK60">
        <v>696998.40999999992</v>
      </c>
      <c r="FL60" s="9">
        <v>36876.92</v>
      </c>
      <c r="FM60" s="9">
        <v>1092658.25</v>
      </c>
      <c r="FN60" s="9">
        <v>153308.51</v>
      </c>
      <c r="FO60">
        <v>1214</v>
      </c>
      <c r="FP60">
        <v>658.51</v>
      </c>
      <c r="FQ60">
        <v>43.12</v>
      </c>
      <c r="FR60">
        <v>6.31</v>
      </c>
      <c r="FS60">
        <v>0</v>
      </c>
      <c r="FT60">
        <v>146.36000000000001</v>
      </c>
      <c r="FU60">
        <v>11.08</v>
      </c>
      <c r="FV60">
        <v>1609.16</v>
      </c>
      <c r="FW60">
        <v>14029.72</v>
      </c>
      <c r="FX60">
        <v>110.86</v>
      </c>
      <c r="HB60" s="6"/>
      <c r="HC60" s="6"/>
      <c r="HD60" s="6"/>
    </row>
    <row r="61" spans="1:212" x14ac:dyDescent="0.2">
      <c r="A61" s="8" t="s">
        <v>847</v>
      </c>
      <c r="B61" s="8" t="s">
        <v>247</v>
      </c>
      <c r="C61" s="8" t="s">
        <v>250</v>
      </c>
      <c r="D61" s="9">
        <v>705608.1</v>
      </c>
      <c r="E61" s="9">
        <v>120639.4</v>
      </c>
      <c r="F61" s="9">
        <v>152992.4</v>
      </c>
      <c r="G61" s="9">
        <v>39315.300000000003</v>
      </c>
      <c r="H61" s="9">
        <v>21446.400000000001</v>
      </c>
      <c r="I61" s="9">
        <v>29855.599999999999</v>
      </c>
      <c r="J61" s="9">
        <v>80121.5</v>
      </c>
      <c r="K61" s="9">
        <v>53610</v>
      </c>
      <c r="L61" s="9">
        <v>18478.900000000001</v>
      </c>
      <c r="M61" s="9">
        <v>116059.2</v>
      </c>
      <c r="N61" s="9">
        <v>73089.5</v>
      </c>
      <c r="O61" s="9">
        <v>2868812.947045384</v>
      </c>
      <c r="P61" s="9">
        <v>342400.68927672593</v>
      </c>
      <c r="Q61" s="9">
        <v>619496.78257264185</v>
      </c>
      <c r="R61" s="9">
        <v>281795.66872393858</v>
      </c>
      <c r="S61" s="9">
        <v>86203.834507336898</v>
      </c>
      <c r="T61" s="9">
        <v>181272.8584355097</v>
      </c>
      <c r="U61" s="9">
        <v>330542.62878656603</v>
      </c>
      <c r="V61" s="9">
        <v>85994.900217629707</v>
      </c>
      <c r="W61" s="9">
        <v>32890.5619103184</v>
      </c>
      <c r="X61" s="9">
        <v>724008.55829991109</v>
      </c>
      <c r="Y61" s="9">
        <v>184206.46431480581</v>
      </c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>
        <v>96</v>
      </c>
      <c r="AX61" s="9">
        <v>49.8</v>
      </c>
      <c r="AY61" s="9">
        <v>92.4</v>
      </c>
      <c r="AZ61" s="9">
        <v>97.1</v>
      </c>
      <c r="BA61" s="9">
        <v>112.6</v>
      </c>
      <c r="BB61" s="9"/>
      <c r="BC61" s="9">
        <v>109.1</v>
      </c>
      <c r="BD61" s="9">
        <v>72.599999999999994</v>
      </c>
      <c r="BE61" s="9">
        <v>121.3</v>
      </c>
      <c r="BF61" s="9">
        <v>106.8</v>
      </c>
      <c r="BG61" s="9"/>
      <c r="BH61" s="9">
        <v>125.1</v>
      </c>
      <c r="BI61" s="9">
        <v>68.599999999999994</v>
      </c>
      <c r="BJ61" s="9">
        <v>87</v>
      </c>
      <c r="BK61" s="9">
        <v>80.8</v>
      </c>
      <c r="BL61" s="9"/>
      <c r="BM61" s="9">
        <v>62.7</v>
      </c>
      <c r="BN61" s="9">
        <v>103723.2</v>
      </c>
      <c r="BO61" s="9">
        <v>77102.5</v>
      </c>
      <c r="BP61" s="9">
        <v>19748.3</v>
      </c>
      <c r="BQ61" s="9">
        <v>12528.2</v>
      </c>
      <c r="BR61" s="9">
        <v>7220</v>
      </c>
      <c r="BS61" s="9">
        <v>14096.7</v>
      </c>
      <c r="BT61" s="9">
        <v>21059.5</v>
      </c>
      <c r="BU61" s="9">
        <v>6888.3</v>
      </c>
      <c r="BV61" s="9">
        <v>26409.4</v>
      </c>
      <c r="BW61" s="9">
        <v>77911.600000000006</v>
      </c>
      <c r="BX61" s="9">
        <v>49964.9</v>
      </c>
      <c r="BY61" s="9">
        <v>45381.1</v>
      </c>
      <c r="BZ61" s="9">
        <v>12078.5</v>
      </c>
      <c r="CA61" s="9">
        <v>2201.9</v>
      </c>
      <c r="CB61" s="9">
        <v>0</v>
      </c>
      <c r="CC61" s="9">
        <v>0</v>
      </c>
      <c r="CD61" s="9">
        <v>0</v>
      </c>
      <c r="CE61" s="9">
        <v>23415.1</v>
      </c>
      <c r="CF61" s="9">
        <v>221327.59239000001</v>
      </c>
      <c r="CG61" s="9">
        <v>847032.44330000004</v>
      </c>
      <c r="CH61" s="9"/>
      <c r="CI61" s="9"/>
      <c r="CJ61" s="9">
        <v>30</v>
      </c>
      <c r="CK61" s="9">
        <v>17.899999999999999</v>
      </c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>
        <v>135</v>
      </c>
      <c r="DA61" s="9">
        <v>112</v>
      </c>
      <c r="DB61" s="9">
        <v>82</v>
      </c>
      <c r="DC61" s="9">
        <v>23</v>
      </c>
      <c r="DD61" s="9">
        <v>0</v>
      </c>
      <c r="DE61" s="9">
        <v>0</v>
      </c>
      <c r="DF61" s="9">
        <v>1</v>
      </c>
      <c r="DG61" s="9">
        <v>0</v>
      </c>
      <c r="DH61" s="9">
        <v>12</v>
      </c>
      <c r="DI61" s="9">
        <v>4</v>
      </c>
      <c r="DJ61" s="9">
        <v>3</v>
      </c>
      <c r="DK61" s="9">
        <v>4</v>
      </c>
      <c r="DL61" s="9">
        <v>0</v>
      </c>
      <c r="DM61" s="9">
        <v>10</v>
      </c>
      <c r="DN61" s="9">
        <v>0</v>
      </c>
      <c r="DO61" s="9">
        <v>68.09</v>
      </c>
      <c r="DP61" s="9">
        <v>24.34</v>
      </c>
      <c r="DQ61" s="9">
        <v>15.82</v>
      </c>
      <c r="DR61" s="9">
        <v>8.51</v>
      </c>
      <c r="DS61" s="9">
        <v>9.4700000000000006</v>
      </c>
      <c r="DT61" s="9">
        <v>0.48</v>
      </c>
      <c r="DU61" s="9">
        <v>15.84</v>
      </c>
      <c r="DV61" s="9">
        <v>7.01</v>
      </c>
      <c r="DW61" s="9">
        <v>4.2699999999999996</v>
      </c>
      <c r="DX61" s="9">
        <v>18.38</v>
      </c>
      <c r="DY61" s="9">
        <v>6.83</v>
      </c>
      <c r="DZ61" s="9">
        <v>2.4500000000000002</v>
      </c>
      <c r="EA61" s="9">
        <v>61.131740000000001</v>
      </c>
      <c r="EB61" s="9">
        <v>54.349800000000002</v>
      </c>
      <c r="EC61" s="9">
        <v>-48.241</v>
      </c>
      <c r="ED61" s="9">
        <v>-4.8483499999999999</v>
      </c>
      <c r="EE61" s="9">
        <v>59.871279999999999</v>
      </c>
      <c r="EF61" s="9">
        <v>0</v>
      </c>
      <c r="EG61" s="9">
        <v>19.2133</v>
      </c>
      <c r="EH61" s="9">
        <v>-9.66</v>
      </c>
      <c r="EI61" s="9">
        <v>50</v>
      </c>
      <c r="EJ61" s="9">
        <v>0</v>
      </c>
      <c r="EK61" s="9">
        <v>-21.1267</v>
      </c>
      <c r="EL61" s="9">
        <v>-32.298400000000001</v>
      </c>
      <c r="EM61" s="9">
        <v>9.6199999999999992</v>
      </c>
      <c r="EN61" s="9"/>
      <c r="EO61" s="9"/>
      <c r="EP61" s="9"/>
      <c r="EQ61" s="9"/>
      <c r="ER61" s="9"/>
      <c r="ES61" s="9"/>
      <c r="ET61" s="9"/>
      <c r="EU61">
        <v>1211.77</v>
      </c>
      <c r="EV61" s="9">
        <v>4730.3500000000004</v>
      </c>
      <c r="EW61" s="9">
        <v>1360</v>
      </c>
      <c r="EX61" s="9">
        <v>19.55</v>
      </c>
      <c r="EY61" s="9">
        <v>44.43</v>
      </c>
      <c r="EZ61" s="9">
        <v>882.79</v>
      </c>
      <c r="FA61" s="9">
        <v>2423.58</v>
      </c>
      <c r="FB61" s="9">
        <v>55.982142857100001</v>
      </c>
      <c r="FC61" s="9">
        <v>39.656086956499998</v>
      </c>
      <c r="FD61" s="9">
        <v>3139.7857142857001</v>
      </c>
      <c r="FE61" s="9">
        <v>16.39</v>
      </c>
      <c r="FF61" s="9">
        <v>442.07894736840001</v>
      </c>
      <c r="FG61">
        <v>639886.56000000006</v>
      </c>
      <c r="FH61">
        <v>606798.59000000008</v>
      </c>
      <c r="FI61">
        <v>33087.97</v>
      </c>
      <c r="FJ61" s="9">
        <v>753991.54</v>
      </c>
      <c r="FK61">
        <v>697762.66999999993</v>
      </c>
      <c r="FL61" s="9">
        <v>56228.87</v>
      </c>
      <c r="FM61" s="9">
        <v>1108845.93</v>
      </c>
      <c r="FN61" s="9">
        <v>167101.04999999999</v>
      </c>
      <c r="FO61">
        <v>1209</v>
      </c>
      <c r="FP61">
        <v>6163.7</v>
      </c>
      <c r="FQ61">
        <v>39.44</v>
      </c>
      <c r="FR61">
        <v>6.57</v>
      </c>
      <c r="FS61">
        <v>0</v>
      </c>
      <c r="FT61">
        <v>134.47</v>
      </c>
      <c r="FU61">
        <v>9.7899999999999991</v>
      </c>
      <c r="FV61">
        <v>3944.88</v>
      </c>
      <c r="FW61">
        <v>13124.65</v>
      </c>
      <c r="FX61">
        <v>84.79</v>
      </c>
      <c r="HB61" s="6"/>
      <c r="HC61" s="6"/>
      <c r="HD61" s="6"/>
    </row>
    <row r="62" spans="1:212" x14ac:dyDescent="0.2">
      <c r="A62" s="8" t="s">
        <v>848</v>
      </c>
      <c r="B62" s="8" t="s">
        <v>251</v>
      </c>
      <c r="C62" s="8" t="s">
        <v>252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>
        <v>47703.9</v>
      </c>
      <c r="BO62" s="9">
        <v>39648.800000000003</v>
      </c>
      <c r="BP62" s="9">
        <v>11898.5</v>
      </c>
      <c r="BQ62" s="9">
        <v>8975.7999999999993</v>
      </c>
      <c r="BR62" s="9">
        <v>2922.7</v>
      </c>
      <c r="BS62" s="9">
        <v>3894.9</v>
      </c>
      <c r="BT62" s="9">
        <v>13371.6</v>
      </c>
      <c r="BU62" s="9">
        <v>4543.8</v>
      </c>
      <c r="BV62" s="9">
        <v>7710.4</v>
      </c>
      <c r="BW62" s="9">
        <v>37305.599999999999</v>
      </c>
      <c r="BX62" s="9">
        <v>3743.2</v>
      </c>
      <c r="BY62" s="9">
        <v>13238.3</v>
      </c>
      <c r="BZ62" s="9">
        <v>10509</v>
      </c>
      <c r="CA62" s="9">
        <v>417.9</v>
      </c>
      <c r="CB62" s="9">
        <v>0</v>
      </c>
      <c r="CC62" s="9">
        <v>0</v>
      </c>
      <c r="CD62" s="9">
        <v>0</v>
      </c>
      <c r="CE62" s="9">
        <v>609.1</v>
      </c>
      <c r="CF62" s="9">
        <v>211272.28021999999</v>
      </c>
      <c r="CG62" s="9">
        <v>858734.85853000009</v>
      </c>
      <c r="CH62" s="9"/>
      <c r="CI62" s="9"/>
      <c r="CJ62" s="9">
        <v>32.700000000000003</v>
      </c>
      <c r="CK62" s="9">
        <v>16.3</v>
      </c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>
        <v>66</v>
      </c>
      <c r="DA62" s="9">
        <v>44</v>
      </c>
      <c r="DB62" s="9">
        <v>11</v>
      </c>
      <c r="DC62" s="9">
        <v>27</v>
      </c>
      <c r="DD62" s="9">
        <v>0</v>
      </c>
      <c r="DE62" s="9">
        <v>0</v>
      </c>
      <c r="DF62" s="9">
        <v>1</v>
      </c>
      <c r="DG62" s="9">
        <v>0</v>
      </c>
      <c r="DH62" s="9">
        <v>9</v>
      </c>
      <c r="DI62" s="9">
        <v>0</v>
      </c>
      <c r="DJ62" s="9">
        <v>3</v>
      </c>
      <c r="DK62" s="9">
        <v>4</v>
      </c>
      <c r="DL62" s="9">
        <v>0</v>
      </c>
      <c r="DM62" s="9">
        <v>13</v>
      </c>
      <c r="DN62" s="9">
        <v>0</v>
      </c>
      <c r="DO62" s="9">
        <v>72.150000000000006</v>
      </c>
      <c r="DP62" s="9">
        <v>20.87</v>
      </c>
      <c r="DQ62" s="9">
        <v>12.42</v>
      </c>
      <c r="DR62" s="9">
        <v>8.44</v>
      </c>
      <c r="DS62" s="9">
        <v>9.6999999999999993</v>
      </c>
      <c r="DT62" s="9">
        <v>0.5</v>
      </c>
      <c r="DU62" s="9">
        <v>28.5</v>
      </c>
      <c r="DV62" s="9">
        <v>22.19</v>
      </c>
      <c r="DW62" s="9">
        <v>3.22</v>
      </c>
      <c r="DX62" s="9">
        <v>13.04</v>
      </c>
      <c r="DY62" s="9">
        <v>6.61</v>
      </c>
      <c r="DZ62" s="9">
        <v>2.41</v>
      </c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>
        <v>1210.9000000000001</v>
      </c>
      <c r="EV62" s="9"/>
      <c r="EW62" s="9"/>
      <c r="EX62" s="9"/>
      <c r="EY62" s="9"/>
      <c r="EZ62" s="9"/>
      <c r="FA62" s="9"/>
      <c r="FB62" s="9">
        <v>56.833928571400001</v>
      </c>
      <c r="FC62" s="9">
        <v>44.284285714299997</v>
      </c>
      <c r="FD62" s="9">
        <v>3168.1</v>
      </c>
      <c r="FE62" s="9">
        <v>28.11</v>
      </c>
      <c r="FF62" s="9">
        <v>424.03</v>
      </c>
      <c r="FG62">
        <v>648516.75</v>
      </c>
      <c r="FH62">
        <v>614298.49</v>
      </c>
      <c r="FI62">
        <v>34218.26</v>
      </c>
      <c r="FJ62" s="9">
        <v>768070.96</v>
      </c>
      <c r="FK62">
        <v>717770.62000000011</v>
      </c>
      <c r="FL62" s="9">
        <v>50300.34</v>
      </c>
      <c r="FM62" s="9">
        <v>1121305.25</v>
      </c>
      <c r="FN62" s="9">
        <v>169996.34</v>
      </c>
      <c r="FO62">
        <v>1208</v>
      </c>
      <c r="FP62">
        <v>914.58</v>
      </c>
      <c r="FQ62">
        <v>45.82</v>
      </c>
      <c r="FR62">
        <v>3.97</v>
      </c>
      <c r="FS62">
        <v>0</v>
      </c>
      <c r="FT62">
        <v>85.12</v>
      </c>
      <c r="FU62">
        <v>8.93</v>
      </c>
      <c r="FV62">
        <v>331.53</v>
      </c>
      <c r="FW62">
        <v>13548.41</v>
      </c>
      <c r="FX62">
        <v>255.42</v>
      </c>
      <c r="HB62" s="6"/>
      <c r="HC62" s="6"/>
      <c r="HD62" s="6"/>
    </row>
    <row r="63" spans="1:212" x14ac:dyDescent="0.2">
      <c r="A63" s="8" t="s">
        <v>848</v>
      </c>
      <c r="B63" s="8" t="s">
        <v>251</v>
      </c>
      <c r="C63" s="8" t="s">
        <v>253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>
        <v>41048.300000000003</v>
      </c>
      <c r="BO63" s="9">
        <v>34200.400000000001</v>
      </c>
      <c r="BP63" s="9">
        <v>10682.5</v>
      </c>
      <c r="BQ63" s="9">
        <v>7136.2</v>
      </c>
      <c r="BR63" s="9">
        <v>3546.3</v>
      </c>
      <c r="BS63" s="9">
        <v>6568.4</v>
      </c>
      <c r="BT63" s="9">
        <v>6761.1</v>
      </c>
      <c r="BU63" s="9">
        <v>3693</v>
      </c>
      <c r="BV63" s="9">
        <v>6791.3</v>
      </c>
      <c r="BW63" s="9">
        <v>44493.1</v>
      </c>
      <c r="BX63" s="9">
        <v>4793.5</v>
      </c>
      <c r="BY63" s="9">
        <v>17514.900000000001</v>
      </c>
      <c r="BZ63" s="9">
        <v>11371.7</v>
      </c>
      <c r="CA63" s="9">
        <v>2023.2</v>
      </c>
      <c r="CB63" s="9">
        <v>0</v>
      </c>
      <c r="CC63" s="9">
        <v>0</v>
      </c>
      <c r="CD63" s="9">
        <v>0</v>
      </c>
      <c r="CE63" s="9">
        <v>1798</v>
      </c>
      <c r="CF63" s="9">
        <v>197122.77090999999</v>
      </c>
      <c r="CG63" s="9">
        <v>860114.80674999987</v>
      </c>
      <c r="CH63" s="9"/>
      <c r="CI63" s="9"/>
      <c r="CJ63" s="9">
        <v>31.9</v>
      </c>
      <c r="CK63" s="9">
        <v>15.7</v>
      </c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>
        <v>44</v>
      </c>
      <c r="DA63" s="9">
        <v>34</v>
      </c>
      <c r="DB63" s="9">
        <v>8</v>
      </c>
      <c r="DC63" s="9">
        <v>22</v>
      </c>
      <c r="DD63" s="9">
        <v>0</v>
      </c>
      <c r="DE63" s="9">
        <v>0</v>
      </c>
      <c r="DF63" s="9">
        <v>0</v>
      </c>
      <c r="DG63" s="9">
        <v>0</v>
      </c>
      <c r="DH63" s="9">
        <v>3</v>
      </c>
      <c r="DI63" s="9">
        <v>0</v>
      </c>
      <c r="DJ63" s="9">
        <v>1</v>
      </c>
      <c r="DK63" s="9">
        <v>1</v>
      </c>
      <c r="DL63" s="9">
        <v>0</v>
      </c>
      <c r="DM63" s="9">
        <v>8</v>
      </c>
      <c r="DN63" s="9">
        <v>0</v>
      </c>
      <c r="DO63" s="9">
        <v>69.2</v>
      </c>
      <c r="DP63" s="9">
        <v>16.39</v>
      </c>
      <c r="DQ63" s="9">
        <v>9.18</v>
      </c>
      <c r="DR63" s="9">
        <v>7.22</v>
      </c>
      <c r="DS63" s="9">
        <v>8.74</v>
      </c>
      <c r="DT63" s="9">
        <v>0.32</v>
      </c>
      <c r="DU63" s="9">
        <v>28.26</v>
      </c>
      <c r="DV63" s="9">
        <v>19.79</v>
      </c>
      <c r="DW63" s="9">
        <v>5.26</v>
      </c>
      <c r="DX63" s="9">
        <v>15.79</v>
      </c>
      <c r="DY63" s="9">
        <v>7.33</v>
      </c>
      <c r="DZ63" s="9">
        <v>2.14</v>
      </c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>
        <v>1208.5</v>
      </c>
      <c r="EV63" s="9"/>
      <c r="EW63" s="9"/>
      <c r="EX63" s="9"/>
      <c r="EY63" s="9"/>
      <c r="EZ63" s="9"/>
      <c r="FA63" s="9"/>
      <c r="FB63" s="9">
        <v>53.4616071429</v>
      </c>
      <c r="FC63" s="9">
        <v>45.557000000000002</v>
      </c>
      <c r="FD63" s="9">
        <v>3247.1</v>
      </c>
      <c r="FE63" s="9">
        <v>28.11</v>
      </c>
      <c r="FF63" s="9">
        <v>423.35</v>
      </c>
      <c r="FG63">
        <v>644885.11</v>
      </c>
      <c r="FH63">
        <v>608285.34</v>
      </c>
      <c r="FI63">
        <v>36599.769999999997</v>
      </c>
      <c r="FJ63" s="9">
        <v>793654.87999999989</v>
      </c>
      <c r="FK63">
        <v>739392.98</v>
      </c>
      <c r="FL63" s="9">
        <v>54261.9</v>
      </c>
      <c r="FM63" s="9">
        <v>1139124.44</v>
      </c>
      <c r="FN63" s="9">
        <v>168281.66</v>
      </c>
      <c r="FO63">
        <v>1208</v>
      </c>
      <c r="FP63">
        <v>620.76</v>
      </c>
      <c r="FQ63">
        <v>44.22</v>
      </c>
      <c r="FR63">
        <v>0</v>
      </c>
      <c r="FS63">
        <v>0</v>
      </c>
      <c r="FT63">
        <v>16.510000000000002</v>
      </c>
      <c r="FU63">
        <v>8.14</v>
      </c>
      <c r="FV63">
        <v>558.79999999999995</v>
      </c>
      <c r="FW63">
        <v>4517.6000000000004</v>
      </c>
      <c r="FX63">
        <v>57.93</v>
      </c>
      <c r="HB63" s="6"/>
      <c r="HC63" s="6"/>
      <c r="HD63" s="6"/>
    </row>
    <row r="64" spans="1:212" x14ac:dyDescent="0.2">
      <c r="A64" s="8" t="s">
        <v>848</v>
      </c>
      <c r="B64" s="8" t="s">
        <v>251</v>
      </c>
      <c r="C64" s="8" t="s">
        <v>254</v>
      </c>
      <c r="D64" s="9">
        <v>493827.1</v>
      </c>
      <c r="E64" s="9">
        <v>33751</v>
      </c>
      <c r="F64" s="9">
        <v>93039.9</v>
      </c>
      <c r="G64" s="9">
        <v>29500.7</v>
      </c>
      <c r="H64" s="9">
        <v>25441.7</v>
      </c>
      <c r="I64" s="9">
        <v>4062.9</v>
      </c>
      <c r="J64" s="9">
        <v>39441.199999999997</v>
      </c>
      <c r="K64" s="9">
        <v>54906</v>
      </c>
      <c r="L64" s="9">
        <v>21337.599999999999</v>
      </c>
      <c r="M64" s="9">
        <v>132617.70000000001</v>
      </c>
      <c r="N64" s="9">
        <v>59728.4</v>
      </c>
      <c r="O64" s="9">
        <v>1671769.086826571</v>
      </c>
      <c r="P64" s="9">
        <v>81267.690072059602</v>
      </c>
      <c r="Q64" s="9">
        <v>249934.043329362</v>
      </c>
      <c r="R64" s="9">
        <v>123779.7323695051</v>
      </c>
      <c r="S64" s="9">
        <v>86557.573340691102</v>
      </c>
      <c r="T64" s="9">
        <v>23717.519999054799</v>
      </c>
      <c r="U64" s="9">
        <v>144979.89264542281</v>
      </c>
      <c r="V64" s="9">
        <v>81569.685223111199</v>
      </c>
      <c r="W64" s="9">
        <v>35141.072609919298</v>
      </c>
      <c r="X64" s="9">
        <v>717177.76800561056</v>
      </c>
      <c r="Y64" s="9">
        <v>127644.1092318349</v>
      </c>
      <c r="Z64" s="9">
        <v>479509.5</v>
      </c>
      <c r="AA64" s="9">
        <v>383794.5</v>
      </c>
      <c r="AB64" s="9">
        <v>79953.100000000006</v>
      </c>
      <c r="AC64" s="9">
        <v>56896.7</v>
      </c>
      <c r="AD64" s="9">
        <v>19552.7</v>
      </c>
      <c r="AE64" s="9">
        <v>303683.09999999998</v>
      </c>
      <c r="AF64" s="9">
        <v>364370.5</v>
      </c>
      <c r="AG64" s="9">
        <v>1605489.052557982</v>
      </c>
      <c r="AH64" s="9">
        <v>1087184.608476066</v>
      </c>
      <c r="AI64" s="9">
        <v>340710.03137528728</v>
      </c>
      <c r="AJ64" s="9">
        <v>175411.7256997365</v>
      </c>
      <c r="AK64" s="9">
        <v>79272.023793533997</v>
      </c>
      <c r="AL64" s="9">
        <v>498769.33199314371</v>
      </c>
      <c r="AM64" s="9">
        <v>575858.66877978551</v>
      </c>
      <c r="AN64" s="9"/>
      <c r="AO64" s="9"/>
      <c r="AP64" s="9"/>
      <c r="AQ64" s="9"/>
      <c r="AR64" s="9"/>
      <c r="AS64" s="9"/>
      <c r="AT64" s="9"/>
      <c r="AU64" s="9"/>
      <c r="AV64" s="9"/>
      <c r="AW64" s="9">
        <v>97.7</v>
      </c>
      <c r="AX64" s="9">
        <v>48.8</v>
      </c>
      <c r="AY64" s="9">
        <v>118.2</v>
      </c>
      <c r="AZ64" s="9">
        <v>99.1</v>
      </c>
      <c r="BA64" s="9">
        <v>124.3</v>
      </c>
      <c r="BB64" s="9"/>
      <c r="BC64" s="9">
        <v>102.9</v>
      </c>
      <c r="BD64" s="9">
        <v>70.599999999999994</v>
      </c>
      <c r="BE64" s="9">
        <v>110.8</v>
      </c>
      <c r="BF64" s="9">
        <v>110.2</v>
      </c>
      <c r="BG64" s="9"/>
      <c r="BH64" s="9">
        <v>129.80000000000001</v>
      </c>
      <c r="BI64" s="9">
        <v>64.2</v>
      </c>
      <c r="BJ64" s="9">
        <v>88.4</v>
      </c>
      <c r="BK64" s="9">
        <v>80.8</v>
      </c>
      <c r="BL64" s="9"/>
      <c r="BM64" s="9">
        <v>61.4</v>
      </c>
      <c r="BN64" s="9">
        <v>63383.9</v>
      </c>
      <c r="BO64" s="9">
        <v>52725.599999999999</v>
      </c>
      <c r="BP64" s="9">
        <v>10396.9</v>
      </c>
      <c r="BQ64" s="9">
        <v>5266.5</v>
      </c>
      <c r="BR64" s="9">
        <v>5130.3999999999996</v>
      </c>
      <c r="BS64" s="9">
        <v>9890.2999999999993</v>
      </c>
      <c r="BT64" s="9">
        <v>17284</v>
      </c>
      <c r="BU64" s="9">
        <v>5622.5</v>
      </c>
      <c r="BV64" s="9">
        <v>10391.6</v>
      </c>
      <c r="BW64" s="9">
        <v>49903.6</v>
      </c>
      <c r="BX64" s="9">
        <v>18266.900000000001</v>
      </c>
      <c r="BY64" s="9">
        <v>19239.3</v>
      </c>
      <c r="BZ64" s="9">
        <v>11397.9</v>
      </c>
      <c r="CA64" s="9">
        <v>1254.8</v>
      </c>
      <c r="CB64" s="9">
        <v>0</v>
      </c>
      <c r="CC64" s="9">
        <v>0</v>
      </c>
      <c r="CD64" s="9">
        <v>0</v>
      </c>
      <c r="CE64" s="9">
        <v>980.8</v>
      </c>
      <c r="CF64" s="9">
        <v>213357.61816000001</v>
      </c>
      <c r="CG64" s="9">
        <v>892973.79021000001</v>
      </c>
      <c r="CH64" s="9"/>
      <c r="CI64" s="9"/>
      <c r="CJ64" s="9">
        <v>32.700000000000003</v>
      </c>
      <c r="CK64" s="9">
        <v>16.3</v>
      </c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>
        <v>62</v>
      </c>
      <c r="DA64" s="9">
        <v>45</v>
      </c>
      <c r="DB64" s="9">
        <v>11</v>
      </c>
      <c r="DC64" s="9">
        <v>25</v>
      </c>
      <c r="DD64" s="9">
        <v>0</v>
      </c>
      <c r="DE64" s="9">
        <v>0</v>
      </c>
      <c r="DF64" s="9">
        <v>2</v>
      </c>
      <c r="DG64" s="9">
        <v>0</v>
      </c>
      <c r="DH64" s="9">
        <v>8</v>
      </c>
      <c r="DI64" s="9">
        <v>1</v>
      </c>
      <c r="DJ64" s="9">
        <v>3</v>
      </c>
      <c r="DK64" s="9">
        <v>2</v>
      </c>
      <c r="DL64" s="9">
        <v>0</v>
      </c>
      <c r="DM64" s="9">
        <v>9</v>
      </c>
      <c r="DN64" s="9">
        <v>0</v>
      </c>
      <c r="DO64" s="9">
        <v>81.12</v>
      </c>
      <c r="DP64" s="9">
        <v>18.38</v>
      </c>
      <c r="DQ64" s="9">
        <v>11.09</v>
      </c>
      <c r="DR64" s="9">
        <v>7.29</v>
      </c>
      <c r="DS64" s="9">
        <v>10.02</v>
      </c>
      <c r="DT64" s="9">
        <v>0.69</v>
      </c>
      <c r="DU64" s="9">
        <v>28.96</v>
      </c>
      <c r="DV64" s="9">
        <v>21.76</v>
      </c>
      <c r="DW64" s="9">
        <v>4.76</v>
      </c>
      <c r="DX64" s="9">
        <v>23.74</v>
      </c>
      <c r="DY64" s="9">
        <v>13.66</v>
      </c>
      <c r="DZ64" s="9">
        <v>2.56</v>
      </c>
      <c r="EA64" s="9">
        <v>17.288049999999998</v>
      </c>
      <c r="EB64" s="9">
        <v>-36.753599999999999</v>
      </c>
      <c r="EC64" s="9">
        <v>-0.70057999999999998</v>
      </c>
      <c r="ED64" s="9">
        <v>-5.35412</v>
      </c>
      <c r="EE64" s="9">
        <v>60.096330000000002</v>
      </c>
      <c r="EF64" s="9">
        <v>0</v>
      </c>
      <c r="EG64" s="9">
        <v>-47.684600000000003</v>
      </c>
      <c r="EH64" s="9">
        <v>-79.959999999999994</v>
      </c>
      <c r="EI64" s="9">
        <v>0</v>
      </c>
      <c r="EJ64" s="9">
        <v>0</v>
      </c>
      <c r="EK64" s="9">
        <v>32.275399999999998</v>
      </c>
      <c r="EL64" s="9">
        <v>-42.074100000000001</v>
      </c>
      <c r="EM64" s="9">
        <v>22.89855</v>
      </c>
      <c r="EN64" s="9"/>
      <c r="EO64" s="9"/>
      <c r="EP64" s="9"/>
      <c r="EQ64" s="9"/>
      <c r="ER64" s="9"/>
      <c r="ES64" s="9"/>
      <c r="ET64" s="9"/>
      <c r="EU64">
        <v>1202.54</v>
      </c>
      <c r="EV64" s="9">
        <v>4705.07</v>
      </c>
      <c r="EW64" s="9">
        <v>1348.44</v>
      </c>
      <c r="EX64" s="9">
        <v>16.66</v>
      </c>
      <c r="EY64" s="9">
        <v>44.63</v>
      </c>
      <c r="EZ64" s="9">
        <v>871.77</v>
      </c>
      <c r="FA64" s="9">
        <v>2423.58</v>
      </c>
      <c r="FB64" s="9">
        <v>54.5625</v>
      </c>
      <c r="FC64" s="9">
        <v>53.072608695699998</v>
      </c>
      <c r="FD64" s="9">
        <v>3378.9047619048001</v>
      </c>
      <c r="FE64" s="9">
        <v>28.11</v>
      </c>
      <c r="FF64" s="9">
        <v>434.32142857140002</v>
      </c>
      <c r="FG64">
        <v>678347.26</v>
      </c>
      <c r="FH64">
        <v>641073.57999999996</v>
      </c>
      <c r="FI64">
        <v>37273.68</v>
      </c>
      <c r="FJ64" s="9">
        <v>813657.65999999992</v>
      </c>
      <c r="FK64">
        <v>755913.48</v>
      </c>
      <c r="FL64" s="9">
        <v>57744.18</v>
      </c>
      <c r="FM64" s="9">
        <v>1164294.33</v>
      </c>
      <c r="FN64" s="9">
        <v>170958.35</v>
      </c>
      <c r="FO64">
        <v>1192</v>
      </c>
      <c r="FP64">
        <v>870.49</v>
      </c>
      <c r="FQ64">
        <v>52.79</v>
      </c>
      <c r="FR64">
        <v>4.68</v>
      </c>
      <c r="FS64">
        <v>0</v>
      </c>
      <c r="FT64">
        <v>197.19</v>
      </c>
      <c r="FU64">
        <v>6.95</v>
      </c>
      <c r="FV64">
        <v>1085.4100000000001</v>
      </c>
      <c r="FW64">
        <v>14039.23</v>
      </c>
      <c r="FX64">
        <v>115.31</v>
      </c>
      <c r="HB64" s="6"/>
      <c r="HC64" s="6"/>
      <c r="HD64" s="6"/>
    </row>
    <row r="65" spans="1:212" x14ac:dyDescent="0.2">
      <c r="A65" s="8" t="s">
        <v>848</v>
      </c>
      <c r="B65" s="8" t="s">
        <v>255</v>
      </c>
      <c r="C65" s="8" t="s">
        <v>256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>
        <v>53835.1</v>
      </c>
      <c r="BO65" s="9">
        <v>43776.7</v>
      </c>
      <c r="BP65" s="9">
        <v>7980.2</v>
      </c>
      <c r="BQ65" s="9">
        <v>4184.5</v>
      </c>
      <c r="BR65" s="9">
        <v>3795.7</v>
      </c>
      <c r="BS65" s="9">
        <v>6375.6</v>
      </c>
      <c r="BT65" s="9">
        <v>13344.7</v>
      </c>
      <c r="BU65" s="9">
        <v>4480.8</v>
      </c>
      <c r="BV65" s="9">
        <v>9819.6</v>
      </c>
      <c r="BW65" s="9">
        <v>50318</v>
      </c>
      <c r="BX65" s="9">
        <v>461.3</v>
      </c>
      <c r="BY65" s="9">
        <v>21152.799999999999</v>
      </c>
      <c r="BZ65" s="9">
        <v>11461.9</v>
      </c>
      <c r="CA65" s="9">
        <v>2730.9</v>
      </c>
      <c r="CB65" s="9">
        <v>0</v>
      </c>
      <c r="CC65" s="9">
        <v>0</v>
      </c>
      <c r="CD65" s="9">
        <v>0</v>
      </c>
      <c r="CE65" s="9">
        <v>2882.7</v>
      </c>
      <c r="CF65" s="9">
        <v>248012.64684375</v>
      </c>
      <c r="CG65" s="9">
        <v>932475.99765239842</v>
      </c>
      <c r="CH65" s="9"/>
      <c r="CI65" s="9"/>
      <c r="CJ65" s="9">
        <v>31.3</v>
      </c>
      <c r="CK65" s="9">
        <v>16.899999999999999</v>
      </c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>
        <v>62</v>
      </c>
      <c r="DA65" s="9">
        <v>46</v>
      </c>
      <c r="DB65" s="9">
        <v>10</v>
      </c>
      <c r="DC65" s="9">
        <v>23</v>
      </c>
      <c r="DD65" s="9">
        <v>0</v>
      </c>
      <c r="DE65" s="9">
        <v>0</v>
      </c>
      <c r="DF65" s="9">
        <v>3</v>
      </c>
      <c r="DG65" s="9">
        <v>2</v>
      </c>
      <c r="DH65" s="9">
        <v>7</v>
      </c>
      <c r="DI65" s="9">
        <v>0</v>
      </c>
      <c r="DJ65" s="9">
        <v>3</v>
      </c>
      <c r="DK65" s="9">
        <v>2</v>
      </c>
      <c r="DL65" s="9">
        <v>0</v>
      </c>
      <c r="DM65" s="9">
        <v>9</v>
      </c>
      <c r="DN65" s="9">
        <v>0</v>
      </c>
      <c r="DO65" s="9">
        <v>86.12</v>
      </c>
      <c r="DP65" s="9">
        <v>22.06</v>
      </c>
      <c r="DQ65" s="9">
        <v>13.08</v>
      </c>
      <c r="DR65" s="9">
        <v>8.99</v>
      </c>
      <c r="DS65" s="9">
        <v>13.66</v>
      </c>
      <c r="DT65" s="9">
        <v>0.48</v>
      </c>
      <c r="DU65" s="9">
        <v>34.53</v>
      </c>
      <c r="DV65" s="9">
        <v>21.42</v>
      </c>
      <c r="DW65" s="9">
        <v>9.6300000000000008</v>
      </c>
      <c r="DX65" s="9">
        <v>15.77</v>
      </c>
      <c r="DY65" s="9">
        <v>6.87</v>
      </c>
      <c r="DZ65" s="9">
        <v>2.52</v>
      </c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>
        <v>1186.93</v>
      </c>
      <c r="EV65" s="9"/>
      <c r="EW65" s="9"/>
      <c r="EX65" s="9"/>
      <c r="EY65" s="9"/>
      <c r="EZ65" s="9"/>
      <c r="FA65" s="9"/>
      <c r="FB65" s="9">
        <v>54.910714285700003</v>
      </c>
      <c r="FC65" s="9">
        <v>51.857142857100001</v>
      </c>
      <c r="FD65" s="9">
        <v>3389.8095238095002</v>
      </c>
      <c r="FE65" s="9">
        <v>28.11</v>
      </c>
      <c r="FF65" s="9">
        <v>429.23333333329998</v>
      </c>
      <c r="FG65">
        <v>698627.25</v>
      </c>
      <c r="FH65">
        <v>660337.28</v>
      </c>
      <c r="FI65">
        <v>38289.97</v>
      </c>
      <c r="FJ65" s="9">
        <v>825370.99000000011</v>
      </c>
      <c r="FK65">
        <v>764027.54</v>
      </c>
      <c r="FL65" s="9">
        <v>61343.45</v>
      </c>
      <c r="FM65" s="9">
        <v>1199424.57</v>
      </c>
      <c r="FN65" s="9">
        <v>175454.68</v>
      </c>
      <c r="FO65">
        <v>1188</v>
      </c>
      <c r="FP65">
        <v>820.87</v>
      </c>
      <c r="FQ65">
        <v>45.19</v>
      </c>
      <c r="FR65">
        <v>13.46</v>
      </c>
      <c r="FS65">
        <v>0</v>
      </c>
      <c r="FT65">
        <v>275</v>
      </c>
      <c r="FU65">
        <v>29.79</v>
      </c>
      <c r="FV65">
        <v>461.89</v>
      </c>
      <c r="FW65">
        <v>11853.35</v>
      </c>
      <c r="FX65">
        <v>150.80000000000001</v>
      </c>
      <c r="HB65" s="6"/>
      <c r="HC65" s="6"/>
      <c r="HD65" s="6"/>
    </row>
    <row r="66" spans="1:212" x14ac:dyDescent="0.2">
      <c r="A66" s="8" t="s">
        <v>848</v>
      </c>
      <c r="B66" s="8" t="s">
        <v>255</v>
      </c>
      <c r="C66" s="8" t="s">
        <v>257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>
        <v>65510.3</v>
      </c>
      <c r="BO66" s="9">
        <v>54797.5</v>
      </c>
      <c r="BP66" s="9">
        <v>9282.4</v>
      </c>
      <c r="BQ66" s="9">
        <v>4155.8</v>
      </c>
      <c r="BR66" s="9">
        <v>5126.6000000000004</v>
      </c>
      <c r="BS66" s="9">
        <v>7542.3</v>
      </c>
      <c r="BT66" s="9">
        <v>14565.3</v>
      </c>
      <c r="BU66" s="9">
        <v>6744.5</v>
      </c>
      <c r="BV66" s="9">
        <v>9746.2999999999993</v>
      </c>
      <c r="BW66" s="9">
        <v>44739.7</v>
      </c>
      <c r="BX66" s="9">
        <v>6353.6</v>
      </c>
      <c r="BY66" s="9">
        <v>16962.900000000001</v>
      </c>
      <c r="BZ66" s="9">
        <v>11583.9</v>
      </c>
      <c r="CA66" s="9">
        <v>1778.4</v>
      </c>
      <c r="CB66" s="9">
        <v>0</v>
      </c>
      <c r="CC66" s="9">
        <v>0</v>
      </c>
      <c r="CD66" s="9">
        <v>0</v>
      </c>
      <c r="CE66" s="9">
        <v>3153.2</v>
      </c>
      <c r="CF66" s="9">
        <v>255501.60649832</v>
      </c>
      <c r="CG66" s="9">
        <v>972132.87772287137</v>
      </c>
      <c r="CH66" s="9"/>
      <c r="CI66" s="9"/>
      <c r="CJ66" s="9">
        <v>31</v>
      </c>
      <c r="CK66" s="9">
        <v>15.9</v>
      </c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>
        <v>68</v>
      </c>
      <c r="DA66" s="9">
        <v>48</v>
      </c>
      <c r="DB66" s="9">
        <v>14</v>
      </c>
      <c r="DC66" s="9">
        <v>23</v>
      </c>
      <c r="DD66" s="9">
        <v>1</v>
      </c>
      <c r="DE66" s="9">
        <v>0</v>
      </c>
      <c r="DF66" s="9">
        <v>3</v>
      </c>
      <c r="DG66" s="9">
        <v>1</v>
      </c>
      <c r="DH66" s="9">
        <v>10</v>
      </c>
      <c r="DI66" s="9">
        <v>0</v>
      </c>
      <c r="DJ66" s="9">
        <v>1</v>
      </c>
      <c r="DK66" s="9">
        <v>8</v>
      </c>
      <c r="DL66" s="9">
        <v>0</v>
      </c>
      <c r="DM66" s="9">
        <v>11</v>
      </c>
      <c r="DN66" s="9">
        <v>0</v>
      </c>
      <c r="DO66" s="9">
        <v>93.86</v>
      </c>
      <c r="DP66" s="9">
        <v>25.8</v>
      </c>
      <c r="DQ66" s="9">
        <v>15.54</v>
      </c>
      <c r="DR66" s="9">
        <v>10.26</v>
      </c>
      <c r="DS66" s="9">
        <v>14.25</v>
      </c>
      <c r="DT66" s="9">
        <v>0.44</v>
      </c>
      <c r="DU66" s="9">
        <v>34.32</v>
      </c>
      <c r="DV66" s="9">
        <v>21.59</v>
      </c>
      <c r="DW66" s="9">
        <v>7.98</v>
      </c>
      <c r="DX66" s="9">
        <v>19.399999999999999</v>
      </c>
      <c r="DY66" s="9">
        <v>10.91</v>
      </c>
      <c r="DZ66" s="9">
        <v>2.4300000000000002</v>
      </c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>
        <v>1188</v>
      </c>
      <c r="EV66" s="9"/>
      <c r="EW66" s="9"/>
      <c r="EX66" s="9"/>
      <c r="EY66" s="9"/>
      <c r="EZ66" s="9"/>
      <c r="FA66" s="9"/>
      <c r="FB66" s="9">
        <v>54.977678571399998</v>
      </c>
      <c r="FC66" s="9">
        <v>48.6663636364</v>
      </c>
      <c r="FD66" s="9">
        <v>3241.9</v>
      </c>
      <c r="FE66" s="9">
        <v>28.11</v>
      </c>
      <c r="FF66" s="9">
        <v>421.8725</v>
      </c>
      <c r="FG66">
        <v>726462.00000000012</v>
      </c>
      <c r="FH66">
        <v>685784.06</v>
      </c>
      <c r="FI66">
        <v>40677.94</v>
      </c>
      <c r="FJ66" s="9">
        <v>863242.98</v>
      </c>
      <c r="FK66">
        <v>800755.05</v>
      </c>
      <c r="FL66" s="9">
        <v>62487.93</v>
      </c>
      <c r="FM66" s="9">
        <v>1233996.96</v>
      </c>
      <c r="FN66" s="9">
        <v>176843.33</v>
      </c>
      <c r="FO66">
        <v>1189</v>
      </c>
      <c r="FP66">
        <v>1128.82</v>
      </c>
      <c r="FQ66">
        <v>44.16</v>
      </c>
      <c r="FR66">
        <v>21.71</v>
      </c>
      <c r="FS66">
        <v>0</v>
      </c>
      <c r="FT66">
        <v>269.08999999999997</v>
      </c>
      <c r="FU66">
        <v>30.4</v>
      </c>
      <c r="FV66">
        <v>6.83</v>
      </c>
      <c r="FW66">
        <v>4957.3</v>
      </c>
      <c r="FX66">
        <v>220.51</v>
      </c>
      <c r="HB66" s="6"/>
      <c r="HC66" s="6"/>
      <c r="HD66" s="6"/>
    </row>
    <row r="67" spans="1:212" x14ac:dyDescent="0.2">
      <c r="A67" s="8" t="s">
        <v>848</v>
      </c>
      <c r="B67" s="8" t="s">
        <v>255</v>
      </c>
      <c r="C67" s="8" t="s">
        <v>258</v>
      </c>
      <c r="D67" s="9">
        <v>824924.3</v>
      </c>
      <c r="E67" s="9">
        <v>235351.7</v>
      </c>
      <c r="F67" s="9">
        <v>153128.29999999999</v>
      </c>
      <c r="G67" s="9">
        <v>49193.4</v>
      </c>
      <c r="H67" s="9">
        <v>19696.8</v>
      </c>
      <c r="I67" s="9">
        <v>15141.2</v>
      </c>
      <c r="J67" s="9">
        <v>46020.4</v>
      </c>
      <c r="K67" s="9">
        <v>62376.9</v>
      </c>
      <c r="L67" s="9">
        <v>24909.5</v>
      </c>
      <c r="M67" s="9">
        <v>142729.70000000001</v>
      </c>
      <c r="N67" s="9">
        <v>76376.3</v>
      </c>
      <c r="O67" s="9">
        <v>2792643.3031157032</v>
      </c>
      <c r="P67" s="9">
        <v>613926.3507143415</v>
      </c>
      <c r="Q67" s="9">
        <v>445635.01276748208</v>
      </c>
      <c r="R67" s="9">
        <v>223610.25767651841</v>
      </c>
      <c r="S67" s="9">
        <v>72597.603457118501</v>
      </c>
      <c r="T67" s="9">
        <v>95754.921016386303</v>
      </c>
      <c r="U67" s="9">
        <v>183263.38630383339</v>
      </c>
      <c r="V67" s="9">
        <v>100392.30647626839</v>
      </c>
      <c r="W67" s="9">
        <v>44442.87218097</v>
      </c>
      <c r="X67" s="9">
        <v>836194.57113612059</v>
      </c>
      <c r="Y67" s="9">
        <v>176826.02138666439</v>
      </c>
      <c r="Z67" s="9">
        <v>790967.3</v>
      </c>
      <c r="AA67" s="9">
        <v>367253</v>
      </c>
      <c r="AB67" s="9">
        <v>86908.1</v>
      </c>
      <c r="AC67" s="9">
        <v>328603.40000000002</v>
      </c>
      <c r="AD67" s="9">
        <v>112670.2</v>
      </c>
      <c r="AE67" s="9">
        <v>380477.1</v>
      </c>
      <c r="AF67" s="9">
        <v>484944.4</v>
      </c>
      <c r="AG67" s="9">
        <v>2648309.0347143179</v>
      </c>
      <c r="AH67" s="9">
        <v>1005869.701761525</v>
      </c>
      <c r="AI67" s="9">
        <v>358081.34387291921</v>
      </c>
      <c r="AJ67" s="9">
        <v>979524.76768215944</v>
      </c>
      <c r="AK67" s="9">
        <v>441666.13437627163</v>
      </c>
      <c r="AL67" s="9">
        <v>604198.25515067566</v>
      </c>
      <c r="AM67" s="9">
        <v>741031.16812923236</v>
      </c>
      <c r="AN67" s="9"/>
      <c r="AO67" s="9"/>
      <c r="AP67" s="9"/>
      <c r="AQ67" s="9"/>
      <c r="AR67" s="9"/>
      <c r="AS67" s="9"/>
      <c r="AT67" s="9"/>
      <c r="AU67" s="9"/>
      <c r="AV67" s="9"/>
      <c r="AW67" s="9">
        <v>101.8</v>
      </c>
      <c r="AX67" s="9">
        <v>48.8</v>
      </c>
      <c r="AY67" s="9">
        <v>117.4</v>
      </c>
      <c r="AZ67" s="9">
        <v>102.4</v>
      </c>
      <c r="BA67" s="9">
        <v>115.3</v>
      </c>
      <c r="BB67" s="9"/>
      <c r="BC67" s="9">
        <v>114</v>
      </c>
      <c r="BD67" s="9">
        <v>73.7</v>
      </c>
      <c r="BE67" s="9">
        <v>108.8</v>
      </c>
      <c r="BF67" s="9">
        <v>125.8</v>
      </c>
      <c r="BG67" s="9"/>
      <c r="BH67" s="9">
        <v>129.19999999999999</v>
      </c>
      <c r="BI67" s="9">
        <v>66</v>
      </c>
      <c r="BJ67" s="9">
        <v>115.1</v>
      </c>
      <c r="BK67" s="9">
        <v>81.599999999999994</v>
      </c>
      <c r="BL67" s="9"/>
      <c r="BM67" s="9">
        <v>63.2</v>
      </c>
      <c r="BN67" s="9">
        <v>101536.9</v>
      </c>
      <c r="BO67" s="9">
        <v>75825.3</v>
      </c>
      <c r="BP67" s="9">
        <v>25936.799999999999</v>
      </c>
      <c r="BQ67" s="9">
        <v>20180.2</v>
      </c>
      <c r="BR67" s="9">
        <v>5756.6</v>
      </c>
      <c r="BS67" s="9">
        <v>8715.7000000000007</v>
      </c>
      <c r="BT67" s="9">
        <v>17720.900000000001</v>
      </c>
      <c r="BU67" s="9">
        <v>7804.1</v>
      </c>
      <c r="BV67" s="9">
        <v>25262.2</v>
      </c>
      <c r="BW67" s="9">
        <v>52078.3</v>
      </c>
      <c r="BX67" s="9">
        <v>2220.6999999999998</v>
      </c>
      <c r="BY67" s="9">
        <v>18694.2</v>
      </c>
      <c r="BZ67" s="9">
        <v>15814.4</v>
      </c>
      <c r="CA67" s="9">
        <v>1587.2</v>
      </c>
      <c r="CB67" s="9">
        <v>0</v>
      </c>
      <c r="CC67" s="9">
        <v>0</v>
      </c>
      <c r="CD67" s="9">
        <v>0</v>
      </c>
      <c r="CE67" s="9">
        <v>7329.9</v>
      </c>
      <c r="CF67" s="9">
        <v>277664.36478049011</v>
      </c>
      <c r="CG67" s="9">
        <v>1009588.4656675319</v>
      </c>
      <c r="CH67" s="9"/>
      <c r="CI67" s="9"/>
      <c r="CJ67" s="9">
        <v>30</v>
      </c>
      <c r="CK67" s="9">
        <v>17.3</v>
      </c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>
        <v>114</v>
      </c>
      <c r="DA67" s="9">
        <v>83</v>
      </c>
      <c r="DB67" s="9">
        <v>58</v>
      </c>
      <c r="DC67" s="9">
        <v>16</v>
      </c>
      <c r="DD67" s="9">
        <v>0</v>
      </c>
      <c r="DE67" s="9">
        <v>0</v>
      </c>
      <c r="DF67" s="9">
        <v>2</v>
      </c>
      <c r="DG67" s="9">
        <v>1</v>
      </c>
      <c r="DH67" s="9">
        <v>20</v>
      </c>
      <c r="DI67" s="9">
        <v>0</v>
      </c>
      <c r="DJ67" s="9">
        <v>1</v>
      </c>
      <c r="DK67" s="9">
        <v>16</v>
      </c>
      <c r="DL67" s="9">
        <v>0</v>
      </c>
      <c r="DM67" s="9">
        <v>10</v>
      </c>
      <c r="DN67" s="9">
        <v>0</v>
      </c>
      <c r="DO67" s="9">
        <v>135</v>
      </c>
      <c r="DP67" s="9">
        <v>30.82</v>
      </c>
      <c r="DQ67" s="9">
        <v>18.309999999999999</v>
      </c>
      <c r="DR67" s="9">
        <v>12.51</v>
      </c>
      <c r="DS67" s="9">
        <v>17.079999999999998</v>
      </c>
      <c r="DT67" s="9">
        <v>0.45</v>
      </c>
      <c r="DU67" s="9">
        <v>56.31</v>
      </c>
      <c r="DV67" s="9">
        <v>30.21</v>
      </c>
      <c r="DW67" s="9">
        <v>9.51</v>
      </c>
      <c r="DX67" s="9">
        <v>30.77</v>
      </c>
      <c r="DY67" s="9">
        <v>17.16</v>
      </c>
      <c r="DZ67" s="9">
        <v>5.72</v>
      </c>
      <c r="EA67" s="9">
        <v>-31.875599999999999</v>
      </c>
      <c r="EB67" s="9">
        <v>-71.610699999999994</v>
      </c>
      <c r="EC67" s="9">
        <v>-2.9556399999999998</v>
      </c>
      <c r="ED67" s="9">
        <v>-7.4358199999999997</v>
      </c>
      <c r="EE67" s="9">
        <v>50.126600000000003</v>
      </c>
      <c r="EF67" s="9">
        <v>0</v>
      </c>
      <c r="EG67" s="9">
        <v>6.1867130000000001</v>
      </c>
      <c r="EH67" s="9">
        <v>-29.86</v>
      </c>
      <c r="EI67" s="9">
        <v>0</v>
      </c>
      <c r="EJ67" s="9">
        <v>0</v>
      </c>
      <c r="EK67" s="9">
        <v>36.046709999999997</v>
      </c>
      <c r="EL67" s="9">
        <v>63.776969999999999</v>
      </c>
      <c r="EM67" s="9">
        <v>25.714700000000001</v>
      </c>
      <c r="EN67" s="9"/>
      <c r="EO67" s="9"/>
      <c r="EP67" s="9"/>
      <c r="EQ67" s="9"/>
      <c r="ER67" s="9"/>
      <c r="ES67" s="9"/>
      <c r="ET67" s="9"/>
      <c r="EU67">
        <v>1190.53</v>
      </c>
      <c r="EV67" s="9">
        <v>4631.5600000000004</v>
      </c>
      <c r="EW67" s="9">
        <v>1320.84</v>
      </c>
      <c r="EX67" s="9">
        <v>14.56</v>
      </c>
      <c r="EY67" s="9">
        <v>39.729999999999997</v>
      </c>
      <c r="EZ67" s="9">
        <v>832.86</v>
      </c>
      <c r="FA67" s="9">
        <v>2423.58</v>
      </c>
      <c r="FB67" s="9">
        <v>54.642857142899999</v>
      </c>
      <c r="FC67" s="9">
        <v>54.307727272699999</v>
      </c>
      <c r="FD67" s="9">
        <v>3529.7272727272998</v>
      </c>
      <c r="FE67" s="9">
        <v>28.11</v>
      </c>
      <c r="FF67" s="9">
        <v>430.65681818180002</v>
      </c>
      <c r="FG67">
        <v>756879.55</v>
      </c>
      <c r="FH67">
        <v>720674.27</v>
      </c>
      <c r="FI67">
        <v>36205.279999999999</v>
      </c>
      <c r="FJ67" s="9">
        <v>890830.4</v>
      </c>
      <c r="FK67">
        <v>823934.14</v>
      </c>
      <c r="FL67" s="9">
        <v>66896.259999999995</v>
      </c>
      <c r="FM67" s="9">
        <v>1292060.0900000001</v>
      </c>
      <c r="FN67" s="9">
        <v>179448.98</v>
      </c>
      <c r="FO67">
        <v>1193</v>
      </c>
      <c r="FP67">
        <v>4364.79</v>
      </c>
      <c r="FQ67">
        <v>32.57</v>
      </c>
      <c r="FR67">
        <v>14.5</v>
      </c>
      <c r="FS67">
        <v>0</v>
      </c>
      <c r="FT67">
        <v>208.42</v>
      </c>
      <c r="FU67">
        <v>21.89</v>
      </c>
      <c r="FV67">
        <v>0.01</v>
      </c>
      <c r="FW67">
        <v>2064.0700000000002</v>
      </c>
      <c r="FX67">
        <v>435.36</v>
      </c>
      <c r="HB67" s="6"/>
      <c r="HC67" s="6"/>
      <c r="HD67" s="6"/>
    </row>
    <row r="68" spans="1:212" x14ac:dyDescent="0.2">
      <c r="A68" s="8" t="s">
        <v>848</v>
      </c>
      <c r="B68" s="8" t="s">
        <v>259</v>
      </c>
      <c r="C68" s="8" t="s">
        <v>260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>
        <v>73240.899999999994</v>
      </c>
      <c r="BO68" s="9">
        <v>60948.3</v>
      </c>
      <c r="BP68" s="9">
        <v>12403</v>
      </c>
      <c r="BQ68" s="9">
        <v>7970.8</v>
      </c>
      <c r="BR68" s="9">
        <v>4432.3</v>
      </c>
      <c r="BS68" s="9">
        <v>6364</v>
      </c>
      <c r="BT68" s="9">
        <v>17146.099999999999</v>
      </c>
      <c r="BU68" s="9">
        <v>8365.2000000000007</v>
      </c>
      <c r="BV68" s="9">
        <v>12091.4</v>
      </c>
      <c r="BW68" s="9">
        <v>38285.9</v>
      </c>
      <c r="BX68" s="9">
        <v>8969.6</v>
      </c>
      <c r="BY68" s="9">
        <v>12440.2</v>
      </c>
      <c r="BZ68" s="9">
        <v>9821</v>
      </c>
      <c r="CA68" s="9">
        <v>568</v>
      </c>
      <c r="CB68" s="9">
        <v>0</v>
      </c>
      <c r="CC68" s="9">
        <v>0</v>
      </c>
      <c r="CD68" s="9">
        <v>0</v>
      </c>
      <c r="CE68" s="9">
        <v>5527.5</v>
      </c>
      <c r="CF68" s="9">
        <v>278810.84159656003</v>
      </c>
      <c r="CG68" s="9">
        <v>1040143.258903226</v>
      </c>
      <c r="CH68" s="9"/>
      <c r="CI68" s="9"/>
      <c r="CJ68" s="9">
        <v>27.2</v>
      </c>
      <c r="CK68" s="9">
        <v>17.8</v>
      </c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>
        <v>75</v>
      </c>
      <c r="DA68" s="9">
        <v>46</v>
      </c>
      <c r="DB68" s="9">
        <v>14</v>
      </c>
      <c r="DC68" s="9">
        <v>22</v>
      </c>
      <c r="DD68" s="9">
        <v>0</v>
      </c>
      <c r="DE68" s="9">
        <v>0</v>
      </c>
      <c r="DF68" s="9">
        <v>3</v>
      </c>
      <c r="DG68" s="9">
        <v>1</v>
      </c>
      <c r="DH68" s="9">
        <v>14</v>
      </c>
      <c r="DI68" s="9">
        <v>0</v>
      </c>
      <c r="DJ68" s="9">
        <v>0</v>
      </c>
      <c r="DK68" s="9">
        <v>12</v>
      </c>
      <c r="DL68" s="9">
        <v>0</v>
      </c>
      <c r="DM68" s="9">
        <v>15</v>
      </c>
      <c r="DN68" s="9">
        <v>0</v>
      </c>
      <c r="DO68" s="9">
        <v>115.52</v>
      </c>
      <c r="DP68" s="9">
        <v>27.73</v>
      </c>
      <c r="DQ68" s="9">
        <v>14.46</v>
      </c>
      <c r="DR68" s="9">
        <v>13.26</v>
      </c>
      <c r="DS68" s="9">
        <v>16.22</v>
      </c>
      <c r="DT68" s="9">
        <v>0.4</v>
      </c>
      <c r="DU68" s="9">
        <v>35.5</v>
      </c>
      <c r="DV68" s="9">
        <v>21.06</v>
      </c>
      <c r="DW68" s="9">
        <v>9.06</v>
      </c>
      <c r="DX68" s="9">
        <v>36.06</v>
      </c>
      <c r="DY68" s="9">
        <v>18.96</v>
      </c>
      <c r="DZ68" s="9">
        <v>3.7</v>
      </c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>
        <v>1193.45</v>
      </c>
      <c r="EV68" s="9"/>
      <c r="EW68" s="9"/>
      <c r="EX68" s="9"/>
      <c r="EY68" s="9"/>
      <c r="EZ68" s="9"/>
      <c r="FA68" s="9"/>
      <c r="FB68" s="9">
        <v>54.535714285700003</v>
      </c>
      <c r="FC68" s="9">
        <v>57.579047619000001</v>
      </c>
      <c r="FD68" s="9">
        <v>3608.4761904761999</v>
      </c>
      <c r="FE68" s="9">
        <v>28.11</v>
      </c>
      <c r="FF68" s="9">
        <v>424.47857142859999</v>
      </c>
      <c r="FG68">
        <v>772157.2</v>
      </c>
      <c r="FH68">
        <v>734810.86</v>
      </c>
      <c r="FI68">
        <v>37346.339999999997</v>
      </c>
      <c r="FJ68" s="9">
        <v>917417.7</v>
      </c>
      <c r="FK68">
        <v>853489.58999999985</v>
      </c>
      <c r="FL68" s="9">
        <v>63928.11</v>
      </c>
      <c r="FM68" s="9">
        <v>1309585.32</v>
      </c>
      <c r="FN68" s="9">
        <v>182628.42</v>
      </c>
      <c r="FO68">
        <v>1193</v>
      </c>
      <c r="FP68">
        <v>995.31</v>
      </c>
      <c r="FQ68">
        <v>43.44</v>
      </c>
      <c r="FR68">
        <v>13.85</v>
      </c>
      <c r="FS68">
        <v>0</v>
      </c>
      <c r="FT68">
        <v>212.6</v>
      </c>
      <c r="FU68">
        <v>14.37</v>
      </c>
      <c r="FV68">
        <v>0</v>
      </c>
      <c r="FW68">
        <v>2163.58</v>
      </c>
      <c r="FX68">
        <v>282.45999999999998</v>
      </c>
      <c r="HB68" s="6"/>
      <c r="HC68" s="6"/>
      <c r="HD68" s="6"/>
    </row>
    <row r="69" spans="1:212" x14ac:dyDescent="0.2">
      <c r="A69" s="8" t="s">
        <v>848</v>
      </c>
      <c r="B69" s="8" t="s">
        <v>259</v>
      </c>
      <c r="C69" s="8" t="s">
        <v>261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>
        <v>68829.5</v>
      </c>
      <c r="BO69" s="9">
        <v>61074.8</v>
      </c>
      <c r="BP69" s="9">
        <v>14208.6</v>
      </c>
      <c r="BQ69" s="9">
        <v>10312.9</v>
      </c>
      <c r="BR69" s="9">
        <v>3895.5</v>
      </c>
      <c r="BS69" s="9">
        <v>7136.9</v>
      </c>
      <c r="BT69" s="9">
        <v>18444.2</v>
      </c>
      <c r="BU69" s="9">
        <v>7493.6</v>
      </c>
      <c r="BV69" s="9">
        <v>7585.5</v>
      </c>
      <c r="BW69" s="9">
        <v>41638.5</v>
      </c>
      <c r="BX69" s="9">
        <v>11662.4</v>
      </c>
      <c r="BY69" s="9">
        <v>14640.6</v>
      </c>
      <c r="BZ69" s="9">
        <v>8792.7000000000007</v>
      </c>
      <c r="CA69" s="9">
        <v>2393.8000000000002</v>
      </c>
      <c r="CB69" s="9">
        <v>0</v>
      </c>
      <c r="CC69" s="9">
        <v>0</v>
      </c>
      <c r="CD69" s="9">
        <v>0</v>
      </c>
      <c r="CE69" s="9">
        <v>10530</v>
      </c>
      <c r="CF69" s="9">
        <v>293241.37568693003</v>
      </c>
      <c r="CG69" s="9">
        <v>1081202.9838802861</v>
      </c>
      <c r="CH69" s="9"/>
      <c r="CI69" s="9"/>
      <c r="CJ69" s="9">
        <v>31.7</v>
      </c>
      <c r="CK69" s="9">
        <v>18</v>
      </c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>
        <v>84</v>
      </c>
      <c r="DA69" s="9">
        <v>55</v>
      </c>
      <c r="DB69" s="9">
        <v>18</v>
      </c>
      <c r="DC69" s="9">
        <v>26</v>
      </c>
      <c r="DD69" s="9">
        <v>1</v>
      </c>
      <c r="DE69" s="9">
        <v>0</v>
      </c>
      <c r="DF69" s="9">
        <v>3</v>
      </c>
      <c r="DG69" s="9">
        <v>1</v>
      </c>
      <c r="DH69" s="9">
        <v>11</v>
      </c>
      <c r="DI69" s="9">
        <v>0</v>
      </c>
      <c r="DJ69" s="9">
        <v>3</v>
      </c>
      <c r="DK69" s="9">
        <v>7</v>
      </c>
      <c r="DL69" s="9">
        <v>0</v>
      </c>
      <c r="DM69" s="9">
        <v>17</v>
      </c>
      <c r="DN69" s="9">
        <v>0</v>
      </c>
      <c r="DO69" s="9">
        <v>108.32</v>
      </c>
      <c r="DP69" s="9">
        <v>26.1</v>
      </c>
      <c r="DQ69" s="9">
        <v>15.98</v>
      </c>
      <c r="DR69" s="9">
        <v>10.119999999999999</v>
      </c>
      <c r="DS69" s="9">
        <v>14.56</v>
      </c>
      <c r="DT69" s="9">
        <v>0.52</v>
      </c>
      <c r="DU69" s="9">
        <v>43.37</v>
      </c>
      <c r="DV69" s="9">
        <v>25.36</v>
      </c>
      <c r="DW69" s="9">
        <v>9.7799999999999994</v>
      </c>
      <c r="DX69" s="9">
        <v>24.28</v>
      </c>
      <c r="DY69" s="9">
        <v>10.039999999999999</v>
      </c>
      <c r="DZ69" s="9">
        <v>2.31</v>
      </c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>
        <v>1200.07</v>
      </c>
      <c r="EV69" s="9"/>
      <c r="EW69" s="9"/>
      <c r="EX69" s="9"/>
      <c r="EY69" s="9"/>
      <c r="EZ69" s="9"/>
      <c r="FA69" s="9"/>
      <c r="FB69" s="9">
        <v>50.690746753200003</v>
      </c>
      <c r="FC69" s="9">
        <v>64.124782608700002</v>
      </c>
      <c r="FD69" s="9">
        <v>3791.9090909091001</v>
      </c>
      <c r="FE69" s="9">
        <v>28.11</v>
      </c>
      <c r="FF69" s="9">
        <v>437.92954545449999</v>
      </c>
      <c r="FG69">
        <v>793662.95000000007</v>
      </c>
      <c r="FH69">
        <v>752367.56</v>
      </c>
      <c r="FI69">
        <v>41295.39</v>
      </c>
      <c r="FJ69" s="9">
        <v>951673.44</v>
      </c>
      <c r="FK69">
        <v>885569.02</v>
      </c>
      <c r="FL69" s="9">
        <v>66104.42</v>
      </c>
      <c r="FM69" s="9">
        <v>1364290.14</v>
      </c>
      <c r="FN69" s="9">
        <v>187728.92</v>
      </c>
      <c r="FO69">
        <v>1205</v>
      </c>
      <c r="FP69">
        <v>1439.62</v>
      </c>
      <c r="FQ69">
        <v>49.12</v>
      </c>
      <c r="FR69">
        <v>21.32</v>
      </c>
      <c r="FS69">
        <v>0</v>
      </c>
      <c r="FT69">
        <v>242.03</v>
      </c>
      <c r="FU69">
        <v>14.55</v>
      </c>
      <c r="FV69">
        <v>1.03</v>
      </c>
      <c r="FW69">
        <v>13178.37</v>
      </c>
      <c r="FX69">
        <v>134.81</v>
      </c>
      <c r="HB69" s="6"/>
      <c r="HC69" s="6"/>
      <c r="HD69" s="6"/>
    </row>
    <row r="70" spans="1:212" x14ac:dyDescent="0.2">
      <c r="A70" s="8" t="s">
        <v>848</v>
      </c>
      <c r="B70" s="8" t="s">
        <v>259</v>
      </c>
      <c r="C70" s="8" t="s">
        <v>262</v>
      </c>
      <c r="D70" s="9">
        <v>817679.8</v>
      </c>
      <c r="E70" s="9">
        <v>175278.4</v>
      </c>
      <c r="F70" s="9">
        <v>192839</v>
      </c>
      <c r="G70" s="9">
        <v>44439.6</v>
      </c>
      <c r="H70" s="9">
        <v>16490.400000000001</v>
      </c>
      <c r="I70" s="9">
        <v>26004.7</v>
      </c>
      <c r="J70" s="9">
        <v>43583.7</v>
      </c>
      <c r="K70" s="9">
        <v>68347.100000000006</v>
      </c>
      <c r="L70" s="9">
        <v>26382</v>
      </c>
      <c r="M70" s="9">
        <v>134198.70000000001</v>
      </c>
      <c r="N70" s="9">
        <v>90116.4</v>
      </c>
      <c r="O70" s="9">
        <v>2768118.2595336172</v>
      </c>
      <c r="P70" s="9">
        <v>456722.83680468542</v>
      </c>
      <c r="Q70" s="9">
        <v>560588.40077226621</v>
      </c>
      <c r="R70" s="9">
        <v>201781.06783628801</v>
      </c>
      <c r="S70" s="9">
        <v>60713.209539673997</v>
      </c>
      <c r="T70" s="9">
        <v>164277.48553583611</v>
      </c>
      <c r="U70" s="9">
        <v>173370.3424645598</v>
      </c>
      <c r="V70" s="9">
        <v>109880.880083503</v>
      </c>
      <c r="W70" s="9">
        <v>47018.6565989468</v>
      </c>
      <c r="X70" s="9">
        <v>785356.22786996118</v>
      </c>
      <c r="Y70" s="9">
        <v>208409.15202789681</v>
      </c>
      <c r="Z70" s="9">
        <v>839779.9</v>
      </c>
      <c r="AA70" s="9">
        <v>461037.9</v>
      </c>
      <c r="AB70" s="9">
        <v>68525.100000000006</v>
      </c>
      <c r="AC70" s="9">
        <v>247673.60000000001</v>
      </c>
      <c r="AD70" s="9">
        <v>84949.9</v>
      </c>
      <c r="AE70" s="9">
        <v>498252</v>
      </c>
      <c r="AF70" s="9">
        <v>520658.5</v>
      </c>
      <c r="AG70" s="9">
        <v>2811742.908134744</v>
      </c>
      <c r="AH70" s="9">
        <v>1359309.4146326431</v>
      </c>
      <c r="AI70" s="9">
        <v>303932.00784875028</v>
      </c>
      <c r="AJ70" s="9">
        <v>794746.10415250529</v>
      </c>
      <c r="AK70" s="9">
        <v>358470.34076578083</v>
      </c>
      <c r="AL70" s="9">
        <v>851736.61318716453</v>
      </c>
      <c r="AM70" s="9">
        <v>856451.57245209999</v>
      </c>
      <c r="AN70" s="9"/>
      <c r="AO70" s="9"/>
      <c r="AP70" s="9"/>
      <c r="AQ70" s="9"/>
      <c r="AR70" s="9"/>
      <c r="AS70" s="9"/>
      <c r="AT70" s="9"/>
      <c r="AU70" s="9"/>
      <c r="AV70" s="9"/>
      <c r="AW70" s="9">
        <v>100</v>
      </c>
      <c r="AX70" s="9">
        <v>56.9</v>
      </c>
      <c r="AY70" s="9">
        <v>118.6</v>
      </c>
      <c r="AZ70" s="9">
        <v>95.7</v>
      </c>
      <c r="BA70" s="9">
        <v>120.8</v>
      </c>
      <c r="BB70" s="9"/>
      <c r="BC70" s="9">
        <v>115.8</v>
      </c>
      <c r="BD70" s="9">
        <v>72.2</v>
      </c>
      <c r="BE70" s="9">
        <v>116</v>
      </c>
      <c r="BF70" s="9">
        <v>106.5</v>
      </c>
      <c r="BG70" s="9"/>
      <c r="BH70" s="9">
        <v>191.7</v>
      </c>
      <c r="BI70" s="9">
        <v>71.7</v>
      </c>
      <c r="BJ70" s="9">
        <v>69.400000000000006</v>
      </c>
      <c r="BK70" s="9">
        <v>86.1</v>
      </c>
      <c r="BL70" s="9"/>
      <c r="BM70" s="9">
        <v>72.7</v>
      </c>
      <c r="BN70" s="9">
        <v>92311.4</v>
      </c>
      <c r="BO70" s="9">
        <v>61814.6</v>
      </c>
      <c r="BP70" s="9">
        <v>16620.099999999999</v>
      </c>
      <c r="BQ70" s="9">
        <v>11383.5</v>
      </c>
      <c r="BR70" s="9">
        <v>5236.7</v>
      </c>
      <c r="BS70" s="9">
        <v>8686.6</v>
      </c>
      <c r="BT70" s="9">
        <v>13787.3</v>
      </c>
      <c r="BU70" s="9">
        <v>6833.4</v>
      </c>
      <c r="BV70" s="9">
        <v>13899.6</v>
      </c>
      <c r="BW70" s="9">
        <v>47920.800000000003</v>
      </c>
      <c r="BX70" s="9">
        <v>7178.6</v>
      </c>
      <c r="BY70" s="9">
        <v>17283.8</v>
      </c>
      <c r="BZ70" s="9">
        <v>12446.9</v>
      </c>
      <c r="CA70" s="9">
        <v>633.70000000000005</v>
      </c>
      <c r="CB70" s="9">
        <v>0</v>
      </c>
      <c r="CC70" s="9">
        <v>0</v>
      </c>
      <c r="CD70" s="9">
        <v>0</v>
      </c>
      <c r="CE70" s="9">
        <v>8734.7999999999993</v>
      </c>
      <c r="CF70" s="9">
        <v>273522.23966139002</v>
      </c>
      <c r="CG70" s="9">
        <v>1112374.925927812</v>
      </c>
      <c r="CH70" s="9"/>
      <c r="CI70" s="9"/>
      <c r="CJ70" s="9">
        <v>30.5</v>
      </c>
      <c r="CK70" s="9">
        <v>16.2</v>
      </c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>
        <v>108</v>
      </c>
      <c r="DA70" s="9">
        <v>76</v>
      </c>
      <c r="DB70" s="9">
        <v>38</v>
      </c>
      <c r="DC70" s="9">
        <v>29</v>
      </c>
      <c r="DD70" s="9">
        <v>0</v>
      </c>
      <c r="DE70" s="9">
        <v>1</v>
      </c>
      <c r="DF70" s="9">
        <v>3</v>
      </c>
      <c r="DG70" s="9">
        <v>1</v>
      </c>
      <c r="DH70" s="9">
        <v>17</v>
      </c>
      <c r="DI70" s="9">
        <v>2</v>
      </c>
      <c r="DJ70" s="9">
        <v>4</v>
      </c>
      <c r="DK70" s="9">
        <v>8</v>
      </c>
      <c r="DL70" s="9">
        <v>0</v>
      </c>
      <c r="DM70" s="9">
        <v>15</v>
      </c>
      <c r="DN70" s="9">
        <v>0</v>
      </c>
      <c r="DO70" s="9">
        <v>100.09</v>
      </c>
      <c r="DP70" s="9">
        <v>23.55</v>
      </c>
      <c r="DQ70" s="9">
        <v>13.76</v>
      </c>
      <c r="DR70" s="9">
        <v>9.7899999999999991</v>
      </c>
      <c r="DS70" s="9">
        <v>15.23</v>
      </c>
      <c r="DT70" s="9">
        <v>0.38</v>
      </c>
      <c r="DU70" s="9">
        <v>28.72</v>
      </c>
      <c r="DV70" s="9">
        <v>16.23</v>
      </c>
      <c r="DW70" s="9">
        <v>8.61</v>
      </c>
      <c r="DX70" s="9">
        <v>32.520000000000003</v>
      </c>
      <c r="DY70" s="9">
        <v>15.58</v>
      </c>
      <c r="DZ70" s="9">
        <v>4.63</v>
      </c>
      <c r="EA70" s="9">
        <v>47.98912</v>
      </c>
      <c r="EB70" s="9">
        <v>-23.5169</v>
      </c>
      <c r="EC70" s="9">
        <v>15.545579999999999</v>
      </c>
      <c r="ED70" s="9">
        <v>-9.13828</v>
      </c>
      <c r="EE70" s="9">
        <v>65.098759999999999</v>
      </c>
      <c r="EF70" s="9">
        <v>0</v>
      </c>
      <c r="EG70" s="9">
        <v>7.5047449999999998</v>
      </c>
      <c r="EH70" s="9">
        <v>-34.24</v>
      </c>
      <c r="EI70" s="9">
        <v>-1.2</v>
      </c>
      <c r="EJ70" s="9">
        <v>0</v>
      </c>
      <c r="EK70" s="9">
        <v>42.944749999999999</v>
      </c>
      <c r="EL70" s="9">
        <v>2.362895</v>
      </c>
      <c r="EM70" s="9">
        <v>42.847270000000002</v>
      </c>
      <c r="EN70" s="9"/>
      <c r="EO70" s="9"/>
      <c r="EP70" s="9"/>
      <c r="EQ70" s="9"/>
      <c r="ER70" s="9"/>
      <c r="ES70" s="9"/>
      <c r="ET70" s="9"/>
      <c r="EU70">
        <v>1212.19</v>
      </c>
      <c r="EV70" s="9">
        <v>4597.1000000000004</v>
      </c>
      <c r="EW70" s="9">
        <v>1316.93</v>
      </c>
      <c r="EX70" s="9">
        <v>11.7</v>
      </c>
      <c r="EY70" s="9">
        <v>42.45</v>
      </c>
      <c r="EZ70" s="9">
        <v>802.44</v>
      </c>
      <c r="FA70" s="9">
        <v>2423.58</v>
      </c>
      <c r="FB70" s="9">
        <v>48.321428571399998</v>
      </c>
      <c r="FC70" s="9">
        <v>62.9822727273</v>
      </c>
      <c r="FD70" s="9">
        <v>3850.6590909091001</v>
      </c>
      <c r="FE70" s="9">
        <v>28.11</v>
      </c>
      <c r="FF70" s="9">
        <v>456.0477272727</v>
      </c>
      <c r="FG70">
        <v>821533.95</v>
      </c>
      <c r="FH70">
        <v>775069.88</v>
      </c>
      <c r="FI70">
        <v>46464.07</v>
      </c>
      <c r="FJ70" s="9">
        <v>990140.72</v>
      </c>
      <c r="FK70">
        <v>932454.44</v>
      </c>
      <c r="FL70" s="9">
        <v>57686.28</v>
      </c>
      <c r="FM70" s="9">
        <v>1416653.66</v>
      </c>
      <c r="FN70" s="9">
        <v>190708.6</v>
      </c>
      <c r="FO70">
        <v>1215</v>
      </c>
      <c r="FP70">
        <v>2748.84</v>
      </c>
      <c r="FQ70">
        <v>49.42</v>
      </c>
      <c r="FR70">
        <v>9.1</v>
      </c>
      <c r="FS70">
        <v>1.43</v>
      </c>
      <c r="FT70">
        <v>226.15</v>
      </c>
      <c r="FU70">
        <v>13.38</v>
      </c>
      <c r="FV70">
        <v>902.7</v>
      </c>
      <c r="FW70">
        <v>18022.3</v>
      </c>
      <c r="FX70">
        <v>142.85</v>
      </c>
      <c r="HB70" s="6"/>
      <c r="HC70" s="6"/>
      <c r="HD70" s="6"/>
    </row>
    <row r="71" spans="1:212" x14ac:dyDescent="0.2">
      <c r="A71" s="8" t="s">
        <v>848</v>
      </c>
      <c r="B71" s="8" t="s">
        <v>263</v>
      </c>
      <c r="C71" s="8" t="s">
        <v>264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>
        <v>64185.1</v>
      </c>
      <c r="BO71" s="9">
        <v>71629.5</v>
      </c>
      <c r="BP71" s="9">
        <v>23742.1</v>
      </c>
      <c r="BQ71" s="9">
        <v>18563.5</v>
      </c>
      <c r="BR71" s="9">
        <v>5178.6000000000004</v>
      </c>
      <c r="BS71" s="9">
        <v>7433.8</v>
      </c>
      <c r="BT71" s="9">
        <v>17685.8</v>
      </c>
      <c r="BU71" s="9">
        <v>9013.7000000000007</v>
      </c>
      <c r="BV71" s="9">
        <v>8726</v>
      </c>
      <c r="BW71" s="9">
        <v>50457.8</v>
      </c>
      <c r="BX71" s="9">
        <v>7650.7</v>
      </c>
      <c r="BY71" s="9">
        <v>18950.8</v>
      </c>
      <c r="BZ71" s="9">
        <v>12532.6</v>
      </c>
      <c r="CA71" s="9">
        <v>2728.3</v>
      </c>
      <c r="CB71" s="9">
        <v>0</v>
      </c>
      <c r="CC71" s="9">
        <v>0</v>
      </c>
      <c r="CD71" s="9">
        <v>0</v>
      </c>
      <c r="CE71" s="9">
        <v>10538.6</v>
      </c>
      <c r="CF71" s="9">
        <v>262138.21757961001</v>
      </c>
      <c r="CG71" s="9">
        <v>1112799.4896437421</v>
      </c>
      <c r="CH71" s="9"/>
      <c r="CI71" s="9"/>
      <c r="CJ71" s="9">
        <v>30.55</v>
      </c>
      <c r="CK71" s="9">
        <v>17.78</v>
      </c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>
        <v>116</v>
      </c>
      <c r="DA71" s="9">
        <v>93</v>
      </c>
      <c r="DB71" s="9">
        <v>39</v>
      </c>
      <c r="DC71" s="9">
        <v>40</v>
      </c>
      <c r="DD71" s="9">
        <v>0</v>
      </c>
      <c r="DE71" s="9">
        <v>2</v>
      </c>
      <c r="DF71" s="9">
        <v>2</v>
      </c>
      <c r="DG71" s="9">
        <v>1</v>
      </c>
      <c r="DH71" s="9">
        <v>9</v>
      </c>
      <c r="DI71" s="9">
        <v>1</v>
      </c>
      <c r="DJ71" s="9">
        <v>3</v>
      </c>
      <c r="DK71" s="9">
        <v>4</v>
      </c>
      <c r="DL71" s="9">
        <v>0</v>
      </c>
      <c r="DM71" s="9">
        <v>14</v>
      </c>
      <c r="DN71" s="9">
        <v>0</v>
      </c>
      <c r="DO71" s="9">
        <v>113.29</v>
      </c>
      <c r="DP71" s="9">
        <v>27.82</v>
      </c>
      <c r="DQ71" s="9">
        <v>19.93</v>
      </c>
      <c r="DR71" s="9">
        <v>7.88</v>
      </c>
      <c r="DS71" s="9">
        <v>13.36</v>
      </c>
      <c r="DT71" s="9">
        <v>0.43</v>
      </c>
      <c r="DU71" s="9">
        <v>33.32</v>
      </c>
      <c r="DV71" s="9">
        <v>20.81</v>
      </c>
      <c r="DW71" s="9">
        <v>8.24</v>
      </c>
      <c r="DX71" s="9">
        <v>38.590000000000003</v>
      </c>
      <c r="DY71" s="9">
        <v>21.62</v>
      </c>
      <c r="DZ71" s="9">
        <v>5.63</v>
      </c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>
        <v>1218.77</v>
      </c>
      <c r="EV71" s="9"/>
      <c r="EW71" s="9"/>
      <c r="EX71" s="9"/>
      <c r="EY71" s="9"/>
      <c r="EZ71" s="9"/>
      <c r="FA71" s="9"/>
      <c r="FB71" s="9">
        <v>44.5280612245</v>
      </c>
      <c r="FC71" s="9">
        <v>58.522380952399999</v>
      </c>
      <c r="FD71" s="9">
        <v>4056.1666666667002</v>
      </c>
      <c r="FE71" s="9">
        <v>28.11</v>
      </c>
      <c r="FF71" s="9">
        <v>469.89761904760002</v>
      </c>
      <c r="FG71">
        <v>829426.37</v>
      </c>
      <c r="FH71">
        <v>781246.76</v>
      </c>
      <c r="FI71">
        <v>48179.61</v>
      </c>
      <c r="FJ71" s="9">
        <v>1003733.24</v>
      </c>
      <c r="FK71">
        <v>942514.7</v>
      </c>
      <c r="FL71" s="9">
        <v>61218.54</v>
      </c>
      <c r="FM71" s="9">
        <v>1434186.38</v>
      </c>
      <c r="FN71" s="9">
        <v>194422.86</v>
      </c>
      <c r="FO71">
        <v>1221</v>
      </c>
      <c r="FP71">
        <v>2798.86</v>
      </c>
      <c r="FQ71">
        <v>66.08</v>
      </c>
      <c r="FR71">
        <v>16.64</v>
      </c>
      <c r="FS71">
        <v>5.01</v>
      </c>
      <c r="FT71">
        <v>180.06</v>
      </c>
      <c r="FU71">
        <v>21.59</v>
      </c>
      <c r="FV71">
        <v>943.45</v>
      </c>
      <c r="FW71">
        <v>12292.82</v>
      </c>
      <c r="FX71">
        <v>76.52</v>
      </c>
      <c r="HB71" s="6"/>
      <c r="HC71" s="6"/>
      <c r="HD71" s="6"/>
    </row>
    <row r="72" spans="1:212" x14ac:dyDescent="0.2">
      <c r="A72" s="8" t="s">
        <v>848</v>
      </c>
      <c r="B72" s="8" t="s">
        <v>263</v>
      </c>
      <c r="C72" s="8" t="s">
        <v>265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>
        <v>74893</v>
      </c>
      <c r="BO72" s="9">
        <v>63748.3</v>
      </c>
      <c r="BP72" s="9">
        <v>18757.2</v>
      </c>
      <c r="BQ72" s="9">
        <v>12789.1</v>
      </c>
      <c r="BR72" s="9">
        <v>5968.1</v>
      </c>
      <c r="BS72" s="9">
        <v>8570</v>
      </c>
      <c r="BT72" s="9">
        <v>13657.3</v>
      </c>
      <c r="BU72" s="9">
        <v>8847.2999999999993</v>
      </c>
      <c r="BV72" s="9">
        <v>11009.2</v>
      </c>
      <c r="BW72" s="9">
        <v>54303.5</v>
      </c>
      <c r="BX72" s="9">
        <v>2444.3000000000002</v>
      </c>
      <c r="BY72" s="9">
        <v>22163.8</v>
      </c>
      <c r="BZ72" s="9">
        <v>12220.2</v>
      </c>
      <c r="CA72" s="9">
        <v>1436.3</v>
      </c>
      <c r="CB72" s="9">
        <v>0</v>
      </c>
      <c r="CC72" s="9">
        <v>0</v>
      </c>
      <c r="CD72" s="9">
        <v>0</v>
      </c>
      <c r="CE72" s="9">
        <v>8660.2000000000007</v>
      </c>
      <c r="CF72" s="9">
        <v>253099.07728778</v>
      </c>
      <c r="CG72" s="9">
        <v>1110615.1318397741</v>
      </c>
      <c r="CH72" s="9"/>
      <c r="CI72" s="9"/>
      <c r="CJ72" s="9">
        <v>29</v>
      </c>
      <c r="CK72" s="9">
        <v>15.5</v>
      </c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>
        <v>118</v>
      </c>
      <c r="DA72" s="9">
        <v>92</v>
      </c>
      <c r="DB72" s="9">
        <v>38</v>
      </c>
      <c r="DC72" s="9">
        <v>39</v>
      </c>
      <c r="DD72" s="9">
        <v>1</v>
      </c>
      <c r="DE72" s="9">
        <v>3</v>
      </c>
      <c r="DF72" s="9">
        <v>3</v>
      </c>
      <c r="DG72" s="9">
        <v>0</v>
      </c>
      <c r="DH72" s="9">
        <v>15</v>
      </c>
      <c r="DI72" s="9">
        <v>3</v>
      </c>
      <c r="DJ72" s="9">
        <v>4</v>
      </c>
      <c r="DK72" s="9">
        <v>6</v>
      </c>
      <c r="DL72" s="9">
        <v>0</v>
      </c>
      <c r="DM72" s="9">
        <v>11</v>
      </c>
      <c r="DN72" s="9">
        <v>0</v>
      </c>
      <c r="DO72" s="9">
        <v>109.85</v>
      </c>
      <c r="DP72" s="9">
        <v>32.94</v>
      </c>
      <c r="DQ72" s="9">
        <v>20.54</v>
      </c>
      <c r="DR72" s="9">
        <v>12.4</v>
      </c>
      <c r="DS72" s="9">
        <v>18.57</v>
      </c>
      <c r="DT72" s="9">
        <v>0.15</v>
      </c>
      <c r="DU72" s="9">
        <v>25.62</v>
      </c>
      <c r="DV72" s="9">
        <v>14.38</v>
      </c>
      <c r="DW72" s="9">
        <v>6.04</v>
      </c>
      <c r="DX72" s="9">
        <v>32.72</v>
      </c>
      <c r="DY72" s="9">
        <v>16.64</v>
      </c>
      <c r="DZ72" s="9">
        <v>6.71</v>
      </c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>
        <v>1224.4000000000001</v>
      </c>
      <c r="EV72" s="9"/>
      <c r="EW72" s="9"/>
      <c r="EX72" s="9"/>
      <c r="EY72" s="9"/>
      <c r="EZ72" s="9"/>
      <c r="FA72" s="9"/>
      <c r="FB72" s="9">
        <v>40.641233766200003</v>
      </c>
      <c r="FC72" s="9">
        <v>55.535909090899999</v>
      </c>
      <c r="FD72" s="9">
        <v>4278.1590909091001</v>
      </c>
      <c r="FE72" s="9">
        <v>28.11</v>
      </c>
      <c r="FF72" s="9">
        <v>476.66590909090002</v>
      </c>
      <c r="FG72">
        <v>874440.47</v>
      </c>
      <c r="FH72">
        <v>823931.38</v>
      </c>
      <c r="FI72">
        <v>50509.09</v>
      </c>
      <c r="FJ72" s="9">
        <v>1018870.75</v>
      </c>
      <c r="FK72">
        <v>945426.75</v>
      </c>
      <c r="FL72" s="9">
        <v>73444</v>
      </c>
      <c r="FM72" s="9">
        <v>1503233.13</v>
      </c>
      <c r="FN72" s="9">
        <v>200994.13</v>
      </c>
      <c r="FO72">
        <v>1228</v>
      </c>
      <c r="FP72">
        <v>2723.06</v>
      </c>
      <c r="FQ72">
        <v>61.86</v>
      </c>
      <c r="FR72">
        <v>23.11</v>
      </c>
      <c r="FS72">
        <v>7.8</v>
      </c>
      <c r="FT72">
        <v>203.26</v>
      </c>
      <c r="FU72">
        <v>8.75</v>
      </c>
      <c r="FV72">
        <v>2332.44</v>
      </c>
      <c r="FW72">
        <v>19533.810000000001</v>
      </c>
      <c r="FX72">
        <v>186.76</v>
      </c>
      <c r="HB72" s="6"/>
      <c r="HC72" s="6"/>
      <c r="HD72" s="6"/>
    </row>
    <row r="73" spans="1:212" x14ac:dyDescent="0.2">
      <c r="A73" s="8" t="s">
        <v>848</v>
      </c>
      <c r="B73" s="8" t="s">
        <v>263</v>
      </c>
      <c r="C73" s="8" t="s">
        <v>266</v>
      </c>
      <c r="D73" s="9">
        <v>904974.6</v>
      </c>
      <c r="E73" s="9">
        <v>157755.20000000001</v>
      </c>
      <c r="F73" s="9">
        <v>203081.8</v>
      </c>
      <c r="G73" s="9">
        <v>52022.2</v>
      </c>
      <c r="H73" s="9">
        <v>28068.2</v>
      </c>
      <c r="I73" s="9">
        <v>36199.599999999999</v>
      </c>
      <c r="J73" s="9">
        <v>98432.9</v>
      </c>
      <c r="K73" s="9">
        <v>71096.399999999994</v>
      </c>
      <c r="L73" s="9">
        <v>23632</v>
      </c>
      <c r="M73" s="9">
        <v>149169.4</v>
      </c>
      <c r="N73" s="9">
        <v>85516.800000000003</v>
      </c>
      <c r="O73" s="9">
        <v>3063640.2105984902</v>
      </c>
      <c r="P73" s="9">
        <v>394981.86568403541</v>
      </c>
      <c r="Q73" s="9">
        <v>567269.43865334673</v>
      </c>
      <c r="R73" s="9">
        <v>226969.83146857371</v>
      </c>
      <c r="S73" s="9">
        <v>99296.9045500715</v>
      </c>
      <c r="T73" s="9">
        <v>219734.93850634689</v>
      </c>
      <c r="U73" s="9">
        <v>376235.81664230308</v>
      </c>
      <c r="V73" s="9">
        <v>109829.4462136432</v>
      </c>
      <c r="W73" s="9">
        <v>40469.899359119197</v>
      </c>
      <c r="X73" s="9">
        <v>838817.09373644902</v>
      </c>
      <c r="Y73" s="9">
        <v>190034.97578460129</v>
      </c>
      <c r="Z73" s="9">
        <v>931149</v>
      </c>
      <c r="AA73" s="9">
        <v>490722.6</v>
      </c>
      <c r="AB73" s="9">
        <v>109101.6</v>
      </c>
      <c r="AC73" s="9">
        <v>216535.1</v>
      </c>
      <c r="AD73" s="9">
        <v>74514.2</v>
      </c>
      <c r="AE73" s="9">
        <v>605003.30000000005</v>
      </c>
      <c r="AF73" s="9">
        <v>564727.9</v>
      </c>
      <c r="AG73" s="9">
        <v>3117664.0416932572</v>
      </c>
      <c r="AH73" s="9">
        <v>1481223.709029641</v>
      </c>
      <c r="AI73" s="9">
        <v>495405.44955949369</v>
      </c>
      <c r="AJ73" s="9">
        <v>711344.36335119233</v>
      </c>
      <c r="AK73" s="9">
        <v>321908.3919725247</v>
      </c>
      <c r="AL73" s="9">
        <v>1058807.254191688</v>
      </c>
      <c r="AM73" s="9">
        <v>951025.12641128397</v>
      </c>
      <c r="AN73" s="9"/>
      <c r="AO73" s="9"/>
      <c r="AP73" s="9"/>
      <c r="AQ73" s="9"/>
      <c r="AR73" s="9"/>
      <c r="AS73" s="9"/>
      <c r="AT73" s="9"/>
      <c r="AU73" s="9"/>
      <c r="AV73" s="9"/>
      <c r="AW73" s="9">
        <v>105.4</v>
      </c>
      <c r="AX73" s="9">
        <v>56.7</v>
      </c>
      <c r="AY73" s="9">
        <v>137.19999999999999</v>
      </c>
      <c r="AZ73" s="9">
        <v>104.9</v>
      </c>
      <c r="BA73" s="9">
        <v>118.1</v>
      </c>
      <c r="BB73" s="9"/>
      <c r="BC73" s="9">
        <v>111</v>
      </c>
      <c r="BD73" s="9">
        <v>75.400000000000006</v>
      </c>
      <c r="BE73" s="9">
        <v>114.2</v>
      </c>
      <c r="BF73" s="9">
        <v>122.6</v>
      </c>
      <c r="BG73" s="9"/>
      <c r="BH73" s="9">
        <v>202.5</v>
      </c>
      <c r="BI73" s="9">
        <v>71.400000000000006</v>
      </c>
      <c r="BJ73" s="9">
        <v>98.4</v>
      </c>
      <c r="BK73" s="9">
        <v>90.1</v>
      </c>
      <c r="BL73" s="9"/>
      <c r="BM73" s="9">
        <v>76.3</v>
      </c>
      <c r="BN73" s="9">
        <v>91380</v>
      </c>
      <c r="BO73" s="9">
        <v>72016.7</v>
      </c>
      <c r="BP73" s="9">
        <v>16630.900000000001</v>
      </c>
      <c r="BQ73" s="9">
        <v>9633.7999999999993</v>
      </c>
      <c r="BR73" s="9">
        <v>6997.1</v>
      </c>
      <c r="BS73" s="9">
        <v>14418.2</v>
      </c>
      <c r="BT73" s="9">
        <v>17270.7</v>
      </c>
      <c r="BU73" s="9">
        <v>5517.3</v>
      </c>
      <c r="BV73" s="9">
        <v>17345.099999999999</v>
      </c>
      <c r="BW73" s="9">
        <v>88844</v>
      </c>
      <c r="BX73" s="9">
        <v>745.5</v>
      </c>
      <c r="BY73" s="9">
        <v>51689</v>
      </c>
      <c r="BZ73" s="9">
        <v>14796.8</v>
      </c>
      <c r="CA73" s="9">
        <v>3130.3</v>
      </c>
      <c r="CB73" s="9">
        <v>0</v>
      </c>
      <c r="CC73" s="9">
        <v>0</v>
      </c>
      <c r="CD73" s="9">
        <v>0</v>
      </c>
      <c r="CE73" s="9">
        <v>29073.3</v>
      </c>
      <c r="CF73" s="9">
        <v>269124.3679368</v>
      </c>
      <c r="CG73" s="9">
        <v>1140138.7679367999</v>
      </c>
      <c r="CH73" s="9"/>
      <c r="CI73" s="9"/>
      <c r="CJ73" s="9">
        <v>28.3</v>
      </c>
      <c r="CK73" s="9">
        <v>14.8</v>
      </c>
      <c r="CL73" s="9"/>
      <c r="CM73" s="9">
        <v>35.235779634099998</v>
      </c>
      <c r="CN73" s="9">
        <v>14.001694050499999</v>
      </c>
      <c r="CO73" s="9">
        <v>0.99204887350000004</v>
      </c>
      <c r="CP73" s="9">
        <v>5.3777614641999998</v>
      </c>
      <c r="CQ73" s="9">
        <v>3.8048114395999999</v>
      </c>
      <c r="CR73" s="9">
        <v>1.9867710776</v>
      </c>
      <c r="CS73" s="9">
        <v>0.62568197569999995</v>
      </c>
      <c r="CT73" s="9">
        <v>3.1585836558999998</v>
      </c>
      <c r="CU73" s="9">
        <v>1.0161850484999999</v>
      </c>
      <c r="CV73" s="9">
        <v>1.0875359654000001</v>
      </c>
      <c r="CW73" s="9">
        <v>1.8903013678</v>
      </c>
      <c r="CX73" s="9">
        <v>0.35698183319999999</v>
      </c>
      <c r="CY73" s="9">
        <v>0.93742288230000004</v>
      </c>
      <c r="CZ73" s="9">
        <v>147</v>
      </c>
      <c r="DA73" s="9">
        <v>118</v>
      </c>
      <c r="DB73" s="9">
        <v>73</v>
      </c>
      <c r="DC73" s="9">
        <v>34</v>
      </c>
      <c r="DD73" s="9">
        <v>1</v>
      </c>
      <c r="DE73" s="9">
        <v>4</v>
      </c>
      <c r="DF73" s="9">
        <v>2</v>
      </c>
      <c r="DG73" s="9">
        <v>0</v>
      </c>
      <c r="DH73" s="9">
        <v>13</v>
      </c>
      <c r="DI73" s="9">
        <v>2</v>
      </c>
      <c r="DJ73" s="9">
        <v>4</v>
      </c>
      <c r="DK73" s="9">
        <v>6</v>
      </c>
      <c r="DL73" s="9">
        <v>0</v>
      </c>
      <c r="DM73" s="9">
        <v>15</v>
      </c>
      <c r="DN73" s="9">
        <v>0</v>
      </c>
      <c r="DO73" s="9">
        <v>93.31</v>
      </c>
      <c r="DP73" s="9">
        <v>28.93</v>
      </c>
      <c r="DQ73" s="9">
        <v>19.7</v>
      </c>
      <c r="DR73" s="9">
        <v>9.23</v>
      </c>
      <c r="DS73" s="9">
        <v>15.7</v>
      </c>
      <c r="DT73" s="9">
        <v>0.8</v>
      </c>
      <c r="DU73" s="9">
        <v>28.68</v>
      </c>
      <c r="DV73" s="9">
        <v>16.37</v>
      </c>
      <c r="DW73" s="9">
        <v>4.1900000000000004</v>
      </c>
      <c r="DX73" s="9">
        <v>19.98</v>
      </c>
      <c r="DY73" s="9">
        <v>11.87</v>
      </c>
      <c r="DZ73" s="9">
        <v>3.02</v>
      </c>
      <c r="EA73" s="9">
        <v>54.108690000000003</v>
      </c>
      <c r="EB73" s="9">
        <v>32.380119999999998</v>
      </c>
      <c r="EC73" s="9">
        <v>1.7165079999999999</v>
      </c>
      <c r="ED73" s="9">
        <v>-29.862200000000001</v>
      </c>
      <c r="EE73" s="9">
        <v>49.874279999999999</v>
      </c>
      <c r="EF73" s="9">
        <v>0</v>
      </c>
      <c r="EG73" s="9">
        <v>-14.803900000000001</v>
      </c>
      <c r="EH73" s="9">
        <v>-41.26</v>
      </c>
      <c r="EI73" s="9">
        <v>0</v>
      </c>
      <c r="EJ73" s="9">
        <v>0</v>
      </c>
      <c r="EK73" s="9">
        <v>26.456140000000001</v>
      </c>
      <c r="EL73" s="9">
        <v>-25.893899999999999</v>
      </c>
      <c r="EM73" s="9">
        <v>43.018639999999998</v>
      </c>
      <c r="EN73" s="9"/>
      <c r="EO73" s="9"/>
      <c r="EP73" s="9"/>
      <c r="EQ73" s="9"/>
      <c r="ER73" s="9"/>
      <c r="ES73" s="9"/>
      <c r="ET73" s="9"/>
      <c r="EU73">
        <v>1226.68</v>
      </c>
      <c r="EV73" s="9">
        <v>4577.5</v>
      </c>
      <c r="EW73" s="9">
        <v>1311.79</v>
      </c>
      <c r="EX73" s="9">
        <v>10.5</v>
      </c>
      <c r="EY73" s="9">
        <v>44.92</v>
      </c>
      <c r="EZ73" s="9">
        <v>786.72</v>
      </c>
      <c r="FA73" s="9">
        <v>2423.58</v>
      </c>
      <c r="FB73" s="9">
        <v>41.689285714299999</v>
      </c>
      <c r="FC73" s="9">
        <v>56.712272727299997</v>
      </c>
      <c r="FD73" s="9">
        <v>4577.0249999999996</v>
      </c>
      <c r="FE73" s="9">
        <v>28.11</v>
      </c>
      <c r="FF73" s="9">
        <v>510.0972222222</v>
      </c>
      <c r="FG73">
        <v>911259.85</v>
      </c>
      <c r="FH73">
        <v>859851.82000000007</v>
      </c>
      <c r="FI73">
        <v>51408.03</v>
      </c>
      <c r="FJ73" s="9">
        <v>1078019.23</v>
      </c>
      <c r="FK73">
        <v>1004996.3</v>
      </c>
      <c r="FL73" s="9">
        <v>73022.929999999993</v>
      </c>
      <c r="FM73" s="9">
        <v>1585037.23</v>
      </c>
      <c r="FN73" s="9">
        <v>207075.69</v>
      </c>
      <c r="FO73">
        <v>1221</v>
      </c>
      <c r="FP73">
        <v>4385.51</v>
      </c>
      <c r="FQ73">
        <v>52.39</v>
      </c>
      <c r="FR73">
        <v>35.479999999999997</v>
      </c>
      <c r="FS73">
        <v>8.82</v>
      </c>
      <c r="FT73">
        <v>102.39</v>
      </c>
      <c r="FU73">
        <v>9.34</v>
      </c>
      <c r="FV73">
        <v>2260.5300000000002</v>
      </c>
      <c r="FW73">
        <v>19150.89</v>
      </c>
      <c r="FX73">
        <v>199.35</v>
      </c>
      <c r="HB73" s="6"/>
      <c r="HC73" s="6"/>
      <c r="HD73" s="6"/>
    </row>
    <row r="74" spans="1:212" x14ac:dyDescent="0.2">
      <c r="A74" s="8" t="s">
        <v>849</v>
      </c>
      <c r="B74" s="8" t="s">
        <v>267</v>
      </c>
      <c r="C74" s="8" t="s">
        <v>268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>
        <v>56306.2</v>
      </c>
      <c r="BO74" s="9">
        <v>48194.5</v>
      </c>
      <c r="BP74" s="9">
        <v>12149.6</v>
      </c>
      <c r="BQ74" s="9">
        <v>9344</v>
      </c>
      <c r="BR74" s="9">
        <v>2805.5</v>
      </c>
      <c r="BS74" s="9">
        <v>6490.3</v>
      </c>
      <c r="BT74" s="9">
        <v>15388</v>
      </c>
      <c r="BU74" s="9">
        <v>5803.1</v>
      </c>
      <c r="BV74" s="9">
        <v>7633.1</v>
      </c>
      <c r="BW74" s="9">
        <v>50950.400000000001</v>
      </c>
      <c r="BX74" s="9">
        <v>3955.6</v>
      </c>
      <c r="BY74" s="9">
        <v>18930.2</v>
      </c>
      <c r="BZ74" s="9">
        <v>12485</v>
      </c>
      <c r="CA74" s="9">
        <v>673.3</v>
      </c>
      <c r="CB74" s="9">
        <v>0</v>
      </c>
      <c r="CC74" s="9">
        <v>0</v>
      </c>
      <c r="CD74" s="9">
        <v>0</v>
      </c>
      <c r="CE74" s="9">
        <v>1579.1</v>
      </c>
      <c r="CF74" s="9">
        <v>267579.55397704011</v>
      </c>
      <c r="CG74" s="9">
        <v>1146470.7070947087</v>
      </c>
      <c r="CH74" s="9"/>
      <c r="CI74" s="9"/>
      <c r="CJ74" s="9">
        <v>29.5</v>
      </c>
      <c r="CK74" s="9">
        <v>17.8</v>
      </c>
      <c r="CL74" s="9"/>
      <c r="CM74" s="9">
        <v>35.606678966300002</v>
      </c>
      <c r="CN74" s="9">
        <v>14.2469271172</v>
      </c>
      <c r="CO74" s="9">
        <v>1.0003563509</v>
      </c>
      <c r="CP74" s="9">
        <v>5.4144341258999997</v>
      </c>
      <c r="CQ74" s="9">
        <v>3.7740404450999998</v>
      </c>
      <c r="CR74" s="9">
        <v>1.9944063265</v>
      </c>
      <c r="CS74" s="9">
        <v>0.62705700760000005</v>
      </c>
      <c r="CT74" s="9">
        <v>3.2557266974000001</v>
      </c>
      <c r="CU74" s="9">
        <v>1.0158112455999999</v>
      </c>
      <c r="CV74" s="9">
        <v>1.0832683510000001</v>
      </c>
      <c r="CW74" s="9">
        <v>1.8920352064999999</v>
      </c>
      <c r="CX74" s="9">
        <v>0.36069906800000001</v>
      </c>
      <c r="CY74" s="9">
        <v>0.94191702470000005</v>
      </c>
      <c r="CZ74" s="9">
        <v>68</v>
      </c>
      <c r="DA74" s="9">
        <v>43</v>
      </c>
      <c r="DB74" s="9">
        <v>12</v>
      </c>
      <c r="DC74" s="9">
        <v>19</v>
      </c>
      <c r="DD74" s="9">
        <v>1</v>
      </c>
      <c r="DE74" s="9">
        <v>4</v>
      </c>
      <c r="DF74" s="9">
        <v>2</v>
      </c>
      <c r="DG74" s="9">
        <v>0</v>
      </c>
      <c r="DH74" s="9">
        <v>13</v>
      </c>
      <c r="DI74" s="9">
        <v>1</v>
      </c>
      <c r="DJ74" s="9">
        <v>7</v>
      </c>
      <c r="DK74" s="9">
        <v>4</v>
      </c>
      <c r="DL74" s="9">
        <v>0</v>
      </c>
      <c r="DM74" s="9">
        <v>12</v>
      </c>
      <c r="DN74" s="9">
        <v>0</v>
      </c>
      <c r="DO74" s="9">
        <v>90.91</v>
      </c>
      <c r="DP74" s="9">
        <v>24.67</v>
      </c>
      <c r="DQ74" s="9">
        <v>15.85</v>
      </c>
      <c r="DR74" s="9">
        <v>8.82</v>
      </c>
      <c r="DS74" s="9">
        <v>12.19</v>
      </c>
      <c r="DT74" s="9">
        <v>0.32</v>
      </c>
      <c r="DU74" s="9">
        <v>34.96</v>
      </c>
      <c r="DV74" s="9">
        <v>22.75</v>
      </c>
      <c r="DW74" s="9">
        <v>3.84</v>
      </c>
      <c r="DX74" s="9">
        <v>19.05</v>
      </c>
      <c r="DY74" s="9">
        <v>10.25</v>
      </c>
      <c r="DZ74" s="9">
        <v>3.58</v>
      </c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>
        <v>326</v>
      </c>
      <c r="EO74" s="9"/>
      <c r="EP74" s="9"/>
      <c r="EQ74" s="9"/>
      <c r="ER74" s="9"/>
      <c r="ES74" s="9"/>
      <c r="ET74" s="9"/>
      <c r="EU74">
        <v>1220.73</v>
      </c>
      <c r="EV74" s="9"/>
      <c r="EW74" s="9"/>
      <c r="EX74" s="9"/>
      <c r="EY74" s="9"/>
      <c r="EZ74" s="9"/>
      <c r="FA74" s="9"/>
      <c r="FB74" s="9">
        <v>45.642857142899999</v>
      </c>
      <c r="FC74" s="9">
        <v>63.3613636364</v>
      </c>
      <c r="FD74" s="9">
        <v>4743.8571428571004</v>
      </c>
      <c r="FE74" s="9">
        <v>33.450000000000003</v>
      </c>
      <c r="FF74" s="9">
        <v>549.86428571429997</v>
      </c>
      <c r="FG74">
        <v>938109.7</v>
      </c>
      <c r="FH74">
        <v>885357.28</v>
      </c>
      <c r="FI74">
        <v>52752.42</v>
      </c>
      <c r="FJ74" s="9">
        <v>1070113.8899999999</v>
      </c>
      <c r="FK74">
        <v>1001316.18</v>
      </c>
      <c r="FL74" s="9">
        <v>68797.710000000006</v>
      </c>
      <c r="FM74" s="9">
        <v>1587994.49</v>
      </c>
      <c r="FN74" s="9">
        <v>209390.48</v>
      </c>
      <c r="FO74">
        <v>1216</v>
      </c>
      <c r="FP74">
        <v>785.89</v>
      </c>
      <c r="FQ74">
        <v>27.15</v>
      </c>
      <c r="FR74">
        <v>20.8</v>
      </c>
      <c r="FS74">
        <v>7.8</v>
      </c>
      <c r="FT74">
        <v>109.45</v>
      </c>
      <c r="FU74">
        <v>8.36</v>
      </c>
      <c r="FV74">
        <v>788.56</v>
      </c>
      <c r="FW74">
        <v>35177.879999999997</v>
      </c>
      <c r="FX74">
        <v>434.31</v>
      </c>
      <c r="HB74" s="6"/>
      <c r="HC74" s="6"/>
      <c r="HD74" s="6"/>
    </row>
    <row r="75" spans="1:212" x14ac:dyDescent="0.2">
      <c r="A75" s="8" t="s">
        <v>849</v>
      </c>
      <c r="B75" s="8" t="s">
        <v>267</v>
      </c>
      <c r="C75" s="8" t="s">
        <v>269</v>
      </c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>
        <v>84150.399999999994</v>
      </c>
      <c r="BO75" s="9">
        <v>74184</v>
      </c>
      <c r="BP75" s="9">
        <v>31921.1</v>
      </c>
      <c r="BQ75" s="9">
        <v>27193</v>
      </c>
      <c r="BR75" s="9">
        <v>4728.2</v>
      </c>
      <c r="BS75" s="9">
        <v>6864.5</v>
      </c>
      <c r="BT75" s="9">
        <v>14684.9</v>
      </c>
      <c r="BU75" s="9">
        <v>6795.2</v>
      </c>
      <c r="BV75" s="9">
        <v>7721.9</v>
      </c>
      <c r="BW75" s="9">
        <v>56422.2</v>
      </c>
      <c r="BX75" s="9">
        <v>1593.5</v>
      </c>
      <c r="BY75" s="9">
        <v>22737.599999999999</v>
      </c>
      <c r="BZ75" s="9">
        <v>13711.2</v>
      </c>
      <c r="CA75" s="9">
        <v>2476.9</v>
      </c>
      <c r="CB75" s="9">
        <v>0</v>
      </c>
      <c r="CC75" s="9">
        <v>0</v>
      </c>
      <c r="CD75" s="9">
        <v>0</v>
      </c>
      <c r="CE75" s="9">
        <v>3152.2</v>
      </c>
      <c r="CF75" s="9">
        <v>262113.53648241999</v>
      </c>
      <c r="CG75" s="9">
        <v>1145392.2909906751</v>
      </c>
      <c r="CH75" s="9"/>
      <c r="CI75" s="9"/>
      <c r="CJ75" s="9">
        <v>27.57</v>
      </c>
      <c r="CK75" s="9">
        <v>15.36</v>
      </c>
      <c r="CL75" s="9"/>
      <c r="CM75" s="9">
        <v>35.8257836075</v>
      </c>
      <c r="CN75" s="9">
        <v>14.436522631800001</v>
      </c>
      <c r="CO75" s="9">
        <v>1.0039289392999999</v>
      </c>
      <c r="CP75" s="9">
        <v>5.4082790255999997</v>
      </c>
      <c r="CQ75" s="9">
        <v>3.7907945350999999</v>
      </c>
      <c r="CR75" s="9">
        <v>2.0015308178</v>
      </c>
      <c r="CS75" s="9">
        <v>0.62730723639999997</v>
      </c>
      <c r="CT75" s="9">
        <v>3.2604886818000001</v>
      </c>
      <c r="CU75" s="9">
        <v>1.0150350334</v>
      </c>
      <c r="CV75" s="9">
        <v>1.0855533974</v>
      </c>
      <c r="CW75" s="9">
        <v>1.8920352064999999</v>
      </c>
      <c r="CX75" s="9">
        <v>0.36135091940000003</v>
      </c>
      <c r="CY75" s="9">
        <v>0.94295718299999998</v>
      </c>
      <c r="CZ75" s="9">
        <v>69</v>
      </c>
      <c r="DA75" s="9">
        <v>55</v>
      </c>
      <c r="DB75" s="9">
        <v>11</v>
      </c>
      <c r="DC75" s="9">
        <v>33</v>
      </c>
      <c r="DD75" s="9">
        <v>0</v>
      </c>
      <c r="DE75" s="9">
        <v>4</v>
      </c>
      <c r="DF75" s="9">
        <v>1</v>
      </c>
      <c r="DG75" s="9">
        <v>0</v>
      </c>
      <c r="DH75" s="9">
        <v>5</v>
      </c>
      <c r="DI75" s="9">
        <v>0</v>
      </c>
      <c r="DJ75" s="9">
        <v>3</v>
      </c>
      <c r="DK75" s="9">
        <v>2</v>
      </c>
      <c r="DL75" s="9">
        <v>0</v>
      </c>
      <c r="DM75" s="9">
        <v>9</v>
      </c>
      <c r="DN75" s="9">
        <v>0</v>
      </c>
      <c r="DO75" s="9">
        <v>76.45</v>
      </c>
      <c r="DP75" s="9">
        <v>25.31</v>
      </c>
      <c r="DQ75" s="9">
        <v>18.850000000000001</v>
      </c>
      <c r="DR75" s="9">
        <v>6.46</v>
      </c>
      <c r="DS75" s="9">
        <v>9.32</v>
      </c>
      <c r="DT75" s="9">
        <v>0.83</v>
      </c>
      <c r="DU75" s="9">
        <v>22.85</v>
      </c>
      <c r="DV75" s="9">
        <v>15.43</v>
      </c>
      <c r="DW75" s="9">
        <v>3.37</v>
      </c>
      <c r="DX75" s="9">
        <v>16.45</v>
      </c>
      <c r="DY75" s="9">
        <v>6.34</v>
      </c>
      <c r="DZ75" s="9">
        <v>2.79</v>
      </c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>
        <v>340.7</v>
      </c>
      <c r="EO75" s="9"/>
      <c r="EP75" s="9"/>
      <c r="EQ75" s="9"/>
      <c r="ER75" s="9"/>
      <c r="ES75" s="9"/>
      <c r="ET75" s="9"/>
      <c r="EU75">
        <v>1210.21</v>
      </c>
      <c r="EV75" s="9"/>
      <c r="EW75" s="9"/>
      <c r="EX75" s="9"/>
      <c r="EY75" s="9"/>
      <c r="EZ75" s="9"/>
      <c r="FA75" s="9"/>
      <c r="FB75" s="9">
        <v>50.919642857100001</v>
      </c>
      <c r="FC75" s="9">
        <v>59.923499999999997</v>
      </c>
      <c r="FD75" s="9">
        <v>4974.9750000000004</v>
      </c>
      <c r="FE75" s="9">
        <v>33.450000000000003</v>
      </c>
      <c r="FF75" s="9">
        <v>554.995</v>
      </c>
      <c r="FG75">
        <v>955388.1</v>
      </c>
      <c r="FH75">
        <v>904630.84</v>
      </c>
      <c r="FI75">
        <v>50757.26</v>
      </c>
      <c r="FJ75" s="9">
        <v>1094329.23</v>
      </c>
      <c r="FK75">
        <v>1023633.93</v>
      </c>
      <c r="FL75" s="9">
        <v>70695.3</v>
      </c>
      <c r="FM75" s="9">
        <v>1614047.4</v>
      </c>
      <c r="FN75" s="9">
        <v>212597.12</v>
      </c>
      <c r="FO75">
        <v>1200</v>
      </c>
      <c r="FP75">
        <v>689.39</v>
      </c>
      <c r="FQ75">
        <v>46.44</v>
      </c>
      <c r="FR75">
        <v>15.66</v>
      </c>
      <c r="FS75">
        <v>7.46</v>
      </c>
      <c r="FT75">
        <v>73.23</v>
      </c>
      <c r="FU75">
        <v>7.24</v>
      </c>
      <c r="FV75">
        <v>546.41999999999996</v>
      </c>
      <c r="FW75">
        <v>17502.57</v>
      </c>
      <c r="FX75">
        <v>140.93</v>
      </c>
      <c r="HB75" s="6"/>
      <c r="HC75" s="6"/>
      <c r="HD75" s="6"/>
    </row>
    <row r="76" spans="1:212" x14ac:dyDescent="0.2">
      <c r="A76" s="8" t="s">
        <v>849</v>
      </c>
      <c r="B76" s="8" t="s">
        <v>267</v>
      </c>
      <c r="C76" s="8" t="s">
        <v>270</v>
      </c>
      <c r="D76" s="9">
        <v>671623.2</v>
      </c>
      <c r="E76" s="9">
        <v>55320.5</v>
      </c>
      <c r="F76" s="9">
        <v>182156.4</v>
      </c>
      <c r="G76" s="9">
        <v>36665.1</v>
      </c>
      <c r="H76" s="9">
        <v>30886.7</v>
      </c>
      <c r="I76" s="9">
        <v>3939.4</v>
      </c>
      <c r="J76" s="9">
        <v>38757.699999999997</v>
      </c>
      <c r="K76" s="9">
        <v>61975.6</v>
      </c>
      <c r="L76" s="9">
        <v>22206.2</v>
      </c>
      <c r="M76" s="9">
        <v>161058.4</v>
      </c>
      <c r="N76" s="9">
        <v>78657.2</v>
      </c>
      <c r="O76" s="9">
        <v>1863864.2881483079</v>
      </c>
      <c r="P76" s="9">
        <v>123961.65635687621</v>
      </c>
      <c r="Q76" s="9">
        <v>297717.06082800432</v>
      </c>
      <c r="R76" s="9">
        <v>142531.5310741654</v>
      </c>
      <c r="S76" s="9">
        <v>94105.857621865202</v>
      </c>
      <c r="T76" s="9">
        <v>23150.9479859889</v>
      </c>
      <c r="U76" s="9">
        <v>140601.80731170619</v>
      </c>
      <c r="V76" s="9">
        <v>94112.725354135997</v>
      </c>
      <c r="W76" s="9">
        <v>39991.306533434901</v>
      </c>
      <c r="X76" s="9">
        <v>743757.98134909978</v>
      </c>
      <c r="Y76" s="9">
        <v>163933.41373303099</v>
      </c>
      <c r="Z76" s="9">
        <v>658619</v>
      </c>
      <c r="AA76" s="9">
        <v>474776.5</v>
      </c>
      <c r="AB76" s="9">
        <v>94444.5</v>
      </c>
      <c r="AC76" s="9">
        <v>77221.2</v>
      </c>
      <c r="AD76" s="9">
        <v>6072.6</v>
      </c>
      <c r="AE76" s="9">
        <v>382557.6</v>
      </c>
      <c r="AF76" s="9">
        <v>376453.4</v>
      </c>
      <c r="AG76" s="9">
        <v>1858361.5142389841</v>
      </c>
      <c r="AH76" s="9">
        <v>1341281.1814786859</v>
      </c>
      <c r="AI76" s="9">
        <v>348320.55404016102</v>
      </c>
      <c r="AJ76" s="9">
        <v>219460.10311159419</v>
      </c>
      <c r="AK76" s="9">
        <v>22807.488984650601</v>
      </c>
      <c r="AL76" s="9">
        <v>505643.15624253987</v>
      </c>
      <c r="AM76" s="9">
        <v>579150.96961864864</v>
      </c>
      <c r="AN76" s="9"/>
      <c r="AO76" s="9"/>
      <c r="AP76" s="9"/>
      <c r="AQ76" s="9"/>
      <c r="AR76" s="9"/>
      <c r="AS76" s="9"/>
      <c r="AT76" s="9"/>
      <c r="AU76" s="9"/>
      <c r="AV76" s="9"/>
      <c r="AW76" s="9">
        <v>116.6</v>
      </c>
      <c r="AX76" s="9">
        <v>57.4</v>
      </c>
      <c r="AY76" s="9">
        <v>147.69999999999999</v>
      </c>
      <c r="AZ76" s="9">
        <v>110.1</v>
      </c>
      <c r="BA76" s="9">
        <v>136.30000000000001</v>
      </c>
      <c r="BB76" s="9"/>
      <c r="BC76" s="9">
        <v>124.9</v>
      </c>
      <c r="BD76" s="9">
        <v>80</v>
      </c>
      <c r="BE76" s="9">
        <v>118.8</v>
      </c>
      <c r="BF76" s="9">
        <v>107.1</v>
      </c>
      <c r="BG76" s="9"/>
      <c r="BH76" s="9">
        <v>249.7</v>
      </c>
      <c r="BI76" s="9">
        <v>79.7</v>
      </c>
      <c r="BJ76" s="9">
        <v>108.9</v>
      </c>
      <c r="BK76" s="9">
        <v>101.8</v>
      </c>
      <c r="BL76" s="9"/>
      <c r="BM76" s="9">
        <v>85</v>
      </c>
      <c r="BN76" s="9">
        <v>73926</v>
      </c>
      <c r="BO76" s="9">
        <v>63332.7</v>
      </c>
      <c r="BP76" s="9">
        <v>16574.8</v>
      </c>
      <c r="BQ76" s="9">
        <v>9922.9</v>
      </c>
      <c r="BR76" s="9">
        <v>6652</v>
      </c>
      <c r="BS76" s="9">
        <v>9280.2999999999993</v>
      </c>
      <c r="BT76" s="9">
        <v>19020.5</v>
      </c>
      <c r="BU76" s="9">
        <v>6500.6</v>
      </c>
      <c r="BV76" s="9">
        <v>9590.6</v>
      </c>
      <c r="BW76" s="9">
        <v>58236</v>
      </c>
      <c r="BX76" s="9">
        <v>-1820.8</v>
      </c>
      <c r="BY76" s="9">
        <v>21868.9</v>
      </c>
      <c r="BZ76" s="9">
        <v>16644.2</v>
      </c>
      <c r="CA76" s="9">
        <v>447</v>
      </c>
      <c r="CB76" s="9">
        <v>0</v>
      </c>
      <c r="CC76" s="9">
        <v>0</v>
      </c>
      <c r="CD76" s="9">
        <v>0</v>
      </c>
      <c r="CE76" s="9">
        <v>5006.6000000000004</v>
      </c>
      <c r="CF76" s="9">
        <v>274375.73268376</v>
      </c>
      <c r="CG76" s="9">
        <v>1191241.285096874</v>
      </c>
      <c r="CH76" s="9"/>
      <c r="CI76" s="9"/>
      <c r="CJ76" s="9">
        <v>28.34</v>
      </c>
      <c r="CK76" s="9">
        <v>15.83</v>
      </c>
      <c r="CL76" s="9"/>
      <c r="CM76" s="9">
        <v>35.8954451846</v>
      </c>
      <c r="CN76" s="9">
        <v>14.5915820305</v>
      </c>
      <c r="CO76" s="9">
        <v>1.0005539044</v>
      </c>
      <c r="CP76" s="9">
        <v>5.4299372944000002</v>
      </c>
      <c r="CQ76" s="9">
        <v>3.7632602923</v>
      </c>
      <c r="CR76" s="9">
        <v>2.0072563999000002</v>
      </c>
      <c r="CS76" s="9">
        <v>0.62964255899999999</v>
      </c>
      <c r="CT76" s="9">
        <v>3.2660362536999998</v>
      </c>
      <c r="CU76" s="9">
        <v>0.91147450990000001</v>
      </c>
      <c r="CV76" s="9">
        <v>1.0958545037</v>
      </c>
      <c r="CW76" s="9">
        <v>1.8927719819</v>
      </c>
      <c r="CX76" s="9">
        <v>0.36207468440000001</v>
      </c>
      <c r="CY76" s="9">
        <v>0.94500077069999999</v>
      </c>
      <c r="CZ76" s="9">
        <v>104</v>
      </c>
      <c r="DA76" s="9">
        <v>82</v>
      </c>
      <c r="DB76" s="9">
        <v>12</v>
      </c>
      <c r="DC76" s="9">
        <v>52</v>
      </c>
      <c r="DD76" s="9">
        <v>0</v>
      </c>
      <c r="DE76" s="9">
        <v>5</v>
      </c>
      <c r="DF76" s="9">
        <v>3</v>
      </c>
      <c r="DG76" s="9">
        <v>1</v>
      </c>
      <c r="DH76" s="9">
        <v>11</v>
      </c>
      <c r="DI76" s="9">
        <v>1</v>
      </c>
      <c r="DJ76" s="9">
        <v>6</v>
      </c>
      <c r="DK76" s="9">
        <v>2</v>
      </c>
      <c r="DL76" s="9">
        <v>0</v>
      </c>
      <c r="DM76" s="9">
        <v>10</v>
      </c>
      <c r="DN76" s="9">
        <v>0</v>
      </c>
      <c r="DO76" s="9">
        <v>90.62</v>
      </c>
      <c r="DP76" s="9">
        <v>21.25</v>
      </c>
      <c r="DQ76" s="9">
        <v>12.17</v>
      </c>
      <c r="DR76" s="9">
        <v>9.08</v>
      </c>
      <c r="DS76" s="9">
        <v>11.55</v>
      </c>
      <c r="DT76" s="9">
        <v>0.54</v>
      </c>
      <c r="DU76" s="9">
        <v>30.19</v>
      </c>
      <c r="DV76" s="9">
        <v>18.96</v>
      </c>
      <c r="DW76" s="9">
        <v>7.36</v>
      </c>
      <c r="DX76" s="9">
        <v>27.58</v>
      </c>
      <c r="DY76" s="9">
        <v>13.56</v>
      </c>
      <c r="DZ76" s="9">
        <v>4.42</v>
      </c>
      <c r="EA76" s="9">
        <v>73.367760000000004</v>
      </c>
      <c r="EB76" s="9">
        <v>5.7621599999999997</v>
      </c>
      <c r="EC76" s="9">
        <v>1.2045600000000001</v>
      </c>
      <c r="ED76" s="9">
        <v>-2.85561</v>
      </c>
      <c r="EE76" s="9">
        <v>69.256649999999993</v>
      </c>
      <c r="EF76" s="9">
        <v>0</v>
      </c>
      <c r="EG76" s="9">
        <v>-16.838000000000001</v>
      </c>
      <c r="EH76" s="9">
        <v>-24.4</v>
      </c>
      <c r="EI76" s="9">
        <v>0</v>
      </c>
      <c r="EJ76" s="9">
        <v>0</v>
      </c>
      <c r="EK76" s="9">
        <v>7.56196</v>
      </c>
      <c r="EL76" s="9">
        <v>-38.102400000000003</v>
      </c>
      <c r="EM76" s="9">
        <v>52.103349999999999</v>
      </c>
      <c r="EN76" s="9">
        <v>382.9</v>
      </c>
      <c r="EO76" s="9"/>
      <c r="EP76" s="9"/>
      <c r="EQ76" s="9"/>
      <c r="ER76" s="9"/>
      <c r="ES76" s="9"/>
      <c r="ET76" s="9"/>
      <c r="EU76">
        <v>1183.23</v>
      </c>
      <c r="EV76" s="9">
        <v>4591.67</v>
      </c>
      <c r="EW76" s="9">
        <v>1315.21</v>
      </c>
      <c r="EX76" s="9">
        <v>18.29</v>
      </c>
      <c r="EY76" s="9">
        <v>45.97</v>
      </c>
      <c r="EZ76" s="9">
        <v>788.62</v>
      </c>
      <c r="FA76" s="9">
        <v>2423.58</v>
      </c>
      <c r="FB76" s="9">
        <v>53.212732919300002</v>
      </c>
      <c r="FC76" s="9">
        <v>62.253913043499999</v>
      </c>
      <c r="FD76" s="9">
        <v>5123.6739130434999</v>
      </c>
      <c r="FE76" s="9">
        <v>33.450000000000003</v>
      </c>
      <c r="FF76" s="9">
        <v>557.09347826090004</v>
      </c>
      <c r="FG76">
        <v>1005152.8</v>
      </c>
      <c r="FH76">
        <v>951677.38</v>
      </c>
      <c r="FI76">
        <v>53475.42</v>
      </c>
      <c r="FJ76" s="9">
        <v>1135450.3799999999</v>
      </c>
      <c r="FK76">
        <v>1054687.8999999999</v>
      </c>
      <c r="FL76" s="9">
        <v>80762.48</v>
      </c>
      <c r="FM76" s="9">
        <v>1671673.18</v>
      </c>
      <c r="FN76" s="9">
        <v>226021.13</v>
      </c>
      <c r="FO76">
        <v>1174</v>
      </c>
      <c r="FP76">
        <v>787.18</v>
      </c>
      <c r="FQ76">
        <v>67.14</v>
      </c>
      <c r="FR76">
        <v>4.9400000000000004</v>
      </c>
      <c r="FS76">
        <v>8.5</v>
      </c>
      <c r="FT76">
        <v>208.94</v>
      </c>
      <c r="FU76">
        <v>14.14</v>
      </c>
      <c r="FV76">
        <v>1269.3699999999999</v>
      </c>
      <c r="FW76">
        <v>32199.79</v>
      </c>
      <c r="FX76">
        <v>207.11</v>
      </c>
      <c r="HB76" s="6"/>
      <c r="HC76" s="6"/>
      <c r="HD76" s="6"/>
    </row>
    <row r="77" spans="1:212" x14ac:dyDescent="0.2">
      <c r="A77" s="8" t="s">
        <v>849</v>
      </c>
      <c r="B77" s="8" t="s">
        <v>271</v>
      </c>
      <c r="C77" s="8" t="s">
        <v>272</v>
      </c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>
        <v>81589.8</v>
      </c>
      <c r="BO77" s="9">
        <v>55314.6</v>
      </c>
      <c r="BP77" s="9">
        <v>13002.9</v>
      </c>
      <c r="BQ77" s="9">
        <v>6959.7</v>
      </c>
      <c r="BR77" s="9">
        <v>6043.1</v>
      </c>
      <c r="BS77" s="9">
        <v>6568.9</v>
      </c>
      <c r="BT77" s="9">
        <v>17864.7</v>
      </c>
      <c r="BU77" s="9">
        <v>5936</v>
      </c>
      <c r="BV77" s="9">
        <v>26028.1</v>
      </c>
      <c r="BW77" s="9">
        <v>60019.8</v>
      </c>
      <c r="BX77" s="9">
        <v>6927.8</v>
      </c>
      <c r="BY77" s="9">
        <v>23209.9</v>
      </c>
      <c r="BZ77" s="9">
        <v>15514</v>
      </c>
      <c r="CA77" s="9">
        <v>2385.3000000000002</v>
      </c>
      <c r="CB77" s="9">
        <v>0</v>
      </c>
      <c r="CC77" s="9">
        <v>0</v>
      </c>
      <c r="CD77" s="9">
        <v>0</v>
      </c>
      <c r="CE77" s="9">
        <v>6795.3</v>
      </c>
      <c r="CF77" s="9">
        <v>292829.01256528997</v>
      </c>
      <c r="CG77" s="9">
        <v>1251237.258338741</v>
      </c>
      <c r="CH77" s="9"/>
      <c r="CI77" s="9"/>
      <c r="CJ77" s="9">
        <v>27.3</v>
      </c>
      <c r="CK77" s="9">
        <v>16.2</v>
      </c>
      <c r="CL77" s="9"/>
      <c r="CM77" s="9">
        <v>36.782880470099997</v>
      </c>
      <c r="CN77" s="9">
        <v>15.4375188101</v>
      </c>
      <c r="CO77" s="9">
        <v>1.0047026435999999</v>
      </c>
      <c r="CP77" s="9">
        <v>5.4449551132999998</v>
      </c>
      <c r="CQ77" s="9">
        <v>3.7644345383000002</v>
      </c>
      <c r="CR77" s="9">
        <v>2.0115295693999999</v>
      </c>
      <c r="CS77" s="9">
        <v>0.63482451129999995</v>
      </c>
      <c r="CT77" s="9">
        <v>3.2656323934000002</v>
      </c>
      <c r="CU77" s="9">
        <v>0.90589371829999998</v>
      </c>
      <c r="CV77" s="9">
        <v>1.0961205951999999</v>
      </c>
      <c r="CW77" s="9">
        <v>1.9070295461</v>
      </c>
      <c r="CX77" s="9">
        <v>0.36519768870000002</v>
      </c>
      <c r="CY77" s="9">
        <v>0.94504134220000002</v>
      </c>
      <c r="CZ77" s="9">
        <v>107</v>
      </c>
      <c r="DA77" s="9">
        <v>87</v>
      </c>
      <c r="DB77" s="9">
        <v>24</v>
      </c>
      <c r="DC77" s="9">
        <v>43</v>
      </c>
      <c r="DD77" s="9">
        <v>1</v>
      </c>
      <c r="DE77" s="9">
        <v>5</v>
      </c>
      <c r="DF77" s="9">
        <v>5</v>
      </c>
      <c r="DG77" s="9">
        <v>1</v>
      </c>
      <c r="DH77" s="9">
        <v>11</v>
      </c>
      <c r="DI77" s="9">
        <v>0</v>
      </c>
      <c r="DJ77" s="9">
        <v>2</v>
      </c>
      <c r="DK77" s="9">
        <v>8</v>
      </c>
      <c r="DL77" s="9">
        <v>0</v>
      </c>
      <c r="DM77" s="9">
        <v>8</v>
      </c>
      <c r="DN77" s="9">
        <v>0</v>
      </c>
      <c r="DO77" s="9">
        <v>112.72</v>
      </c>
      <c r="DP77" s="9">
        <v>25.12</v>
      </c>
      <c r="DQ77" s="9">
        <v>16.22</v>
      </c>
      <c r="DR77" s="9">
        <v>8.9</v>
      </c>
      <c r="DS77" s="9">
        <v>13.36</v>
      </c>
      <c r="DT77" s="9">
        <v>0.57999999999999996</v>
      </c>
      <c r="DU77" s="9">
        <v>42.96</v>
      </c>
      <c r="DV77" s="9">
        <v>25.78</v>
      </c>
      <c r="DW77" s="9">
        <v>7.91</v>
      </c>
      <c r="DX77" s="9">
        <v>31.25</v>
      </c>
      <c r="DY77" s="9">
        <v>17.98</v>
      </c>
      <c r="DZ77" s="9">
        <v>3.3</v>
      </c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>
        <v>379</v>
      </c>
      <c r="EO77" s="9"/>
      <c r="EP77" s="9"/>
      <c r="EQ77" s="9"/>
      <c r="ER77" s="9"/>
      <c r="ES77" s="9"/>
      <c r="ET77" s="9"/>
      <c r="EU77">
        <v>1186.27</v>
      </c>
      <c r="EV77" s="9"/>
      <c r="EW77" s="9"/>
      <c r="EX77" s="9"/>
      <c r="EY77" s="9"/>
      <c r="EZ77" s="9"/>
      <c r="FA77" s="9"/>
      <c r="FB77" s="9">
        <v>56.470238095200003</v>
      </c>
      <c r="FC77" s="9">
        <v>70.432500000000005</v>
      </c>
      <c r="FD77" s="9">
        <v>6404.4444444443998</v>
      </c>
      <c r="FE77" s="9">
        <v>33.450000000000003</v>
      </c>
      <c r="FF77" s="9">
        <v>610.6527777778</v>
      </c>
      <c r="FG77">
        <v>1038449.88</v>
      </c>
      <c r="FH77">
        <v>981785.83</v>
      </c>
      <c r="FI77">
        <v>56664.05</v>
      </c>
      <c r="FJ77" s="9">
        <v>1166278.68</v>
      </c>
      <c r="FK77">
        <v>1084145.1100000001</v>
      </c>
      <c r="FL77" s="9">
        <v>82133.570000000007</v>
      </c>
      <c r="FM77" s="9">
        <v>2037046.79</v>
      </c>
      <c r="FN77" s="9">
        <v>236114.05</v>
      </c>
      <c r="FO77">
        <v>1191</v>
      </c>
      <c r="FP77">
        <v>1377.68</v>
      </c>
      <c r="FQ77">
        <v>55.93</v>
      </c>
      <c r="FR77">
        <v>22.03</v>
      </c>
      <c r="FS77">
        <v>7.97</v>
      </c>
      <c r="FT77">
        <v>279.26</v>
      </c>
      <c r="FU77">
        <v>21.38</v>
      </c>
      <c r="FV77">
        <v>171.66</v>
      </c>
      <c r="FW77">
        <v>11757.45</v>
      </c>
      <c r="FX77">
        <v>200.97</v>
      </c>
      <c r="HB77" s="6"/>
      <c r="HC77" s="6"/>
      <c r="HD77" s="6"/>
    </row>
    <row r="78" spans="1:212" x14ac:dyDescent="0.2">
      <c r="A78" s="8" t="s">
        <v>849</v>
      </c>
      <c r="B78" s="8" t="s">
        <v>271</v>
      </c>
      <c r="C78" s="8" t="s">
        <v>273</v>
      </c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>
        <v>113160.8</v>
      </c>
      <c r="BO78" s="9">
        <v>74893.899999999994</v>
      </c>
      <c r="BP78" s="9">
        <v>18967.5</v>
      </c>
      <c r="BQ78" s="9">
        <v>12810.9</v>
      </c>
      <c r="BR78" s="9">
        <v>6156.6</v>
      </c>
      <c r="BS78" s="9">
        <v>8917.2999999999993</v>
      </c>
      <c r="BT78" s="9">
        <v>18207.900000000001</v>
      </c>
      <c r="BU78" s="9">
        <v>7931.3</v>
      </c>
      <c r="BV78" s="9">
        <v>38144.9</v>
      </c>
      <c r="BW78" s="9">
        <v>58272.4</v>
      </c>
      <c r="BX78" s="9">
        <v>-795.4</v>
      </c>
      <c r="BY78" s="9">
        <v>22584.400000000001</v>
      </c>
      <c r="BZ78" s="9">
        <v>16080.7</v>
      </c>
      <c r="CA78" s="9">
        <v>1433.7</v>
      </c>
      <c r="CB78" s="9">
        <v>0</v>
      </c>
      <c r="CC78" s="9">
        <v>0</v>
      </c>
      <c r="CD78" s="9">
        <v>0</v>
      </c>
      <c r="CE78" s="9">
        <v>6283.7</v>
      </c>
      <c r="CF78" s="9">
        <v>326227.34002136998</v>
      </c>
      <c r="CG78" s="9">
        <v>1402747.5607539141</v>
      </c>
      <c r="CH78" s="9"/>
      <c r="CI78" s="9"/>
      <c r="CJ78" s="9">
        <v>27.3</v>
      </c>
      <c r="CK78" s="9">
        <v>16.600000000000001</v>
      </c>
      <c r="CL78" s="9"/>
      <c r="CM78" s="9">
        <v>37.2011200245</v>
      </c>
      <c r="CN78" s="9">
        <v>15.7788308838</v>
      </c>
      <c r="CO78" s="9">
        <v>1.0019751578</v>
      </c>
      <c r="CP78" s="9">
        <v>5.4407203462</v>
      </c>
      <c r="CQ78" s="9">
        <v>3.7971873739999999</v>
      </c>
      <c r="CR78" s="9">
        <v>2.0151099495000002</v>
      </c>
      <c r="CS78" s="9">
        <v>0.63459000679999999</v>
      </c>
      <c r="CT78" s="9">
        <v>3.3149963829</v>
      </c>
      <c r="CU78" s="9">
        <v>0.86386556339999998</v>
      </c>
      <c r="CV78" s="9">
        <v>1.1077012850000001</v>
      </c>
      <c r="CW78" s="9">
        <v>1.9102656848999999</v>
      </c>
      <c r="CX78" s="9">
        <v>0.36664116089999998</v>
      </c>
      <c r="CY78" s="9">
        <v>0.96923622929999997</v>
      </c>
      <c r="CZ78" s="9">
        <v>127</v>
      </c>
      <c r="DA78" s="9">
        <v>86</v>
      </c>
      <c r="DB78" s="9">
        <v>18</v>
      </c>
      <c r="DC78" s="9">
        <v>45</v>
      </c>
      <c r="DD78" s="9">
        <v>2</v>
      </c>
      <c r="DE78" s="9">
        <v>7</v>
      </c>
      <c r="DF78" s="9">
        <v>3</v>
      </c>
      <c r="DG78" s="9">
        <v>2</v>
      </c>
      <c r="DH78" s="9">
        <v>28</v>
      </c>
      <c r="DI78" s="9">
        <v>0</v>
      </c>
      <c r="DJ78" s="9">
        <v>1</v>
      </c>
      <c r="DK78" s="9">
        <v>25</v>
      </c>
      <c r="DL78" s="9">
        <v>0</v>
      </c>
      <c r="DM78" s="9">
        <v>13</v>
      </c>
      <c r="DN78" s="9">
        <v>0</v>
      </c>
      <c r="DO78" s="9">
        <v>127.2</v>
      </c>
      <c r="DP78" s="9">
        <v>32.75</v>
      </c>
      <c r="DQ78" s="9">
        <v>20.27</v>
      </c>
      <c r="DR78" s="9">
        <v>12.48</v>
      </c>
      <c r="DS78" s="9">
        <v>16.75</v>
      </c>
      <c r="DT78" s="9">
        <v>0.61</v>
      </c>
      <c r="DU78" s="9">
        <v>48.15</v>
      </c>
      <c r="DV78" s="9">
        <v>30.89</v>
      </c>
      <c r="DW78" s="9">
        <v>11.2</v>
      </c>
      <c r="DX78" s="9">
        <v>29.32</v>
      </c>
      <c r="DY78" s="9">
        <v>14.29</v>
      </c>
      <c r="DZ78" s="9">
        <v>4.63</v>
      </c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>
        <v>425.3</v>
      </c>
      <c r="EO78" s="9"/>
      <c r="EP78" s="9"/>
      <c r="EQ78" s="9"/>
      <c r="ER78" s="9"/>
      <c r="ES78" s="9"/>
      <c r="ET78" s="9"/>
      <c r="EU78">
        <v>1182.55</v>
      </c>
      <c r="EV78" s="9"/>
      <c r="EW78" s="9"/>
      <c r="EX78" s="9"/>
      <c r="EY78" s="9"/>
      <c r="EZ78" s="9"/>
      <c r="FA78" s="9"/>
      <c r="FB78" s="9">
        <v>56.7219387755</v>
      </c>
      <c r="FC78" s="9">
        <v>70.266956521699996</v>
      </c>
      <c r="FD78" s="9">
        <v>8059.1904761904998</v>
      </c>
      <c r="FE78" s="9">
        <v>33.450000000000003</v>
      </c>
      <c r="FF78" s="9">
        <v>675.39285714289997</v>
      </c>
      <c r="FG78">
        <v>1063744.1599999999</v>
      </c>
      <c r="FH78">
        <v>1003032.81</v>
      </c>
      <c r="FI78">
        <v>60711.35</v>
      </c>
      <c r="FJ78" s="9">
        <v>1299685.4800000002</v>
      </c>
      <c r="FK78">
        <v>1212736.3500000001</v>
      </c>
      <c r="FL78" s="9">
        <v>86949.13</v>
      </c>
      <c r="FM78" s="9">
        <v>2096266.69</v>
      </c>
      <c r="FN78" s="9">
        <v>240426.16</v>
      </c>
      <c r="FO78">
        <v>1175</v>
      </c>
      <c r="FP78">
        <v>956.89</v>
      </c>
      <c r="FQ78">
        <v>47.2</v>
      </c>
      <c r="FR78">
        <v>50.26</v>
      </c>
      <c r="FS78">
        <v>7.85</v>
      </c>
      <c r="FT78">
        <v>143.38999999999999</v>
      </c>
      <c r="FU78">
        <v>38.020000000000003</v>
      </c>
      <c r="FV78">
        <v>288.04000000000002</v>
      </c>
      <c r="FW78">
        <v>7034.5</v>
      </c>
      <c r="FX78">
        <v>616.44000000000005</v>
      </c>
      <c r="HB78" s="6"/>
      <c r="HC78" s="6"/>
      <c r="HD78" s="6"/>
    </row>
    <row r="79" spans="1:212" x14ac:dyDescent="0.2">
      <c r="A79" s="8" t="s">
        <v>849</v>
      </c>
      <c r="B79" s="8" t="s">
        <v>271</v>
      </c>
      <c r="C79" s="8" t="s">
        <v>274</v>
      </c>
      <c r="D79" s="9">
        <v>1150052.7</v>
      </c>
      <c r="E79" s="9">
        <v>317154.90000000002</v>
      </c>
      <c r="F79" s="9">
        <v>300712.2</v>
      </c>
      <c r="G79" s="9">
        <v>59492.9</v>
      </c>
      <c r="H79" s="9">
        <v>24730.9</v>
      </c>
      <c r="I79" s="9">
        <v>16774.900000000001</v>
      </c>
      <c r="J79" s="9">
        <v>48427.199999999997</v>
      </c>
      <c r="K79" s="9">
        <v>83364.2</v>
      </c>
      <c r="L79" s="9">
        <v>20545.2</v>
      </c>
      <c r="M79" s="9">
        <v>182416.4</v>
      </c>
      <c r="N79" s="9">
        <v>96433.8</v>
      </c>
      <c r="O79" s="9">
        <v>3191584.443507222</v>
      </c>
      <c r="P79" s="9">
        <v>758588.71795696719</v>
      </c>
      <c r="Q79" s="9">
        <v>524619.00099369546</v>
      </c>
      <c r="R79" s="9">
        <v>246863.5077786654</v>
      </c>
      <c r="S79" s="9">
        <v>80430.125884006295</v>
      </c>
      <c r="T79" s="9">
        <v>105228.2428747573</v>
      </c>
      <c r="U79" s="9">
        <v>187523.60602566009</v>
      </c>
      <c r="V79" s="9">
        <v>135126.6085727819</v>
      </c>
      <c r="W79" s="9">
        <v>39494.388984498299</v>
      </c>
      <c r="X79" s="9">
        <v>899178.30413751281</v>
      </c>
      <c r="Y79" s="9">
        <v>214531.94029867809</v>
      </c>
      <c r="Z79" s="9">
        <v>1127040.6000000001</v>
      </c>
      <c r="AA79" s="9">
        <v>423162.9</v>
      </c>
      <c r="AB79" s="9">
        <v>110128.7</v>
      </c>
      <c r="AC79" s="9">
        <v>506376.9</v>
      </c>
      <c r="AD79" s="9">
        <v>39075.699999999997</v>
      </c>
      <c r="AE79" s="9">
        <v>609503.30000000005</v>
      </c>
      <c r="AF79" s="9">
        <v>561206.9</v>
      </c>
      <c r="AG79" s="9">
        <v>3180061.4255355722</v>
      </c>
      <c r="AH79" s="9">
        <v>1214695.7010913787</v>
      </c>
      <c r="AI79" s="9">
        <v>412697.87847943808</v>
      </c>
      <c r="AJ79" s="9">
        <v>1462251.957368959</v>
      </c>
      <c r="AK79" s="9">
        <v>149121.01743082929</v>
      </c>
      <c r="AL79" s="9">
        <v>818564.02431380027</v>
      </c>
      <c r="AM79" s="9">
        <v>877269.15314883366</v>
      </c>
      <c r="AN79" s="9"/>
      <c r="AO79" s="9"/>
      <c r="AP79" s="9"/>
      <c r="AQ79" s="9"/>
      <c r="AR79" s="9"/>
      <c r="AS79" s="9"/>
      <c r="AT79" s="9"/>
      <c r="AU79" s="9"/>
      <c r="AV79" s="9"/>
      <c r="AW79" s="9">
        <v>128.5</v>
      </c>
      <c r="AX79" s="9">
        <v>68.2</v>
      </c>
      <c r="AY79" s="9">
        <v>138.1</v>
      </c>
      <c r="AZ79" s="9">
        <v>123.8</v>
      </c>
      <c r="BA79" s="9">
        <v>142.9</v>
      </c>
      <c r="BB79" s="9"/>
      <c r="BC79" s="9">
        <v>124.9</v>
      </c>
      <c r="BD79" s="9">
        <v>86.3</v>
      </c>
      <c r="BE79" s="9">
        <v>127.9</v>
      </c>
      <c r="BF79" s="9">
        <v>151.69999999999999</v>
      </c>
      <c r="BG79" s="9"/>
      <c r="BH79" s="9">
        <v>244.3</v>
      </c>
      <c r="BI79" s="9">
        <v>89.4</v>
      </c>
      <c r="BJ79" s="9">
        <v>148.4</v>
      </c>
      <c r="BK79" s="9">
        <v>113</v>
      </c>
      <c r="BL79" s="9"/>
      <c r="BM79" s="9">
        <v>89.8</v>
      </c>
      <c r="BN79" s="9">
        <v>129690.5</v>
      </c>
      <c r="BO79" s="9">
        <v>114942.7</v>
      </c>
      <c r="BP79" s="9">
        <v>47782.9</v>
      </c>
      <c r="BQ79" s="9">
        <v>34776.9</v>
      </c>
      <c r="BR79" s="9">
        <v>13006</v>
      </c>
      <c r="BS79" s="9">
        <v>11161</v>
      </c>
      <c r="BT79" s="9">
        <v>22578.5</v>
      </c>
      <c r="BU79" s="9">
        <v>8219.2999999999993</v>
      </c>
      <c r="BV79" s="9">
        <v>14397.4</v>
      </c>
      <c r="BW79" s="9">
        <v>72056.600000000006</v>
      </c>
      <c r="BX79" s="9">
        <v>4402.6000000000004</v>
      </c>
      <c r="BY79" s="9">
        <v>28365.200000000001</v>
      </c>
      <c r="BZ79" s="9">
        <v>22765.200000000001</v>
      </c>
      <c r="CA79" s="9">
        <v>1075.8</v>
      </c>
      <c r="CB79" s="9">
        <v>0</v>
      </c>
      <c r="CC79" s="9">
        <v>0</v>
      </c>
      <c r="CD79" s="9">
        <v>0</v>
      </c>
      <c r="CE79" s="9">
        <v>12005.4</v>
      </c>
      <c r="CF79" s="9">
        <v>328612.86344957998</v>
      </c>
      <c r="CG79" s="9">
        <v>1449536.2373698491</v>
      </c>
      <c r="CH79" s="9"/>
      <c r="CI79" s="9"/>
      <c r="CJ79" s="9">
        <v>24.2</v>
      </c>
      <c r="CK79" s="9">
        <v>15.9</v>
      </c>
      <c r="CL79" s="9"/>
      <c r="CM79" s="9">
        <v>37.227796153900002</v>
      </c>
      <c r="CN79" s="9">
        <v>15.767534463100001</v>
      </c>
      <c r="CO79" s="9">
        <v>1.012063446</v>
      </c>
      <c r="CP79" s="9">
        <v>5.4305472112000004</v>
      </c>
      <c r="CQ79" s="9">
        <v>3.7914566098</v>
      </c>
      <c r="CR79" s="9">
        <v>2.0171117996999999</v>
      </c>
      <c r="CS79" s="9">
        <v>0.63503891150000003</v>
      </c>
      <c r="CT79" s="9">
        <v>3.3550951684000001</v>
      </c>
      <c r="CU79" s="9">
        <v>0.85817336209999995</v>
      </c>
      <c r="CV79" s="9">
        <v>1.1097727729</v>
      </c>
      <c r="CW79" s="9">
        <v>1.9102656848999999</v>
      </c>
      <c r="CX79" s="9">
        <v>0.36700709840000001</v>
      </c>
      <c r="CY79" s="9">
        <v>0.97372962569999999</v>
      </c>
      <c r="CZ79" s="9">
        <v>147</v>
      </c>
      <c r="DA79" s="9">
        <v>94</v>
      </c>
      <c r="DB79" s="9">
        <v>12</v>
      </c>
      <c r="DC79" s="9">
        <v>62</v>
      </c>
      <c r="DD79" s="9">
        <v>1</v>
      </c>
      <c r="DE79" s="9">
        <v>6</v>
      </c>
      <c r="DF79" s="9">
        <v>4</v>
      </c>
      <c r="DG79" s="9">
        <v>2</v>
      </c>
      <c r="DH79" s="9">
        <v>39</v>
      </c>
      <c r="DI79" s="9">
        <v>1</v>
      </c>
      <c r="DJ79" s="9">
        <v>1</v>
      </c>
      <c r="DK79" s="9">
        <v>36</v>
      </c>
      <c r="DL79" s="9">
        <v>0</v>
      </c>
      <c r="DM79" s="9">
        <v>13</v>
      </c>
      <c r="DN79" s="9">
        <v>1</v>
      </c>
      <c r="DO79" s="9">
        <v>131.36000000000001</v>
      </c>
      <c r="DP79" s="9">
        <v>36.64</v>
      </c>
      <c r="DQ79" s="9">
        <v>21.85</v>
      </c>
      <c r="DR79" s="9">
        <v>14.79</v>
      </c>
      <c r="DS79" s="9">
        <v>16.600000000000001</v>
      </c>
      <c r="DT79" s="9">
        <v>0.51</v>
      </c>
      <c r="DU79" s="9">
        <v>46.28</v>
      </c>
      <c r="DV79" s="9">
        <v>27.31</v>
      </c>
      <c r="DW79" s="9">
        <v>10.62</v>
      </c>
      <c r="DX79" s="9">
        <v>31.76</v>
      </c>
      <c r="DY79" s="9">
        <v>16.86</v>
      </c>
      <c r="DZ79" s="9">
        <v>4.5599999999999996</v>
      </c>
      <c r="EA79" s="9">
        <v>83.878469999999993</v>
      </c>
      <c r="EB79" s="9">
        <v>28.84281</v>
      </c>
      <c r="EC79" s="9">
        <v>10.87594</v>
      </c>
      <c r="ED79" s="9">
        <v>-17.468299999999999</v>
      </c>
      <c r="EE79" s="9">
        <v>61.628059999999998</v>
      </c>
      <c r="EF79" s="9">
        <v>0</v>
      </c>
      <c r="EG79" s="9">
        <v>79.678730000000002</v>
      </c>
      <c r="EH79" s="9">
        <v>-76.959999999999994</v>
      </c>
      <c r="EI79" s="9">
        <v>-0.6</v>
      </c>
      <c r="EJ79" s="9">
        <v>0</v>
      </c>
      <c r="EK79" s="9">
        <v>157.23869999999999</v>
      </c>
      <c r="EL79" s="9">
        <v>29.974740000000001</v>
      </c>
      <c r="EM79" s="9">
        <v>34.174480000000003</v>
      </c>
      <c r="EN79" s="9">
        <v>417</v>
      </c>
      <c r="EO79" s="9"/>
      <c r="EP79" s="9"/>
      <c r="EQ79" s="9"/>
      <c r="ER79" s="9"/>
      <c r="ES79" s="9"/>
      <c r="ET79" s="9"/>
      <c r="EU79">
        <v>1171.53</v>
      </c>
      <c r="EV79" s="9">
        <v>4600.93</v>
      </c>
      <c r="EW79" s="9">
        <v>1321.34</v>
      </c>
      <c r="EX79" s="9">
        <v>18.149999999999999</v>
      </c>
      <c r="EY79" s="9">
        <v>48.88</v>
      </c>
      <c r="EZ79" s="9">
        <v>788.99</v>
      </c>
      <c r="FA79" s="9">
        <v>2423.58</v>
      </c>
      <c r="FB79" s="9">
        <v>54.910714285700003</v>
      </c>
      <c r="FC79" s="9">
        <v>68.857727272700004</v>
      </c>
      <c r="FD79" s="9">
        <v>7222.7727272726997</v>
      </c>
      <c r="FE79" s="9">
        <v>33.450000000000003</v>
      </c>
      <c r="FF79" s="9">
        <v>596.1454545455</v>
      </c>
      <c r="FG79">
        <v>1116201.4499999995</v>
      </c>
      <c r="FH79">
        <v>1050909.5699999998</v>
      </c>
      <c r="FI79">
        <v>65291.88</v>
      </c>
      <c r="FJ79" s="9">
        <v>1342034.0900000001</v>
      </c>
      <c r="FK79">
        <v>1256470.58</v>
      </c>
      <c r="FL79" s="9">
        <v>85563.51</v>
      </c>
      <c r="FM79" s="9">
        <v>2010973.63</v>
      </c>
      <c r="FN79" s="9">
        <v>242354.98</v>
      </c>
      <c r="FO79">
        <v>1172</v>
      </c>
      <c r="FP79">
        <v>740.86</v>
      </c>
      <c r="FQ79">
        <v>49.1</v>
      </c>
      <c r="FR79">
        <v>38.5</v>
      </c>
      <c r="FS79">
        <v>6.62</v>
      </c>
      <c r="FT79">
        <v>198.01</v>
      </c>
      <c r="FU79">
        <v>31.89</v>
      </c>
      <c r="FV79">
        <v>380.75</v>
      </c>
      <c r="FW79">
        <v>3951.99</v>
      </c>
      <c r="FX79">
        <v>940.52</v>
      </c>
      <c r="HB79" s="6"/>
      <c r="HC79" s="6"/>
      <c r="HD79" s="6"/>
    </row>
    <row r="80" spans="1:212" x14ac:dyDescent="0.2">
      <c r="A80" s="8" t="s">
        <v>849</v>
      </c>
      <c r="B80" s="8" t="s">
        <v>275</v>
      </c>
      <c r="C80" s="8" t="s">
        <v>276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>
        <v>95314.9</v>
      </c>
      <c r="BO80" s="9">
        <v>93286.399999999994</v>
      </c>
      <c r="BP80" s="9">
        <v>39017.300000000003</v>
      </c>
      <c r="BQ80" s="9">
        <v>26091.3</v>
      </c>
      <c r="BR80" s="9">
        <v>12925.9</v>
      </c>
      <c r="BS80" s="9">
        <v>10193.1</v>
      </c>
      <c r="BT80" s="9">
        <v>21721.1</v>
      </c>
      <c r="BU80" s="9">
        <v>8602.1</v>
      </c>
      <c r="BV80" s="9">
        <v>1751.3</v>
      </c>
      <c r="BW80" s="9">
        <v>51525.8</v>
      </c>
      <c r="BX80" s="9">
        <v>3078.6</v>
      </c>
      <c r="BY80" s="9">
        <v>17098.3</v>
      </c>
      <c r="BZ80" s="9">
        <v>12404.6</v>
      </c>
      <c r="CA80" s="9">
        <v>875.2</v>
      </c>
      <c r="CB80" s="9">
        <v>0</v>
      </c>
      <c r="CC80" s="9">
        <v>0</v>
      </c>
      <c r="CD80" s="9">
        <v>0</v>
      </c>
      <c r="CE80" s="9">
        <v>10546.1</v>
      </c>
      <c r="CF80" s="9">
        <v>325022.66265494999</v>
      </c>
      <c r="CG80" s="9">
        <v>1472774.8066783687</v>
      </c>
      <c r="CH80" s="9"/>
      <c r="CI80" s="9"/>
      <c r="CJ80" s="9">
        <v>25.5</v>
      </c>
      <c r="CK80" s="9">
        <v>16.829999999999998</v>
      </c>
      <c r="CL80" s="9"/>
      <c r="CM80" s="9">
        <v>37.223228350299998</v>
      </c>
      <c r="CN80" s="9">
        <v>15.714732160600001</v>
      </c>
      <c r="CO80" s="9">
        <v>1.0163338193</v>
      </c>
      <c r="CP80" s="9">
        <v>5.4075971660000004</v>
      </c>
      <c r="CQ80" s="9">
        <v>3.7797395802999998</v>
      </c>
      <c r="CR80" s="9">
        <v>2.0247125454999999</v>
      </c>
      <c r="CS80" s="9">
        <v>0.63562296409999997</v>
      </c>
      <c r="CT80" s="9">
        <v>3.4183220971999999</v>
      </c>
      <c r="CU80" s="9">
        <v>0.85620741570000003</v>
      </c>
      <c r="CV80" s="9">
        <v>1.113257027</v>
      </c>
      <c r="CW80" s="9">
        <v>1.9102656848999999</v>
      </c>
      <c r="CX80" s="9">
        <v>0.36707672600000002</v>
      </c>
      <c r="CY80" s="9">
        <v>0.97936116380000005</v>
      </c>
      <c r="CZ80" s="9">
        <v>142</v>
      </c>
      <c r="DA80" s="9">
        <v>104</v>
      </c>
      <c r="DB80" s="9">
        <v>14</v>
      </c>
      <c r="DC80" s="9">
        <v>67</v>
      </c>
      <c r="DD80" s="9">
        <v>2</v>
      </c>
      <c r="DE80" s="9">
        <v>10</v>
      </c>
      <c r="DF80" s="9">
        <v>4</v>
      </c>
      <c r="DG80" s="9">
        <v>2</v>
      </c>
      <c r="DH80" s="9">
        <v>18</v>
      </c>
      <c r="DI80" s="9">
        <v>0</v>
      </c>
      <c r="DJ80" s="9">
        <v>2</v>
      </c>
      <c r="DK80" s="9">
        <v>16</v>
      </c>
      <c r="DL80" s="9">
        <v>0</v>
      </c>
      <c r="DM80" s="9">
        <v>19</v>
      </c>
      <c r="DN80" s="9">
        <v>0</v>
      </c>
      <c r="DO80" s="9">
        <v>148.85</v>
      </c>
      <c r="DP80" s="9">
        <v>37.840000000000003</v>
      </c>
      <c r="DQ80" s="9">
        <v>19.3</v>
      </c>
      <c r="DR80" s="9">
        <v>18.54</v>
      </c>
      <c r="DS80" s="9">
        <v>14.98</v>
      </c>
      <c r="DT80" s="9">
        <v>0.71</v>
      </c>
      <c r="DU80" s="9">
        <v>50.82</v>
      </c>
      <c r="DV80" s="9">
        <v>24.61</v>
      </c>
      <c r="DW80" s="9">
        <v>12.47</v>
      </c>
      <c r="DX80" s="9">
        <v>45.1</v>
      </c>
      <c r="DY80" s="9">
        <v>25.83</v>
      </c>
      <c r="DZ80" s="9">
        <v>6.1</v>
      </c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>
        <v>467.5</v>
      </c>
      <c r="EO80" s="9"/>
      <c r="EP80" s="9"/>
      <c r="EQ80" s="9"/>
      <c r="ER80" s="9"/>
      <c r="ES80" s="9"/>
      <c r="ET80" s="9"/>
      <c r="EU80">
        <v>1170.32</v>
      </c>
      <c r="EV80" s="9"/>
      <c r="EW80" s="9"/>
      <c r="EX80" s="9"/>
      <c r="EY80" s="9"/>
      <c r="EZ80" s="9"/>
      <c r="FA80" s="9"/>
      <c r="FB80" s="9">
        <v>56.954081632700003</v>
      </c>
      <c r="FC80" s="9">
        <v>73.898095238099998</v>
      </c>
      <c r="FD80" s="9">
        <v>7726.7380952381</v>
      </c>
      <c r="FE80" s="9">
        <v>33.450000000000003</v>
      </c>
      <c r="FF80" s="9">
        <v>633.70952380949996</v>
      </c>
      <c r="FG80">
        <v>1149756.4899999998</v>
      </c>
      <c r="FH80">
        <v>1086171.5399999998</v>
      </c>
      <c r="FI80">
        <v>63584.95</v>
      </c>
      <c r="FJ80" s="9">
        <v>1375617.2600000002</v>
      </c>
      <c r="FK80">
        <v>1286201.2599999998</v>
      </c>
      <c r="FL80" s="9">
        <v>89416</v>
      </c>
      <c r="FM80" s="9">
        <v>2206582.91</v>
      </c>
      <c r="FN80" s="9">
        <v>248925.48</v>
      </c>
      <c r="FO80">
        <v>1169</v>
      </c>
      <c r="FP80">
        <v>789.75</v>
      </c>
      <c r="FQ80">
        <v>53.45</v>
      </c>
      <c r="FR80">
        <v>43.29</v>
      </c>
      <c r="FS80">
        <v>10.67</v>
      </c>
      <c r="FT80">
        <v>198.77</v>
      </c>
      <c r="FU80">
        <v>25.29</v>
      </c>
      <c r="FV80">
        <v>0.01</v>
      </c>
      <c r="FW80">
        <v>7771.03</v>
      </c>
      <c r="FX80">
        <v>361.6</v>
      </c>
      <c r="HB80" s="6"/>
      <c r="HC80" s="6"/>
      <c r="HD80" s="6"/>
    </row>
    <row r="81" spans="1:212" x14ac:dyDescent="0.2">
      <c r="A81" s="8" t="s">
        <v>849</v>
      </c>
      <c r="B81" s="8" t="s">
        <v>275</v>
      </c>
      <c r="C81" s="8" t="s">
        <v>277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>
        <v>128125.8</v>
      </c>
      <c r="BO81" s="9">
        <v>118275.4</v>
      </c>
      <c r="BP81" s="9">
        <v>53305.1</v>
      </c>
      <c r="BQ81" s="9">
        <v>6720.7</v>
      </c>
      <c r="BR81" s="9">
        <v>-6517.2</v>
      </c>
      <c r="BS81" s="9">
        <v>6191.3</v>
      </c>
      <c r="BT81" s="9">
        <v>26934</v>
      </c>
      <c r="BU81" s="9">
        <v>10162.9</v>
      </c>
      <c r="BV81" s="9">
        <v>9451.1</v>
      </c>
      <c r="BW81" s="9">
        <v>59747.7</v>
      </c>
      <c r="BX81" s="9">
        <v>3822.5</v>
      </c>
      <c r="BY81" s="9">
        <v>18292.400000000001</v>
      </c>
      <c r="BZ81" s="9">
        <v>13351.4</v>
      </c>
      <c r="CA81" s="9">
        <v>2209.6999999999998</v>
      </c>
      <c r="CB81" s="9">
        <v>0</v>
      </c>
      <c r="CC81" s="9">
        <v>0</v>
      </c>
      <c r="CD81" s="9">
        <v>0</v>
      </c>
      <c r="CE81" s="9">
        <v>11094.5</v>
      </c>
      <c r="CF81" s="9">
        <v>343056.92758091999</v>
      </c>
      <c r="CG81" s="9">
        <v>1490910.5066910619</v>
      </c>
      <c r="CH81" s="9"/>
      <c r="CI81" s="9"/>
      <c r="CJ81" s="9">
        <v>28.1</v>
      </c>
      <c r="CK81" s="9">
        <v>16.3</v>
      </c>
      <c r="CL81" s="9"/>
      <c r="CM81" s="9">
        <v>36.7648974194</v>
      </c>
      <c r="CN81" s="9">
        <v>15.1136413301</v>
      </c>
      <c r="CO81" s="9">
        <v>1.0168591983999999</v>
      </c>
      <c r="CP81" s="9">
        <v>5.4422621588000002</v>
      </c>
      <c r="CQ81" s="9">
        <v>3.7873068434000001</v>
      </c>
      <c r="CR81" s="9">
        <v>2.0311747245</v>
      </c>
      <c r="CS81" s="9">
        <v>0.63772664960000003</v>
      </c>
      <c r="CT81" s="9">
        <v>3.4515576813000002</v>
      </c>
      <c r="CU81" s="9">
        <v>0.85333340680000003</v>
      </c>
      <c r="CV81" s="9">
        <v>1.1071865330999999</v>
      </c>
      <c r="CW81" s="9">
        <v>1.9723726324999999</v>
      </c>
      <c r="CX81" s="9">
        <v>0.37157747689999998</v>
      </c>
      <c r="CY81" s="9">
        <v>0.97989878409999998</v>
      </c>
      <c r="CZ81" s="9">
        <v>147</v>
      </c>
      <c r="DA81" s="9">
        <v>114</v>
      </c>
      <c r="DB81" s="9">
        <v>14</v>
      </c>
      <c r="DC81" s="9">
        <v>71</v>
      </c>
      <c r="DD81" s="9">
        <v>2</v>
      </c>
      <c r="DE81" s="9">
        <v>11</v>
      </c>
      <c r="DF81" s="9">
        <v>4</v>
      </c>
      <c r="DG81" s="9">
        <v>3</v>
      </c>
      <c r="DH81" s="9">
        <v>16</v>
      </c>
      <c r="DI81" s="9">
        <v>0</v>
      </c>
      <c r="DJ81" s="9">
        <v>2</v>
      </c>
      <c r="DK81" s="9">
        <v>12</v>
      </c>
      <c r="DL81" s="9">
        <v>0</v>
      </c>
      <c r="DM81" s="9">
        <v>17</v>
      </c>
      <c r="DN81" s="9">
        <v>1</v>
      </c>
      <c r="DO81" s="9">
        <v>163.72</v>
      </c>
      <c r="DP81" s="9">
        <v>33.840000000000003</v>
      </c>
      <c r="DQ81" s="9">
        <v>21.32</v>
      </c>
      <c r="DR81" s="9">
        <v>12.52</v>
      </c>
      <c r="DS81" s="9">
        <v>14.47</v>
      </c>
      <c r="DT81" s="9">
        <v>0.33</v>
      </c>
      <c r="DU81" s="9">
        <v>55.64</v>
      </c>
      <c r="DV81" s="9">
        <v>28.8</v>
      </c>
      <c r="DW81" s="9">
        <v>14.83</v>
      </c>
      <c r="DX81" s="9">
        <v>59.68</v>
      </c>
      <c r="DY81" s="9">
        <v>28</v>
      </c>
      <c r="DZ81" s="9">
        <v>8.85</v>
      </c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>
        <v>486.3</v>
      </c>
      <c r="EO81" s="9"/>
      <c r="EP81" s="9"/>
      <c r="EQ81" s="9"/>
      <c r="ER81" s="9"/>
      <c r="ES81" s="9"/>
      <c r="ET81" s="9"/>
      <c r="EU81">
        <v>1168.3499999999999</v>
      </c>
      <c r="EV81" s="9"/>
      <c r="EW81" s="9"/>
      <c r="EX81" s="9"/>
      <c r="EY81" s="9"/>
      <c r="EZ81" s="9"/>
      <c r="FA81" s="9"/>
      <c r="FB81" s="9">
        <v>55.633928571399998</v>
      </c>
      <c r="FC81" s="9">
        <v>73.612173913000007</v>
      </c>
      <c r="FD81" s="9">
        <v>7690.25</v>
      </c>
      <c r="FE81" s="9">
        <v>33.450000000000003</v>
      </c>
      <c r="FF81" s="9">
        <v>632.59318181820004</v>
      </c>
      <c r="FG81">
        <v>1171126.6000000001</v>
      </c>
      <c r="FH81">
        <v>1104061.1599999999</v>
      </c>
      <c r="FI81">
        <v>67065.440000000002</v>
      </c>
      <c r="FJ81" s="9">
        <v>1380874.4400000002</v>
      </c>
      <c r="FK81">
        <v>1292556.06</v>
      </c>
      <c r="FL81" s="9">
        <v>88318.38</v>
      </c>
      <c r="FM81" s="9">
        <v>2121644.4500000002</v>
      </c>
      <c r="FN81" s="9">
        <v>254987.75</v>
      </c>
      <c r="FO81">
        <v>1168</v>
      </c>
      <c r="FP81">
        <v>782.56</v>
      </c>
      <c r="FQ81">
        <v>54.1</v>
      </c>
      <c r="FR81">
        <v>42.99</v>
      </c>
      <c r="FS81">
        <v>12.12</v>
      </c>
      <c r="FT81">
        <v>191.67</v>
      </c>
      <c r="FU81">
        <v>44.35</v>
      </c>
      <c r="FV81">
        <v>281.17</v>
      </c>
      <c r="FW81">
        <v>9456.2800000000007</v>
      </c>
      <c r="FX81">
        <v>249.72</v>
      </c>
      <c r="HB81" s="6"/>
      <c r="HC81" s="6"/>
      <c r="HD81" s="6"/>
    </row>
    <row r="82" spans="1:212" x14ac:dyDescent="0.2">
      <c r="A82" s="8" t="s">
        <v>849</v>
      </c>
      <c r="B82" s="8" t="s">
        <v>275</v>
      </c>
      <c r="C82" s="8" t="s">
        <v>278</v>
      </c>
      <c r="D82" s="9">
        <v>1025419.9</v>
      </c>
      <c r="E82" s="9">
        <v>172789.2</v>
      </c>
      <c r="F82" s="9">
        <v>312969.8</v>
      </c>
      <c r="G82" s="9">
        <v>55743.9</v>
      </c>
      <c r="H82" s="9">
        <v>19656.7</v>
      </c>
      <c r="I82" s="9">
        <v>25980.3</v>
      </c>
      <c r="J82" s="9">
        <v>46974.400000000001</v>
      </c>
      <c r="K82" s="9">
        <v>76857.100000000006</v>
      </c>
      <c r="L82" s="9">
        <v>28939.1</v>
      </c>
      <c r="M82" s="9">
        <v>164058.9</v>
      </c>
      <c r="N82" s="9">
        <v>121450.8</v>
      </c>
      <c r="O82" s="9">
        <v>2845708.0279040532</v>
      </c>
      <c r="P82" s="9">
        <v>411440.02516832761</v>
      </c>
      <c r="Q82" s="9">
        <v>543563.63050985907</v>
      </c>
      <c r="R82" s="9">
        <v>230273.57134845949</v>
      </c>
      <c r="S82" s="9">
        <v>63642.089024710702</v>
      </c>
      <c r="T82" s="9">
        <v>162245.07795171821</v>
      </c>
      <c r="U82" s="9">
        <v>181085.14205286489</v>
      </c>
      <c r="V82" s="9">
        <v>124022.44067564989</v>
      </c>
      <c r="W82" s="9">
        <v>55381.5410948973</v>
      </c>
      <c r="X82" s="9">
        <v>805075.71107914241</v>
      </c>
      <c r="Y82" s="9">
        <v>268978.79899842368</v>
      </c>
      <c r="Z82" s="9">
        <v>1049119.5</v>
      </c>
      <c r="AA82" s="9">
        <v>504268.4</v>
      </c>
      <c r="AB82" s="9">
        <v>84817.4</v>
      </c>
      <c r="AC82" s="9">
        <v>320223</v>
      </c>
      <c r="AD82" s="9">
        <v>24948.5</v>
      </c>
      <c r="AE82" s="9">
        <v>741482.2</v>
      </c>
      <c r="AF82" s="9">
        <v>626619.9</v>
      </c>
      <c r="AG82" s="9">
        <v>2960198.996138352</v>
      </c>
      <c r="AH82" s="9">
        <v>1529478.5473446471</v>
      </c>
      <c r="AI82" s="9">
        <v>335844.62752554729</v>
      </c>
      <c r="AJ82" s="9">
        <v>977063.014154398</v>
      </c>
      <c r="AK82" s="9">
        <v>100600.0639926056</v>
      </c>
      <c r="AL82" s="9">
        <v>1052201.819166342</v>
      </c>
      <c r="AM82" s="9">
        <v>1034989.076045188</v>
      </c>
      <c r="AN82" s="9">
        <v>861982</v>
      </c>
      <c r="AO82" s="9">
        <v>443593</v>
      </c>
      <c r="AP82" s="9">
        <v>418389</v>
      </c>
      <c r="AQ82" s="9">
        <v>113147</v>
      </c>
      <c r="AR82" s="9">
        <v>54923</v>
      </c>
      <c r="AS82" s="9">
        <v>58224</v>
      </c>
      <c r="AT82" s="9">
        <v>530539</v>
      </c>
      <c r="AU82" s="9">
        <v>218486</v>
      </c>
      <c r="AV82" s="9">
        <v>312053</v>
      </c>
      <c r="AW82" s="9">
        <v>128.1</v>
      </c>
      <c r="AX82" s="9">
        <v>67.8</v>
      </c>
      <c r="AY82" s="9">
        <v>146.4</v>
      </c>
      <c r="AZ82" s="9">
        <v>126.1</v>
      </c>
      <c r="BA82" s="9">
        <v>136</v>
      </c>
      <c r="BB82" s="9"/>
      <c r="BC82" s="9">
        <v>141.9</v>
      </c>
      <c r="BD82" s="9">
        <v>86.8</v>
      </c>
      <c r="BE82" s="9">
        <v>132.9</v>
      </c>
      <c r="BF82" s="9">
        <v>120.8</v>
      </c>
      <c r="BG82" s="9"/>
      <c r="BH82" s="9">
        <v>267.60000000000002</v>
      </c>
      <c r="BI82" s="9">
        <v>98.3</v>
      </c>
      <c r="BJ82" s="9">
        <v>98.6</v>
      </c>
      <c r="BK82" s="9">
        <v>122.7</v>
      </c>
      <c r="BL82" s="9"/>
      <c r="BM82" s="9">
        <v>92.2</v>
      </c>
      <c r="BN82" s="9">
        <v>133122.1</v>
      </c>
      <c r="BO82" s="9">
        <v>104417.5</v>
      </c>
      <c r="BP82" s="9">
        <v>44929</v>
      </c>
      <c r="BQ82" s="9">
        <v>6464.5</v>
      </c>
      <c r="BR82" s="9">
        <v>6117.7</v>
      </c>
      <c r="BS82" s="9">
        <v>12130.8</v>
      </c>
      <c r="BT82" s="9">
        <v>24315.9</v>
      </c>
      <c r="BU82" s="9">
        <v>7797.2</v>
      </c>
      <c r="BV82" s="9">
        <v>28508.6</v>
      </c>
      <c r="BW82" s="9">
        <v>78389.8</v>
      </c>
      <c r="BX82" s="9">
        <v>3185</v>
      </c>
      <c r="BY82" s="9">
        <v>34722.300000000003</v>
      </c>
      <c r="BZ82" s="9">
        <v>16506.2</v>
      </c>
      <c r="CA82" s="9">
        <v>591.29999999999995</v>
      </c>
      <c r="CB82" s="9">
        <v>0</v>
      </c>
      <c r="CC82" s="9">
        <v>0</v>
      </c>
      <c r="CD82" s="9">
        <v>0</v>
      </c>
      <c r="CE82" s="9">
        <v>9511.7999999999993</v>
      </c>
      <c r="CF82" s="9">
        <v>331262.52514364</v>
      </c>
      <c r="CG82" s="9">
        <v>1542756.8807726407</v>
      </c>
      <c r="CH82" s="9"/>
      <c r="CI82" s="9"/>
      <c r="CJ82" s="9">
        <v>26.098144185599999</v>
      </c>
      <c r="CK82" s="9">
        <v>15.2516925347</v>
      </c>
      <c r="CL82" s="9"/>
      <c r="CM82" s="9">
        <v>36.8935426898</v>
      </c>
      <c r="CN82" s="9">
        <v>14.5743245044</v>
      </c>
      <c r="CO82" s="9">
        <v>1.0212652477999999</v>
      </c>
      <c r="CP82" s="9">
        <v>5.4769764878</v>
      </c>
      <c r="CQ82" s="9">
        <v>4.056308467</v>
      </c>
      <c r="CR82" s="9">
        <v>2.0485302246999999</v>
      </c>
      <c r="CS82" s="9">
        <v>0.64976245300000002</v>
      </c>
      <c r="CT82" s="9">
        <v>3.5457076075999998</v>
      </c>
      <c r="CU82" s="9">
        <v>0.85976055780000005</v>
      </c>
      <c r="CV82" s="9">
        <v>1.1235398904</v>
      </c>
      <c r="CW82" s="9">
        <v>2.1744551865999999</v>
      </c>
      <c r="CX82" s="9">
        <v>0.37557156479999998</v>
      </c>
      <c r="CY82" s="9">
        <v>0.98734049800000001</v>
      </c>
      <c r="CZ82" s="9">
        <v>186</v>
      </c>
      <c r="DA82" s="9">
        <v>146</v>
      </c>
      <c r="DB82" s="9">
        <v>64</v>
      </c>
      <c r="DC82" s="9">
        <v>61</v>
      </c>
      <c r="DD82" s="9">
        <v>1</v>
      </c>
      <c r="DE82" s="9">
        <v>8</v>
      </c>
      <c r="DF82" s="9">
        <v>3</v>
      </c>
      <c r="DG82" s="9">
        <v>2</v>
      </c>
      <c r="DH82" s="9">
        <v>22</v>
      </c>
      <c r="DI82" s="9">
        <v>3</v>
      </c>
      <c r="DJ82" s="9">
        <v>3</v>
      </c>
      <c r="DK82" s="9">
        <v>15</v>
      </c>
      <c r="DL82" s="9">
        <v>0</v>
      </c>
      <c r="DM82" s="9">
        <v>18</v>
      </c>
      <c r="DN82" s="9">
        <v>0</v>
      </c>
      <c r="DO82" s="9">
        <v>128.07</v>
      </c>
      <c r="DP82" s="9">
        <v>34.39</v>
      </c>
      <c r="DQ82" s="9">
        <v>22.16</v>
      </c>
      <c r="DR82" s="9">
        <v>12.23</v>
      </c>
      <c r="DS82" s="9">
        <v>13.9</v>
      </c>
      <c r="DT82" s="9">
        <v>0.52</v>
      </c>
      <c r="DU82" s="9">
        <v>46.9</v>
      </c>
      <c r="DV82" s="9">
        <v>26.3</v>
      </c>
      <c r="DW82" s="9">
        <v>12.91</v>
      </c>
      <c r="DX82" s="9">
        <v>32.799999999999997</v>
      </c>
      <c r="DY82" s="9">
        <v>10.87</v>
      </c>
      <c r="DZ82" s="9">
        <v>5.73</v>
      </c>
      <c r="EA82" s="9">
        <v>132.78829999999999</v>
      </c>
      <c r="EB82" s="9">
        <v>39.43844</v>
      </c>
      <c r="EC82" s="9">
        <v>57.671300000000002</v>
      </c>
      <c r="ED82" s="9">
        <v>-7.7979999999999994E-2</v>
      </c>
      <c r="EE82" s="9">
        <v>35.756540000000001</v>
      </c>
      <c r="EF82" s="9">
        <v>0</v>
      </c>
      <c r="EG82" s="9">
        <v>-53.054699999999997</v>
      </c>
      <c r="EH82" s="9">
        <v>-88.7</v>
      </c>
      <c r="EI82" s="9">
        <v>0</v>
      </c>
      <c r="EJ82" s="9">
        <v>0</v>
      </c>
      <c r="EK82" s="9">
        <v>35.645330000000001</v>
      </c>
      <c r="EL82" s="9">
        <v>-59.703099999999999</v>
      </c>
      <c r="EM82" s="9">
        <v>126.1399</v>
      </c>
      <c r="EN82" s="9">
        <v>541.6</v>
      </c>
      <c r="EO82" s="9"/>
      <c r="EP82" s="9"/>
      <c r="EQ82" s="9"/>
      <c r="ER82" s="9"/>
      <c r="ES82" s="9"/>
      <c r="ET82" s="9"/>
      <c r="EU82">
        <v>1167.7</v>
      </c>
      <c r="EV82" s="9">
        <v>4607.87</v>
      </c>
      <c r="EW82" s="9">
        <v>1333.12</v>
      </c>
      <c r="EX82" s="9">
        <v>16.670000000000002</v>
      </c>
      <c r="EY82" s="9">
        <v>56.4</v>
      </c>
      <c r="EZ82" s="9">
        <v>778.11</v>
      </c>
      <c r="FA82" s="9">
        <v>2423.58</v>
      </c>
      <c r="FB82" s="9">
        <v>51.887755102</v>
      </c>
      <c r="FC82" s="9">
        <v>62.772857142900001</v>
      </c>
      <c r="FD82" s="9">
        <v>7622.6428571428996</v>
      </c>
      <c r="FE82" s="9">
        <v>33.450000000000003</v>
      </c>
      <c r="FF82" s="9">
        <v>598.18571428569999</v>
      </c>
      <c r="FG82">
        <v>1186722.3500000001</v>
      </c>
      <c r="FH82">
        <v>1120909.5399999998</v>
      </c>
      <c r="FI82">
        <v>65812.81</v>
      </c>
      <c r="FJ82" s="9">
        <v>1445430.74</v>
      </c>
      <c r="FK82">
        <v>1330235.6700000002</v>
      </c>
      <c r="FL82" s="9">
        <v>115195.07</v>
      </c>
      <c r="FM82" s="9">
        <v>2248814.75</v>
      </c>
      <c r="FN82" s="9">
        <v>264231.27</v>
      </c>
      <c r="FO82">
        <v>1168</v>
      </c>
      <c r="FP82">
        <v>3445.46</v>
      </c>
      <c r="FQ82">
        <v>47.6</v>
      </c>
      <c r="FR82">
        <v>17.66</v>
      </c>
      <c r="FS82">
        <v>9.0399999999999991</v>
      </c>
      <c r="FT82">
        <v>171.44</v>
      </c>
      <c r="FU82">
        <v>34.549999999999997</v>
      </c>
      <c r="FV82">
        <v>918.63</v>
      </c>
      <c r="FW82">
        <v>20363.759999999998</v>
      </c>
      <c r="FX82">
        <v>269.02999999999997</v>
      </c>
      <c r="HB82" s="6"/>
      <c r="HC82" s="6"/>
      <c r="HD82" s="6"/>
    </row>
    <row r="83" spans="1:212" x14ac:dyDescent="0.2">
      <c r="A83" s="8" t="s">
        <v>849</v>
      </c>
      <c r="B83" s="8" t="s">
        <v>279</v>
      </c>
      <c r="C83" s="8" t="s">
        <v>280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>
        <v>169037</v>
      </c>
      <c r="BO83" s="9">
        <v>144108.4</v>
      </c>
      <c r="BP83" s="9">
        <v>81746.600000000006</v>
      </c>
      <c r="BQ83" s="9">
        <v>49379.3</v>
      </c>
      <c r="BR83" s="9">
        <v>6969.9</v>
      </c>
      <c r="BS83" s="9">
        <v>13810.9</v>
      </c>
      <c r="BT83" s="9">
        <v>17320.599999999999</v>
      </c>
      <c r="BU83" s="9">
        <v>8716.2000000000007</v>
      </c>
      <c r="BV83" s="9">
        <v>24539.1</v>
      </c>
      <c r="BW83" s="9">
        <v>87024.7</v>
      </c>
      <c r="BX83" s="9">
        <v>28898.5</v>
      </c>
      <c r="BY83" s="9">
        <v>35801.5</v>
      </c>
      <c r="BZ83" s="9">
        <v>17699.8</v>
      </c>
      <c r="CA83" s="9">
        <v>2934.2</v>
      </c>
      <c r="CB83" s="9">
        <v>0</v>
      </c>
      <c r="CC83" s="9">
        <v>0</v>
      </c>
      <c r="CD83" s="9">
        <v>0</v>
      </c>
      <c r="CE83" s="9">
        <v>34296</v>
      </c>
      <c r="CF83" s="9">
        <v>320034.15024251997</v>
      </c>
      <c r="CG83" s="9">
        <v>1548790.091448907</v>
      </c>
      <c r="CH83" s="9"/>
      <c r="CI83" s="9"/>
      <c r="CJ83" s="9">
        <v>27.606451142899999</v>
      </c>
      <c r="CK83" s="9">
        <v>16.104867123799998</v>
      </c>
      <c r="CL83" s="9"/>
      <c r="CM83" s="9">
        <v>40.535943134299998</v>
      </c>
      <c r="CN83" s="9">
        <v>14.439660806399999</v>
      </c>
      <c r="CO83" s="9">
        <v>1.0249253291</v>
      </c>
      <c r="CP83" s="9">
        <v>5.5621417393000003</v>
      </c>
      <c r="CQ83" s="9">
        <v>4.1660726318999997</v>
      </c>
      <c r="CR83" s="9">
        <v>2.0592020642</v>
      </c>
      <c r="CS83" s="9">
        <v>0.66800230130000005</v>
      </c>
      <c r="CT83" s="9">
        <v>3.5472647799999999</v>
      </c>
      <c r="CU83" s="9">
        <v>0.85977258209999996</v>
      </c>
      <c r="CV83" s="9">
        <v>1.1250029772000001</v>
      </c>
      <c r="CW83" s="9">
        <v>2.1752776272999998</v>
      </c>
      <c r="CX83" s="9">
        <v>0.38487529370000001</v>
      </c>
      <c r="CY83" s="9">
        <v>1.0001670385999999</v>
      </c>
      <c r="CZ83" s="9">
        <v>126</v>
      </c>
      <c r="DA83" s="9">
        <v>93</v>
      </c>
      <c r="DB83" s="9">
        <v>13</v>
      </c>
      <c r="DC83" s="9">
        <v>58</v>
      </c>
      <c r="DD83" s="9">
        <v>1</v>
      </c>
      <c r="DE83" s="9">
        <v>9</v>
      </c>
      <c r="DF83" s="9">
        <v>4</v>
      </c>
      <c r="DG83" s="9">
        <v>2</v>
      </c>
      <c r="DH83" s="9">
        <v>19</v>
      </c>
      <c r="DI83" s="9">
        <v>4</v>
      </c>
      <c r="DJ83" s="9">
        <v>4</v>
      </c>
      <c r="DK83" s="9">
        <v>10</v>
      </c>
      <c r="DL83" s="9">
        <v>1</v>
      </c>
      <c r="DM83" s="9">
        <v>12</v>
      </c>
      <c r="DN83" s="9">
        <v>1</v>
      </c>
      <c r="DO83" s="9">
        <v>131.59</v>
      </c>
      <c r="DP83" s="9">
        <v>33.42</v>
      </c>
      <c r="DQ83" s="9">
        <v>19.82</v>
      </c>
      <c r="DR83" s="9">
        <v>13.6</v>
      </c>
      <c r="DS83" s="9">
        <v>11.35</v>
      </c>
      <c r="DT83" s="9">
        <v>0.56000000000000005</v>
      </c>
      <c r="DU83" s="9">
        <v>46.58</v>
      </c>
      <c r="DV83" s="9">
        <v>24.4</v>
      </c>
      <c r="DW83" s="9">
        <v>13.97</v>
      </c>
      <c r="DX83" s="9">
        <v>40.15</v>
      </c>
      <c r="DY83" s="9">
        <v>15.28</v>
      </c>
      <c r="DZ83" s="9">
        <v>7.62</v>
      </c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>
        <v>608.70000000000005</v>
      </c>
      <c r="EO83" s="9"/>
      <c r="EP83" s="9"/>
      <c r="EQ83" s="9"/>
      <c r="ER83" s="9"/>
      <c r="ES83" s="9"/>
      <c r="ET83" s="9"/>
      <c r="EU83">
        <v>1166.6099999999999</v>
      </c>
      <c r="EV83" s="9"/>
      <c r="EW83" s="9"/>
      <c r="EX83" s="9"/>
      <c r="EY83" s="9"/>
      <c r="EZ83" s="9"/>
      <c r="FA83" s="9"/>
      <c r="FB83" s="9">
        <v>47.690746753200003</v>
      </c>
      <c r="FC83" s="9">
        <v>58.3818181818</v>
      </c>
      <c r="FD83" s="9">
        <v>7497.4090909091001</v>
      </c>
      <c r="FE83" s="9">
        <v>33.450000000000003</v>
      </c>
      <c r="FF83" s="9">
        <v>585.77954545449995</v>
      </c>
      <c r="FG83">
        <v>1195466.56</v>
      </c>
      <c r="FH83">
        <v>1129289.56</v>
      </c>
      <c r="FI83">
        <v>66177</v>
      </c>
      <c r="FJ83" s="9">
        <v>1464634.99</v>
      </c>
      <c r="FK83">
        <v>1345356.05</v>
      </c>
      <c r="FL83" s="9">
        <v>119278.94</v>
      </c>
      <c r="FM83" s="9">
        <v>2246662.9700000002</v>
      </c>
      <c r="FN83" s="9">
        <v>270288.06</v>
      </c>
      <c r="FO83">
        <v>1165</v>
      </c>
      <c r="FP83">
        <v>777.74</v>
      </c>
      <c r="FQ83">
        <v>46.19</v>
      </c>
      <c r="FR83">
        <v>19.940000000000001</v>
      </c>
      <c r="FS83">
        <v>8.91</v>
      </c>
      <c r="FT83">
        <v>178.41</v>
      </c>
      <c r="FU83">
        <v>37.24</v>
      </c>
      <c r="FV83">
        <v>2436.5700000000002</v>
      </c>
      <c r="FW83">
        <v>22253.27</v>
      </c>
      <c r="FX83">
        <v>173.71</v>
      </c>
      <c r="HB83" s="6"/>
      <c r="HC83" s="6"/>
      <c r="HD83" s="6"/>
    </row>
    <row r="84" spans="1:212" x14ac:dyDescent="0.2">
      <c r="A84" s="8" t="s">
        <v>849</v>
      </c>
      <c r="B84" s="8" t="s">
        <v>279</v>
      </c>
      <c r="C84" s="8" t="s">
        <v>281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>
        <v>117230.9</v>
      </c>
      <c r="BO84" s="9">
        <v>96589.6</v>
      </c>
      <c r="BP84" s="9">
        <v>44488.3</v>
      </c>
      <c r="BQ84" s="9">
        <v>12945.5</v>
      </c>
      <c r="BR84" s="9">
        <v>6391.7</v>
      </c>
      <c r="BS84" s="9">
        <v>11623.3</v>
      </c>
      <c r="BT84" s="9">
        <v>17638.2</v>
      </c>
      <c r="BU84" s="9">
        <v>10293.5</v>
      </c>
      <c r="BV84" s="9">
        <v>20452.2</v>
      </c>
      <c r="BW84" s="9">
        <v>63998.9</v>
      </c>
      <c r="BX84" s="9">
        <v>13328</v>
      </c>
      <c r="BY84" s="9">
        <v>22227.7</v>
      </c>
      <c r="BZ84" s="9">
        <v>16718.5</v>
      </c>
      <c r="CA84" s="9">
        <v>744</v>
      </c>
      <c r="CB84" s="9">
        <v>0</v>
      </c>
      <c r="CC84" s="9">
        <v>0</v>
      </c>
      <c r="CD84" s="9">
        <v>0</v>
      </c>
      <c r="CE84" s="9">
        <v>21017.8</v>
      </c>
      <c r="CF84" s="9">
        <v>325026.38743803801</v>
      </c>
      <c r="CG84" s="9">
        <v>1586198.0987259899</v>
      </c>
      <c r="CH84" s="9"/>
      <c r="CI84" s="9"/>
      <c r="CJ84" s="9">
        <v>27.2</v>
      </c>
      <c r="CK84" s="9">
        <v>14.4</v>
      </c>
      <c r="CL84" s="9"/>
      <c r="CM84" s="9">
        <v>40.954987041800003</v>
      </c>
      <c r="CN84" s="9">
        <v>14.3322811977</v>
      </c>
      <c r="CO84" s="9">
        <v>1.0245699515</v>
      </c>
      <c r="CP84" s="9">
        <v>5.6008521925999997</v>
      </c>
      <c r="CQ84" s="9">
        <v>4.2444775078000001</v>
      </c>
      <c r="CR84" s="9">
        <v>2.0792846422000002</v>
      </c>
      <c r="CS84" s="9">
        <v>0.67625074220000003</v>
      </c>
      <c r="CT84" s="9">
        <v>3.5689453644000002</v>
      </c>
      <c r="CU84" s="9">
        <v>0.86011182750000004</v>
      </c>
      <c r="CV84" s="9">
        <v>1.1263609733</v>
      </c>
      <c r="CW84" s="9">
        <v>2.1752776272999998</v>
      </c>
      <c r="CX84" s="9">
        <v>0.3845393929</v>
      </c>
      <c r="CY84" s="9">
        <v>1.0060998626</v>
      </c>
      <c r="CZ84" s="9">
        <v>186</v>
      </c>
      <c r="DA84" s="9">
        <v>152</v>
      </c>
      <c r="DB84" s="9">
        <v>63</v>
      </c>
      <c r="DC84" s="9">
        <v>61</v>
      </c>
      <c r="DD84" s="9">
        <v>1</v>
      </c>
      <c r="DE84" s="9">
        <v>11</v>
      </c>
      <c r="DF84" s="9">
        <v>7</v>
      </c>
      <c r="DG84" s="9">
        <v>2</v>
      </c>
      <c r="DH84" s="9">
        <v>22</v>
      </c>
      <c r="DI84" s="9">
        <v>5</v>
      </c>
      <c r="DJ84" s="9">
        <v>5</v>
      </c>
      <c r="DK84" s="9">
        <v>11</v>
      </c>
      <c r="DL84" s="9">
        <v>1</v>
      </c>
      <c r="DM84" s="9">
        <v>11</v>
      </c>
      <c r="DN84" s="9">
        <v>0</v>
      </c>
      <c r="DO84" s="9">
        <v>143.56</v>
      </c>
      <c r="DP84" s="9">
        <v>36.619999999999997</v>
      </c>
      <c r="DQ84" s="9">
        <v>22.37</v>
      </c>
      <c r="DR84" s="9">
        <v>14.25</v>
      </c>
      <c r="DS84" s="9">
        <v>12.43</v>
      </c>
      <c r="DT84" s="9">
        <v>0.51</v>
      </c>
      <c r="DU84" s="9">
        <v>44.86</v>
      </c>
      <c r="DV84" s="9">
        <v>28.25</v>
      </c>
      <c r="DW84" s="9">
        <v>10.16</v>
      </c>
      <c r="DX84" s="9">
        <v>49.59</v>
      </c>
      <c r="DY84" s="9">
        <v>24.81</v>
      </c>
      <c r="DZ84" s="9">
        <v>8.98</v>
      </c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>
        <v>697.3</v>
      </c>
      <c r="EO84" s="9"/>
      <c r="EP84" s="9"/>
      <c r="EQ84" s="9"/>
      <c r="ER84" s="9"/>
      <c r="ES84" s="9"/>
      <c r="ET84" s="9"/>
      <c r="EU84">
        <v>1164.0999999999999</v>
      </c>
      <c r="EV84" s="9"/>
      <c r="EW84" s="9"/>
      <c r="EX84" s="9"/>
      <c r="EY84" s="9"/>
      <c r="EZ84" s="9"/>
      <c r="FA84" s="9"/>
      <c r="FB84" s="9">
        <v>48.214285714299997</v>
      </c>
      <c r="FC84" s="9">
        <v>58.484090909099997</v>
      </c>
      <c r="FD84" s="9">
        <v>7029.2954545455004</v>
      </c>
      <c r="FE84" s="9">
        <v>33.450000000000003</v>
      </c>
      <c r="FF84" s="9">
        <v>627.82727272730006</v>
      </c>
      <c r="FG84">
        <v>1246473.07</v>
      </c>
      <c r="FH84">
        <v>1181397.48</v>
      </c>
      <c r="FI84">
        <v>65075.59</v>
      </c>
      <c r="FJ84" s="9">
        <v>1503291.96</v>
      </c>
      <c r="FK84">
        <v>1380719.24</v>
      </c>
      <c r="FL84" s="9">
        <v>122572.72</v>
      </c>
      <c r="FM84" s="9">
        <v>2243992.27</v>
      </c>
      <c r="FN84" s="9">
        <v>275244.42</v>
      </c>
      <c r="FO84">
        <v>1164</v>
      </c>
      <c r="FP84">
        <v>3501.74</v>
      </c>
      <c r="FQ84">
        <v>50.76</v>
      </c>
      <c r="FR84">
        <v>16.03</v>
      </c>
      <c r="FS84">
        <v>10.199999999999999</v>
      </c>
      <c r="FT84">
        <v>311.10000000000002</v>
      </c>
      <c r="FU84">
        <v>36.35</v>
      </c>
      <c r="FV84">
        <v>3660.95</v>
      </c>
      <c r="FW84">
        <v>26053.14</v>
      </c>
      <c r="FX84">
        <v>264.63</v>
      </c>
      <c r="HB84" s="6"/>
      <c r="HC84" s="6"/>
      <c r="HD84" s="6"/>
    </row>
    <row r="85" spans="1:212" x14ac:dyDescent="0.2">
      <c r="A85" s="8" t="s">
        <v>849</v>
      </c>
      <c r="B85" s="8" t="s">
        <v>279</v>
      </c>
      <c r="C85" s="8" t="s">
        <v>282</v>
      </c>
      <c r="D85" s="9">
        <v>1180462.7</v>
      </c>
      <c r="E85" s="9">
        <v>165344.6</v>
      </c>
      <c r="F85" s="9">
        <v>349895.5</v>
      </c>
      <c r="G85" s="9">
        <v>66983.7</v>
      </c>
      <c r="H85" s="9">
        <v>31681.3</v>
      </c>
      <c r="I85" s="9">
        <v>40097.699999999997</v>
      </c>
      <c r="J85" s="9">
        <v>137352.29999999999</v>
      </c>
      <c r="K85" s="9">
        <v>65304.6</v>
      </c>
      <c r="L85" s="9">
        <v>28811.5</v>
      </c>
      <c r="M85" s="9">
        <v>186279.2</v>
      </c>
      <c r="N85" s="9">
        <v>108712.1</v>
      </c>
      <c r="O85" s="9">
        <v>3275977.1699684141</v>
      </c>
      <c r="P85" s="9">
        <v>371059.05816871818</v>
      </c>
      <c r="Q85" s="9">
        <v>572729.28933415667</v>
      </c>
      <c r="R85" s="9">
        <v>260782.80833046351</v>
      </c>
      <c r="S85" s="9">
        <v>96671.818738149101</v>
      </c>
      <c r="T85" s="9">
        <v>235998.86217554679</v>
      </c>
      <c r="U85" s="9">
        <v>499023.03224018408</v>
      </c>
      <c r="V85" s="9">
        <v>99316.894655965705</v>
      </c>
      <c r="W85" s="9">
        <v>51964.764511782902</v>
      </c>
      <c r="X85" s="9">
        <v>861518.03062929935</v>
      </c>
      <c r="Y85" s="9">
        <v>226912.61118414771</v>
      </c>
      <c r="Z85" s="9">
        <v>1226121.8999999999</v>
      </c>
      <c r="AA85" s="9">
        <v>547200</v>
      </c>
      <c r="AB85" s="9">
        <v>136902.29999999999</v>
      </c>
      <c r="AC85" s="9">
        <v>437446.8</v>
      </c>
      <c r="AD85" s="9">
        <v>33932.300000000003</v>
      </c>
      <c r="AE85" s="9">
        <v>660569.19999999995</v>
      </c>
      <c r="AF85" s="9">
        <v>589928.69999999995</v>
      </c>
      <c r="AG85" s="9">
        <v>3459629.5441303379</v>
      </c>
      <c r="AH85" s="9">
        <v>1579042.8218741701</v>
      </c>
      <c r="AI85" s="9">
        <v>515739.47928645811</v>
      </c>
      <c r="AJ85" s="9">
        <v>1269876.4782627269</v>
      </c>
      <c r="AK85" s="9">
        <v>130176.7122459464</v>
      </c>
      <c r="AL85" s="9">
        <v>891831.52867252787</v>
      </c>
      <c r="AM85" s="9">
        <v>927037.47621149081</v>
      </c>
      <c r="AN85" s="9">
        <v>855910</v>
      </c>
      <c r="AO85" s="9">
        <v>440959</v>
      </c>
      <c r="AP85" s="9">
        <v>414951</v>
      </c>
      <c r="AQ85" s="9">
        <v>123696</v>
      </c>
      <c r="AR85" s="9">
        <v>63701</v>
      </c>
      <c r="AS85" s="9">
        <v>59995</v>
      </c>
      <c r="AT85" s="9">
        <v>609374</v>
      </c>
      <c r="AU85" s="9">
        <v>262891</v>
      </c>
      <c r="AV85" s="9">
        <v>346483</v>
      </c>
      <c r="AW85" s="9">
        <v>137.69999999999999</v>
      </c>
      <c r="AX85" s="9">
        <v>69.8</v>
      </c>
      <c r="AY85" s="9">
        <v>152.19999999999999</v>
      </c>
      <c r="AZ85" s="9">
        <v>136.30000000000001</v>
      </c>
      <c r="BA85" s="9">
        <v>142.80000000000001</v>
      </c>
      <c r="BB85" s="9"/>
      <c r="BC85" s="9">
        <v>141.69999999999999</v>
      </c>
      <c r="BD85" s="9">
        <v>89.6</v>
      </c>
      <c r="BE85" s="9">
        <v>139.30000000000001</v>
      </c>
      <c r="BF85" s="9">
        <v>143</v>
      </c>
      <c r="BG85" s="9"/>
      <c r="BH85" s="9">
        <v>260.39999999999998</v>
      </c>
      <c r="BI85" s="9">
        <v>99</v>
      </c>
      <c r="BJ85" s="9">
        <v>138.69999999999999</v>
      </c>
      <c r="BK85" s="9">
        <v>128.4</v>
      </c>
      <c r="BL85" s="9"/>
      <c r="BM85" s="9">
        <v>98.5</v>
      </c>
      <c r="BN85" s="9">
        <v>178755.4</v>
      </c>
      <c r="BO85" s="9">
        <v>140600.9</v>
      </c>
      <c r="BP85" s="9">
        <v>72947.899999999994</v>
      </c>
      <c r="BQ85" s="9">
        <v>19730</v>
      </c>
      <c r="BR85" s="9">
        <v>11694.2</v>
      </c>
      <c r="BS85" s="9">
        <v>8701.7000000000007</v>
      </c>
      <c r="BT85" s="9">
        <v>25608.3</v>
      </c>
      <c r="BU85" s="9">
        <v>13374.4</v>
      </c>
      <c r="BV85" s="9">
        <v>37739.1</v>
      </c>
      <c r="BW85" s="9">
        <v>285705.3</v>
      </c>
      <c r="BX85" s="9">
        <v>12411</v>
      </c>
      <c r="BY85" s="9">
        <v>52520.5</v>
      </c>
      <c r="BZ85" s="9">
        <v>22727.7</v>
      </c>
      <c r="CA85" s="9">
        <v>2235.3000000000002</v>
      </c>
      <c r="CB85" s="9">
        <v>0</v>
      </c>
      <c r="CC85" s="9">
        <v>0</v>
      </c>
      <c r="CD85" s="9">
        <v>0</v>
      </c>
      <c r="CE85" s="9">
        <v>54383</v>
      </c>
      <c r="CF85" s="9">
        <v>331903.35815465002</v>
      </c>
      <c r="CG85" s="9">
        <v>1536590.4127596547</v>
      </c>
      <c r="CH85" s="9"/>
      <c r="CI85" s="9"/>
      <c r="CJ85" s="9">
        <v>24.5</v>
      </c>
      <c r="CK85" s="9">
        <v>15.5</v>
      </c>
      <c r="CL85" s="9"/>
      <c r="CM85" s="9">
        <v>41.634912955700003</v>
      </c>
      <c r="CN85" s="9">
        <v>14.630343868800001</v>
      </c>
      <c r="CO85" s="9">
        <v>1.0339578614</v>
      </c>
      <c r="CP85" s="9">
        <v>5.6232966661999999</v>
      </c>
      <c r="CQ85" s="9">
        <v>4.2495696067999997</v>
      </c>
      <c r="CR85" s="9">
        <v>2.0849716595999999</v>
      </c>
      <c r="CS85" s="9">
        <v>0.67729379420000002</v>
      </c>
      <c r="CT85" s="9">
        <v>3.5387841911</v>
      </c>
      <c r="CU85" s="9">
        <v>0.86038373260000001</v>
      </c>
      <c r="CV85" s="9">
        <v>1.1317246082000001</v>
      </c>
      <c r="CW85" s="9">
        <v>2.1752776272999998</v>
      </c>
      <c r="CX85" s="9">
        <v>0.39090059760000001</v>
      </c>
      <c r="CY85" s="9">
        <v>1.0101151857999999</v>
      </c>
      <c r="CZ85" s="9">
        <v>133</v>
      </c>
      <c r="DA85" s="9">
        <v>102</v>
      </c>
      <c r="DB85" s="9">
        <v>13</v>
      </c>
      <c r="DC85" s="9">
        <v>62</v>
      </c>
      <c r="DD85" s="9">
        <v>1</v>
      </c>
      <c r="DE85" s="9">
        <v>10</v>
      </c>
      <c r="DF85" s="9">
        <v>6</v>
      </c>
      <c r="DG85" s="9">
        <v>2</v>
      </c>
      <c r="DH85" s="9">
        <v>19</v>
      </c>
      <c r="DI85" s="9">
        <v>3</v>
      </c>
      <c r="DJ85" s="9">
        <v>8</v>
      </c>
      <c r="DK85" s="9">
        <v>7</v>
      </c>
      <c r="DL85" s="9">
        <v>0</v>
      </c>
      <c r="DM85" s="9">
        <v>11</v>
      </c>
      <c r="DN85" s="9">
        <v>0</v>
      </c>
      <c r="DO85" s="9">
        <v>140.55000000000001</v>
      </c>
      <c r="DP85" s="9">
        <v>39.83</v>
      </c>
      <c r="DQ85" s="9">
        <v>17.23</v>
      </c>
      <c r="DR85" s="9">
        <v>22.6</v>
      </c>
      <c r="DS85" s="9">
        <v>12.68</v>
      </c>
      <c r="DT85" s="9">
        <v>0.56000000000000005</v>
      </c>
      <c r="DU85" s="9">
        <v>48.13</v>
      </c>
      <c r="DV85" s="9">
        <v>30.83</v>
      </c>
      <c r="DW85" s="9">
        <v>8.5500000000000007</v>
      </c>
      <c r="DX85" s="9">
        <v>39.74</v>
      </c>
      <c r="DY85" s="9">
        <v>20.239999999999998</v>
      </c>
      <c r="DZ85" s="9">
        <v>6.17</v>
      </c>
      <c r="EA85" s="9">
        <v>82.12106</v>
      </c>
      <c r="EB85" s="9">
        <v>62.142139999999998</v>
      </c>
      <c r="EC85" s="9">
        <v>-2.5517400000000001</v>
      </c>
      <c r="ED85" s="9">
        <v>-22.268000000000001</v>
      </c>
      <c r="EE85" s="9">
        <v>44.798639999999999</v>
      </c>
      <c r="EF85" s="9">
        <v>0</v>
      </c>
      <c r="EG85" s="9">
        <v>-37.282699999999998</v>
      </c>
      <c r="EH85" s="9">
        <v>-1</v>
      </c>
      <c r="EI85" s="9">
        <v>0</v>
      </c>
      <c r="EJ85" s="9">
        <v>0</v>
      </c>
      <c r="EK85" s="9">
        <v>-36.282699999999998</v>
      </c>
      <c r="EL85" s="9">
        <v>57.455289999999998</v>
      </c>
      <c r="EM85" s="9">
        <v>176.85910000000001</v>
      </c>
      <c r="EN85" s="9">
        <v>718</v>
      </c>
      <c r="EO85" s="9"/>
      <c r="EP85" s="9"/>
      <c r="EQ85" s="9"/>
      <c r="ER85" s="9"/>
      <c r="ES85" s="9"/>
      <c r="ET85" s="9"/>
      <c r="EU85">
        <v>1164.8399999999999</v>
      </c>
      <c r="EV85" s="9">
        <v>4702.33</v>
      </c>
      <c r="EW85" s="9">
        <v>1413.9</v>
      </c>
      <c r="EX85" s="9">
        <v>16.28</v>
      </c>
      <c r="EY85" s="9">
        <v>65.25</v>
      </c>
      <c r="EZ85" s="9">
        <v>783.33</v>
      </c>
      <c r="FA85" s="9">
        <v>2423.58</v>
      </c>
      <c r="FB85" s="9">
        <v>54.510338345900003</v>
      </c>
      <c r="FC85" s="9">
        <v>62.270476190499998</v>
      </c>
      <c r="FD85" s="9">
        <v>6680.9736842105003</v>
      </c>
      <c r="FE85" s="9">
        <v>33.450000000000003</v>
      </c>
      <c r="FF85" s="9">
        <v>629.79117647060002</v>
      </c>
      <c r="FG85">
        <v>1287076.6700000002</v>
      </c>
      <c r="FH85">
        <v>1223287.33</v>
      </c>
      <c r="FI85">
        <v>63789.34</v>
      </c>
      <c r="FJ85" s="9">
        <v>1472089.26</v>
      </c>
      <c r="FK85">
        <v>1320495.32</v>
      </c>
      <c r="FL85" s="9">
        <v>151593.94</v>
      </c>
      <c r="FM85" s="9">
        <v>2314597.87</v>
      </c>
      <c r="FN85" s="9">
        <v>294779.96999999997</v>
      </c>
      <c r="FO85">
        <v>1165</v>
      </c>
      <c r="FP85">
        <v>743.64</v>
      </c>
      <c r="FQ85">
        <v>54.48</v>
      </c>
      <c r="FR85">
        <v>20.38</v>
      </c>
      <c r="FS85">
        <v>8.6300000000000008</v>
      </c>
      <c r="FT85">
        <v>285.20999999999998</v>
      </c>
      <c r="FU85">
        <v>39.119999999999997</v>
      </c>
      <c r="FV85">
        <v>2351.13</v>
      </c>
      <c r="FW85">
        <v>36224.19</v>
      </c>
      <c r="FX85">
        <v>160.16</v>
      </c>
      <c r="HB85" s="6"/>
      <c r="HC85" s="6"/>
      <c r="HD85" s="6"/>
    </row>
    <row r="86" spans="1:212" x14ac:dyDescent="0.2">
      <c r="A86" s="8" t="s">
        <v>850</v>
      </c>
      <c r="B86" s="8" t="s">
        <v>283</v>
      </c>
      <c r="C86" s="8" t="s">
        <v>284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>
        <v>153143</v>
      </c>
      <c r="BO86" s="9">
        <v>82784.2</v>
      </c>
      <c r="BP86" s="9">
        <v>25491.7</v>
      </c>
      <c r="BQ86" s="9">
        <v>18409.7</v>
      </c>
      <c r="BR86" s="9">
        <v>4231.2</v>
      </c>
      <c r="BS86" s="9">
        <v>5344.7</v>
      </c>
      <c r="BT86" s="9">
        <v>21718.5</v>
      </c>
      <c r="BU86" s="9">
        <v>6340.4</v>
      </c>
      <c r="BV86" s="9">
        <v>70156.2</v>
      </c>
      <c r="BW86" s="9">
        <v>76579.5</v>
      </c>
      <c r="BX86" s="9">
        <v>1688.1</v>
      </c>
      <c r="BY86" s="9">
        <v>27492.3</v>
      </c>
      <c r="BZ86" s="9">
        <v>26016.5</v>
      </c>
      <c r="CA86" s="9">
        <v>498.4</v>
      </c>
      <c r="CB86" s="9">
        <v>0</v>
      </c>
      <c r="CC86" s="9">
        <v>0</v>
      </c>
      <c r="CD86" s="9">
        <v>0</v>
      </c>
      <c r="CE86" s="9">
        <v>564.29999999999995</v>
      </c>
      <c r="CF86" s="9">
        <v>334996.97343849012</v>
      </c>
      <c r="CG86" s="9">
        <v>1556010.8848538329</v>
      </c>
      <c r="CH86" s="9"/>
      <c r="CI86" s="9"/>
      <c r="CJ86" s="9">
        <v>25.3</v>
      </c>
      <c r="CK86" s="9">
        <v>15.1</v>
      </c>
      <c r="CL86" s="9"/>
      <c r="CM86" s="9">
        <v>37.469491315699997</v>
      </c>
      <c r="CN86" s="9">
        <v>14.8708812678</v>
      </c>
      <c r="CO86" s="9">
        <v>1.037372113</v>
      </c>
      <c r="CP86" s="9">
        <v>5.6071943638999997</v>
      </c>
      <c r="CQ86" s="9">
        <v>4.1083490766999997</v>
      </c>
      <c r="CR86" s="9">
        <v>2.0855865884</v>
      </c>
      <c r="CS86" s="9">
        <v>0.68075524629999995</v>
      </c>
      <c r="CT86" s="9">
        <v>3.5217177269</v>
      </c>
      <c r="CU86" s="9">
        <v>0.8427886416</v>
      </c>
      <c r="CV86" s="9">
        <v>1.1334692065</v>
      </c>
      <c r="CW86" s="9">
        <v>2.1752776272999998</v>
      </c>
      <c r="CX86" s="9">
        <v>0.39467558069999997</v>
      </c>
      <c r="CY86" s="9">
        <v>1.0114238766000001</v>
      </c>
      <c r="CZ86" s="9">
        <v>181</v>
      </c>
      <c r="DA86" s="9">
        <v>154</v>
      </c>
      <c r="DB86" s="9">
        <v>74</v>
      </c>
      <c r="DC86" s="9">
        <v>54</v>
      </c>
      <c r="DD86" s="9">
        <v>0</v>
      </c>
      <c r="DE86" s="9">
        <v>18</v>
      </c>
      <c r="DF86" s="9">
        <v>1</v>
      </c>
      <c r="DG86" s="9">
        <v>1</v>
      </c>
      <c r="DH86" s="9">
        <v>14</v>
      </c>
      <c r="DI86" s="9">
        <v>1</v>
      </c>
      <c r="DJ86" s="9">
        <v>6</v>
      </c>
      <c r="DK86" s="9">
        <v>6</v>
      </c>
      <c r="DL86" s="9">
        <v>0</v>
      </c>
      <c r="DM86" s="9">
        <v>12</v>
      </c>
      <c r="DN86" s="9">
        <v>0</v>
      </c>
      <c r="DO86" s="9">
        <v>120.23</v>
      </c>
      <c r="DP86" s="9">
        <v>33.39</v>
      </c>
      <c r="DQ86" s="9">
        <v>21.84</v>
      </c>
      <c r="DR86" s="9">
        <v>11.55</v>
      </c>
      <c r="DS86" s="9">
        <v>13.98</v>
      </c>
      <c r="DT86" s="9">
        <v>0.57999999999999996</v>
      </c>
      <c r="DU86" s="9">
        <v>37.92</v>
      </c>
      <c r="DV86" s="9">
        <v>23.33</v>
      </c>
      <c r="DW86" s="9">
        <v>9.15</v>
      </c>
      <c r="DX86" s="9">
        <v>34.89</v>
      </c>
      <c r="DY86" s="9">
        <v>14.63</v>
      </c>
      <c r="DZ86" s="9">
        <v>7.53</v>
      </c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>
        <v>808.3</v>
      </c>
      <c r="EO86" s="9"/>
      <c r="EP86" s="9"/>
      <c r="EQ86" s="9"/>
      <c r="ER86" s="9"/>
      <c r="ES86" s="9"/>
      <c r="ET86" s="9"/>
      <c r="EU86">
        <v>1165.55</v>
      </c>
      <c r="EV86" s="9"/>
      <c r="EW86" s="9"/>
      <c r="EX86" s="9"/>
      <c r="EY86" s="9"/>
      <c r="EZ86" s="9"/>
      <c r="FA86" s="9"/>
      <c r="FB86" s="9">
        <v>55.762987013</v>
      </c>
      <c r="FC86" s="9">
        <v>54.553913043500003</v>
      </c>
      <c r="FD86" s="9">
        <v>5689.3409090908999</v>
      </c>
      <c r="FE86" s="9">
        <v>36.630000000000003</v>
      </c>
      <c r="FF86" s="9">
        <v>631.16590909089996</v>
      </c>
      <c r="FG86">
        <v>1343443.5799999998</v>
      </c>
      <c r="FH86">
        <v>1280164.4099999999</v>
      </c>
      <c r="FI86">
        <v>63279.17</v>
      </c>
      <c r="FJ86" s="9">
        <v>1576848.2000000002</v>
      </c>
      <c r="FK86">
        <v>1345961.63</v>
      </c>
      <c r="FL86" s="9">
        <v>230886.57</v>
      </c>
      <c r="FM86" s="9">
        <v>2272620.98</v>
      </c>
      <c r="FN86" s="9">
        <v>291779.88</v>
      </c>
      <c r="FO86">
        <v>1166</v>
      </c>
      <c r="FP86">
        <v>3767.19</v>
      </c>
      <c r="FQ86">
        <v>47.83</v>
      </c>
      <c r="FR86">
        <v>13.32</v>
      </c>
      <c r="FS86">
        <v>13.84</v>
      </c>
      <c r="FT86">
        <v>31.48</v>
      </c>
      <c r="FU86">
        <v>26.77</v>
      </c>
      <c r="FV86">
        <v>1024.58</v>
      </c>
      <c r="FW86">
        <v>37992.449999999997</v>
      </c>
      <c r="FX86">
        <v>319.06</v>
      </c>
      <c r="HB86" s="6"/>
      <c r="HC86" s="6"/>
      <c r="HD86" s="6"/>
    </row>
    <row r="87" spans="1:212" x14ac:dyDescent="0.2">
      <c r="A87" s="8" t="s">
        <v>850</v>
      </c>
      <c r="B87" s="8" t="s">
        <v>283</v>
      </c>
      <c r="C87" s="8" t="s">
        <v>285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>
        <v>80221.100000000006</v>
      </c>
      <c r="BO87" s="9">
        <v>69288.600000000006</v>
      </c>
      <c r="BP87" s="9">
        <v>27497.7</v>
      </c>
      <c r="BQ87" s="9">
        <v>15661.3</v>
      </c>
      <c r="BR87" s="9">
        <v>5977.7</v>
      </c>
      <c r="BS87" s="9">
        <v>11718.5</v>
      </c>
      <c r="BT87" s="9">
        <v>9260.9</v>
      </c>
      <c r="BU87" s="9">
        <v>7952.2</v>
      </c>
      <c r="BV87" s="9">
        <v>10667.5</v>
      </c>
      <c r="BW87" s="9">
        <v>63437.7</v>
      </c>
      <c r="BX87" s="9">
        <v>4828.6000000000004</v>
      </c>
      <c r="BY87" s="9">
        <v>16827.599999999999</v>
      </c>
      <c r="BZ87" s="9">
        <v>13582.8</v>
      </c>
      <c r="CA87" s="9">
        <v>2422.3000000000002</v>
      </c>
      <c r="CB87" s="9">
        <v>0</v>
      </c>
      <c r="CC87" s="9">
        <v>0</v>
      </c>
      <c r="CD87" s="9">
        <v>0</v>
      </c>
      <c r="CE87" s="9">
        <v>3713.7</v>
      </c>
      <c r="CF87" s="9">
        <v>342596.82404722</v>
      </c>
      <c r="CG87" s="9">
        <v>1627767.7510006933</v>
      </c>
      <c r="CH87" s="9"/>
      <c r="CI87" s="9"/>
      <c r="CJ87" s="9">
        <v>21.64</v>
      </c>
      <c r="CK87" s="9">
        <v>15.68</v>
      </c>
      <c r="CL87" s="9"/>
      <c r="CM87" s="9">
        <v>38.117889527099997</v>
      </c>
      <c r="CN87" s="9">
        <v>15.554967706299999</v>
      </c>
      <c r="CO87" s="9">
        <v>1.0326990368</v>
      </c>
      <c r="CP87" s="9">
        <v>5.5906387486</v>
      </c>
      <c r="CQ87" s="9">
        <v>4.0938326958999998</v>
      </c>
      <c r="CR87" s="9">
        <v>2.0886806309999999</v>
      </c>
      <c r="CS87" s="9">
        <v>0.67946229300000005</v>
      </c>
      <c r="CT87" s="9">
        <v>3.5145703263999999</v>
      </c>
      <c r="CU87" s="9">
        <v>0.84137443160000003</v>
      </c>
      <c r="CV87" s="9">
        <v>1.1336099813</v>
      </c>
      <c r="CW87" s="9">
        <v>2.1752776272999998</v>
      </c>
      <c r="CX87" s="9">
        <v>0.39515041820000002</v>
      </c>
      <c r="CY87" s="9">
        <v>1.0176256307</v>
      </c>
      <c r="CZ87" s="9">
        <v>104</v>
      </c>
      <c r="DA87" s="9">
        <v>82</v>
      </c>
      <c r="DB87" s="9">
        <v>12</v>
      </c>
      <c r="DC87" s="9">
        <v>45</v>
      </c>
      <c r="DD87" s="9">
        <v>0</v>
      </c>
      <c r="DE87" s="9">
        <v>14</v>
      </c>
      <c r="DF87" s="9">
        <v>1</v>
      </c>
      <c r="DG87" s="9">
        <v>2</v>
      </c>
      <c r="DH87" s="9">
        <v>11</v>
      </c>
      <c r="DI87" s="9">
        <v>1</v>
      </c>
      <c r="DJ87" s="9">
        <v>4</v>
      </c>
      <c r="DK87" s="9">
        <v>4</v>
      </c>
      <c r="DL87" s="9">
        <v>0</v>
      </c>
      <c r="DM87" s="9">
        <v>11</v>
      </c>
      <c r="DN87" s="9">
        <v>0</v>
      </c>
      <c r="DO87" s="9">
        <v>100.77</v>
      </c>
      <c r="DP87" s="9">
        <v>29.88</v>
      </c>
      <c r="DQ87" s="9">
        <v>18.239999999999998</v>
      </c>
      <c r="DR87" s="9">
        <v>11.64</v>
      </c>
      <c r="DS87" s="9">
        <v>14.7</v>
      </c>
      <c r="DT87" s="9">
        <v>0.6</v>
      </c>
      <c r="DU87" s="9">
        <v>28.42</v>
      </c>
      <c r="DV87" s="9">
        <v>19.66</v>
      </c>
      <c r="DW87" s="9">
        <v>5.92</v>
      </c>
      <c r="DX87" s="9">
        <v>27.71</v>
      </c>
      <c r="DY87" s="9">
        <v>13.75</v>
      </c>
      <c r="DZ87" s="9">
        <v>5.59</v>
      </c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>
        <v>833.8</v>
      </c>
      <c r="EO87" s="9"/>
      <c r="EP87" s="9"/>
      <c r="EQ87" s="9"/>
      <c r="ER87" s="9"/>
      <c r="ES87" s="9"/>
      <c r="ET87" s="9"/>
      <c r="EU87">
        <v>1164.6400000000001</v>
      </c>
      <c r="EV87" s="9"/>
      <c r="EW87" s="9"/>
      <c r="EX87" s="9"/>
      <c r="EY87" s="9"/>
      <c r="EZ87" s="9"/>
      <c r="FA87" s="9"/>
      <c r="FB87" s="9">
        <v>56.006250000000001</v>
      </c>
      <c r="FC87" s="9">
        <v>57.758499999999998</v>
      </c>
      <c r="FD87" s="9">
        <v>5718.15</v>
      </c>
      <c r="FE87" s="9">
        <v>36.630000000000003</v>
      </c>
      <c r="FF87" s="9">
        <v>664.745</v>
      </c>
      <c r="FG87">
        <v>1396831.2199999995</v>
      </c>
      <c r="FH87">
        <v>1334083.0900000001</v>
      </c>
      <c r="FI87">
        <v>62748.13</v>
      </c>
      <c r="FJ87" s="9">
        <v>1637595.92</v>
      </c>
      <c r="FK87">
        <v>1427148.1900000002</v>
      </c>
      <c r="FL87" s="9">
        <v>210447.73</v>
      </c>
      <c r="FM87" s="9">
        <v>2366970.0099999998</v>
      </c>
      <c r="FN87" s="9">
        <v>294162.37</v>
      </c>
      <c r="FO87">
        <v>1164</v>
      </c>
      <c r="FP87">
        <v>668.53</v>
      </c>
      <c r="FQ87">
        <v>48.44</v>
      </c>
      <c r="FR87">
        <v>0</v>
      </c>
      <c r="FS87">
        <v>11.55</v>
      </c>
      <c r="FT87">
        <v>40.68</v>
      </c>
      <c r="FU87">
        <v>30.52</v>
      </c>
      <c r="FV87">
        <v>969.16</v>
      </c>
      <c r="FW87">
        <v>27531.24</v>
      </c>
      <c r="FX87">
        <v>356.94</v>
      </c>
      <c r="HB87" s="6"/>
      <c r="HC87" s="6"/>
      <c r="HD87" s="6"/>
    </row>
    <row r="88" spans="1:212" x14ac:dyDescent="0.2">
      <c r="A88" s="8" t="s">
        <v>850</v>
      </c>
      <c r="B88" s="8" t="s">
        <v>283</v>
      </c>
      <c r="C88" s="8" t="s">
        <v>286</v>
      </c>
      <c r="D88" s="9">
        <v>803696.4</v>
      </c>
      <c r="E88" s="9">
        <v>60016.5</v>
      </c>
      <c r="F88" s="9">
        <v>226539.5</v>
      </c>
      <c r="G88" s="9">
        <v>56033.3</v>
      </c>
      <c r="H88" s="9">
        <v>32775.5</v>
      </c>
      <c r="I88" s="9">
        <v>5473.9</v>
      </c>
      <c r="J88" s="9">
        <v>45307.7</v>
      </c>
      <c r="K88" s="9">
        <v>65249.1</v>
      </c>
      <c r="L88" s="9">
        <v>28571.3</v>
      </c>
      <c r="M88" s="9">
        <v>197301.3</v>
      </c>
      <c r="N88" s="9">
        <v>86428.2</v>
      </c>
      <c r="O88" s="9">
        <v>1998045.023389285</v>
      </c>
      <c r="P88" s="9">
        <v>120604.19706394149</v>
      </c>
      <c r="Q88" s="9">
        <v>322292.56052729441</v>
      </c>
      <c r="R88" s="9">
        <v>197840.46699738051</v>
      </c>
      <c r="S88" s="9">
        <v>100653.2671334529</v>
      </c>
      <c r="T88" s="9">
        <v>28341.057351526099</v>
      </c>
      <c r="U88" s="9">
        <v>151434.81168252151</v>
      </c>
      <c r="V88" s="9">
        <v>111438.2687340118</v>
      </c>
      <c r="W88" s="9">
        <v>38939.219726077099</v>
      </c>
      <c r="X88" s="9">
        <v>766808.34104281664</v>
      </c>
      <c r="Y88" s="9">
        <v>159692.83313026329</v>
      </c>
      <c r="Z88" s="9">
        <v>822320</v>
      </c>
      <c r="AA88" s="9">
        <v>487604</v>
      </c>
      <c r="AB88" s="9">
        <v>123598.1</v>
      </c>
      <c r="AC88" s="9">
        <v>160517</v>
      </c>
      <c r="AD88" s="9">
        <v>14027.3</v>
      </c>
      <c r="AE88" s="9">
        <v>535784.9</v>
      </c>
      <c r="AF88" s="9">
        <v>499211.3</v>
      </c>
      <c r="AG88" s="9">
        <v>2000031.9614947331</v>
      </c>
      <c r="AH88" s="9">
        <v>1277461.6383512861</v>
      </c>
      <c r="AI88" s="9">
        <v>376254.75602266542</v>
      </c>
      <c r="AJ88" s="9">
        <v>403290.53228961001</v>
      </c>
      <c r="AK88" s="9">
        <v>47300.628259764999</v>
      </c>
      <c r="AL88" s="9">
        <v>622815.67520752328</v>
      </c>
      <c r="AM88" s="9">
        <v>727091.26863611629</v>
      </c>
      <c r="AN88" s="9">
        <v>926590</v>
      </c>
      <c r="AO88" s="9">
        <v>481403</v>
      </c>
      <c r="AP88" s="9">
        <v>445187</v>
      </c>
      <c r="AQ88" s="9">
        <v>128357</v>
      </c>
      <c r="AR88" s="9">
        <v>67058</v>
      </c>
      <c r="AS88" s="9">
        <v>61299</v>
      </c>
      <c r="AT88" s="9">
        <v>629934</v>
      </c>
      <c r="AU88" s="9">
        <v>263191</v>
      </c>
      <c r="AV88" s="9">
        <v>366743</v>
      </c>
      <c r="AW88" s="9">
        <v>154.69999999999999</v>
      </c>
      <c r="AX88" s="9">
        <v>70</v>
      </c>
      <c r="AY88" s="9">
        <v>198</v>
      </c>
      <c r="AZ88" s="9">
        <v>152.1</v>
      </c>
      <c r="BA88" s="9">
        <v>156</v>
      </c>
      <c r="BB88" s="9"/>
      <c r="BC88" s="9">
        <v>135.6</v>
      </c>
      <c r="BD88" s="9">
        <v>113.2</v>
      </c>
      <c r="BE88" s="9">
        <v>151.4</v>
      </c>
      <c r="BF88" s="9">
        <v>122.2</v>
      </c>
      <c r="BG88" s="9"/>
      <c r="BH88" s="9">
        <v>328.9</v>
      </c>
      <c r="BI88" s="9">
        <v>115.1</v>
      </c>
      <c r="BJ88" s="9">
        <v>146.5</v>
      </c>
      <c r="BK88" s="9">
        <v>153.69999999999999</v>
      </c>
      <c r="BL88" s="9"/>
      <c r="BM88" s="9">
        <v>122.4</v>
      </c>
      <c r="BN88" s="9">
        <v>108900.3</v>
      </c>
      <c r="BO88" s="9">
        <v>96908.9</v>
      </c>
      <c r="BP88" s="9">
        <v>39605.5</v>
      </c>
      <c r="BQ88" s="9">
        <v>15036</v>
      </c>
      <c r="BR88" s="9">
        <v>5709.5</v>
      </c>
      <c r="BS88" s="9">
        <v>13420</v>
      </c>
      <c r="BT88" s="9">
        <v>18221.3</v>
      </c>
      <c r="BU88" s="9">
        <v>10040.299999999999</v>
      </c>
      <c r="BV88" s="9">
        <v>11696</v>
      </c>
      <c r="BW88" s="9">
        <v>108651.1</v>
      </c>
      <c r="BX88" s="9">
        <v>2924</v>
      </c>
      <c r="BY88" s="9">
        <v>53009.8</v>
      </c>
      <c r="BZ88" s="9">
        <v>20297.5</v>
      </c>
      <c r="CA88" s="9">
        <v>486.8</v>
      </c>
      <c r="CB88" s="9">
        <v>0</v>
      </c>
      <c r="CC88" s="9">
        <v>0</v>
      </c>
      <c r="CD88" s="9">
        <v>0</v>
      </c>
      <c r="CE88" s="9">
        <v>7116.4</v>
      </c>
      <c r="CF88" s="9">
        <v>401498.59914393013</v>
      </c>
      <c r="CG88" s="9">
        <v>1746754.3831451193</v>
      </c>
      <c r="CH88" s="9"/>
      <c r="CI88" s="9"/>
      <c r="CJ88" s="9">
        <v>22.5</v>
      </c>
      <c r="CK88" s="9">
        <v>13.2</v>
      </c>
      <c r="CL88" s="9"/>
      <c r="CM88" s="9">
        <v>38.482424322</v>
      </c>
      <c r="CN88" s="9">
        <v>15.8898371258</v>
      </c>
      <c r="CO88" s="9">
        <v>1.0374168034</v>
      </c>
      <c r="CP88" s="9">
        <v>5.6296802492999998</v>
      </c>
      <c r="CQ88" s="9">
        <v>4.0783677607</v>
      </c>
      <c r="CR88" s="9">
        <v>2.0947930752000001</v>
      </c>
      <c r="CS88" s="9">
        <v>0.68056853709999998</v>
      </c>
      <c r="CT88" s="9">
        <v>3.5010095401000001</v>
      </c>
      <c r="CU88" s="9">
        <v>0.84138489250000004</v>
      </c>
      <c r="CV88" s="9">
        <v>1.1326710880999999</v>
      </c>
      <c r="CW88" s="9">
        <v>2.1752776272999998</v>
      </c>
      <c r="CX88" s="9">
        <v>0.39839221159999999</v>
      </c>
      <c r="CY88" s="9">
        <v>1.0230254110000001</v>
      </c>
      <c r="CZ88" s="9">
        <v>97</v>
      </c>
      <c r="DA88" s="9">
        <v>80</v>
      </c>
      <c r="DB88" s="9">
        <v>14</v>
      </c>
      <c r="DC88" s="9">
        <v>40</v>
      </c>
      <c r="DD88" s="9">
        <v>0</v>
      </c>
      <c r="DE88" s="9">
        <v>14</v>
      </c>
      <c r="DF88" s="9">
        <v>1</v>
      </c>
      <c r="DG88" s="9">
        <v>4</v>
      </c>
      <c r="DH88" s="9">
        <v>7</v>
      </c>
      <c r="DI88" s="9">
        <v>1</v>
      </c>
      <c r="DJ88" s="9">
        <v>3</v>
      </c>
      <c r="DK88" s="9">
        <v>2</v>
      </c>
      <c r="DL88" s="9">
        <v>0</v>
      </c>
      <c r="DM88" s="9">
        <v>10</v>
      </c>
      <c r="DN88" s="9">
        <v>0</v>
      </c>
      <c r="DO88" s="9">
        <v>127.23</v>
      </c>
      <c r="DP88" s="9">
        <v>37.29</v>
      </c>
      <c r="DQ88" s="9">
        <v>24.78</v>
      </c>
      <c r="DR88" s="9">
        <v>12.52</v>
      </c>
      <c r="DS88" s="9">
        <v>12.37</v>
      </c>
      <c r="DT88" s="9">
        <v>0.45</v>
      </c>
      <c r="DU88" s="9">
        <v>41.23</v>
      </c>
      <c r="DV88" s="9">
        <v>24.91</v>
      </c>
      <c r="DW88" s="9">
        <v>9.56</v>
      </c>
      <c r="DX88" s="9">
        <v>36.25</v>
      </c>
      <c r="DY88" s="9">
        <v>18.16</v>
      </c>
      <c r="DZ88" s="9">
        <v>7.68</v>
      </c>
      <c r="EA88" s="9">
        <v>69.184100000000001</v>
      </c>
      <c r="EB88" s="9">
        <v>47.701599999999999</v>
      </c>
      <c r="EC88" s="9">
        <v>-16.838799999999999</v>
      </c>
      <c r="ED88" s="9">
        <v>3.0252330000000001</v>
      </c>
      <c r="EE88" s="9">
        <v>35.296100000000003</v>
      </c>
      <c r="EF88" s="9">
        <v>0</v>
      </c>
      <c r="EG88" s="9">
        <v>-114.55</v>
      </c>
      <c r="EH88" s="9">
        <v>-25.801300000000001</v>
      </c>
      <c r="EI88" s="9">
        <v>-74.8</v>
      </c>
      <c r="EJ88" s="9">
        <v>0</v>
      </c>
      <c r="EK88" s="9">
        <v>-13.9482</v>
      </c>
      <c r="EL88" s="9">
        <v>-18.247199999999999</v>
      </c>
      <c r="EM88" s="9">
        <v>165.4864</v>
      </c>
      <c r="EN88" s="9">
        <v>882</v>
      </c>
      <c r="EO88" s="9"/>
      <c r="EP88" s="9"/>
      <c r="EQ88" s="9"/>
      <c r="ER88" s="9"/>
      <c r="ES88" s="9"/>
      <c r="ET88" s="9"/>
      <c r="EU88">
        <v>1164.55</v>
      </c>
      <c r="EV88" s="9">
        <v>4786.04</v>
      </c>
      <c r="EW88" s="9">
        <v>1425.31</v>
      </c>
      <c r="EX88" s="9">
        <v>14.73</v>
      </c>
      <c r="EY88" s="9">
        <v>145.44</v>
      </c>
      <c r="EZ88" s="9">
        <v>779.09</v>
      </c>
      <c r="FA88" s="9">
        <v>2421.48</v>
      </c>
      <c r="FB88" s="9">
        <v>56.924512987</v>
      </c>
      <c r="FC88" s="9">
        <v>62.143636363600002</v>
      </c>
      <c r="FD88" s="9">
        <v>6465.2954545455004</v>
      </c>
      <c r="FE88" s="9">
        <v>36.630000000000003</v>
      </c>
      <c r="FF88" s="9">
        <v>654.8954545455</v>
      </c>
      <c r="FG88">
        <v>1464932.89</v>
      </c>
      <c r="FH88">
        <v>1404573.1700000002</v>
      </c>
      <c r="FI88">
        <v>60359.72</v>
      </c>
      <c r="FJ88" s="9">
        <v>1708589.5199999998</v>
      </c>
      <c r="FK88">
        <v>1496767.52</v>
      </c>
      <c r="FL88" s="9">
        <v>211822</v>
      </c>
      <c r="FM88" s="9">
        <v>2480975.27</v>
      </c>
      <c r="FN88" s="9">
        <v>301470.17</v>
      </c>
      <c r="FO88">
        <v>1165</v>
      </c>
      <c r="FP88">
        <v>766.46</v>
      </c>
      <c r="FQ88">
        <v>40.020000000000003</v>
      </c>
      <c r="FR88">
        <v>0</v>
      </c>
      <c r="FS88">
        <v>13.25</v>
      </c>
      <c r="FT88">
        <v>34.619999999999997</v>
      </c>
      <c r="FU88">
        <v>66.760000000000005</v>
      </c>
      <c r="FV88">
        <v>548.71</v>
      </c>
      <c r="FW88">
        <v>19563.34</v>
      </c>
      <c r="FX88">
        <v>104.12</v>
      </c>
      <c r="HB88" s="6"/>
      <c r="HC88" s="6"/>
      <c r="HD88" s="6"/>
    </row>
    <row r="89" spans="1:212" x14ac:dyDescent="0.2">
      <c r="A89" s="8" t="s">
        <v>850</v>
      </c>
      <c r="B89" s="8" t="s">
        <v>287</v>
      </c>
      <c r="C89" s="8" t="s">
        <v>288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>
        <v>109927.1</v>
      </c>
      <c r="BO89" s="9">
        <v>84613.2</v>
      </c>
      <c r="BP89" s="9">
        <v>37566.199999999997</v>
      </c>
      <c r="BQ89" s="9">
        <v>14817.8</v>
      </c>
      <c r="BR89" s="9">
        <v>5139.7</v>
      </c>
      <c r="BS89" s="9">
        <v>11654.5</v>
      </c>
      <c r="BT89" s="9">
        <v>11560.8</v>
      </c>
      <c r="BU89" s="9">
        <v>7389.6</v>
      </c>
      <c r="BV89" s="9">
        <v>25013.7</v>
      </c>
      <c r="BW89" s="9">
        <v>89190.2</v>
      </c>
      <c r="BX89" s="9">
        <v>11526.5</v>
      </c>
      <c r="BY89" s="9">
        <v>9980.7999999999993</v>
      </c>
      <c r="BZ89" s="9">
        <v>20090.599999999999</v>
      </c>
      <c r="CA89" s="9">
        <v>2271.6</v>
      </c>
      <c r="CB89" s="9">
        <v>0</v>
      </c>
      <c r="CC89" s="9">
        <v>0</v>
      </c>
      <c r="CD89" s="9">
        <v>0</v>
      </c>
      <c r="CE89" s="9">
        <v>16467.099999999999</v>
      </c>
      <c r="CF89" s="9">
        <v>455119.23962556012</v>
      </c>
      <c r="CG89" s="9">
        <v>1883624.8420066929</v>
      </c>
      <c r="CH89" s="9"/>
      <c r="CI89" s="9"/>
      <c r="CJ89" s="9">
        <v>22.3</v>
      </c>
      <c r="CK89" s="9">
        <v>16.3</v>
      </c>
      <c r="CL89" s="9"/>
      <c r="CM89" s="9">
        <v>38.995727690499997</v>
      </c>
      <c r="CN89" s="9">
        <v>16.380238222599999</v>
      </c>
      <c r="CO89" s="9">
        <v>1.0350354623</v>
      </c>
      <c r="CP89" s="9">
        <v>5.6218585423</v>
      </c>
      <c r="CQ89" s="9">
        <v>4.0536198079999997</v>
      </c>
      <c r="CR89" s="9">
        <v>2.1319836354000001</v>
      </c>
      <c r="CS89" s="9">
        <v>0.68405587960000003</v>
      </c>
      <c r="CT89" s="9">
        <v>3.5128536806000001</v>
      </c>
      <c r="CU89" s="9">
        <v>0.84056750329999996</v>
      </c>
      <c r="CV89" s="9">
        <v>1.1326837909</v>
      </c>
      <c r="CW89" s="9">
        <v>2.1752776272999998</v>
      </c>
      <c r="CX89" s="9">
        <v>0.39970844589999999</v>
      </c>
      <c r="CY89" s="9">
        <v>1.0278450924</v>
      </c>
      <c r="CZ89" s="9">
        <v>141</v>
      </c>
      <c r="DA89" s="9">
        <v>103</v>
      </c>
      <c r="DB89" s="9">
        <v>15</v>
      </c>
      <c r="DC89" s="9">
        <v>60</v>
      </c>
      <c r="DD89" s="9">
        <v>0</v>
      </c>
      <c r="DE89" s="9">
        <v>10</v>
      </c>
      <c r="DF89" s="9">
        <v>8</v>
      </c>
      <c r="DG89" s="9">
        <v>4</v>
      </c>
      <c r="DH89" s="9">
        <v>29</v>
      </c>
      <c r="DI89" s="9">
        <v>0</v>
      </c>
      <c r="DJ89" s="9">
        <v>5</v>
      </c>
      <c r="DK89" s="9">
        <v>24</v>
      </c>
      <c r="DL89" s="9">
        <v>0</v>
      </c>
      <c r="DM89" s="9">
        <v>9</v>
      </c>
      <c r="DN89" s="9">
        <v>0</v>
      </c>
      <c r="DO89" s="9">
        <v>153.99</v>
      </c>
      <c r="DP89" s="9">
        <v>47.63</v>
      </c>
      <c r="DQ89" s="9">
        <v>32</v>
      </c>
      <c r="DR89" s="9">
        <v>15.63</v>
      </c>
      <c r="DS89" s="9">
        <v>13.45</v>
      </c>
      <c r="DT89" s="9">
        <v>0.65</v>
      </c>
      <c r="DU89" s="9">
        <v>64.38</v>
      </c>
      <c r="DV89" s="9">
        <v>42.77</v>
      </c>
      <c r="DW89" s="9">
        <v>13.58</v>
      </c>
      <c r="DX89" s="9">
        <v>28.32</v>
      </c>
      <c r="DY89" s="9">
        <v>11.78</v>
      </c>
      <c r="DZ89" s="9">
        <v>6.22</v>
      </c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>
        <v>922.4</v>
      </c>
      <c r="EO89" s="9"/>
      <c r="EP89" s="9"/>
      <c r="EQ89" s="9"/>
      <c r="ER89" s="9"/>
      <c r="ES89" s="9"/>
      <c r="ET89" s="9"/>
      <c r="EU89">
        <v>1165</v>
      </c>
      <c r="EV89" s="9"/>
      <c r="EW89" s="9"/>
      <c r="EX89" s="9"/>
      <c r="EY89" s="9"/>
      <c r="EZ89" s="9"/>
      <c r="FA89" s="9"/>
      <c r="FB89" s="9">
        <v>58.051691729300003</v>
      </c>
      <c r="FC89" s="9">
        <v>67.504761904800006</v>
      </c>
      <c r="FD89" s="9">
        <v>7753.3421052632002</v>
      </c>
      <c r="FE89" s="9">
        <v>36.630000000000003</v>
      </c>
      <c r="FF89" s="9">
        <v>679.36842105259996</v>
      </c>
      <c r="FG89">
        <v>1541830.18</v>
      </c>
      <c r="FH89">
        <v>1477606.96</v>
      </c>
      <c r="FI89">
        <v>64223.22</v>
      </c>
      <c r="FJ89" s="9">
        <v>1831199.29</v>
      </c>
      <c r="FK89">
        <v>1595044.84</v>
      </c>
      <c r="FL89" s="9">
        <v>236154.45</v>
      </c>
      <c r="FM89" s="9">
        <v>2629117.88</v>
      </c>
      <c r="FN89" s="9">
        <v>307336.15000000002</v>
      </c>
      <c r="FO89">
        <v>1165</v>
      </c>
      <c r="FP89">
        <v>798.61</v>
      </c>
      <c r="FQ89">
        <v>52.01</v>
      </c>
      <c r="FR89">
        <v>10.4</v>
      </c>
      <c r="FS89">
        <v>10.31</v>
      </c>
      <c r="FT89">
        <v>318.76</v>
      </c>
      <c r="FU89">
        <v>59.04</v>
      </c>
      <c r="FV89">
        <v>32.9</v>
      </c>
      <c r="FW89">
        <v>29247.88</v>
      </c>
      <c r="FX89">
        <v>602.95000000000005</v>
      </c>
      <c r="HB89" s="6"/>
      <c r="HC89" s="6"/>
      <c r="HD89" s="6"/>
    </row>
    <row r="90" spans="1:212" x14ac:dyDescent="0.2">
      <c r="A90" s="8" t="s">
        <v>850</v>
      </c>
      <c r="B90" s="8" t="s">
        <v>287</v>
      </c>
      <c r="C90" s="8" t="s">
        <v>289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>
        <v>129117.8</v>
      </c>
      <c r="BO90" s="9">
        <v>112248.6</v>
      </c>
      <c r="BP90" s="9">
        <v>42998.2</v>
      </c>
      <c r="BQ90" s="9">
        <v>13684.2</v>
      </c>
      <c r="BR90" s="9">
        <v>5508.1</v>
      </c>
      <c r="BS90" s="9">
        <v>12548</v>
      </c>
      <c r="BT90" s="9">
        <v>16363.1</v>
      </c>
      <c r="BU90" s="9">
        <v>11284</v>
      </c>
      <c r="BV90" s="9">
        <v>15457.5</v>
      </c>
      <c r="BW90" s="9">
        <v>101068</v>
      </c>
      <c r="BX90" s="9">
        <v>5016.2</v>
      </c>
      <c r="BY90" s="9">
        <v>26094.2</v>
      </c>
      <c r="BZ90" s="9">
        <v>21309.7</v>
      </c>
      <c r="CA90" s="9">
        <v>1300.3</v>
      </c>
      <c r="CB90" s="9">
        <v>0</v>
      </c>
      <c r="CC90" s="9">
        <v>0</v>
      </c>
      <c r="CD90" s="9">
        <v>0</v>
      </c>
      <c r="CE90" s="9">
        <v>39968</v>
      </c>
      <c r="CF90" s="9">
        <v>490293.12857538002</v>
      </c>
      <c r="CG90" s="9">
        <v>1966094.2762081579</v>
      </c>
      <c r="CH90" s="9"/>
      <c r="CI90" s="9"/>
      <c r="CJ90" s="9">
        <v>23.69</v>
      </c>
      <c r="CK90" s="9">
        <v>14.11</v>
      </c>
      <c r="CL90" s="9"/>
      <c r="CM90" s="9">
        <v>39.303987625200001</v>
      </c>
      <c r="CN90" s="9">
        <v>16.724282883200001</v>
      </c>
      <c r="CO90" s="9">
        <v>1.0345003736</v>
      </c>
      <c r="CP90" s="9">
        <v>5.5803209221000003</v>
      </c>
      <c r="CQ90" s="9">
        <v>4.0487578491000003</v>
      </c>
      <c r="CR90" s="9">
        <v>2.1348366398</v>
      </c>
      <c r="CS90" s="9">
        <v>0.68318466349999996</v>
      </c>
      <c r="CT90" s="9">
        <v>3.5127575289999999</v>
      </c>
      <c r="CU90" s="9">
        <v>0.84223401320000002</v>
      </c>
      <c r="CV90" s="9">
        <v>1.134024309</v>
      </c>
      <c r="CW90" s="9">
        <v>2.1752776272999998</v>
      </c>
      <c r="CX90" s="9">
        <v>0.40268053660000003</v>
      </c>
      <c r="CY90" s="9">
        <v>1.0311302788000001</v>
      </c>
      <c r="CZ90" s="9">
        <v>172</v>
      </c>
      <c r="DA90" s="9">
        <v>118</v>
      </c>
      <c r="DB90" s="9">
        <v>13</v>
      </c>
      <c r="DC90" s="9">
        <v>74</v>
      </c>
      <c r="DD90" s="9">
        <v>1</v>
      </c>
      <c r="DE90" s="9">
        <v>7</v>
      </c>
      <c r="DF90" s="9">
        <v>11</v>
      </c>
      <c r="DG90" s="9">
        <v>4</v>
      </c>
      <c r="DH90" s="9">
        <v>39</v>
      </c>
      <c r="DI90" s="9">
        <v>0</v>
      </c>
      <c r="DJ90" s="9">
        <v>1</v>
      </c>
      <c r="DK90" s="9">
        <v>36</v>
      </c>
      <c r="DL90" s="9">
        <v>0</v>
      </c>
      <c r="DM90" s="9">
        <v>15</v>
      </c>
      <c r="DN90" s="9">
        <v>0</v>
      </c>
      <c r="DO90" s="9">
        <v>184.12</v>
      </c>
      <c r="DP90" s="9">
        <v>44.97</v>
      </c>
      <c r="DQ90" s="9">
        <v>25.46</v>
      </c>
      <c r="DR90" s="9">
        <v>19.510000000000002</v>
      </c>
      <c r="DS90" s="9">
        <v>17.54</v>
      </c>
      <c r="DT90" s="9">
        <v>0.45</v>
      </c>
      <c r="DU90" s="9">
        <v>70.8</v>
      </c>
      <c r="DV90" s="9">
        <v>44.34</v>
      </c>
      <c r="DW90" s="9">
        <v>17.64</v>
      </c>
      <c r="DX90" s="9">
        <v>50.79</v>
      </c>
      <c r="DY90" s="9">
        <v>25.93</v>
      </c>
      <c r="DZ90" s="9">
        <v>9.35</v>
      </c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>
        <v>967.9</v>
      </c>
      <c r="EO90" s="9"/>
      <c r="EP90" s="9"/>
      <c r="EQ90" s="9"/>
      <c r="ER90" s="9"/>
      <c r="ES90" s="9"/>
      <c r="ET90" s="9"/>
      <c r="EU90">
        <v>1165</v>
      </c>
      <c r="EV90" s="9"/>
      <c r="EW90" s="9"/>
      <c r="EX90" s="9"/>
      <c r="EY90" s="9"/>
      <c r="EZ90" s="9"/>
      <c r="FA90" s="9"/>
      <c r="FB90" s="9">
        <v>58.456632653100002</v>
      </c>
      <c r="FC90" s="9">
        <v>67.476521739099994</v>
      </c>
      <c r="FD90" s="9">
        <v>7677.9523809523998</v>
      </c>
      <c r="FE90" s="9">
        <v>36.630000000000003</v>
      </c>
      <c r="FF90" s="9">
        <v>666.85952380950005</v>
      </c>
      <c r="FG90">
        <v>1574511.7999999998</v>
      </c>
      <c r="FH90">
        <v>1509738.42</v>
      </c>
      <c r="FI90">
        <v>64773.38</v>
      </c>
      <c r="FJ90" s="9">
        <v>1906583.82</v>
      </c>
      <c r="FK90">
        <v>1663469.64</v>
      </c>
      <c r="FL90" s="9">
        <v>243114.18</v>
      </c>
      <c r="FM90" s="9">
        <v>2680438.56</v>
      </c>
      <c r="FN90" s="9">
        <v>311119.38</v>
      </c>
      <c r="FO90">
        <v>1165</v>
      </c>
      <c r="FP90">
        <v>699.11</v>
      </c>
      <c r="FQ90">
        <v>51.58</v>
      </c>
      <c r="FR90">
        <v>16.86</v>
      </c>
      <c r="FS90">
        <v>7.09</v>
      </c>
      <c r="FT90">
        <v>407.04</v>
      </c>
      <c r="FU90">
        <v>71.88</v>
      </c>
      <c r="FV90">
        <v>170.21</v>
      </c>
      <c r="FW90">
        <v>9431.0499999999993</v>
      </c>
      <c r="FX90">
        <v>772.96</v>
      </c>
      <c r="HB90" s="6"/>
      <c r="HC90" s="6"/>
      <c r="HD90" s="6"/>
    </row>
    <row r="91" spans="1:212" x14ac:dyDescent="0.2">
      <c r="A91" s="8" t="s">
        <v>850</v>
      </c>
      <c r="B91" s="8" t="s">
        <v>287</v>
      </c>
      <c r="C91" s="8" t="s">
        <v>290</v>
      </c>
      <c r="D91" s="9">
        <v>1353700</v>
      </c>
      <c r="E91" s="9">
        <v>347740.4</v>
      </c>
      <c r="F91" s="9">
        <v>398142.7</v>
      </c>
      <c r="G91" s="9">
        <v>76714.399999999994</v>
      </c>
      <c r="H91" s="9">
        <v>25631.5</v>
      </c>
      <c r="I91" s="9">
        <v>16223.8</v>
      </c>
      <c r="J91" s="9">
        <v>54282.2</v>
      </c>
      <c r="K91" s="9">
        <v>76907.100000000006</v>
      </c>
      <c r="L91" s="9">
        <v>40382.5</v>
      </c>
      <c r="M91" s="9">
        <v>211383.7</v>
      </c>
      <c r="N91" s="9">
        <v>106291.7</v>
      </c>
      <c r="O91" s="9">
        <v>3365392.1408159551</v>
      </c>
      <c r="P91" s="9">
        <v>762415.78012439224</v>
      </c>
      <c r="Q91" s="9">
        <v>618002.27093058545</v>
      </c>
      <c r="R91" s="9">
        <v>295522.66279291589</v>
      </c>
      <c r="S91" s="9">
        <v>85881.089185325603</v>
      </c>
      <c r="T91" s="9">
        <v>91646.681536262302</v>
      </c>
      <c r="U91" s="9">
        <v>197950.27842428291</v>
      </c>
      <c r="V91" s="9">
        <v>143308.26448643149</v>
      </c>
      <c r="W91" s="9">
        <v>60047.567039158101</v>
      </c>
      <c r="X91" s="9">
        <v>896341.17595970584</v>
      </c>
      <c r="Y91" s="9">
        <v>214276.3703368943</v>
      </c>
      <c r="Z91" s="9">
        <v>1380855.5</v>
      </c>
      <c r="AA91" s="9">
        <v>478780.8</v>
      </c>
      <c r="AB91" s="9">
        <v>139836.5</v>
      </c>
      <c r="AC91" s="9">
        <v>670350</v>
      </c>
      <c r="AD91" s="9">
        <v>70070.7</v>
      </c>
      <c r="AE91" s="9">
        <v>697211</v>
      </c>
      <c r="AF91" s="9">
        <v>675393.4</v>
      </c>
      <c r="AG91" s="9">
        <v>3358491.9912026832</v>
      </c>
      <c r="AH91" s="9">
        <v>1229163.1592564811</v>
      </c>
      <c r="AI91" s="9">
        <v>417141.06950640469</v>
      </c>
      <c r="AJ91" s="9">
        <v>1650406.0508200061</v>
      </c>
      <c r="AK91" s="9">
        <v>231537.57544831419</v>
      </c>
      <c r="AL91" s="9">
        <v>794191.97875846515</v>
      </c>
      <c r="AM91" s="9">
        <v>963947.84258698742</v>
      </c>
      <c r="AN91" s="9">
        <v>951247</v>
      </c>
      <c r="AO91" s="9">
        <v>489164</v>
      </c>
      <c r="AP91" s="9">
        <v>462083</v>
      </c>
      <c r="AQ91" s="9">
        <v>92930</v>
      </c>
      <c r="AR91" s="9">
        <v>49080</v>
      </c>
      <c r="AS91" s="9">
        <v>43850</v>
      </c>
      <c r="AT91" s="9">
        <v>638230</v>
      </c>
      <c r="AU91" s="9">
        <v>260276</v>
      </c>
      <c r="AV91" s="9">
        <v>377954</v>
      </c>
      <c r="AW91" s="9">
        <v>166.2</v>
      </c>
      <c r="AX91" s="9">
        <v>85</v>
      </c>
      <c r="AY91" s="9">
        <v>215.5</v>
      </c>
      <c r="AZ91" s="9">
        <v>155.4</v>
      </c>
      <c r="BA91" s="9">
        <v>161.69999999999999</v>
      </c>
      <c r="BB91" s="9"/>
      <c r="BC91" s="9">
        <v>162</v>
      </c>
      <c r="BD91" s="9">
        <v>119</v>
      </c>
      <c r="BE91" s="9">
        <v>172.6</v>
      </c>
      <c r="BF91" s="9">
        <v>163.80000000000001</v>
      </c>
      <c r="BG91" s="9"/>
      <c r="BH91" s="9">
        <v>346.4</v>
      </c>
      <c r="BI91" s="9">
        <v>119.2</v>
      </c>
      <c r="BJ91" s="9">
        <v>193.1</v>
      </c>
      <c r="BK91" s="9">
        <v>149.80000000000001</v>
      </c>
      <c r="BL91" s="9"/>
      <c r="BM91" s="9">
        <v>129.30000000000001</v>
      </c>
      <c r="BN91" s="9">
        <v>156012.5</v>
      </c>
      <c r="BO91" s="9">
        <v>128522.7</v>
      </c>
      <c r="BP91" s="9">
        <v>54200.1</v>
      </c>
      <c r="BQ91" s="9">
        <v>9640.5</v>
      </c>
      <c r="BR91" s="9">
        <v>5627.4</v>
      </c>
      <c r="BS91" s="9">
        <v>12934.3</v>
      </c>
      <c r="BT91" s="9">
        <v>23582</v>
      </c>
      <c r="BU91" s="9">
        <v>9567.1</v>
      </c>
      <c r="BV91" s="9">
        <v>26997.200000000001</v>
      </c>
      <c r="BW91" s="9">
        <v>87594</v>
      </c>
      <c r="BX91" s="9">
        <v>5498.5</v>
      </c>
      <c r="BY91" s="9">
        <v>30117.9</v>
      </c>
      <c r="BZ91" s="9">
        <v>27387.4</v>
      </c>
      <c r="CA91" s="9">
        <v>1610</v>
      </c>
      <c r="CB91" s="9">
        <v>0</v>
      </c>
      <c r="CC91" s="9">
        <v>0</v>
      </c>
      <c r="CD91" s="9">
        <v>0</v>
      </c>
      <c r="CE91" s="9">
        <v>13582.1</v>
      </c>
      <c r="CF91" s="9">
        <v>502223.41978613002</v>
      </c>
      <c r="CG91" s="9">
        <v>2016090.180787001</v>
      </c>
      <c r="CH91" s="9"/>
      <c r="CI91" s="9"/>
      <c r="CJ91" s="9">
        <v>21</v>
      </c>
      <c r="CK91" s="9">
        <v>15.5</v>
      </c>
      <c r="CL91" s="9"/>
      <c r="CM91" s="9">
        <v>39.434718247200003</v>
      </c>
      <c r="CN91" s="9">
        <v>16.815364041599999</v>
      </c>
      <c r="CO91" s="9">
        <v>1.0414931978999999</v>
      </c>
      <c r="CP91" s="9">
        <v>5.5941564321000001</v>
      </c>
      <c r="CQ91" s="9">
        <v>4.0288421847000002</v>
      </c>
      <c r="CR91" s="9">
        <v>2.1317686997999998</v>
      </c>
      <c r="CS91" s="9">
        <v>0.68686857069999996</v>
      </c>
      <c r="CT91" s="9">
        <v>3.5812018761000002</v>
      </c>
      <c r="CU91" s="9">
        <v>0.82285580349999998</v>
      </c>
      <c r="CV91" s="9">
        <v>1.1211414806</v>
      </c>
      <c r="CW91" s="9">
        <v>2.1752776272999998</v>
      </c>
      <c r="CX91" s="9">
        <v>0.40295697670000002</v>
      </c>
      <c r="CY91" s="9">
        <v>1.0327913563</v>
      </c>
      <c r="CZ91" s="9">
        <v>176</v>
      </c>
      <c r="DA91" s="9">
        <v>128</v>
      </c>
      <c r="DB91" s="9">
        <v>17</v>
      </c>
      <c r="DC91" s="9">
        <v>78</v>
      </c>
      <c r="DD91" s="9">
        <v>1</v>
      </c>
      <c r="DE91" s="9">
        <v>9</v>
      </c>
      <c r="DF91" s="9">
        <v>9</v>
      </c>
      <c r="DG91" s="9">
        <v>4</v>
      </c>
      <c r="DH91" s="9">
        <v>36</v>
      </c>
      <c r="DI91" s="9">
        <v>1</v>
      </c>
      <c r="DJ91" s="9">
        <v>1</v>
      </c>
      <c r="DK91" s="9">
        <v>34</v>
      </c>
      <c r="DL91" s="9">
        <v>0</v>
      </c>
      <c r="DM91" s="9">
        <v>11</v>
      </c>
      <c r="DN91" s="9">
        <v>0</v>
      </c>
      <c r="DO91" s="9">
        <v>177.42</v>
      </c>
      <c r="DP91" s="9">
        <v>44.17</v>
      </c>
      <c r="DQ91" s="9">
        <v>26.04</v>
      </c>
      <c r="DR91" s="9">
        <v>18.13</v>
      </c>
      <c r="DS91" s="9">
        <v>19.059999999999999</v>
      </c>
      <c r="DT91" s="9">
        <v>0.46</v>
      </c>
      <c r="DU91" s="9">
        <v>70.53</v>
      </c>
      <c r="DV91" s="9">
        <v>40.65</v>
      </c>
      <c r="DW91" s="9">
        <v>18.55</v>
      </c>
      <c r="DX91" s="9">
        <v>43.53</v>
      </c>
      <c r="DY91" s="9">
        <v>21.35</v>
      </c>
      <c r="DZ91" s="9">
        <v>7.68</v>
      </c>
      <c r="EA91" s="9">
        <v>64.022109999999998</v>
      </c>
      <c r="EB91" s="9">
        <v>-11.3604</v>
      </c>
      <c r="EC91" s="9">
        <v>30.252780000000001</v>
      </c>
      <c r="ED91" s="9">
        <v>-12.3666</v>
      </c>
      <c r="EE91" s="9">
        <v>57.496299999999998</v>
      </c>
      <c r="EF91" s="9">
        <v>0</v>
      </c>
      <c r="EG91" s="9">
        <v>-6.3726900000000004</v>
      </c>
      <c r="EH91" s="9">
        <v>-65.389799999999994</v>
      </c>
      <c r="EI91" s="9">
        <v>0</v>
      </c>
      <c r="EJ91" s="9">
        <v>0</v>
      </c>
      <c r="EK91" s="9">
        <v>59.017110000000002</v>
      </c>
      <c r="EL91" s="9">
        <v>52.566290000000002</v>
      </c>
      <c r="EM91" s="9">
        <v>122.9611</v>
      </c>
      <c r="EN91" s="9">
        <v>1004</v>
      </c>
      <c r="EO91" s="9"/>
      <c r="EP91" s="9"/>
      <c r="EQ91" s="9"/>
      <c r="ER91" s="9"/>
      <c r="ES91" s="9"/>
      <c r="ET91" s="9"/>
      <c r="EU91">
        <v>1164.0899999999999</v>
      </c>
      <c r="EV91" s="9">
        <v>4775.82</v>
      </c>
      <c r="EW91" s="9">
        <v>1434.46</v>
      </c>
      <c r="EX91" s="9">
        <v>13.83</v>
      </c>
      <c r="EY91" s="9">
        <v>169.28</v>
      </c>
      <c r="EZ91" s="9">
        <v>752.11</v>
      </c>
      <c r="FA91" s="9">
        <v>2406.15</v>
      </c>
      <c r="FB91" s="9">
        <v>63.150510204100001</v>
      </c>
      <c r="FC91" s="9">
        <v>71.317142857099995</v>
      </c>
      <c r="FD91" s="9">
        <v>7514.2380952381</v>
      </c>
      <c r="FE91" s="9">
        <v>36.630000000000003</v>
      </c>
      <c r="FF91" s="9">
        <v>655.49047619049998</v>
      </c>
      <c r="FG91">
        <v>1665691.4300000002</v>
      </c>
      <c r="FH91">
        <v>1600220.65</v>
      </c>
      <c r="FI91">
        <v>65470.78</v>
      </c>
      <c r="FJ91" s="9">
        <v>1952496.03</v>
      </c>
      <c r="FK91">
        <v>1719350.6800000002</v>
      </c>
      <c r="FL91" s="9">
        <v>233145.35</v>
      </c>
      <c r="FM91" s="9">
        <v>2771140.46</v>
      </c>
      <c r="FN91" s="9">
        <v>318872.02</v>
      </c>
      <c r="FO91">
        <v>1163.6300000000001</v>
      </c>
      <c r="FP91">
        <v>911.07</v>
      </c>
      <c r="FQ91">
        <v>52.46</v>
      </c>
      <c r="FR91">
        <v>10.34</v>
      </c>
      <c r="FS91">
        <v>8.19</v>
      </c>
      <c r="FT91">
        <v>323.89999999999998</v>
      </c>
      <c r="FU91">
        <v>60.61</v>
      </c>
      <c r="FV91">
        <v>398.37</v>
      </c>
      <c r="FW91">
        <v>4632.96</v>
      </c>
      <c r="FX91">
        <v>688.59</v>
      </c>
      <c r="HB91" s="6"/>
      <c r="HC91" s="6"/>
      <c r="HD91" s="6"/>
    </row>
    <row r="92" spans="1:212" x14ac:dyDescent="0.2">
      <c r="A92" s="8" t="s">
        <v>850</v>
      </c>
      <c r="B92" s="8" t="s">
        <v>291</v>
      </c>
      <c r="C92" s="8" t="s">
        <v>292</v>
      </c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>
        <v>131040.7</v>
      </c>
      <c r="BO92" s="9">
        <v>109180.5</v>
      </c>
      <c r="BP92" s="9">
        <v>39958.699999999997</v>
      </c>
      <c r="BQ92" s="9">
        <v>10726.9</v>
      </c>
      <c r="BR92" s="9">
        <v>5567.8</v>
      </c>
      <c r="BS92" s="9">
        <v>11271.5</v>
      </c>
      <c r="BT92" s="9">
        <v>21027.8</v>
      </c>
      <c r="BU92" s="9">
        <v>12348.1</v>
      </c>
      <c r="BV92" s="9">
        <v>21611.599999999999</v>
      </c>
      <c r="BW92" s="9">
        <v>67874.7</v>
      </c>
      <c r="BX92" s="9">
        <v>6488.4</v>
      </c>
      <c r="BY92" s="9">
        <v>20359</v>
      </c>
      <c r="BZ92" s="9">
        <v>17296.3</v>
      </c>
      <c r="CA92" s="9">
        <v>351.7</v>
      </c>
      <c r="CB92" s="9">
        <v>0</v>
      </c>
      <c r="CC92" s="9">
        <v>0</v>
      </c>
      <c r="CD92" s="9">
        <v>0</v>
      </c>
      <c r="CE92" s="9">
        <v>34375.9</v>
      </c>
      <c r="CF92" s="9">
        <v>497043.87133277999</v>
      </c>
      <c r="CG92" s="9">
        <v>2094659.5873104481</v>
      </c>
      <c r="CH92" s="9"/>
      <c r="CI92" s="9"/>
      <c r="CJ92" s="9">
        <v>22.27</v>
      </c>
      <c r="CK92" s="9">
        <v>14.46</v>
      </c>
      <c r="CL92" s="9">
        <v>6.4</v>
      </c>
      <c r="CM92" s="9">
        <v>39.617143402899998</v>
      </c>
      <c r="CN92" s="9">
        <v>16.9455024853</v>
      </c>
      <c r="CO92" s="9">
        <v>1.042289698</v>
      </c>
      <c r="CP92" s="9">
        <v>5.5862385254999998</v>
      </c>
      <c r="CQ92" s="9">
        <v>4.0682313817000004</v>
      </c>
      <c r="CR92" s="9">
        <v>2.1466255373999998</v>
      </c>
      <c r="CS92" s="9">
        <v>0.68756380090000002</v>
      </c>
      <c r="CT92" s="9">
        <v>3.5824916777000002</v>
      </c>
      <c r="CU92" s="9">
        <v>0.81321354850000005</v>
      </c>
      <c r="CV92" s="9">
        <v>1.13026526</v>
      </c>
      <c r="CW92" s="9">
        <v>2.1752776272999998</v>
      </c>
      <c r="CX92" s="9">
        <v>0.40308586959999998</v>
      </c>
      <c r="CY92" s="9">
        <v>1.036357991</v>
      </c>
      <c r="CZ92" s="9">
        <v>145</v>
      </c>
      <c r="DA92" s="9">
        <v>119</v>
      </c>
      <c r="DB92" s="9">
        <v>13</v>
      </c>
      <c r="DC92" s="9">
        <v>75</v>
      </c>
      <c r="DD92" s="9">
        <v>1</v>
      </c>
      <c r="DE92" s="9">
        <v>10</v>
      </c>
      <c r="DF92" s="9">
        <v>8</v>
      </c>
      <c r="DG92" s="9">
        <v>4</v>
      </c>
      <c r="DH92" s="9">
        <v>17</v>
      </c>
      <c r="DI92" s="9">
        <v>0</v>
      </c>
      <c r="DJ92" s="9">
        <v>2</v>
      </c>
      <c r="DK92" s="9">
        <v>13</v>
      </c>
      <c r="DL92" s="9">
        <v>0</v>
      </c>
      <c r="DM92" s="9">
        <v>9</v>
      </c>
      <c r="DN92" s="9">
        <v>0</v>
      </c>
      <c r="DO92" s="9">
        <v>182.99</v>
      </c>
      <c r="DP92" s="9">
        <v>42.87</v>
      </c>
      <c r="DQ92" s="9">
        <v>23.86</v>
      </c>
      <c r="DR92" s="9">
        <v>19.010000000000002</v>
      </c>
      <c r="DS92" s="9">
        <v>17.010000000000002</v>
      </c>
      <c r="DT92" s="9">
        <v>0.47</v>
      </c>
      <c r="DU92" s="9">
        <v>68.72</v>
      </c>
      <c r="DV92" s="9">
        <v>36.340000000000003</v>
      </c>
      <c r="DW92" s="9">
        <v>22.08</v>
      </c>
      <c r="DX92" s="9">
        <v>54.25</v>
      </c>
      <c r="DY92" s="9">
        <v>25.69</v>
      </c>
      <c r="DZ92" s="9">
        <v>10.14</v>
      </c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>
        <v>1075.5</v>
      </c>
      <c r="EO92" s="9"/>
      <c r="EP92" s="9"/>
      <c r="EQ92" s="9"/>
      <c r="ER92" s="9"/>
      <c r="ES92" s="9"/>
      <c r="ET92" s="9"/>
      <c r="EU92">
        <v>1164.0999999999999</v>
      </c>
      <c r="EV92" s="9"/>
      <c r="EW92" s="9"/>
      <c r="EX92" s="9"/>
      <c r="EY92" s="9"/>
      <c r="EZ92" s="9"/>
      <c r="FA92" s="9"/>
      <c r="FB92" s="9">
        <v>72.793831168799997</v>
      </c>
      <c r="FC92" s="9">
        <v>77.204999999999998</v>
      </c>
      <c r="FD92" s="9">
        <v>7980.9318181817998</v>
      </c>
      <c r="FE92" s="9">
        <v>36.630000000000003</v>
      </c>
      <c r="FF92" s="9">
        <v>665.29545454549998</v>
      </c>
      <c r="FG92">
        <v>1704055.04</v>
      </c>
      <c r="FH92">
        <v>1640370.47</v>
      </c>
      <c r="FI92">
        <v>63684.57</v>
      </c>
      <c r="FJ92" s="9">
        <v>2026743.1</v>
      </c>
      <c r="FK92">
        <v>1790860.11</v>
      </c>
      <c r="FL92" s="9">
        <v>235882.99</v>
      </c>
      <c r="FM92" s="9">
        <v>2834200.53</v>
      </c>
      <c r="FN92" s="9">
        <v>326815.55</v>
      </c>
      <c r="FO92">
        <v>1165.1300000000001</v>
      </c>
      <c r="FP92">
        <v>691.94</v>
      </c>
      <c r="FQ92">
        <v>52.25</v>
      </c>
      <c r="FR92">
        <v>18.399999999999999</v>
      </c>
      <c r="FS92">
        <v>6.88</v>
      </c>
      <c r="FT92">
        <v>274.04000000000002</v>
      </c>
      <c r="FU92">
        <v>66.84</v>
      </c>
      <c r="FV92">
        <v>23.26</v>
      </c>
      <c r="FW92">
        <v>9768.4500000000007</v>
      </c>
      <c r="FX92">
        <v>231.91</v>
      </c>
      <c r="HB92" s="6"/>
      <c r="HC92" s="6"/>
      <c r="HD92" s="6"/>
    </row>
    <row r="93" spans="1:212" x14ac:dyDescent="0.2">
      <c r="A93" s="8" t="s">
        <v>850</v>
      </c>
      <c r="B93" s="8" t="s">
        <v>291</v>
      </c>
      <c r="C93" s="8" t="s">
        <v>293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>
        <v>183495.8</v>
      </c>
      <c r="BO93" s="9">
        <v>153394</v>
      </c>
      <c r="BP93" s="9">
        <v>80067.600000000006</v>
      </c>
      <c r="BQ93" s="9">
        <v>27447.3</v>
      </c>
      <c r="BR93" s="9">
        <v>3609.6</v>
      </c>
      <c r="BS93" s="9">
        <v>13515.4</v>
      </c>
      <c r="BT93" s="9">
        <v>28195.5</v>
      </c>
      <c r="BU93" s="9">
        <v>12949.6</v>
      </c>
      <c r="BV93" s="9">
        <v>29585.3</v>
      </c>
      <c r="BW93" s="9">
        <v>119237.3</v>
      </c>
      <c r="BX93" s="9">
        <v>189.5</v>
      </c>
      <c r="BY93" s="9">
        <v>121823.9</v>
      </c>
      <c r="BZ93" s="9">
        <v>14910.7</v>
      </c>
      <c r="CA93" s="9">
        <v>2629.1</v>
      </c>
      <c r="CB93" s="9">
        <v>0</v>
      </c>
      <c r="CC93" s="9">
        <v>0</v>
      </c>
      <c r="CD93" s="9">
        <v>0</v>
      </c>
      <c r="CE93" s="9">
        <v>-26978</v>
      </c>
      <c r="CF93" s="9">
        <v>535468.44580455008</v>
      </c>
      <c r="CG93" s="9">
        <v>2195414.4918971239</v>
      </c>
      <c r="CH93" s="9"/>
      <c r="CI93" s="9"/>
      <c r="CJ93" s="9">
        <v>20</v>
      </c>
      <c r="CK93" s="9">
        <v>12</v>
      </c>
      <c r="CL93" s="9">
        <v>6.4</v>
      </c>
      <c r="CM93" s="9">
        <v>40.717720227000001</v>
      </c>
      <c r="CN93" s="9">
        <v>17.305143726099999</v>
      </c>
      <c r="CO93" s="9">
        <v>1.0792515027</v>
      </c>
      <c r="CP93" s="9">
        <v>5.6295819168000003</v>
      </c>
      <c r="CQ93" s="9">
        <v>4.1752778210999999</v>
      </c>
      <c r="CR93" s="9">
        <v>2.2121191446999999</v>
      </c>
      <c r="CS93" s="9">
        <v>0.72656639180000004</v>
      </c>
      <c r="CT93" s="9">
        <v>3.7442203676000001</v>
      </c>
      <c r="CU93" s="9">
        <v>0.82140154180000002</v>
      </c>
      <c r="CV93" s="9">
        <v>1.1282718199999999</v>
      </c>
      <c r="CW93" s="9">
        <v>2.4306727652000002</v>
      </c>
      <c r="CX93" s="9">
        <v>0.4084276262</v>
      </c>
      <c r="CY93" s="9">
        <v>1.056785603</v>
      </c>
      <c r="CZ93" s="9">
        <v>171</v>
      </c>
      <c r="DA93" s="9">
        <v>141</v>
      </c>
      <c r="DB93" s="9">
        <v>21</v>
      </c>
      <c r="DC93" s="9">
        <v>80</v>
      </c>
      <c r="DD93" s="9">
        <v>1</v>
      </c>
      <c r="DE93" s="9">
        <v>11</v>
      </c>
      <c r="DF93" s="9">
        <v>13</v>
      </c>
      <c r="DG93" s="9">
        <v>4</v>
      </c>
      <c r="DH93" s="9">
        <v>16</v>
      </c>
      <c r="DI93" s="9">
        <v>1</v>
      </c>
      <c r="DJ93" s="9">
        <v>2</v>
      </c>
      <c r="DK93" s="9">
        <v>12</v>
      </c>
      <c r="DL93" s="9">
        <v>0</v>
      </c>
      <c r="DM93" s="9">
        <v>14</v>
      </c>
      <c r="DN93" s="9">
        <v>0</v>
      </c>
      <c r="DO93" s="9">
        <v>201.26</v>
      </c>
      <c r="DP93" s="9">
        <v>45.35</v>
      </c>
      <c r="DQ93" s="9">
        <v>26.37</v>
      </c>
      <c r="DR93" s="9">
        <v>18.98</v>
      </c>
      <c r="DS93" s="9">
        <v>17.62</v>
      </c>
      <c r="DT93" s="9">
        <v>0.46</v>
      </c>
      <c r="DU93" s="9">
        <v>79.319999999999993</v>
      </c>
      <c r="DV93" s="9">
        <v>39.18</v>
      </c>
      <c r="DW93" s="9">
        <v>24.69</v>
      </c>
      <c r="DX93" s="9">
        <v>58.95</v>
      </c>
      <c r="DY93" s="9">
        <v>28.73</v>
      </c>
      <c r="DZ93" s="9">
        <v>10.1</v>
      </c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>
        <v>1064.3</v>
      </c>
      <c r="EO93" s="9"/>
      <c r="EP93" s="9"/>
      <c r="EQ93" s="9"/>
      <c r="ER93" s="9"/>
      <c r="ES93" s="9"/>
      <c r="ET93" s="9"/>
      <c r="EU93">
        <v>1180.3800000000001</v>
      </c>
      <c r="EV93" s="9"/>
      <c r="EW93" s="9"/>
      <c r="EX93" s="9"/>
      <c r="EY93" s="9"/>
      <c r="EZ93" s="9"/>
      <c r="FA93" s="9"/>
      <c r="FB93" s="9">
        <v>74.834415584400006</v>
      </c>
      <c r="FC93" s="9">
        <v>70.796956521699997</v>
      </c>
      <c r="FD93" s="9">
        <v>7500.2045454544996</v>
      </c>
      <c r="FE93" s="9">
        <v>36.630000000000003</v>
      </c>
      <c r="FF93" s="9">
        <v>665.41136363639998</v>
      </c>
      <c r="FG93">
        <v>1866871.0300000005</v>
      </c>
      <c r="FH93">
        <v>1808108.92</v>
      </c>
      <c r="FI93">
        <v>58762.11</v>
      </c>
      <c r="FJ93" s="9">
        <v>2035946.76</v>
      </c>
      <c r="FK93">
        <v>1874451.5300000005</v>
      </c>
      <c r="FL93" s="9">
        <v>161495.23000000001</v>
      </c>
      <c r="FM93" s="9">
        <v>2954614.73</v>
      </c>
      <c r="FN93" s="9">
        <v>335073.59999999998</v>
      </c>
      <c r="FO93">
        <v>1187.28</v>
      </c>
      <c r="FP93">
        <v>941.46</v>
      </c>
      <c r="FQ93">
        <v>53.39</v>
      </c>
      <c r="FR93">
        <v>13.6</v>
      </c>
      <c r="FS93">
        <v>6.2</v>
      </c>
      <c r="FT93">
        <v>283.98</v>
      </c>
      <c r="FU93">
        <v>66.47</v>
      </c>
      <c r="FV93">
        <v>221.81</v>
      </c>
      <c r="FW93">
        <v>14086.8</v>
      </c>
      <c r="FX93">
        <v>177.27</v>
      </c>
      <c r="HB93" s="6"/>
      <c r="HC93" s="6"/>
      <c r="HD93" s="6"/>
    </row>
    <row r="94" spans="1:212" x14ac:dyDescent="0.2">
      <c r="A94" s="8" t="s">
        <v>850</v>
      </c>
      <c r="B94" s="8" t="s">
        <v>291</v>
      </c>
      <c r="C94" s="8" t="s">
        <v>294</v>
      </c>
      <c r="D94" s="9">
        <v>1275352.1000000001</v>
      </c>
      <c r="E94" s="9">
        <v>255450.6</v>
      </c>
      <c r="F94" s="9">
        <v>345002.9</v>
      </c>
      <c r="G94" s="9">
        <v>78290.7</v>
      </c>
      <c r="H94" s="9">
        <v>21007.599999999999</v>
      </c>
      <c r="I94" s="9">
        <v>26894.5</v>
      </c>
      <c r="J94" s="9">
        <v>75924.899999999994</v>
      </c>
      <c r="K94" s="9">
        <v>100967.2</v>
      </c>
      <c r="L94" s="9">
        <v>46881.4</v>
      </c>
      <c r="M94" s="9">
        <v>191651.3</v>
      </c>
      <c r="N94" s="9">
        <v>133281.1</v>
      </c>
      <c r="O94" s="9">
        <v>3170613.8244168749</v>
      </c>
      <c r="P94" s="9">
        <v>548826.4590744907</v>
      </c>
      <c r="Q94" s="9">
        <v>524765.70601730759</v>
      </c>
      <c r="R94" s="9">
        <v>295539.45024621638</v>
      </c>
      <c r="S94" s="9">
        <v>68974.942490756599</v>
      </c>
      <c r="T94" s="9">
        <v>148874.05618689509</v>
      </c>
      <c r="U94" s="9">
        <v>271315.30368210259</v>
      </c>
      <c r="V94" s="9">
        <v>184364.1605341004</v>
      </c>
      <c r="W94" s="9">
        <v>68311.555194050306</v>
      </c>
      <c r="X94" s="9">
        <v>796351.87673675874</v>
      </c>
      <c r="Y94" s="9">
        <v>263290.31425419671</v>
      </c>
      <c r="Z94" s="9">
        <v>1275137.5</v>
      </c>
      <c r="AA94" s="9">
        <v>740290.3</v>
      </c>
      <c r="AB94" s="9">
        <v>101711.3</v>
      </c>
      <c r="AC94" s="9">
        <v>429694.1</v>
      </c>
      <c r="AD94" s="9">
        <v>44614.9</v>
      </c>
      <c r="AE94" s="9">
        <v>758404.8</v>
      </c>
      <c r="AF94" s="9">
        <v>799577.8</v>
      </c>
      <c r="AG94" s="9">
        <v>3101366.5669088559</v>
      </c>
      <c r="AH94" s="9">
        <v>1881951.8645098193</v>
      </c>
      <c r="AI94" s="9">
        <v>300445.18851423898</v>
      </c>
      <c r="AJ94" s="9">
        <v>1047568.009023154</v>
      </c>
      <c r="AK94" s="9">
        <v>145981.75899770169</v>
      </c>
      <c r="AL94" s="9">
        <v>855452.66245035373</v>
      </c>
      <c r="AM94" s="9">
        <v>1130032.9165864119</v>
      </c>
      <c r="AN94" s="9">
        <v>968579</v>
      </c>
      <c r="AO94" s="9">
        <v>493462</v>
      </c>
      <c r="AP94" s="9">
        <v>475117</v>
      </c>
      <c r="AQ94" s="9">
        <v>89071</v>
      </c>
      <c r="AR94" s="9">
        <v>45156</v>
      </c>
      <c r="AS94" s="9">
        <v>43915</v>
      </c>
      <c r="AT94" s="9">
        <v>599192</v>
      </c>
      <c r="AU94" s="9">
        <v>251413</v>
      </c>
      <c r="AV94" s="9">
        <v>347779</v>
      </c>
      <c r="AW94" s="9">
        <v>165.1</v>
      </c>
      <c r="AX94" s="9">
        <v>86.6</v>
      </c>
      <c r="AY94" s="9">
        <v>226.6</v>
      </c>
      <c r="AZ94" s="9">
        <v>154.5</v>
      </c>
      <c r="BA94" s="9">
        <v>163</v>
      </c>
      <c r="BB94" s="9"/>
      <c r="BC94" s="9">
        <v>176.9</v>
      </c>
      <c r="BD94" s="9">
        <v>119.9</v>
      </c>
      <c r="BE94" s="9">
        <v>166.9</v>
      </c>
      <c r="BF94" s="9">
        <v>148.1</v>
      </c>
      <c r="BG94" s="9"/>
      <c r="BH94" s="9">
        <v>360.1</v>
      </c>
      <c r="BI94" s="9">
        <v>121.8</v>
      </c>
      <c r="BJ94" s="9">
        <v>138.19999999999999</v>
      </c>
      <c r="BK94" s="9">
        <v>153.9</v>
      </c>
      <c r="BL94" s="9"/>
      <c r="BM94" s="9">
        <v>154.5</v>
      </c>
      <c r="BN94" s="9">
        <v>179269.8</v>
      </c>
      <c r="BO94" s="9">
        <v>157328.79999999999</v>
      </c>
      <c r="BP94" s="9">
        <v>76326.2</v>
      </c>
      <c r="BQ94" s="9">
        <v>33425.300000000003</v>
      </c>
      <c r="BR94" s="9">
        <v>5575.8</v>
      </c>
      <c r="BS94" s="9">
        <v>14552</v>
      </c>
      <c r="BT94" s="9">
        <v>27656</v>
      </c>
      <c r="BU94" s="9">
        <v>10482.200000000001</v>
      </c>
      <c r="BV94" s="9">
        <v>21499.4</v>
      </c>
      <c r="BW94" s="9">
        <v>209518.8</v>
      </c>
      <c r="BX94" s="9">
        <v>11817.3</v>
      </c>
      <c r="BY94" s="9">
        <v>-74650.5</v>
      </c>
      <c r="BZ94" s="9">
        <v>19293.3</v>
      </c>
      <c r="CA94" s="9">
        <v>446.7</v>
      </c>
      <c r="CB94" s="9">
        <v>0</v>
      </c>
      <c r="CC94" s="9">
        <v>0</v>
      </c>
      <c r="CD94" s="9">
        <v>0</v>
      </c>
      <c r="CE94" s="9">
        <v>28345.200000000001</v>
      </c>
      <c r="CF94" s="9">
        <v>515432.23840824992</v>
      </c>
      <c r="CG94" s="9">
        <v>2191937.7317168559</v>
      </c>
      <c r="CH94" s="9"/>
      <c r="CI94" s="9"/>
      <c r="CJ94" s="9">
        <v>19.739999999999998</v>
      </c>
      <c r="CK94" s="9">
        <v>12.87</v>
      </c>
      <c r="CL94" s="9">
        <v>6.4</v>
      </c>
      <c r="CM94" s="9">
        <v>41.532031822100002</v>
      </c>
      <c r="CN94" s="9">
        <v>17.462944995499999</v>
      </c>
      <c r="CO94" s="9">
        <v>1.1379830984999999</v>
      </c>
      <c r="CP94" s="9">
        <v>5.7817362069999998</v>
      </c>
      <c r="CQ94" s="9">
        <v>4.3783395786000003</v>
      </c>
      <c r="CR94" s="9">
        <v>2.3012000074999999</v>
      </c>
      <c r="CS94" s="9">
        <v>0.77742522680000004</v>
      </c>
      <c r="CT94" s="9">
        <v>3.7825908456000001</v>
      </c>
      <c r="CU94" s="9">
        <v>0.82093248890000003</v>
      </c>
      <c r="CV94" s="9">
        <v>1.1291451877000001</v>
      </c>
      <c r="CW94" s="9">
        <v>2.4623625322999998</v>
      </c>
      <c r="CX94" s="9">
        <v>0.41985260680000003</v>
      </c>
      <c r="CY94" s="9">
        <v>1.0775190469</v>
      </c>
      <c r="CZ94" s="9">
        <v>165</v>
      </c>
      <c r="DA94" s="9">
        <v>135</v>
      </c>
      <c r="DB94" s="9">
        <v>10</v>
      </c>
      <c r="DC94" s="9">
        <v>76</v>
      </c>
      <c r="DD94" s="9">
        <v>1</v>
      </c>
      <c r="DE94" s="9">
        <v>14</v>
      </c>
      <c r="DF94" s="9">
        <v>14</v>
      </c>
      <c r="DG94" s="9">
        <v>5</v>
      </c>
      <c r="DH94" s="9">
        <v>19</v>
      </c>
      <c r="DI94" s="9">
        <v>2</v>
      </c>
      <c r="DJ94" s="9">
        <v>3</v>
      </c>
      <c r="DK94" s="9">
        <v>12</v>
      </c>
      <c r="DL94" s="9">
        <v>0</v>
      </c>
      <c r="DM94" s="9">
        <v>11</v>
      </c>
      <c r="DN94" s="9">
        <v>1</v>
      </c>
      <c r="DO94" s="9">
        <v>192.7</v>
      </c>
      <c r="DP94" s="9">
        <v>43.52</v>
      </c>
      <c r="DQ94" s="9">
        <v>25.19</v>
      </c>
      <c r="DR94" s="9">
        <v>18.329999999999998</v>
      </c>
      <c r="DS94" s="9">
        <v>17.29</v>
      </c>
      <c r="DT94" s="9">
        <v>0.55000000000000004</v>
      </c>
      <c r="DU94" s="9">
        <v>83.45</v>
      </c>
      <c r="DV94" s="9">
        <v>46.26</v>
      </c>
      <c r="DW94" s="9">
        <v>24.56</v>
      </c>
      <c r="DX94" s="9">
        <v>48.4</v>
      </c>
      <c r="DY94" s="9">
        <v>22.71</v>
      </c>
      <c r="DZ94" s="9">
        <v>8.68</v>
      </c>
      <c r="EA94" s="9">
        <v>5.7984559999999998</v>
      </c>
      <c r="EB94" s="9">
        <v>-92.366200000000006</v>
      </c>
      <c r="EC94" s="9">
        <v>57.498539999999998</v>
      </c>
      <c r="ED94" s="9">
        <v>-22.804400000000001</v>
      </c>
      <c r="EE94" s="9">
        <v>63.470500000000001</v>
      </c>
      <c r="EF94" s="9">
        <v>0</v>
      </c>
      <c r="EG94" s="9">
        <v>-13.9015</v>
      </c>
      <c r="EH94" s="9">
        <v>-86.644000000000005</v>
      </c>
      <c r="EI94" s="9">
        <v>-1.2769999999999999</v>
      </c>
      <c r="EJ94" s="9">
        <v>0</v>
      </c>
      <c r="EK94" s="9">
        <v>74.019549999999995</v>
      </c>
      <c r="EL94" s="9">
        <v>52.470889999999997</v>
      </c>
      <c r="EM94" s="9">
        <v>72.1708</v>
      </c>
      <c r="EN94" s="9">
        <v>1074.5</v>
      </c>
      <c r="EO94" s="9"/>
      <c r="EP94" s="9"/>
      <c r="EQ94" s="9"/>
      <c r="ER94" s="9"/>
      <c r="ES94" s="9"/>
      <c r="ET94" s="9"/>
      <c r="EU94">
        <v>1187.6300000000001</v>
      </c>
      <c r="EV94" s="9">
        <v>4872.74</v>
      </c>
      <c r="EW94" s="9">
        <v>1489.99</v>
      </c>
      <c r="EX94" s="9">
        <v>12.15</v>
      </c>
      <c r="EY94" s="9">
        <v>174.65</v>
      </c>
      <c r="EZ94" s="9">
        <v>783.78</v>
      </c>
      <c r="FA94" s="9">
        <v>2412.17</v>
      </c>
      <c r="FB94" s="9">
        <v>73.553571428599994</v>
      </c>
      <c r="FC94" s="9">
        <v>77.128500000000003</v>
      </c>
      <c r="FD94" s="9">
        <v>7671.35</v>
      </c>
      <c r="FE94" s="9">
        <v>36.630000000000003</v>
      </c>
      <c r="FF94" s="9">
        <v>712.65250000000003</v>
      </c>
      <c r="FG94">
        <v>1913884.04</v>
      </c>
      <c r="FH94">
        <v>1859120.88</v>
      </c>
      <c r="FI94">
        <v>54763.16</v>
      </c>
      <c r="FJ94" s="9">
        <v>2068345.26</v>
      </c>
      <c r="FK94">
        <v>1893970.31</v>
      </c>
      <c r="FL94" s="9">
        <v>174374.95</v>
      </c>
      <c r="FM94" s="9">
        <v>3009814.98</v>
      </c>
      <c r="FN94" s="9">
        <v>345391.24</v>
      </c>
      <c r="FO94">
        <v>1184.26</v>
      </c>
      <c r="FP94">
        <v>426.14</v>
      </c>
      <c r="FQ94">
        <v>52.33</v>
      </c>
      <c r="FR94">
        <v>12.51</v>
      </c>
      <c r="FS94">
        <v>8.48</v>
      </c>
      <c r="FT94">
        <v>314.73</v>
      </c>
      <c r="FU94">
        <v>81.48</v>
      </c>
      <c r="FV94">
        <v>659.47</v>
      </c>
      <c r="FW94">
        <v>17999.22</v>
      </c>
      <c r="FX94">
        <v>186.13</v>
      </c>
      <c r="HB94" s="6"/>
      <c r="HC94" s="6"/>
      <c r="HD94" s="6"/>
    </row>
    <row r="95" spans="1:212" x14ac:dyDescent="0.2">
      <c r="A95" s="8" t="s">
        <v>850</v>
      </c>
      <c r="B95" s="8" t="s">
        <v>295</v>
      </c>
      <c r="C95" s="8" t="s">
        <v>296</v>
      </c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>
        <v>176375</v>
      </c>
      <c r="BO95" s="9">
        <v>136477</v>
      </c>
      <c r="BP95" s="9">
        <v>65426.1</v>
      </c>
      <c r="BQ95" s="9">
        <v>21796.6</v>
      </c>
      <c r="BR95" s="9">
        <v>6108.4</v>
      </c>
      <c r="BS95" s="9">
        <v>13648.9</v>
      </c>
      <c r="BT95" s="9">
        <v>15374.3</v>
      </c>
      <c r="BU95" s="9">
        <v>15069.2</v>
      </c>
      <c r="BV95" s="9">
        <v>39726.400000000001</v>
      </c>
      <c r="BW95" s="9">
        <v>101375.4</v>
      </c>
      <c r="BX95" s="9">
        <v>-1075.9000000000001</v>
      </c>
      <c r="BY95" s="9">
        <v>26898.7</v>
      </c>
      <c r="BZ95" s="9">
        <v>30992.1</v>
      </c>
      <c r="CA95" s="9">
        <v>1714.2</v>
      </c>
      <c r="CB95" s="9">
        <v>0</v>
      </c>
      <c r="CC95" s="9">
        <v>0</v>
      </c>
      <c r="CD95" s="9">
        <v>0</v>
      </c>
      <c r="CE95" s="9">
        <v>30681.7</v>
      </c>
      <c r="CF95" s="9">
        <v>523434.33820275002</v>
      </c>
      <c r="CG95" s="9">
        <v>2264356.737762684</v>
      </c>
      <c r="CH95" s="9"/>
      <c r="CI95" s="9"/>
      <c r="CJ95" s="9">
        <v>21.3</v>
      </c>
      <c r="CK95" s="9">
        <v>13.8</v>
      </c>
      <c r="CL95" s="9">
        <v>7.4</v>
      </c>
      <c r="CM95" s="9">
        <v>45.977176859799997</v>
      </c>
      <c r="CN95" s="9">
        <v>17.487467337999998</v>
      </c>
      <c r="CO95" s="9">
        <v>1.1564273939</v>
      </c>
      <c r="CP95" s="9">
        <v>5.8891004207000002</v>
      </c>
      <c r="CQ95" s="9">
        <v>4.7321700398999997</v>
      </c>
      <c r="CR95" s="9">
        <v>2.3430061775</v>
      </c>
      <c r="CS95" s="9">
        <v>0.79536585959999995</v>
      </c>
      <c r="CT95" s="9">
        <v>4.0984878862</v>
      </c>
      <c r="CU95" s="9">
        <v>0.82242659139999996</v>
      </c>
      <c r="CV95" s="9">
        <v>1.1487618226</v>
      </c>
      <c r="CW95" s="9">
        <v>2.4623625322999998</v>
      </c>
      <c r="CX95" s="9">
        <v>0.42352783150000001</v>
      </c>
      <c r="CY95" s="9">
        <v>1.0944950028</v>
      </c>
      <c r="CZ95" s="9">
        <v>181</v>
      </c>
      <c r="DA95" s="9">
        <v>147</v>
      </c>
      <c r="DB95" s="9">
        <v>13</v>
      </c>
      <c r="DC95" s="9">
        <v>86</v>
      </c>
      <c r="DD95" s="9">
        <v>1</v>
      </c>
      <c r="DE95" s="9">
        <v>12</v>
      </c>
      <c r="DF95" s="9">
        <v>14</v>
      </c>
      <c r="DG95" s="9">
        <v>8</v>
      </c>
      <c r="DH95" s="9">
        <v>22</v>
      </c>
      <c r="DI95" s="9">
        <v>5</v>
      </c>
      <c r="DJ95" s="9">
        <v>4</v>
      </c>
      <c r="DK95" s="9">
        <v>12</v>
      </c>
      <c r="DL95" s="9">
        <v>0</v>
      </c>
      <c r="DM95" s="9">
        <v>11</v>
      </c>
      <c r="DN95" s="9">
        <v>0</v>
      </c>
      <c r="DO95" s="9">
        <v>206.9</v>
      </c>
      <c r="DP95" s="9">
        <v>55.29</v>
      </c>
      <c r="DQ95" s="9">
        <v>35.58</v>
      </c>
      <c r="DR95" s="9">
        <v>19.71</v>
      </c>
      <c r="DS95" s="9">
        <v>18.54</v>
      </c>
      <c r="DT95" s="9">
        <v>0.62</v>
      </c>
      <c r="DU95" s="9">
        <v>70.55</v>
      </c>
      <c r="DV95" s="9">
        <v>36.21</v>
      </c>
      <c r="DW95" s="9">
        <v>25.66</v>
      </c>
      <c r="DX95" s="9">
        <v>62.43</v>
      </c>
      <c r="DY95" s="9">
        <v>30.19</v>
      </c>
      <c r="DZ95" s="9">
        <v>12.19</v>
      </c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>
        <v>1074.5</v>
      </c>
      <c r="EO95" s="9"/>
      <c r="EP95" s="9"/>
      <c r="EQ95" s="9"/>
      <c r="ER95" s="9"/>
      <c r="ES95" s="9"/>
      <c r="ET95" s="9"/>
      <c r="EU95">
        <v>1179.71</v>
      </c>
      <c r="EV95" s="9"/>
      <c r="EW95" s="9"/>
      <c r="EX95" s="9"/>
      <c r="EY95" s="9"/>
      <c r="EZ95" s="9"/>
      <c r="FA95" s="9"/>
      <c r="FB95" s="9">
        <v>79.509316770200002</v>
      </c>
      <c r="FC95" s="9">
        <v>82.831739130399995</v>
      </c>
      <c r="FD95" s="9">
        <v>8020.5869565216999</v>
      </c>
      <c r="FE95" s="9">
        <v>36.630000000000003</v>
      </c>
      <c r="FF95" s="9">
        <v>754.60434782610002</v>
      </c>
      <c r="FG95">
        <v>1978846.21</v>
      </c>
      <c r="FH95">
        <v>1929678.83</v>
      </c>
      <c r="FI95">
        <v>49167.38</v>
      </c>
      <c r="FJ95" s="9">
        <v>2150639.88</v>
      </c>
      <c r="FK95">
        <v>1970179.69</v>
      </c>
      <c r="FL95" s="9">
        <v>180460.19</v>
      </c>
      <c r="FM95" s="9">
        <v>3134817.2</v>
      </c>
      <c r="FN95" s="9">
        <v>354670.27</v>
      </c>
      <c r="FO95">
        <v>1177.51</v>
      </c>
      <c r="FP95">
        <v>523.78</v>
      </c>
      <c r="FQ95">
        <v>58.68</v>
      </c>
      <c r="FR95">
        <v>8.09</v>
      </c>
      <c r="FS95">
        <v>7.17</v>
      </c>
      <c r="FT95">
        <v>345.34</v>
      </c>
      <c r="FU95">
        <v>109.58</v>
      </c>
      <c r="FV95">
        <v>3054.81</v>
      </c>
      <c r="FW95">
        <v>26837.18</v>
      </c>
      <c r="FX95">
        <v>176.15</v>
      </c>
      <c r="HB95" s="6"/>
      <c r="HC95" s="6"/>
      <c r="HD95" s="6"/>
    </row>
    <row r="96" spans="1:212" x14ac:dyDescent="0.2">
      <c r="A96" s="8" t="s">
        <v>850</v>
      </c>
      <c r="B96" s="8" t="s">
        <v>295</v>
      </c>
      <c r="C96" s="8" t="s">
        <v>297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>
        <v>188955</v>
      </c>
      <c r="BO96" s="9">
        <v>146909.4</v>
      </c>
      <c r="BP96" s="9">
        <v>58278.8</v>
      </c>
      <c r="BQ96" s="9">
        <v>12655.6</v>
      </c>
      <c r="BR96" s="9">
        <v>9493.7000000000007</v>
      </c>
      <c r="BS96" s="9">
        <v>15422.4</v>
      </c>
      <c r="BT96" s="9">
        <v>29292.3</v>
      </c>
      <c r="BU96" s="9">
        <v>13476.3</v>
      </c>
      <c r="BV96" s="9">
        <v>41374.300000000003</v>
      </c>
      <c r="BW96" s="9">
        <v>157775.20000000001</v>
      </c>
      <c r="BX96" s="9">
        <v>5226.5</v>
      </c>
      <c r="BY96" s="9">
        <v>46775.8</v>
      </c>
      <c r="BZ96" s="9">
        <v>37396.699999999997</v>
      </c>
      <c r="CA96" s="9">
        <v>2335.8000000000002</v>
      </c>
      <c r="CB96" s="9">
        <v>0</v>
      </c>
      <c r="CC96" s="9">
        <v>0</v>
      </c>
      <c r="CD96" s="9">
        <v>0</v>
      </c>
      <c r="CE96" s="9">
        <v>27689</v>
      </c>
      <c r="CF96" s="9">
        <v>519931.97437014122</v>
      </c>
      <c r="CG96" s="9">
        <v>2235080.6326978812</v>
      </c>
      <c r="CH96" s="9"/>
      <c r="CI96" s="9"/>
      <c r="CJ96" s="9">
        <v>22.3</v>
      </c>
      <c r="CK96" s="9">
        <v>13.4</v>
      </c>
      <c r="CL96" s="9">
        <v>8.4</v>
      </c>
      <c r="CM96" s="9">
        <v>47.150015004099998</v>
      </c>
      <c r="CN96" s="9">
        <v>17.883444283999999</v>
      </c>
      <c r="CO96" s="9">
        <v>1.1539968672000001</v>
      </c>
      <c r="CP96" s="9">
        <v>6.0279871993</v>
      </c>
      <c r="CQ96" s="9">
        <v>4.7612878502999996</v>
      </c>
      <c r="CR96" s="9">
        <v>2.3854512701999999</v>
      </c>
      <c r="CS96" s="9">
        <v>0.80395456040000002</v>
      </c>
      <c r="CT96" s="9">
        <v>4.2699515224000004</v>
      </c>
      <c r="CU96" s="9">
        <v>0.8231969603</v>
      </c>
      <c r="CV96" s="9">
        <v>1.1701410430000001</v>
      </c>
      <c r="CW96" s="9">
        <v>2.4623625322999998</v>
      </c>
      <c r="CX96" s="9">
        <v>0.4279269134</v>
      </c>
      <c r="CY96" s="9">
        <v>1.1043782414000001</v>
      </c>
      <c r="CZ96" s="9">
        <v>200</v>
      </c>
      <c r="DA96" s="9">
        <v>152</v>
      </c>
      <c r="DB96" s="9">
        <v>13</v>
      </c>
      <c r="DC96" s="9">
        <v>74</v>
      </c>
      <c r="DD96" s="9">
        <v>4</v>
      </c>
      <c r="DE96" s="9">
        <v>17</v>
      </c>
      <c r="DF96" s="9">
        <v>19</v>
      </c>
      <c r="DG96" s="9">
        <v>7</v>
      </c>
      <c r="DH96" s="9">
        <v>25</v>
      </c>
      <c r="DI96" s="9">
        <v>4</v>
      </c>
      <c r="DJ96" s="9">
        <v>4</v>
      </c>
      <c r="DK96" s="9">
        <v>14</v>
      </c>
      <c r="DL96" s="9">
        <v>1</v>
      </c>
      <c r="DM96" s="9">
        <v>22</v>
      </c>
      <c r="DN96" s="9">
        <v>0</v>
      </c>
      <c r="DO96" s="9">
        <v>193.26</v>
      </c>
      <c r="DP96" s="9">
        <v>54.14</v>
      </c>
      <c r="DQ96" s="9">
        <v>36</v>
      </c>
      <c r="DR96" s="9">
        <v>18.14</v>
      </c>
      <c r="DS96" s="9">
        <v>15.42</v>
      </c>
      <c r="DT96" s="9">
        <v>0.53</v>
      </c>
      <c r="DU96" s="9">
        <v>69.680000000000007</v>
      </c>
      <c r="DV96" s="9">
        <v>42.56</v>
      </c>
      <c r="DW96" s="9">
        <v>14.54</v>
      </c>
      <c r="DX96" s="9">
        <v>53.84</v>
      </c>
      <c r="DY96" s="9">
        <v>27.28</v>
      </c>
      <c r="DZ96" s="9">
        <v>9.15</v>
      </c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>
        <v>1036.9000000000001</v>
      </c>
      <c r="EO96" s="9"/>
      <c r="EP96" s="9"/>
      <c r="EQ96" s="9"/>
      <c r="ER96" s="9"/>
      <c r="ES96" s="9"/>
      <c r="ET96" s="9"/>
      <c r="EU96">
        <v>1173.93</v>
      </c>
      <c r="EV96" s="9"/>
      <c r="EW96" s="9"/>
      <c r="EX96" s="9"/>
      <c r="EY96" s="9"/>
      <c r="EZ96" s="9"/>
      <c r="FA96" s="9"/>
      <c r="FB96" s="9">
        <v>93.116883116899999</v>
      </c>
      <c r="FC96" s="9">
        <v>92.528181818199997</v>
      </c>
      <c r="FD96" s="9">
        <v>6957.4318181817998</v>
      </c>
      <c r="FE96" s="9">
        <v>36.630000000000003</v>
      </c>
      <c r="FF96" s="9">
        <v>806.24772727269999</v>
      </c>
      <c r="FG96">
        <v>2005282.19</v>
      </c>
      <c r="FH96">
        <v>1961078.67</v>
      </c>
      <c r="FI96">
        <v>44203.519999999997</v>
      </c>
      <c r="FJ96" s="9">
        <v>2215639.3199999998</v>
      </c>
      <c r="FK96">
        <v>1943696.67</v>
      </c>
      <c r="FL96" s="9">
        <v>271942.65000000002</v>
      </c>
      <c r="FM96" s="9">
        <v>3139876.44</v>
      </c>
      <c r="FN96" s="9">
        <v>365735.09</v>
      </c>
      <c r="FO96">
        <v>1171.82</v>
      </c>
      <c r="FP96">
        <v>538.92999999999995</v>
      </c>
      <c r="FQ96">
        <v>49</v>
      </c>
      <c r="FR96">
        <v>54.94</v>
      </c>
      <c r="FS96">
        <v>12.08</v>
      </c>
      <c r="FT96">
        <v>451.3</v>
      </c>
      <c r="FU96">
        <v>99.46</v>
      </c>
      <c r="FV96">
        <v>3164.9</v>
      </c>
      <c r="FW96">
        <v>24176.76</v>
      </c>
      <c r="FX96">
        <v>220.61</v>
      </c>
      <c r="HB96" s="6"/>
      <c r="HC96" s="6"/>
      <c r="HD96" s="6"/>
    </row>
    <row r="97" spans="1:212" x14ac:dyDescent="0.2">
      <c r="A97" s="8" t="s">
        <v>850</v>
      </c>
      <c r="B97" s="8" t="s">
        <v>295</v>
      </c>
      <c r="C97" s="8" t="s">
        <v>298</v>
      </c>
      <c r="D97" s="9">
        <v>1523898.6</v>
      </c>
      <c r="E97" s="9">
        <v>250201.7</v>
      </c>
      <c r="F97" s="9">
        <v>371169.3</v>
      </c>
      <c r="G97" s="9">
        <v>98462</v>
      </c>
      <c r="H97" s="9">
        <v>34189.199999999997</v>
      </c>
      <c r="I97" s="9">
        <v>57828.9</v>
      </c>
      <c r="J97" s="9">
        <v>137689.60000000001</v>
      </c>
      <c r="K97" s="9">
        <v>79183.600000000006</v>
      </c>
      <c r="L97" s="9">
        <v>50353.8</v>
      </c>
      <c r="M97" s="9">
        <v>278955.5</v>
      </c>
      <c r="N97" s="9">
        <v>165865</v>
      </c>
      <c r="O97" s="9">
        <v>3788517.6714489446</v>
      </c>
      <c r="P97" s="9">
        <v>496356.22003040009</v>
      </c>
      <c r="Q97" s="9">
        <v>521302.54684751952</v>
      </c>
      <c r="R97" s="9">
        <v>343201.38903050142</v>
      </c>
      <c r="S97" s="9">
        <v>103652.3004136035</v>
      </c>
      <c r="T97" s="9">
        <v>295580.36204544641</v>
      </c>
      <c r="U97" s="9">
        <v>454324.64880358742</v>
      </c>
      <c r="V97" s="9">
        <v>133507.76604055139</v>
      </c>
      <c r="W97" s="9">
        <v>67748.697436968199</v>
      </c>
      <c r="X97" s="9">
        <v>1070294.4311513747</v>
      </c>
      <c r="Y97" s="9">
        <v>302549.30964899098</v>
      </c>
      <c r="Z97" s="9">
        <v>1564175.7</v>
      </c>
      <c r="AA97" s="9">
        <v>751931.5</v>
      </c>
      <c r="AB97" s="9">
        <v>233420.3</v>
      </c>
      <c r="AC97" s="9">
        <v>479659.4</v>
      </c>
      <c r="AD97" s="9">
        <v>49543.8</v>
      </c>
      <c r="AE97" s="9">
        <v>963477.2</v>
      </c>
      <c r="AF97" s="9">
        <v>913856.5</v>
      </c>
      <c r="AG97" s="9">
        <v>3804360.0950887706</v>
      </c>
      <c r="AH97" s="9">
        <v>1950824.643566383</v>
      </c>
      <c r="AI97" s="9">
        <v>703668.60237346776</v>
      </c>
      <c r="AJ97" s="9">
        <v>1193408.972789299</v>
      </c>
      <c r="AK97" s="9">
        <v>165440.3668669106</v>
      </c>
      <c r="AL97" s="9">
        <v>1109097.8242318211</v>
      </c>
      <c r="AM97" s="9">
        <v>1318080.314739113</v>
      </c>
      <c r="AN97" s="9">
        <v>852805</v>
      </c>
      <c r="AO97" s="9">
        <v>452442</v>
      </c>
      <c r="AP97" s="9">
        <v>400363</v>
      </c>
      <c r="AQ97" s="9">
        <v>88838</v>
      </c>
      <c r="AR97" s="9">
        <v>47274</v>
      </c>
      <c r="AS97" s="9">
        <v>41564</v>
      </c>
      <c r="AT97" s="9">
        <v>636501</v>
      </c>
      <c r="AU97" s="9">
        <v>275456</v>
      </c>
      <c r="AV97" s="9">
        <v>361045</v>
      </c>
      <c r="AW97" s="9">
        <v>205.9</v>
      </c>
      <c r="AX97" s="9">
        <v>120.6</v>
      </c>
      <c r="AY97" s="9">
        <v>238.7</v>
      </c>
      <c r="AZ97" s="9">
        <v>178.9</v>
      </c>
      <c r="BA97" s="9">
        <v>182.1</v>
      </c>
      <c r="BB97" s="9"/>
      <c r="BC97" s="9">
        <v>196.2</v>
      </c>
      <c r="BD97" s="9">
        <v>140.19999999999999</v>
      </c>
      <c r="BE97" s="9">
        <v>205.4</v>
      </c>
      <c r="BF97" s="9">
        <v>178.9</v>
      </c>
      <c r="BG97" s="9"/>
      <c r="BH97" s="9">
        <v>412.2</v>
      </c>
      <c r="BI97" s="9">
        <v>173.5</v>
      </c>
      <c r="BJ97" s="9">
        <v>219.6</v>
      </c>
      <c r="BK97" s="9">
        <v>206.7</v>
      </c>
      <c r="BL97" s="9"/>
      <c r="BM97" s="9">
        <v>182.1</v>
      </c>
      <c r="BN97" s="9">
        <v>284030.8</v>
      </c>
      <c r="BO97" s="9">
        <v>224654</v>
      </c>
      <c r="BP97" s="9">
        <v>101097.60000000001</v>
      </c>
      <c r="BQ97" s="9">
        <v>26516.3</v>
      </c>
      <c r="BR97" s="9">
        <v>12435.4</v>
      </c>
      <c r="BS97" s="9">
        <v>24492.6</v>
      </c>
      <c r="BT97" s="9">
        <v>42798.7</v>
      </c>
      <c r="BU97" s="9">
        <v>16858.8</v>
      </c>
      <c r="BV97" s="9">
        <v>39868.6</v>
      </c>
      <c r="BW97" s="9">
        <v>185366.1</v>
      </c>
      <c r="BX97" s="9">
        <v>26016.5</v>
      </c>
      <c r="BY97" s="9">
        <v>71713.600000000006</v>
      </c>
      <c r="BZ97" s="9">
        <v>47716.3</v>
      </c>
      <c r="CA97" s="9">
        <v>2508.6</v>
      </c>
      <c r="CB97" s="9">
        <v>0</v>
      </c>
      <c r="CC97" s="9">
        <v>0</v>
      </c>
      <c r="CD97" s="9">
        <v>0</v>
      </c>
      <c r="CE97" s="9">
        <v>123972.9</v>
      </c>
      <c r="CF97" s="9">
        <v>590471.57277242118</v>
      </c>
      <c r="CG97" s="9">
        <v>2401249.7120808908</v>
      </c>
      <c r="CH97" s="9"/>
      <c r="CI97" s="9"/>
      <c r="CJ97" s="9">
        <v>19.899999999999999</v>
      </c>
      <c r="CK97" s="9">
        <v>14.2</v>
      </c>
      <c r="CL97" s="9">
        <v>8.4</v>
      </c>
      <c r="CM97" s="9">
        <v>48.281227429799998</v>
      </c>
      <c r="CN97" s="9">
        <v>18.768375617899999</v>
      </c>
      <c r="CO97" s="9">
        <v>1.1566613465</v>
      </c>
      <c r="CP97" s="9">
        <v>6.0798852353999999</v>
      </c>
      <c r="CQ97" s="9">
        <v>4.7045691213999996</v>
      </c>
      <c r="CR97" s="9">
        <v>2.3999919220999999</v>
      </c>
      <c r="CS97" s="9">
        <v>0.82612701889999995</v>
      </c>
      <c r="CT97" s="9">
        <v>4.1082782901000003</v>
      </c>
      <c r="CU97" s="9">
        <v>0.82320014559999999</v>
      </c>
      <c r="CV97" s="9">
        <v>1.1822223395</v>
      </c>
      <c r="CW97" s="9">
        <v>2.4623625322999998</v>
      </c>
      <c r="CX97" s="9">
        <v>0.43674402709999999</v>
      </c>
      <c r="CY97" s="9">
        <v>1.1045162768000001</v>
      </c>
      <c r="CZ97" s="9">
        <v>214</v>
      </c>
      <c r="DA97" s="9">
        <v>177</v>
      </c>
      <c r="DB97" s="9">
        <v>21</v>
      </c>
      <c r="DC97" s="9">
        <v>69</v>
      </c>
      <c r="DD97" s="9">
        <v>6</v>
      </c>
      <c r="DE97" s="9">
        <v>40</v>
      </c>
      <c r="DF97" s="9">
        <v>17</v>
      </c>
      <c r="DG97" s="9">
        <v>6</v>
      </c>
      <c r="DH97" s="9">
        <v>25</v>
      </c>
      <c r="DI97" s="9">
        <v>3</v>
      </c>
      <c r="DJ97" s="9">
        <v>8</v>
      </c>
      <c r="DK97" s="9">
        <v>13</v>
      </c>
      <c r="DL97" s="9">
        <v>2</v>
      </c>
      <c r="DM97" s="9">
        <v>11</v>
      </c>
      <c r="DN97" s="9">
        <v>0</v>
      </c>
      <c r="DO97" s="9">
        <v>220.97</v>
      </c>
      <c r="DP97" s="9">
        <v>67.13</v>
      </c>
      <c r="DQ97" s="9">
        <v>39.99</v>
      </c>
      <c r="DR97" s="9">
        <v>27.15</v>
      </c>
      <c r="DS97" s="9">
        <v>18.12</v>
      </c>
      <c r="DT97" s="9">
        <v>0.54</v>
      </c>
      <c r="DU97" s="9">
        <v>75.59</v>
      </c>
      <c r="DV97" s="9">
        <v>51.27</v>
      </c>
      <c r="DW97" s="9">
        <v>13.86</v>
      </c>
      <c r="DX97" s="9">
        <v>60.1</v>
      </c>
      <c r="DY97" s="9">
        <v>30.5</v>
      </c>
      <c r="DZ97" s="9">
        <v>10.23</v>
      </c>
      <c r="EA97" s="9">
        <v>32.782670000000003</v>
      </c>
      <c r="EB97" s="9">
        <v>3.6048819999999999</v>
      </c>
      <c r="EC97" s="9">
        <v>38.522509999999997</v>
      </c>
      <c r="ED97" s="9">
        <v>-65.393799999999999</v>
      </c>
      <c r="EE97" s="9">
        <v>56.049100000000003</v>
      </c>
      <c r="EF97" s="9">
        <v>0</v>
      </c>
      <c r="EG97" s="9">
        <v>-193.83099999999999</v>
      </c>
      <c r="EH97" s="9">
        <v>-182.17400000000001</v>
      </c>
      <c r="EI97" s="9">
        <v>1.2068000000000001</v>
      </c>
      <c r="EJ97" s="9">
        <v>0</v>
      </c>
      <c r="EK97" s="9">
        <v>-12.8637</v>
      </c>
      <c r="EL97" s="9">
        <v>-299.21699999999998</v>
      </c>
      <c r="EM97" s="9">
        <v>-72.6036</v>
      </c>
      <c r="EN97" s="9">
        <v>1000.6</v>
      </c>
      <c r="EO97" s="9"/>
      <c r="EP97" s="9"/>
      <c r="EQ97" s="9"/>
      <c r="ER97" s="9"/>
      <c r="ES97" s="9"/>
      <c r="ET97" s="9"/>
      <c r="EU97">
        <v>1170.22</v>
      </c>
      <c r="EV97" s="9">
        <v>4995.63</v>
      </c>
      <c r="EW97" s="9">
        <v>1528.75</v>
      </c>
      <c r="EX97" s="9">
        <v>10.83</v>
      </c>
      <c r="EY97" s="9">
        <v>190.72</v>
      </c>
      <c r="EZ97" s="9">
        <v>791.84</v>
      </c>
      <c r="FA97" s="9">
        <v>2473.4899999999998</v>
      </c>
      <c r="FB97" s="9">
        <v>98.909774436099994</v>
      </c>
      <c r="FC97" s="9">
        <v>91.529047618999996</v>
      </c>
      <c r="FD97" s="9">
        <v>6630.7361111111004</v>
      </c>
      <c r="FE97" s="9">
        <v>36.630000000000003</v>
      </c>
      <c r="FF97" s="9">
        <v>803.20294117649996</v>
      </c>
      <c r="FG97">
        <v>2103048.5500000003</v>
      </c>
      <c r="FH97">
        <v>2056060.84</v>
      </c>
      <c r="FI97">
        <v>46987.71</v>
      </c>
      <c r="FJ97" s="9">
        <v>2374141.1500000004</v>
      </c>
      <c r="FK97">
        <v>2082582.51</v>
      </c>
      <c r="FL97" s="9">
        <v>291558.64</v>
      </c>
      <c r="FM97" s="9">
        <v>3383951.7</v>
      </c>
      <c r="FN97" s="9">
        <v>376385.61</v>
      </c>
      <c r="FO97">
        <v>1169.97</v>
      </c>
      <c r="FP97">
        <v>842.65</v>
      </c>
      <c r="FQ97">
        <v>49.81</v>
      </c>
      <c r="FR97">
        <v>81.91</v>
      </c>
      <c r="FS97">
        <v>27.59</v>
      </c>
      <c r="FT97">
        <v>401.11</v>
      </c>
      <c r="FU97">
        <v>72.900000000000006</v>
      </c>
      <c r="FV97">
        <v>1833.38</v>
      </c>
      <c r="FW97">
        <v>42585.120000000003</v>
      </c>
      <c r="FX97">
        <v>205.34</v>
      </c>
      <c r="HB97" s="6"/>
      <c r="HC97" s="6"/>
      <c r="HD97" s="6"/>
    </row>
    <row r="98" spans="1:212" x14ac:dyDescent="0.2">
      <c r="A98" s="8" t="s">
        <v>851</v>
      </c>
      <c r="B98" s="8" t="s">
        <v>299</v>
      </c>
      <c r="C98" s="8" t="s">
        <v>300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>
        <v>175421.4</v>
      </c>
      <c r="BO98" s="9">
        <v>137039</v>
      </c>
      <c r="BP98" s="9">
        <v>62566.2</v>
      </c>
      <c r="BQ98" s="9">
        <v>39921</v>
      </c>
      <c r="BR98" s="9">
        <v>4438.8999999999996</v>
      </c>
      <c r="BS98" s="9">
        <v>12824.1</v>
      </c>
      <c r="BT98" s="9">
        <v>24732.799999999999</v>
      </c>
      <c r="BU98" s="9">
        <v>7965.1</v>
      </c>
      <c r="BV98" s="9">
        <v>36699</v>
      </c>
      <c r="BW98" s="9">
        <v>134592.4</v>
      </c>
      <c r="BX98" s="9">
        <v>368.6</v>
      </c>
      <c r="BY98" s="9">
        <v>25208.799999999999</v>
      </c>
      <c r="BZ98" s="9">
        <v>39667.800000000003</v>
      </c>
      <c r="CA98" s="9">
        <v>527.1</v>
      </c>
      <c r="CB98" s="9">
        <v>0</v>
      </c>
      <c r="CC98" s="9">
        <v>0</v>
      </c>
      <c r="CD98" s="9">
        <v>0</v>
      </c>
      <c r="CE98" s="9">
        <v>2031</v>
      </c>
      <c r="CF98" s="9">
        <v>551883.42316647118</v>
      </c>
      <c r="CG98" s="9">
        <v>2306953.1238021711</v>
      </c>
      <c r="CH98" s="9"/>
      <c r="CI98" s="9"/>
      <c r="CJ98" s="9">
        <v>17.3</v>
      </c>
      <c r="CK98" s="9">
        <v>13.9</v>
      </c>
      <c r="CL98" s="9">
        <v>8.4</v>
      </c>
      <c r="CM98" s="9">
        <v>44.9383283234</v>
      </c>
      <c r="CN98" s="9">
        <v>19.5337648631</v>
      </c>
      <c r="CO98" s="9">
        <v>1.1726017685000001</v>
      </c>
      <c r="CP98" s="9">
        <v>6.1252703077000001</v>
      </c>
      <c r="CQ98" s="9">
        <v>4.7179661850999999</v>
      </c>
      <c r="CR98" s="9">
        <v>2.4198871725000002</v>
      </c>
      <c r="CS98" s="9">
        <v>0.83090566369999996</v>
      </c>
      <c r="CT98" s="9">
        <v>4.1093173364000002</v>
      </c>
      <c r="CU98" s="9">
        <v>0.82412607429999996</v>
      </c>
      <c r="CV98" s="9">
        <v>1.1919394181</v>
      </c>
      <c r="CW98" s="9">
        <v>2.4630626821999999</v>
      </c>
      <c r="CX98" s="9">
        <v>0.44051558219999998</v>
      </c>
      <c r="CY98" s="9">
        <v>1.1089712698</v>
      </c>
      <c r="CZ98" s="9">
        <v>238</v>
      </c>
      <c r="DA98" s="9">
        <v>213</v>
      </c>
      <c r="DB98" s="9">
        <v>103</v>
      </c>
      <c r="DC98" s="9">
        <v>63</v>
      </c>
      <c r="DD98" s="9">
        <v>5</v>
      </c>
      <c r="DE98" s="9">
        <v>22</v>
      </c>
      <c r="DF98" s="9">
        <v>0</v>
      </c>
      <c r="DG98" s="9">
        <v>6</v>
      </c>
      <c r="DH98" s="9">
        <v>16</v>
      </c>
      <c r="DI98" s="9">
        <v>0</v>
      </c>
      <c r="DJ98" s="9">
        <v>6</v>
      </c>
      <c r="DK98" s="9">
        <v>9</v>
      </c>
      <c r="DL98" s="9">
        <v>0</v>
      </c>
      <c r="DM98" s="9">
        <v>9</v>
      </c>
      <c r="DN98" s="9">
        <v>0</v>
      </c>
      <c r="DO98" s="9">
        <v>218.78</v>
      </c>
      <c r="DP98" s="9">
        <v>66.55</v>
      </c>
      <c r="DQ98" s="9">
        <v>43.03</v>
      </c>
      <c r="DR98" s="9">
        <v>23.53</v>
      </c>
      <c r="DS98" s="9">
        <v>20.5</v>
      </c>
      <c r="DT98" s="9">
        <v>0.53</v>
      </c>
      <c r="DU98" s="9">
        <v>75.03</v>
      </c>
      <c r="DV98" s="9">
        <v>54.74</v>
      </c>
      <c r="DW98" s="9">
        <v>15.14</v>
      </c>
      <c r="DX98" s="9">
        <v>56.68</v>
      </c>
      <c r="DY98" s="9">
        <v>29.43</v>
      </c>
      <c r="DZ98" s="9">
        <v>11.7</v>
      </c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>
        <v>1050.9000000000001</v>
      </c>
      <c r="EO98" s="9"/>
      <c r="EP98" s="9"/>
      <c r="EQ98" s="9"/>
      <c r="ER98" s="9"/>
      <c r="ES98" s="9"/>
      <c r="ET98" s="9"/>
      <c r="EU98">
        <v>1170.67</v>
      </c>
      <c r="EV98" s="9"/>
      <c r="EW98" s="9"/>
      <c r="EX98" s="9"/>
      <c r="EY98" s="9"/>
      <c r="EZ98" s="9"/>
      <c r="FA98" s="9"/>
      <c r="FB98" s="9">
        <v>98.486201298699996</v>
      </c>
      <c r="FC98" s="9">
        <v>92.006521739099995</v>
      </c>
      <c r="FD98" s="9">
        <v>7078.9090909091001</v>
      </c>
      <c r="FE98" s="9">
        <v>60.8</v>
      </c>
      <c r="FF98" s="9">
        <v>889.59545454550005</v>
      </c>
      <c r="FG98">
        <v>2181310.9499999997</v>
      </c>
      <c r="FH98">
        <v>2133446.67</v>
      </c>
      <c r="FI98">
        <v>47864.28</v>
      </c>
      <c r="FJ98" s="9">
        <v>2235813.69</v>
      </c>
      <c r="FK98">
        <v>2004567.69</v>
      </c>
      <c r="FL98" s="9">
        <v>231246</v>
      </c>
      <c r="FM98" s="9">
        <v>3295107.85</v>
      </c>
      <c r="FN98" s="9">
        <v>383490.95</v>
      </c>
      <c r="FO98">
        <v>1171.77</v>
      </c>
      <c r="FP98">
        <v>3838.46</v>
      </c>
      <c r="FQ98">
        <v>49.08</v>
      </c>
      <c r="FR98">
        <v>67.42</v>
      </c>
      <c r="FS98">
        <v>17.23</v>
      </c>
      <c r="FT98">
        <v>3.14</v>
      </c>
      <c r="FU98">
        <v>67.650000000000006</v>
      </c>
      <c r="FV98">
        <v>314.08</v>
      </c>
      <c r="FW98">
        <v>31853.63</v>
      </c>
      <c r="FX98">
        <v>537.16</v>
      </c>
      <c r="HB98" s="6"/>
      <c r="HC98" s="6"/>
      <c r="HD98" s="6"/>
    </row>
    <row r="99" spans="1:212" x14ac:dyDescent="0.2">
      <c r="A99" s="8" t="s">
        <v>851</v>
      </c>
      <c r="B99" s="8" t="s">
        <v>299</v>
      </c>
      <c r="C99" s="8" t="s">
        <v>301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>
        <v>147996.6</v>
      </c>
      <c r="BO99" s="9">
        <v>129491.7</v>
      </c>
      <c r="BP99" s="9">
        <v>67480.7</v>
      </c>
      <c r="BQ99" s="9">
        <v>22091</v>
      </c>
      <c r="BR99" s="9">
        <v>8019.6</v>
      </c>
      <c r="BS99" s="9">
        <v>14274.1</v>
      </c>
      <c r="BT99" s="9">
        <v>19789.900000000001</v>
      </c>
      <c r="BU99" s="9">
        <v>11431.2</v>
      </c>
      <c r="BV99" s="9">
        <v>18179.599999999999</v>
      </c>
      <c r="BW99" s="9">
        <v>119913.4</v>
      </c>
      <c r="BX99" s="9">
        <v>734.6</v>
      </c>
      <c r="BY99" s="9">
        <v>23345.7</v>
      </c>
      <c r="BZ99" s="9">
        <v>41685.300000000003</v>
      </c>
      <c r="CA99" s="9">
        <v>2195.6</v>
      </c>
      <c r="CB99" s="9">
        <v>0</v>
      </c>
      <c r="CC99" s="9">
        <v>0</v>
      </c>
      <c r="CD99" s="9">
        <v>0</v>
      </c>
      <c r="CE99" s="9">
        <v>10504.6</v>
      </c>
      <c r="CF99" s="9">
        <v>549183.52896863082</v>
      </c>
      <c r="CG99" s="9">
        <v>2417222.7364449012</v>
      </c>
      <c r="CH99" s="9"/>
      <c r="CI99" s="9"/>
      <c r="CJ99" s="9">
        <v>22.1</v>
      </c>
      <c r="CK99" s="9">
        <v>16.3</v>
      </c>
      <c r="CL99" s="9">
        <v>8.4</v>
      </c>
      <c r="CM99" s="9">
        <v>46.132389208799999</v>
      </c>
      <c r="CN99" s="9">
        <v>20.540485172099999</v>
      </c>
      <c r="CO99" s="9">
        <v>1.2212121632999999</v>
      </c>
      <c r="CP99" s="9">
        <v>6.1360258306000004</v>
      </c>
      <c r="CQ99" s="9">
        <v>4.8054768481999997</v>
      </c>
      <c r="CR99" s="9">
        <v>2.4337945699999999</v>
      </c>
      <c r="CS99" s="9">
        <v>0.83966521130000005</v>
      </c>
      <c r="CT99" s="9">
        <v>4.1187930873000003</v>
      </c>
      <c r="CU99" s="9">
        <v>0.82310988919999994</v>
      </c>
      <c r="CV99" s="9">
        <v>1.1984646338</v>
      </c>
      <c r="CW99" s="9">
        <v>2.4630626821999999</v>
      </c>
      <c r="CX99" s="9">
        <v>0.44051558219999998</v>
      </c>
      <c r="CY99" s="9">
        <v>1.1117835384000001</v>
      </c>
      <c r="CZ99" s="9">
        <v>216</v>
      </c>
      <c r="DA99" s="9">
        <v>199</v>
      </c>
      <c r="DB99" s="9">
        <v>100</v>
      </c>
      <c r="DC99" s="9">
        <v>63</v>
      </c>
      <c r="DD99" s="9">
        <v>1</v>
      </c>
      <c r="DE99" s="9">
        <v>19</v>
      </c>
      <c r="DF99" s="9">
        <v>0</v>
      </c>
      <c r="DG99" s="9">
        <v>6</v>
      </c>
      <c r="DH99" s="9">
        <v>10</v>
      </c>
      <c r="DI99" s="9">
        <v>0</v>
      </c>
      <c r="DJ99" s="9">
        <v>4</v>
      </c>
      <c r="DK99" s="9">
        <v>4</v>
      </c>
      <c r="DL99" s="9">
        <v>0</v>
      </c>
      <c r="DM99" s="9">
        <v>7</v>
      </c>
      <c r="DN99" s="9">
        <v>0</v>
      </c>
      <c r="DO99" s="9">
        <v>186.02</v>
      </c>
      <c r="DP99" s="9">
        <v>46.92</v>
      </c>
      <c r="DQ99" s="9">
        <v>26.92</v>
      </c>
      <c r="DR99" s="9">
        <v>20</v>
      </c>
      <c r="DS99" s="9">
        <v>14.67</v>
      </c>
      <c r="DT99" s="9">
        <v>0.68</v>
      </c>
      <c r="DU99" s="9">
        <v>61.73</v>
      </c>
      <c r="DV99" s="9">
        <v>40.5</v>
      </c>
      <c r="DW99" s="9">
        <v>15.53</v>
      </c>
      <c r="DX99" s="9">
        <v>62.63</v>
      </c>
      <c r="DY99" s="9">
        <v>29.87</v>
      </c>
      <c r="DZ99" s="9">
        <v>12.63</v>
      </c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>
        <v>1041.9000000000001</v>
      </c>
      <c r="EO99" s="9"/>
      <c r="EP99" s="9"/>
      <c r="EQ99" s="9"/>
      <c r="ER99" s="9"/>
      <c r="ES99" s="9"/>
      <c r="ET99" s="9"/>
      <c r="EU99">
        <v>1171.67</v>
      </c>
      <c r="EV99" s="9"/>
      <c r="EW99" s="9"/>
      <c r="EX99" s="9"/>
      <c r="EY99" s="9"/>
      <c r="EZ99" s="9"/>
      <c r="FA99" s="9"/>
      <c r="FB99" s="9">
        <v>141.887755102</v>
      </c>
      <c r="FC99" s="9">
        <v>94.818571428599995</v>
      </c>
      <c r="FD99" s="9">
        <v>7941.1428571428996</v>
      </c>
      <c r="FE99" s="9">
        <v>60.8</v>
      </c>
      <c r="FF99" s="9">
        <v>922.29761904760005</v>
      </c>
      <c r="FG99">
        <v>2275922.5799999996</v>
      </c>
      <c r="FH99">
        <v>2230514.0099999998</v>
      </c>
      <c r="FI99">
        <v>45408.57</v>
      </c>
      <c r="FJ99" s="9">
        <v>2358616.92</v>
      </c>
      <c r="FK99">
        <v>2129004.96</v>
      </c>
      <c r="FL99" s="9">
        <v>229611.96</v>
      </c>
      <c r="FM99" s="9">
        <v>3445095.94</v>
      </c>
      <c r="FN99" s="9">
        <v>391567.62</v>
      </c>
      <c r="FO99">
        <v>1171.82</v>
      </c>
      <c r="FP99">
        <v>3381.15</v>
      </c>
      <c r="FQ99">
        <v>46.73</v>
      </c>
      <c r="FR99">
        <v>10.99</v>
      </c>
      <c r="FS99">
        <v>14.59</v>
      </c>
      <c r="FT99">
        <v>10.83</v>
      </c>
      <c r="FU99">
        <v>73.14</v>
      </c>
      <c r="FV99">
        <v>330.89</v>
      </c>
      <c r="FW99">
        <v>25657.53</v>
      </c>
      <c r="FX99">
        <v>219.84</v>
      </c>
      <c r="HB99" s="6"/>
      <c r="HC99" s="6"/>
      <c r="HD99" s="6"/>
    </row>
    <row r="100" spans="1:212" x14ac:dyDescent="0.2">
      <c r="A100" s="8" t="s">
        <v>851</v>
      </c>
      <c r="B100" s="8" t="s">
        <v>299</v>
      </c>
      <c r="C100" s="8" t="s">
        <v>302</v>
      </c>
      <c r="D100" s="9">
        <v>1173886.3</v>
      </c>
      <c r="E100" s="9">
        <v>60348.5</v>
      </c>
      <c r="F100" s="9">
        <v>303906.7</v>
      </c>
      <c r="G100" s="9">
        <v>72764.100000000006</v>
      </c>
      <c r="H100" s="9">
        <v>38409</v>
      </c>
      <c r="I100" s="9">
        <v>5759.4</v>
      </c>
      <c r="J100" s="9">
        <v>80812.5</v>
      </c>
      <c r="K100" s="9">
        <v>77231.3</v>
      </c>
      <c r="L100" s="9">
        <v>49664.4</v>
      </c>
      <c r="M100" s="9">
        <v>350704.4</v>
      </c>
      <c r="N100" s="9">
        <v>134286</v>
      </c>
      <c r="O100" s="9">
        <v>2402958.2247058889</v>
      </c>
      <c r="P100" s="9">
        <v>93576.088293289897</v>
      </c>
      <c r="Q100" s="9">
        <v>437773.55839742499</v>
      </c>
      <c r="R100" s="9">
        <v>192956.8320266894</v>
      </c>
      <c r="S100" s="9">
        <v>100964.5663503156</v>
      </c>
      <c r="T100" s="9">
        <v>22798.316248616498</v>
      </c>
      <c r="U100" s="9">
        <v>209510.39997058079</v>
      </c>
      <c r="V100" s="9">
        <v>122117.9797607387</v>
      </c>
      <c r="W100" s="9">
        <v>61497.452916022303</v>
      </c>
      <c r="X100" s="9">
        <v>945556.79904035595</v>
      </c>
      <c r="Y100" s="9">
        <v>216206.23170185459</v>
      </c>
      <c r="Z100" s="9">
        <v>1170417.2</v>
      </c>
      <c r="AA100" s="9">
        <v>807326.5</v>
      </c>
      <c r="AB100" s="9">
        <v>201030.6</v>
      </c>
      <c r="AC100" s="9">
        <v>169630.9</v>
      </c>
      <c r="AD100" s="9">
        <v>34433.4</v>
      </c>
      <c r="AE100" s="9">
        <v>798625.8</v>
      </c>
      <c r="AF100" s="9">
        <v>840629.9</v>
      </c>
      <c r="AG100" s="9">
        <v>2348722.4908519229</v>
      </c>
      <c r="AH100" s="9">
        <v>1683855.993574331</v>
      </c>
      <c r="AI100" s="9">
        <v>396400.53761316068</v>
      </c>
      <c r="AJ100" s="9">
        <v>339222.30627064162</v>
      </c>
      <c r="AK100" s="9">
        <v>83736.640824190705</v>
      </c>
      <c r="AL100" s="9">
        <v>821339.25055144238</v>
      </c>
      <c r="AM100" s="9">
        <v>975832.23798184341</v>
      </c>
      <c r="AN100" s="9">
        <v>872801</v>
      </c>
      <c r="AO100" s="9">
        <v>450620</v>
      </c>
      <c r="AP100" s="9">
        <v>422181</v>
      </c>
      <c r="AQ100" s="9">
        <v>103708</v>
      </c>
      <c r="AR100" s="9">
        <v>54833</v>
      </c>
      <c r="AS100" s="9">
        <v>48875</v>
      </c>
      <c r="AT100" s="9">
        <v>647054</v>
      </c>
      <c r="AU100" s="9">
        <v>274667</v>
      </c>
      <c r="AV100" s="9">
        <v>372387</v>
      </c>
      <c r="AW100" s="9">
        <v>250</v>
      </c>
      <c r="AX100" s="9">
        <v>129.19999999999999</v>
      </c>
      <c r="AY100" s="9">
        <v>297.5</v>
      </c>
      <c r="AZ100" s="9">
        <v>228.7</v>
      </c>
      <c r="BA100" s="9">
        <v>238</v>
      </c>
      <c r="BB100" s="9"/>
      <c r="BC100" s="9">
        <v>183.6</v>
      </c>
      <c r="BD100" s="9">
        <v>173</v>
      </c>
      <c r="BE100" s="9">
        <v>232.7</v>
      </c>
      <c r="BF100" s="9">
        <v>168.5</v>
      </c>
      <c r="BG100" s="9"/>
      <c r="BH100" s="9">
        <v>427.4</v>
      </c>
      <c r="BI100" s="9">
        <v>244</v>
      </c>
      <c r="BJ100" s="9">
        <v>273.60000000000002</v>
      </c>
      <c r="BK100" s="9">
        <v>275.60000000000002</v>
      </c>
      <c r="BL100" s="9"/>
      <c r="BM100" s="9">
        <v>188.7</v>
      </c>
      <c r="BN100" s="9">
        <v>173616.6</v>
      </c>
      <c r="BO100" s="9">
        <v>148758.70000000001</v>
      </c>
      <c r="BP100" s="9">
        <v>51098.1</v>
      </c>
      <c r="BQ100" s="9">
        <v>13366.4</v>
      </c>
      <c r="BR100" s="9">
        <v>9324.7999999999993</v>
      </c>
      <c r="BS100" s="9">
        <v>26902.9</v>
      </c>
      <c r="BT100" s="9">
        <v>31823.599999999999</v>
      </c>
      <c r="BU100" s="9">
        <v>16068.1</v>
      </c>
      <c r="BV100" s="9">
        <v>24254.5</v>
      </c>
      <c r="BW100" s="9">
        <v>150820.70000000001</v>
      </c>
      <c r="BX100" s="9">
        <v>4106.6000000000004</v>
      </c>
      <c r="BY100" s="9">
        <v>33804.6</v>
      </c>
      <c r="BZ100" s="9">
        <v>43719</v>
      </c>
      <c r="CA100" s="9">
        <v>1183.0999999999999</v>
      </c>
      <c r="CB100" s="9">
        <v>0</v>
      </c>
      <c r="CC100" s="9">
        <v>0</v>
      </c>
      <c r="CD100" s="9">
        <v>0</v>
      </c>
      <c r="CE100" s="9">
        <v>16614.400000000001</v>
      </c>
      <c r="CF100" s="9">
        <v>577707.48354327958</v>
      </c>
      <c r="CG100" s="9">
        <v>2454756.0865677432</v>
      </c>
      <c r="CH100" s="9"/>
      <c r="CI100" s="9"/>
      <c r="CJ100" s="9">
        <v>20.8</v>
      </c>
      <c r="CK100" s="9">
        <v>13.8</v>
      </c>
      <c r="CL100" s="9">
        <v>9.75</v>
      </c>
      <c r="CM100" s="9">
        <v>47.734256842500002</v>
      </c>
      <c r="CN100" s="9">
        <v>21.842642718800001</v>
      </c>
      <c r="CO100" s="9">
        <v>1.2331167498</v>
      </c>
      <c r="CP100" s="9">
        <v>6.1844256837999998</v>
      </c>
      <c r="CQ100" s="9">
        <v>4.7560142995000003</v>
      </c>
      <c r="CR100" s="9">
        <v>2.4854506179999998</v>
      </c>
      <c r="CS100" s="9">
        <v>0.8615640805</v>
      </c>
      <c r="CT100" s="9">
        <v>4.2830394374000003</v>
      </c>
      <c r="CU100" s="9">
        <v>0.82209370420000005</v>
      </c>
      <c r="CV100" s="9">
        <v>1.2191278172</v>
      </c>
      <c r="CW100" s="9">
        <v>2.4630626821999999</v>
      </c>
      <c r="CX100" s="9">
        <v>0.45693674649999999</v>
      </c>
      <c r="CY100" s="9">
        <v>1.1267823046000001</v>
      </c>
      <c r="CZ100" s="9">
        <v>144</v>
      </c>
      <c r="DA100" s="9">
        <v>133</v>
      </c>
      <c r="DB100" s="9">
        <v>10</v>
      </c>
      <c r="DC100" s="9">
        <v>70</v>
      </c>
      <c r="DD100" s="9">
        <v>5</v>
      </c>
      <c r="DE100" s="9">
        <v>17</v>
      </c>
      <c r="DF100" s="9">
        <v>7</v>
      </c>
      <c r="DG100" s="9">
        <v>8</v>
      </c>
      <c r="DH100" s="9">
        <v>4</v>
      </c>
      <c r="DI100" s="9">
        <v>0</v>
      </c>
      <c r="DJ100" s="9">
        <v>1</v>
      </c>
      <c r="DK100" s="9">
        <v>1</v>
      </c>
      <c r="DL100" s="9">
        <v>0</v>
      </c>
      <c r="DM100" s="9">
        <v>7</v>
      </c>
      <c r="DN100" s="9">
        <v>0</v>
      </c>
      <c r="DO100" s="9">
        <v>218.29</v>
      </c>
      <c r="DP100" s="9">
        <v>57.66</v>
      </c>
      <c r="DQ100" s="9">
        <v>29.69</v>
      </c>
      <c r="DR100" s="9">
        <v>27.97</v>
      </c>
      <c r="DS100" s="9">
        <v>16.329999999999998</v>
      </c>
      <c r="DT100" s="9">
        <v>0.64</v>
      </c>
      <c r="DU100" s="9">
        <v>86.55</v>
      </c>
      <c r="DV100" s="9">
        <v>52.14</v>
      </c>
      <c r="DW100" s="9">
        <v>25.92</v>
      </c>
      <c r="DX100" s="9">
        <v>57.58</v>
      </c>
      <c r="DY100" s="9">
        <v>27.13</v>
      </c>
      <c r="DZ100" s="9">
        <v>13.15</v>
      </c>
      <c r="EA100" s="9">
        <v>-63.265500000000003</v>
      </c>
      <c r="EB100" s="9">
        <v>-0.25125999999999998</v>
      </c>
      <c r="EC100" s="9">
        <v>-35.598199999999999</v>
      </c>
      <c r="ED100" s="9">
        <v>-66.433300000000003</v>
      </c>
      <c r="EE100" s="9">
        <v>39.017229999999998</v>
      </c>
      <c r="EF100" s="9">
        <v>18.63278</v>
      </c>
      <c r="EG100" s="9">
        <v>-242.66399999999999</v>
      </c>
      <c r="EH100" s="9">
        <v>-187.048</v>
      </c>
      <c r="EI100" s="9">
        <v>23.313459999999999</v>
      </c>
      <c r="EJ100" s="9">
        <v>0</v>
      </c>
      <c r="EK100" s="9">
        <v>-78.930199999999999</v>
      </c>
      <c r="EL100" s="9">
        <v>-147.364</v>
      </c>
      <c r="EM100" s="9">
        <v>50.66724</v>
      </c>
      <c r="EN100" s="9">
        <v>1006.6</v>
      </c>
      <c r="EO100" s="9"/>
      <c r="EP100" s="9"/>
      <c r="EQ100" s="9"/>
      <c r="ER100" s="9"/>
      <c r="ES100" s="9"/>
      <c r="ET100" s="9"/>
      <c r="EU100">
        <v>1170.8399999999999</v>
      </c>
      <c r="EV100" s="9">
        <v>5102.09</v>
      </c>
      <c r="EW100" s="9">
        <v>1587.12</v>
      </c>
      <c r="EX100" s="9">
        <v>9.89</v>
      </c>
      <c r="EY100" s="9">
        <v>241.75</v>
      </c>
      <c r="EZ100" s="9">
        <v>791.84</v>
      </c>
      <c r="FA100" s="9">
        <v>2471.4899999999998</v>
      </c>
      <c r="FB100" s="9">
        <v>137.76315789469999</v>
      </c>
      <c r="FC100" s="9">
        <v>103.1228571429</v>
      </c>
      <c r="FD100" s="9">
        <v>8434.3157894736996</v>
      </c>
      <c r="FE100" s="9">
        <v>60.8</v>
      </c>
      <c r="FF100" s="9">
        <v>968.43421052630003</v>
      </c>
      <c r="FG100">
        <v>2379157.649999999</v>
      </c>
      <c r="FH100">
        <v>2335928.8699999996</v>
      </c>
      <c r="FI100">
        <v>43228.78</v>
      </c>
      <c r="FJ100" s="9">
        <v>2398805.7599999998</v>
      </c>
      <c r="FK100">
        <v>2152511.36</v>
      </c>
      <c r="FL100" s="9">
        <v>246294.39999999999</v>
      </c>
      <c r="FM100" s="9">
        <v>3573295.74</v>
      </c>
      <c r="FN100" s="9">
        <v>404061.08</v>
      </c>
      <c r="FO100">
        <v>1168.17</v>
      </c>
      <c r="FP100">
        <v>334.89</v>
      </c>
      <c r="FQ100">
        <v>46.58</v>
      </c>
      <c r="FR100">
        <v>80.56</v>
      </c>
      <c r="FS100">
        <v>14.23</v>
      </c>
      <c r="FT100">
        <v>243.53</v>
      </c>
      <c r="FU100">
        <v>91.48</v>
      </c>
      <c r="FV100">
        <v>429.94</v>
      </c>
      <c r="FW100">
        <v>737.35</v>
      </c>
      <c r="FX100">
        <v>118.3</v>
      </c>
      <c r="HB100" s="6"/>
      <c r="HC100" s="6"/>
      <c r="HD100" s="6"/>
    </row>
    <row r="101" spans="1:212" x14ac:dyDescent="0.2">
      <c r="A101" s="8" t="s">
        <v>851</v>
      </c>
      <c r="B101" s="8" t="s">
        <v>303</v>
      </c>
      <c r="C101" s="8" t="s">
        <v>304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>
        <v>187523.6</v>
      </c>
      <c r="BO101" s="9">
        <v>178004.4</v>
      </c>
      <c r="BP101" s="9">
        <v>70277.399999999994</v>
      </c>
      <c r="BQ101" s="9">
        <v>26283</v>
      </c>
      <c r="BR101" s="9">
        <v>8765.2000000000007</v>
      </c>
      <c r="BS101" s="9">
        <v>19562.5</v>
      </c>
      <c r="BT101" s="9">
        <v>26063.7</v>
      </c>
      <c r="BU101" s="9">
        <v>14582.6</v>
      </c>
      <c r="BV101" s="9">
        <v>8027.8</v>
      </c>
      <c r="BW101" s="9">
        <v>136272.70000000001</v>
      </c>
      <c r="BX101" s="9">
        <v>31901.7</v>
      </c>
      <c r="BY101" s="9">
        <v>36653.199999999997</v>
      </c>
      <c r="BZ101" s="9">
        <v>42086.3</v>
      </c>
      <c r="CA101" s="9">
        <v>2383.4</v>
      </c>
      <c r="CB101" s="9">
        <v>0</v>
      </c>
      <c r="CC101" s="9">
        <v>0</v>
      </c>
      <c r="CD101" s="9">
        <v>0</v>
      </c>
      <c r="CE101" s="9">
        <v>27950.7</v>
      </c>
      <c r="CF101" s="9">
        <v>583650.21803760994</v>
      </c>
      <c r="CG101" s="9">
        <v>2466295.7621168182</v>
      </c>
      <c r="CH101" s="9"/>
      <c r="CI101" s="9"/>
      <c r="CJ101" s="9">
        <v>21.7</v>
      </c>
      <c r="CK101" s="9">
        <v>13.9</v>
      </c>
      <c r="CL101" s="9">
        <v>9.75</v>
      </c>
      <c r="CM101" s="9">
        <v>50.459915712399997</v>
      </c>
      <c r="CN101" s="9">
        <v>24.264935789500001</v>
      </c>
      <c r="CO101" s="9">
        <v>1.2430372384999999</v>
      </c>
      <c r="CP101" s="9">
        <v>6.2812253901000004</v>
      </c>
      <c r="CQ101" s="9">
        <v>4.7902576023999996</v>
      </c>
      <c r="CR101" s="9">
        <v>2.5390934371</v>
      </c>
      <c r="CS101" s="9">
        <v>0.90849022869999996</v>
      </c>
      <c r="CT101" s="9">
        <v>4.3019909394000004</v>
      </c>
      <c r="CU101" s="9">
        <v>0.81701277900000002</v>
      </c>
      <c r="CV101" s="9">
        <v>1.2267405688999999</v>
      </c>
      <c r="CW101" s="9">
        <v>2.4630626821999999</v>
      </c>
      <c r="CX101" s="9">
        <v>0.46728921969999998</v>
      </c>
      <c r="CY101" s="9">
        <v>1.1567798368</v>
      </c>
      <c r="CZ101" s="9">
        <v>188</v>
      </c>
      <c r="DA101" s="9">
        <v>153</v>
      </c>
      <c r="DB101" s="9">
        <v>15</v>
      </c>
      <c r="DC101" s="9">
        <v>85</v>
      </c>
      <c r="DD101" s="9">
        <v>4</v>
      </c>
      <c r="DE101" s="9">
        <v>15</v>
      </c>
      <c r="DF101" s="9">
        <v>13</v>
      </c>
      <c r="DG101" s="9">
        <v>9</v>
      </c>
      <c r="DH101" s="9">
        <v>24</v>
      </c>
      <c r="DI101" s="9">
        <v>0</v>
      </c>
      <c r="DJ101" s="9">
        <v>5</v>
      </c>
      <c r="DK101" s="9">
        <v>16</v>
      </c>
      <c r="DL101" s="9">
        <v>0</v>
      </c>
      <c r="DM101" s="9">
        <v>11</v>
      </c>
      <c r="DN101" s="9">
        <v>0</v>
      </c>
      <c r="DO101" s="9">
        <v>261.91000000000003</v>
      </c>
      <c r="DP101" s="9">
        <v>71.17</v>
      </c>
      <c r="DQ101" s="9">
        <v>42.33</v>
      </c>
      <c r="DR101" s="9">
        <v>28.84</v>
      </c>
      <c r="DS101" s="9">
        <v>23.22</v>
      </c>
      <c r="DT101" s="9">
        <v>0.25</v>
      </c>
      <c r="DU101" s="9">
        <v>108.99</v>
      </c>
      <c r="DV101" s="9">
        <v>61.12</v>
      </c>
      <c r="DW101" s="9">
        <v>36.35</v>
      </c>
      <c r="DX101" s="9">
        <v>58.43</v>
      </c>
      <c r="DY101" s="9">
        <v>28.62</v>
      </c>
      <c r="DZ101" s="9">
        <v>11.02</v>
      </c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>
        <v>1019.4</v>
      </c>
      <c r="EO101" s="9"/>
      <c r="EP101" s="9"/>
      <c r="EQ101" s="9"/>
      <c r="ER101" s="9"/>
      <c r="ES101" s="9"/>
      <c r="ET101" s="9"/>
      <c r="EU101">
        <v>1166.67</v>
      </c>
      <c r="EV101" s="9"/>
      <c r="EW101" s="9"/>
      <c r="EX101" s="9"/>
      <c r="EY101" s="9"/>
      <c r="EZ101" s="9"/>
      <c r="FA101" s="9"/>
      <c r="FB101" s="9">
        <v>131.73701298700001</v>
      </c>
      <c r="FC101" s="9">
        <v>110.1886363636</v>
      </c>
      <c r="FD101" s="9">
        <v>8714.1818181817998</v>
      </c>
      <c r="FE101" s="9">
        <v>60.8</v>
      </c>
      <c r="FF101" s="9">
        <v>909.70454545450002</v>
      </c>
      <c r="FG101">
        <v>2483116.17</v>
      </c>
      <c r="FH101">
        <v>2436530.46</v>
      </c>
      <c r="FI101">
        <v>46585.71</v>
      </c>
      <c r="FJ101" s="9">
        <v>2450144.0900000003</v>
      </c>
      <c r="FK101">
        <v>2144623.58</v>
      </c>
      <c r="FL101" s="9">
        <v>305520.51</v>
      </c>
      <c r="FM101" s="9">
        <v>3683613.34</v>
      </c>
      <c r="FN101" s="9">
        <v>412169.33</v>
      </c>
      <c r="FO101">
        <v>1164.94</v>
      </c>
      <c r="FP101">
        <v>512.03</v>
      </c>
      <c r="FQ101">
        <v>50.96</v>
      </c>
      <c r="FR101">
        <v>63.18</v>
      </c>
      <c r="FS101">
        <v>11.73</v>
      </c>
      <c r="FT101">
        <v>328.71</v>
      </c>
      <c r="FU101">
        <v>97.36</v>
      </c>
      <c r="FV101">
        <v>174.27</v>
      </c>
      <c r="FW101">
        <v>27300.52</v>
      </c>
      <c r="FX101">
        <v>449.35</v>
      </c>
      <c r="HB101" s="6"/>
      <c r="HC101" s="6"/>
      <c r="HD101" s="6"/>
    </row>
    <row r="102" spans="1:212" x14ac:dyDescent="0.2">
      <c r="A102" s="8" t="s">
        <v>851</v>
      </c>
      <c r="B102" s="8" t="s">
        <v>303</v>
      </c>
      <c r="C102" s="8" t="s">
        <v>305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>
        <v>136001.60000000001</v>
      </c>
      <c r="BO102" s="9">
        <v>119646.2</v>
      </c>
      <c r="BP102" s="9">
        <v>51963.8</v>
      </c>
      <c r="BQ102" s="9">
        <v>18373.3</v>
      </c>
      <c r="BR102" s="9">
        <v>9791.7999999999993</v>
      </c>
      <c r="BS102" s="9">
        <v>3229.9</v>
      </c>
      <c r="BT102" s="9">
        <v>19290.599999999999</v>
      </c>
      <c r="BU102" s="9">
        <v>15899.9</v>
      </c>
      <c r="BV102" s="9">
        <v>16681.3</v>
      </c>
      <c r="BW102" s="9">
        <v>142005.79999999999</v>
      </c>
      <c r="BX102" s="9">
        <v>10373</v>
      </c>
      <c r="BY102" s="9">
        <v>41252.400000000001</v>
      </c>
      <c r="BZ102" s="9">
        <v>46115.6</v>
      </c>
      <c r="CA102" s="9">
        <v>2428.9</v>
      </c>
      <c r="CB102" s="9">
        <v>0</v>
      </c>
      <c r="CC102" s="9">
        <v>0</v>
      </c>
      <c r="CD102" s="9">
        <v>0</v>
      </c>
      <c r="CE102" s="9">
        <v>24766.5</v>
      </c>
      <c r="CF102" s="9">
        <v>620609.77043580171</v>
      </c>
      <c r="CG102" s="9">
        <v>2516226.1468342398</v>
      </c>
      <c r="CH102" s="9"/>
      <c r="CI102" s="9"/>
      <c r="CJ102" s="9">
        <v>18.399999999999999</v>
      </c>
      <c r="CK102" s="9">
        <v>17.100000000000001</v>
      </c>
      <c r="CL102" s="9">
        <v>9.75</v>
      </c>
      <c r="CM102" s="9">
        <v>52.630150693300003</v>
      </c>
      <c r="CN102" s="9">
        <v>26.071154322000002</v>
      </c>
      <c r="CO102" s="9">
        <v>1.2499815806000001</v>
      </c>
      <c r="CP102" s="9">
        <v>6.3834028579000002</v>
      </c>
      <c r="CQ102" s="9">
        <v>4.8130864711000001</v>
      </c>
      <c r="CR102" s="9">
        <v>2.5669082321999999</v>
      </c>
      <c r="CS102" s="9">
        <v>0.99233161339999998</v>
      </c>
      <c r="CT102" s="9">
        <v>4.3398939431999999</v>
      </c>
      <c r="CU102" s="9">
        <v>0.8139642238</v>
      </c>
      <c r="CV102" s="9">
        <v>1.2354408566999999</v>
      </c>
      <c r="CW102" s="9">
        <v>2.4630626821999999</v>
      </c>
      <c r="CX102" s="9">
        <v>0.50477231219999996</v>
      </c>
      <c r="CY102" s="9">
        <v>1.1961515978999999</v>
      </c>
      <c r="CZ102" s="9">
        <v>220</v>
      </c>
      <c r="DA102" s="9">
        <v>159</v>
      </c>
      <c r="DB102" s="9">
        <v>13</v>
      </c>
      <c r="DC102" s="9">
        <v>84</v>
      </c>
      <c r="DD102" s="9">
        <v>7</v>
      </c>
      <c r="DE102" s="9">
        <v>11</v>
      </c>
      <c r="DF102" s="9">
        <v>24</v>
      </c>
      <c r="DG102" s="9">
        <v>8</v>
      </c>
      <c r="DH102" s="9">
        <v>42</v>
      </c>
      <c r="DI102" s="9">
        <v>1</v>
      </c>
      <c r="DJ102" s="9">
        <v>4</v>
      </c>
      <c r="DK102" s="9">
        <v>36</v>
      </c>
      <c r="DL102" s="9">
        <v>0</v>
      </c>
      <c r="DM102" s="9">
        <v>19</v>
      </c>
      <c r="DN102" s="9">
        <v>0</v>
      </c>
      <c r="DO102" s="9">
        <v>283.13</v>
      </c>
      <c r="DP102" s="9">
        <v>77.930000000000007</v>
      </c>
      <c r="DQ102" s="9">
        <v>48.46</v>
      </c>
      <c r="DR102" s="9">
        <v>29.48</v>
      </c>
      <c r="DS102" s="9">
        <v>24.58</v>
      </c>
      <c r="DT102" s="9">
        <v>0.52</v>
      </c>
      <c r="DU102" s="9">
        <v>125.38</v>
      </c>
      <c r="DV102" s="9">
        <v>71.989999999999995</v>
      </c>
      <c r="DW102" s="9">
        <v>39.090000000000003</v>
      </c>
      <c r="DX102" s="9">
        <v>55.1</v>
      </c>
      <c r="DY102" s="9">
        <v>25.27</v>
      </c>
      <c r="DZ102" s="9">
        <v>10.98</v>
      </c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>
        <v>977.3</v>
      </c>
      <c r="EO102" s="9"/>
      <c r="EP102" s="9"/>
      <c r="EQ102" s="9"/>
      <c r="ER102" s="9"/>
      <c r="ES102" s="9"/>
      <c r="ET102" s="9"/>
      <c r="EU102">
        <v>1163.26</v>
      </c>
      <c r="EV102" s="9"/>
      <c r="EW102" s="9"/>
      <c r="EX102" s="9"/>
      <c r="EY102" s="9"/>
      <c r="EZ102" s="9"/>
      <c r="FA102" s="9"/>
      <c r="FB102" s="9">
        <v>143.0758928571</v>
      </c>
      <c r="FC102" s="9">
        <v>123.4945454545</v>
      </c>
      <c r="FD102" s="9">
        <v>8356.125</v>
      </c>
      <c r="FE102" s="9">
        <v>60.8</v>
      </c>
      <c r="FF102" s="9">
        <v>888.66250000000002</v>
      </c>
      <c r="FG102">
        <v>2531699.06</v>
      </c>
      <c r="FH102">
        <v>2487594.79</v>
      </c>
      <c r="FI102">
        <v>44104.27</v>
      </c>
      <c r="FJ102" s="9">
        <v>2512804.1800000002</v>
      </c>
      <c r="FK102">
        <v>2156377.2000000002</v>
      </c>
      <c r="FL102" s="9">
        <v>356426.98</v>
      </c>
      <c r="FM102" s="9">
        <v>3774841.4</v>
      </c>
      <c r="FN102" s="9">
        <v>419970.06</v>
      </c>
      <c r="FO102">
        <v>1161.3699999999999</v>
      </c>
      <c r="FP102">
        <v>467.29</v>
      </c>
      <c r="FQ102">
        <v>49.68</v>
      </c>
      <c r="FR102">
        <v>105.89</v>
      </c>
      <c r="FS102">
        <v>9.2100000000000009</v>
      </c>
      <c r="FT102">
        <v>453.5</v>
      </c>
      <c r="FU102">
        <v>75.52</v>
      </c>
      <c r="FV102">
        <v>511.28</v>
      </c>
      <c r="FW102">
        <v>22772.83</v>
      </c>
      <c r="FX102">
        <v>880.01</v>
      </c>
      <c r="HB102" s="6"/>
      <c r="HC102" s="6"/>
      <c r="HD102" s="6"/>
    </row>
    <row r="103" spans="1:212" x14ac:dyDescent="0.2">
      <c r="A103" s="8" t="s">
        <v>851</v>
      </c>
      <c r="B103" s="8" t="s">
        <v>303</v>
      </c>
      <c r="C103" s="8" t="s">
        <v>306</v>
      </c>
      <c r="D103" s="9">
        <v>1763565.7</v>
      </c>
      <c r="E103" s="9">
        <v>424677.1</v>
      </c>
      <c r="F103" s="9">
        <v>383823.8</v>
      </c>
      <c r="G103" s="9">
        <v>116654.39999999999</v>
      </c>
      <c r="H103" s="9">
        <v>30282.3</v>
      </c>
      <c r="I103" s="9">
        <v>23313.8</v>
      </c>
      <c r="J103" s="9">
        <v>74743.899999999994</v>
      </c>
      <c r="K103" s="9">
        <v>97885.6</v>
      </c>
      <c r="L103" s="9">
        <v>57268.6</v>
      </c>
      <c r="M103" s="9">
        <v>383820.6</v>
      </c>
      <c r="N103" s="9">
        <v>171095.5</v>
      </c>
      <c r="O103" s="9">
        <v>3610038.4710377809</v>
      </c>
      <c r="P103" s="9">
        <v>694603.29280534491</v>
      </c>
      <c r="Q103" s="9">
        <v>583204.33115058008</v>
      </c>
      <c r="R103" s="9">
        <v>326304.98639526393</v>
      </c>
      <c r="S103" s="9">
        <v>83966.186581506598</v>
      </c>
      <c r="T103" s="9">
        <v>97346.016882867203</v>
      </c>
      <c r="U103" s="9">
        <v>204400.70364329719</v>
      </c>
      <c r="V103" s="9">
        <v>163261.83031304061</v>
      </c>
      <c r="W103" s="9">
        <v>74801.118161736493</v>
      </c>
      <c r="X103" s="9">
        <v>1091576.7456218661</v>
      </c>
      <c r="Y103" s="9">
        <v>290573.25948227808</v>
      </c>
      <c r="Z103" s="9">
        <v>1828528.5</v>
      </c>
      <c r="AA103" s="9">
        <v>912982.9</v>
      </c>
      <c r="AB103" s="9">
        <v>246058.5</v>
      </c>
      <c r="AC103" s="9">
        <v>720510.5</v>
      </c>
      <c r="AD103" s="9">
        <v>146252.1</v>
      </c>
      <c r="AE103" s="9">
        <v>958962.9</v>
      </c>
      <c r="AF103" s="9">
        <v>1156238.3</v>
      </c>
      <c r="AG103" s="9">
        <v>3669380.4680192079</v>
      </c>
      <c r="AH103" s="9">
        <v>1824384.521111323</v>
      </c>
      <c r="AI103" s="9">
        <v>464845.28979888599</v>
      </c>
      <c r="AJ103" s="9">
        <v>1380440.6733841987</v>
      </c>
      <c r="AK103" s="9">
        <v>340749.89792461909</v>
      </c>
      <c r="AL103" s="9">
        <v>944885.19362532755</v>
      </c>
      <c r="AM103" s="9">
        <v>1285925.1078251461</v>
      </c>
      <c r="AN103" s="9">
        <v>905022</v>
      </c>
      <c r="AO103" s="9">
        <v>467683</v>
      </c>
      <c r="AP103" s="9">
        <v>437339</v>
      </c>
      <c r="AQ103" s="9">
        <v>81694</v>
      </c>
      <c r="AR103" s="9">
        <v>43435</v>
      </c>
      <c r="AS103" s="9">
        <v>38259</v>
      </c>
      <c r="AT103" s="9">
        <v>681086</v>
      </c>
      <c r="AU103" s="9">
        <v>285998</v>
      </c>
      <c r="AV103" s="9">
        <v>395088</v>
      </c>
      <c r="AW103" s="9">
        <v>281.8</v>
      </c>
      <c r="AX103" s="9">
        <v>156.19999999999999</v>
      </c>
      <c r="AY103" s="9">
        <v>320.3</v>
      </c>
      <c r="AZ103" s="9">
        <v>282.2</v>
      </c>
      <c r="BA103" s="9">
        <v>240.6</v>
      </c>
      <c r="BB103" s="9"/>
      <c r="BC103" s="9">
        <v>235</v>
      </c>
      <c r="BD103" s="9">
        <v>196.8</v>
      </c>
      <c r="BE103" s="9">
        <v>260.39999999999998</v>
      </c>
      <c r="BF103" s="9">
        <v>201.2</v>
      </c>
      <c r="BG103" s="9"/>
      <c r="BH103" s="9">
        <v>442.5</v>
      </c>
      <c r="BI103" s="9">
        <v>255.3</v>
      </c>
      <c r="BJ103" s="9">
        <v>331.9</v>
      </c>
      <c r="BK103" s="9">
        <v>303.2</v>
      </c>
      <c r="BL103" s="9"/>
      <c r="BM103" s="9">
        <v>228.2</v>
      </c>
      <c r="BN103" s="9">
        <v>212668.5</v>
      </c>
      <c r="BO103" s="9">
        <v>194093.4</v>
      </c>
      <c r="BP103" s="9">
        <v>79055.3</v>
      </c>
      <c r="BQ103" s="9">
        <v>13667.5</v>
      </c>
      <c r="BR103" s="9">
        <v>10466.799999999999</v>
      </c>
      <c r="BS103" s="9">
        <v>21880.1</v>
      </c>
      <c r="BT103" s="9">
        <v>34947.4</v>
      </c>
      <c r="BU103" s="9">
        <v>16486.5</v>
      </c>
      <c r="BV103" s="9">
        <v>18818.7</v>
      </c>
      <c r="BW103" s="9">
        <v>154596.70000000001</v>
      </c>
      <c r="BX103" s="9">
        <v>2185.4</v>
      </c>
      <c r="BY103" s="9">
        <v>45121.1</v>
      </c>
      <c r="BZ103" s="9">
        <v>57463.4</v>
      </c>
      <c r="CA103" s="9">
        <v>1516.7</v>
      </c>
      <c r="CB103" s="9">
        <v>0</v>
      </c>
      <c r="CC103" s="9">
        <v>0</v>
      </c>
      <c r="CD103" s="9">
        <v>0</v>
      </c>
      <c r="CE103" s="9">
        <v>68317.2</v>
      </c>
      <c r="CF103" s="9">
        <v>624894.14178461209</v>
      </c>
      <c r="CG103" s="9">
        <v>2564285.3513220712</v>
      </c>
      <c r="CH103" s="9"/>
      <c r="CI103" s="9"/>
      <c r="CJ103" s="9">
        <v>21.7</v>
      </c>
      <c r="CK103" s="9">
        <v>15</v>
      </c>
      <c r="CL103" s="9">
        <v>9.75</v>
      </c>
      <c r="CM103" s="9">
        <v>52.719125814199998</v>
      </c>
      <c r="CN103" s="9">
        <v>25.9451390756</v>
      </c>
      <c r="CO103" s="9">
        <v>1.2579179716</v>
      </c>
      <c r="CP103" s="9">
        <v>6.4371804725999997</v>
      </c>
      <c r="CQ103" s="9">
        <v>4.8777682656000003</v>
      </c>
      <c r="CR103" s="9">
        <v>2.5828024007999999</v>
      </c>
      <c r="CS103" s="9">
        <v>1.0010911611</v>
      </c>
      <c r="CT103" s="9">
        <v>4.3872726981000003</v>
      </c>
      <c r="CU103" s="9">
        <v>0.82310988919999994</v>
      </c>
      <c r="CV103" s="9">
        <v>1.2300031767999999</v>
      </c>
      <c r="CW103" s="9">
        <v>2.4630626821999999</v>
      </c>
      <c r="CX103" s="9">
        <v>0.51012703969999995</v>
      </c>
      <c r="CY103" s="9">
        <v>1.2036509809</v>
      </c>
      <c r="CZ103" s="9">
        <v>271</v>
      </c>
      <c r="DA103" s="9">
        <v>224</v>
      </c>
      <c r="DB103" s="9">
        <v>79</v>
      </c>
      <c r="DC103" s="9">
        <v>80</v>
      </c>
      <c r="DD103" s="9">
        <v>7</v>
      </c>
      <c r="DE103" s="9">
        <v>17</v>
      </c>
      <c r="DF103" s="9">
        <v>26</v>
      </c>
      <c r="DG103" s="9">
        <v>9</v>
      </c>
      <c r="DH103" s="9">
        <v>28</v>
      </c>
      <c r="DI103" s="9">
        <v>0</v>
      </c>
      <c r="DJ103" s="9">
        <v>1</v>
      </c>
      <c r="DK103" s="9">
        <v>25</v>
      </c>
      <c r="DL103" s="9">
        <v>0</v>
      </c>
      <c r="DM103" s="9">
        <v>19</v>
      </c>
      <c r="DN103" s="9">
        <v>0</v>
      </c>
      <c r="DO103" s="9">
        <v>316.27</v>
      </c>
      <c r="DP103" s="9">
        <v>76.53</v>
      </c>
      <c r="DQ103" s="9">
        <v>44.95</v>
      </c>
      <c r="DR103" s="9">
        <v>31.58</v>
      </c>
      <c r="DS103" s="9">
        <v>24.55</v>
      </c>
      <c r="DT103" s="9">
        <v>0.54</v>
      </c>
      <c r="DU103" s="9">
        <v>115.38</v>
      </c>
      <c r="DV103" s="9">
        <v>65.23</v>
      </c>
      <c r="DW103" s="9">
        <v>32.6</v>
      </c>
      <c r="DX103" s="9">
        <v>99.77</v>
      </c>
      <c r="DY103" s="9">
        <v>56.02</v>
      </c>
      <c r="DZ103" s="9">
        <v>13.42</v>
      </c>
      <c r="EA103" s="9">
        <v>-130.62700000000001</v>
      </c>
      <c r="EB103" s="9">
        <v>-149.31800000000001</v>
      </c>
      <c r="EC103" s="9">
        <v>-20.325399999999998</v>
      </c>
      <c r="ED103" s="9">
        <v>-28.252700000000001</v>
      </c>
      <c r="EE103" s="9">
        <v>67.26849</v>
      </c>
      <c r="EF103" s="9">
        <v>20.12321</v>
      </c>
      <c r="EG103" s="9">
        <v>-282.75200000000001</v>
      </c>
      <c r="EH103" s="9">
        <v>-268.80200000000002</v>
      </c>
      <c r="EI103" s="9">
        <v>-8.8953699999999998</v>
      </c>
      <c r="EJ103" s="9">
        <v>0</v>
      </c>
      <c r="EK103" s="9">
        <v>-5.0548000000000002</v>
      </c>
      <c r="EL103" s="9">
        <v>-161.447</v>
      </c>
      <c r="EM103" s="9">
        <v>10.80092</v>
      </c>
      <c r="EN103" s="9">
        <v>976.6</v>
      </c>
      <c r="EO103" s="9"/>
      <c r="EP103" s="9"/>
      <c r="EQ103" s="9"/>
      <c r="ER103" s="9"/>
      <c r="ES103" s="9"/>
      <c r="ET103" s="9"/>
      <c r="EU103">
        <v>1159.22</v>
      </c>
      <c r="EV103" s="9">
        <v>5174.37</v>
      </c>
      <c r="EW103" s="9">
        <v>1587.12</v>
      </c>
      <c r="EX103" s="9">
        <v>9.11</v>
      </c>
      <c r="EY103" s="9">
        <v>302.36</v>
      </c>
      <c r="EZ103" s="9">
        <v>791.84</v>
      </c>
      <c r="FA103" s="9">
        <v>2483.94</v>
      </c>
      <c r="FB103" s="9">
        <v>166.98979591840001</v>
      </c>
      <c r="FC103" s="9">
        <v>133.04857142860001</v>
      </c>
      <c r="FD103" s="9">
        <v>8292</v>
      </c>
      <c r="FE103" s="9">
        <v>60.8</v>
      </c>
      <c r="FF103" s="9">
        <v>889.48809523809996</v>
      </c>
      <c r="FG103">
        <v>2597514.0800000005</v>
      </c>
      <c r="FH103">
        <v>2559432.9600000004</v>
      </c>
      <c r="FI103">
        <v>38081.120000000003</v>
      </c>
      <c r="FJ103" s="9">
        <v>2601481.4</v>
      </c>
      <c r="FK103">
        <v>2190148.41</v>
      </c>
      <c r="FL103" s="9">
        <v>411332.99</v>
      </c>
      <c r="FM103" s="9">
        <v>3849376.72</v>
      </c>
      <c r="FN103" s="9">
        <v>426620.73</v>
      </c>
      <c r="FO103">
        <v>1158.1199999999999</v>
      </c>
      <c r="FP103">
        <v>2769.57</v>
      </c>
      <c r="FQ103">
        <v>47.45</v>
      </c>
      <c r="FR103">
        <v>76.02</v>
      </c>
      <c r="FS103">
        <v>13.72</v>
      </c>
      <c r="FT103">
        <v>417.96</v>
      </c>
      <c r="FU103">
        <v>68.62</v>
      </c>
      <c r="FV103">
        <v>285.92</v>
      </c>
      <c r="FW103">
        <v>8525.89</v>
      </c>
      <c r="FX103">
        <v>557.75</v>
      </c>
      <c r="HB103" s="6"/>
      <c r="HC103" s="6"/>
      <c r="HD103" s="6"/>
    </row>
    <row r="104" spans="1:212" x14ac:dyDescent="0.2">
      <c r="A104" s="8" t="s">
        <v>851</v>
      </c>
      <c r="B104" s="8" t="s">
        <v>307</v>
      </c>
      <c r="C104" s="8" t="s">
        <v>308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>
        <v>218492.2</v>
      </c>
      <c r="BO104" s="9">
        <v>185381.9</v>
      </c>
      <c r="BP104" s="9">
        <v>88868.4</v>
      </c>
      <c r="BQ104" s="9">
        <v>29652.6</v>
      </c>
      <c r="BR104" s="9">
        <v>8774.1</v>
      </c>
      <c r="BS104" s="9">
        <v>14480.1</v>
      </c>
      <c r="BT104" s="9">
        <v>36411.800000000003</v>
      </c>
      <c r="BU104" s="9">
        <v>11915.2</v>
      </c>
      <c r="BV104" s="9">
        <v>32948.9</v>
      </c>
      <c r="BW104" s="9">
        <v>130459.5</v>
      </c>
      <c r="BX104" s="9">
        <v>11510.9</v>
      </c>
      <c r="BY104" s="9">
        <v>51664.7</v>
      </c>
      <c r="BZ104" s="9">
        <v>35451.1</v>
      </c>
      <c r="CA104" s="9">
        <v>449.3</v>
      </c>
      <c r="CB104" s="9">
        <v>0</v>
      </c>
      <c r="CC104" s="9">
        <v>0</v>
      </c>
      <c r="CD104" s="9">
        <v>0</v>
      </c>
      <c r="CE104" s="9">
        <v>47431.9</v>
      </c>
      <c r="CF104" s="9">
        <v>624047.57165939012</v>
      </c>
      <c r="CG104" s="9">
        <v>2595183.2576660719</v>
      </c>
      <c r="CH104" s="9"/>
      <c r="CI104" s="9"/>
      <c r="CJ104" s="9">
        <v>21.8</v>
      </c>
      <c r="CK104" s="9">
        <v>14.4</v>
      </c>
      <c r="CL104" s="9">
        <v>9.75</v>
      </c>
      <c r="CM104" s="9">
        <v>52.683673340200002</v>
      </c>
      <c r="CN104" s="9">
        <v>25.525088254100002</v>
      </c>
      <c r="CO104" s="9">
        <v>1.2698225581</v>
      </c>
      <c r="CP104" s="9">
        <v>6.5017136102000004</v>
      </c>
      <c r="CQ104" s="9">
        <v>5.1022521405000001</v>
      </c>
      <c r="CR104" s="9">
        <v>2.5947230273000002</v>
      </c>
      <c r="CS104" s="9">
        <v>1.0048452529</v>
      </c>
      <c r="CT104" s="9">
        <v>4.4693958730999999</v>
      </c>
      <c r="CU104" s="9">
        <v>0.79973763310000001</v>
      </c>
      <c r="CV104" s="9">
        <v>1.2278281048999999</v>
      </c>
      <c r="CW104" s="9">
        <v>2.4630626821999999</v>
      </c>
      <c r="CX104" s="9">
        <v>0.51405383979999997</v>
      </c>
      <c r="CY104" s="9">
        <v>1.2111503640000001</v>
      </c>
      <c r="CZ104" s="9">
        <v>198</v>
      </c>
      <c r="DA104" s="9">
        <v>151</v>
      </c>
      <c r="DB104" s="9">
        <v>14</v>
      </c>
      <c r="DC104" s="9">
        <v>74</v>
      </c>
      <c r="DD104" s="9">
        <v>12</v>
      </c>
      <c r="DE104" s="9">
        <v>10</v>
      </c>
      <c r="DF104" s="9">
        <v>21</v>
      </c>
      <c r="DG104" s="9">
        <v>11</v>
      </c>
      <c r="DH104" s="9">
        <v>27</v>
      </c>
      <c r="DI104" s="9">
        <v>1</v>
      </c>
      <c r="DJ104" s="9">
        <v>2</v>
      </c>
      <c r="DK104" s="9">
        <v>22</v>
      </c>
      <c r="DL104" s="9">
        <v>0</v>
      </c>
      <c r="DM104" s="9">
        <v>19</v>
      </c>
      <c r="DN104" s="9">
        <v>0</v>
      </c>
      <c r="DO104" s="9">
        <v>345.85</v>
      </c>
      <c r="DP104" s="9">
        <v>71.930000000000007</v>
      </c>
      <c r="DQ104" s="9">
        <v>41.08</v>
      </c>
      <c r="DR104" s="9">
        <v>30.85</v>
      </c>
      <c r="DS104" s="9">
        <v>28.53</v>
      </c>
      <c r="DT104" s="9">
        <v>1.2</v>
      </c>
      <c r="DU104" s="9">
        <v>131.61000000000001</v>
      </c>
      <c r="DV104" s="9">
        <v>79.91</v>
      </c>
      <c r="DW104" s="9">
        <v>32.450000000000003</v>
      </c>
      <c r="DX104" s="9">
        <v>113.69</v>
      </c>
      <c r="DY104" s="9">
        <v>62.12</v>
      </c>
      <c r="DZ104" s="9">
        <v>15.75</v>
      </c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>
        <v>1025.9000000000001</v>
      </c>
      <c r="EO104" s="9"/>
      <c r="EP104" s="9"/>
      <c r="EQ104" s="9"/>
      <c r="ER104" s="9"/>
      <c r="ES104" s="9"/>
      <c r="ET104" s="9"/>
      <c r="EU104">
        <v>1156.77</v>
      </c>
      <c r="EV104" s="9"/>
      <c r="EW104" s="9"/>
      <c r="EX104" s="9"/>
      <c r="EY104" s="9"/>
      <c r="EZ104" s="9"/>
      <c r="FA104" s="9"/>
      <c r="FB104" s="9">
        <v>195.18633540370001</v>
      </c>
      <c r="FC104" s="9">
        <v>133.89913043480001</v>
      </c>
      <c r="FD104" s="9">
        <v>8407.0217391303995</v>
      </c>
      <c r="FE104" s="9">
        <v>60.8</v>
      </c>
      <c r="FF104" s="9">
        <v>939.77173913039996</v>
      </c>
      <c r="FG104">
        <v>2633216.89</v>
      </c>
      <c r="FH104">
        <v>2593526.89</v>
      </c>
      <c r="FI104">
        <v>39690</v>
      </c>
      <c r="FJ104" s="9">
        <v>2653391.6100000003</v>
      </c>
      <c r="FK104">
        <v>2225456.1399999997</v>
      </c>
      <c r="FL104" s="9">
        <v>427935.47</v>
      </c>
      <c r="FM104" s="9">
        <v>3929563.03</v>
      </c>
      <c r="FN104" s="9">
        <v>444801.08</v>
      </c>
      <c r="FO104">
        <v>1155.3499999999999</v>
      </c>
      <c r="FP104">
        <v>549.26</v>
      </c>
      <c r="FQ104">
        <v>44.25</v>
      </c>
      <c r="FR104">
        <v>103.88</v>
      </c>
      <c r="FS104">
        <v>8.7100000000000009</v>
      </c>
      <c r="FT104">
        <v>475.86</v>
      </c>
      <c r="FU104">
        <v>80.430000000000007</v>
      </c>
      <c r="FV104">
        <v>640.67999999999995</v>
      </c>
      <c r="FW104">
        <v>13367.06</v>
      </c>
      <c r="FX104">
        <v>478.7</v>
      </c>
      <c r="HB104" s="6"/>
      <c r="HC104" s="6"/>
      <c r="HD104" s="6"/>
    </row>
    <row r="105" spans="1:212" x14ac:dyDescent="0.2">
      <c r="A105" s="8" t="s">
        <v>851</v>
      </c>
      <c r="B105" s="8" t="s">
        <v>307</v>
      </c>
      <c r="C105" s="8" t="s">
        <v>309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>
        <v>153373.5</v>
      </c>
      <c r="BO105" s="9">
        <v>141644.70000000001</v>
      </c>
      <c r="BP105" s="9">
        <v>56541.599999999999</v>
      </c>
      <c r="BQ105" s="9">
        <v>9555.5</v>
      </c>
      <c r="BR105" s="9">
        <v>6065.7</v>
      </c>
      <c r="BS105" s="9">
        <v>16197.4</v>
      </c>
      <c r="BT105" s="9">
        <v>18096.8</v>
      </c>
      <c r="BU105" s="9">
        <v>17260.900000000001</v>
      </c>
      <c r="BV105" s="9">
        <v>11280.8</v>
      </c>
      <c r="BW105" s="9">
        <v>119745.60000000001</v>
      </c>
      <c r="BX105" s="9">
        <v>17736.900000000001</v>
      </c>
      <c r="BY105" s="9">
        <v>15240.1</v>
      </c>
      <c r="BZ105" s="9">
        <v>33683.1</v>
      </c>
      <c r="CA105" s="9">
        <v>1954.4</v>
      </c>
      <c r="CB105" s="9">
        <v>0</v>
      </c>
      <c r="CC105" s="9">
        <v>0</v>
      </c>
      <c r="CD105" s="9">
        <v>0</v>
      </c>
      <c r="CE105" s="9">
        <v>36501.800000000003</v>
      </c>
      <c r="CF105" s="9">
        <v>642216.86934327008</v>
      </c>
      <c r="CG105" s="9">
        <v>2576445.9942397471</v>
      </c>
      <c r="CH105" s="9"/>
      <c r="CI105" s="9"/>
      <c r="CJ105" s="9">
        <v>21.8</v>
      </c>
      <c r="CK105" s="9">
        <v>15.2</v>
      </c>
      <c r="CL105" s="9">
        <v>9.75</v>
      </c>
      <c r="CM105" s="9">
        <v>54.638377256699997</v>
      </c>
      <c r="CN105" s="9">
        <v>24.993023880199999</v>
      </c>
      <c r="CO105" s="9">
        <v>1.2847032912</v>
      </c>
      <c r="CP105" s="9">
        <v>6.6146466008999996</v>
      </c>
      <c r="CQ105" s="9">
        <v>5.3039071468000003</v>
      </c>
      <c r="CR105" s="9">
        <v>2.6443923043000002</v>
      </c>
      <c r="CS105" s="9">
        <v>1.0192359384</v>
      </c>
      <c r="CT105" s="9">
        <v>5.5148870631999998</v>
      </c>
      <c r="CU105" s="9">
        <v>0.80075381820000002</v>
      </c>
      <c r="CV105" s="9">
        <v>1.2408785364999999</v>
      </c>
      <c r="CW105" s="9">
        <v>3.4441290920999998</v>
      </c>
      <c r="CX105" s="9">
        <v>0.55260787779999998</v>
      </c>
      <c r="CY105" s="9">
        <v>1.2252117071999999</v>
      </c>
      <c r="CZ105" s="9">
        <v>213</v>
      </c>
      <c r="DA105" s="9">
        <v>179</v>
      </c>
      <c r="DB105" s="9">
        <v>19</v>
      </c>
      <c r="DC105" s="9">
        <v>84</v>
      </c>
      <c r="DD105" s="9">
        <v>14</v>
      </c>
      <c r="DE105" s="9">
        <v>13</v>
      </c>
      <c r="DF105" s="9">
        <v>22</v>
      </c>
      <c r="DG105" s="9">
        <v>12</v>
      </c>
      <c r="DH105" s="9">
        <v>19</v>
      </c>
      <c r="DI105" s="9">
        <v>1</v>
      </c>
      <c r="DJ105" s="9">
        <v>2</v>
      </c>
      <c r="DK105" s="9">
        <v>14</v>
      </c>
      <c r="DL105" s="9">
        <v>0</v>
      </c>
      <c r="DM105" s="9">
        <v>14</v>
      </c>
      <c r="DN105" s="9">
        <v>0</v>
      </c>
      <c r="DO105" s="9">
        <v>286.12</v>
      </c>
      <c r="DP105" s="9">
        <v>67.53</v>
      </c>
      <c r="DQ105" s="9">
        <v>39.75</v>
      </c>
      <c r="DR105" s="9">
        <v>27.78</v>
      </c>
      <c r="DS105" s="9">
        <v>22.31</v>
      </c>
      <c r="DT105" s="9">
        <v>0.92</v>
      </c>
      <c r="DU105" s="9">
        <v>117.26</v>
      </c>
      <c r="DV105" s="9">
        <v>71.91</v>
      </c>
      <c r="DW105" s="9">
        <v>29.23</v>
      </c>
      <c r="DX105" s="9">
        <v>78.790000000000006</v>
      </c>
      <c r="DY105" s="9">
        <v>41.75</v>
      </c>
      <c r="DZ105" s="9">
        <v>16.399999999999999</v>
      </c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>
        <v>931.2</v>
      </c>
      <c r="EO105" s="9"/>
      <c r="EP105" s="9"/>
      <c r="EQ105" s="9"/>
      <c r="ER105" s="9"/>
      <c r="ES105" s="9"/>
      <c r="ET105" s="9"/>
      <c r="EU105">
        <v>1152.9100000000001</v>
      </c>
      <c r="EV105" s="9"/>
      <c r="EW105" s="9"/>
      <c r="EX105" s="9"/>
      <c r="EY105" s="9"/>
      <c r="EZ105" s="9"/>
      <c r="FA105" s="9"/>
      <c r="FB105" s="9">
        <v>173.30357142860001</v>
      </c>
      <c r="FC105" s="9">
        <v>113.8504761905</v>
      </c>
      <c r="FD105" s="9">
        <v>7633.8</v>
      </c>
      <c r="FE105" s="9">
        <v>60.8</v>
      </c>
      <c r="FF105" s="9">
        <v>839.02499999999998</v>
      </c>
      <c r="FG105">
        <v>2720788.91</v>
      </c>
      <c r="FH105">
        <v>2685275.81</v>
      </c>
      <c r="FI105">
        <v>35513.1</v>
      </c>
      <c r="FJ105" s="9">
        <v>2554400.2199999997</v>
      </c>
      <c r="FK105">
        <v>2167649.54</v>
      </c>
      <c r="FL105" s="9">
        <v>386750.68</v>
      </c>
      <c r="FM105" s="9">
        <v>3924941.26</v>
      </c>
      <c r="FN105" s="9">
        <v>448806.53</v>
      </c>
      <c r="FO105">
        <v>1150.9100000000001</v>
      </c>
      <c r="FP105">
        <v>834.24</v>
      </c>
      <c r="FQ105">
        <v>50.02</v>
      </c>
      <c r="FR105">
        <v>134.47</v>
      </c>
      <c r="FS105">
        <v>13.68</v>
      </c>
      <c r="FT105">
        <v>540.91</v>
      </c>
      <c r="FU105">
        <v>101.42</v>
      </c>
      <c r="FV105">
        <v>512.41</v>
      </c>
      <c r="FW105">
        <v>16992.900000000001</v>
      </c>
      <c r="FX105">
        <v>258.99</v>
      </c>
      <c r="HB105" s="6"/>
      <c r="HC105" s="6"/>
      <c r="HD105" s="6"/>
    </row>
    <row r="106" spans="1:212" x14ac:dyDescent="0.2">
      <c r="A106" s="8" t="s">
        <v>851</v>
      </c>
      <c r="B106" s="8" t="s">
        <v>307</v>
      </c>
      <c r="C106" s="8" t="s">
        <v>310</v>
      </c>
      <c r="D106" s="9">
        <v>1794679.7</v>
      </c>
      <c r="E106" s="9">
        <v>400251.5</v>
      </c>
      <c r="F106" s="9">
        <v>382608.8</v>
      </c>
      <c r="G106" s="9">
        <v>123376.2</v>
      </c>
      <c r="H106" s="9">
        <v>29309.3</v>
      </c>
      <c r="I106" s="9">
        <v>24905.7</v>
      </c>
      <c r="J106" s="9">
        <v>127691.6</v>
      </c>
      <c r="K106" s="9">
        <v>124681.4</v>
      </c>
      <c r="L106" s="9">
        <v>60472</v>
      </c>
      <c r="M106" s="9">
        <v>352549.5</v>
      </c>
      <c r="N106" s="9">
        <v>168833.8</v>
      </c>
      <c r="O106" s="9">
        <v>3673729.1727722674</v>
      </c>
      <c r="P106" s="9">
        <v>651432.55870960047</v>
      </c>
      <c r="Q106" s="9">
        <v>578498.57343049766</v>
      </c>
      <c r="R106" s="9">
        <v>343409.63342358259</v>
      </c>
      <c r="S106" s="9">
        <v>80868.523949704206</v>
      </c>
      <c r="T106" s="9">
        <v>103481.4177428737</v>
      </c>
      <c r="U106" s="9">
        <v>347478.11625924992</v>
      </c>
      <c r="V106" s="9">
        <v>206931.22176093829</v>
      </c>
      <c r="W106" s="9">
        <v>78596.707587177094</v>
      </c>
      <c r="X106" s="9">
        <v>997710.62254630961</v>
      </c>
      <c r="Y106" s="9">
        <v>285321.79736233328</v>
      </c>
      <c r="Z106" s="9">
        <v>1719333.8</v>
      </c>
      <c r="AA106" s="9">
        <v>988663.2</v>
      </c>
      <c r="AB106" s="9">
        <v>198418.2</v>
      </c>
      <c r="AC106" s="9">
        <v>700242.4</v>
      </c>
      <c r="AD106" s="9">
        <v>142138</v>
      </c>
      <c r="AE106" s="9">
        <v>986401.1</v>
      </c>
      <c r="AF106" s="9">
        <v>1296529.2</v>
      </c>
      <c r="AG106" s="9">
        <v>3450255.1443552799</v>
      </c>
      <c r="AH106" s="9">
        <v>1918375.024478256</v>
      </c>
      <c r="AI106" s="9">
        <v>363984.57132064737</v>
      </c>
      <c r="AJ106" s="9">
        <v>1302738.48681443</v>
      </c>
      <c r="AK106" s="9">
        <v>321569.78181176598</v>
      </c>
      <c r="AL106" s="9">
        <v>943761.36140228237</v>
      </c>
      <c r="AM106" s="9">
        <v>1400174.0814721007</v>
      </c>
      <c r="AN106" s="9">
        <v>981217</v>
      </c>
      <c r="AO106" s="9">
        <v>512222</v>
      </c>
      <c r="AP106" s="9">
        <v>468995</v>
      </c>
      <c r="AQ106" s="9">
        <v>85518</v>
      </c>
      <c r="AR106" s="9">
        <v>41942</v>
      </c>
      <c r="AS106" s="9">
        <v>43576</v>
      </c>
      <c r="AT106" s="9">
        <v>668746</v>
      </c>
      <c r="AU106" s="9">
        <v>277901</v>
      </c>
      <c r="AV106" s="9">
        <v>390845</v>
      </c>
      <c r="AW106" s="9">
        <v>273.7</v>
      </c>
      <c r="AX106" s="9">
        <v>166.8</v>
      </c>
      <c r="AY106" s="9">
        <v>345</v>
      </c>
      <c r="AZ106" s="9">
        <v>279.60000000000002</v>
      </c>
      <c r="BA106" s="9">
        <v>229.2</v>
      </c>
      <c r="BB106" s="9"/>
      <c r="BC106" s="9">
        <v>226.7</v>
      </c>
      <c r="BD106" s="9">
        <v>196.2</v>
      </c>
      <c r="BE106" s="9">
        <v>262.39999999999998</v>
      </c>
      <c r="BF106" s="9">
        <v>202.6</v>
      </c>
      <c r="BG106" s="9"/>
      <c r="BH106" s="9">
        <v>502.3</v>
      </c>
      <c r="BI106" s="9">
        <v>252.6</v>
      </c>
      <c r="BJ106" s="9">
        <v>252.5</v>
      </c>
      <c r="BK106" s="9">
        <v>299.5</v>
      </c>
      <c r="BL106" s="9"/>
      <c r="BM106" s="9">
        <v>217.3</v>
      </c>
      <c r="BN106" s="9">
        <v>213997.9</v>
      </c>
      <c r="BO106" s="9">
        <v>180583.4</v>
      </c>
      <c r="BP106" s="9">
        <v>75008.399999999994</v>
      </c>
      <c r="BQ106" s="9">
        <v>18098.7</v>
      </c>
      <c r="BR106" s="9">
        <v>11110</v>
      </c>
      <c r="BS106" s="9">
        <v>23710.400000000001</v>
      </c>
      <c r="BT106" s="9">
        <v>32517.9</v>
      </c>
      <c r="BU106" s="9">
        <v>13002.2</v>
      </c>
      <c r="BV106" s="9">
        <v>26301.9</v>
      </c>
      <c r="BW106" s="9">
        <v>137176.9</v>
      </c>
      <c r="BX106" s="9">
        <v>36252.5</v>
      </c>
      <c r="BY106" s="9">
        <v>39203.5</v>
      </c>
      <c r="BZ106" s="9">
        <v>48069.9</v>
      </c>
      <c r="CA106" s="9">
        <v>1104.3</v>
      </c>
      <c r="CB106" s="9">
        <v>0</v>
      </c>
      <c r="CC106" s="9">
        <v>0</v>
      </c>
      <c r="CD106" s="9">
        <v>0</v>
      </c>
      <c r="CE106" s="9">
        <v>47301.2</v>
      </c>
      <c r="CF106" s="9">
        <v>603473.33583385008</v>
      </c>
      <c r="CG106" s="9">
        <v>2522345.7460351628</v>
      </c>
      <c r="CH106" s="9"/>
      <c r="CI106" s="9"/>
      <c r="CJ106" s="9">
        <v>21.5</v>
      </c>
      <c r="CK106" s="9">
        <v>15.7</v>
      </c>
      <c r="CL106" s="9">
        <v>10.25</v>
      </c>
      <c r="CM106" s="9">
        <v>54.903528803299999</v>
      </c>
      <c r="CN106" s="9">
        <v>24.474961200300001</v>
      </c>
      <c r="CO106" s="9">
        <v>1.2926396821999999</v>
      </c>
      <c r="CP106" s="9">
        <v>6.7222018302000004</v>
      </c>
      <c r="CQ106" s="9">
        <v>5.7528748966999999</v>
      </c>
      <c r="CR106" s="9">
        <v>2.7059822077</v>
      </c>
      <c r="CS106" s="9">
        <v>1.0436375354</v>
      </c>
      <c r="CT106" s="9">
        <v>5.6033274056</v>
      </c>
      <c r="CU106" s="9">
        <v>0.80075381820000002</v>
      </c>
      <c r="CV106" s="9">
        <v>1.2528414321000001</v>
      </c>
      <c r="CW106" s="9">
        <v>3.4441290920999998</v>
      </c>
      <c r="CX106" s="9">
        <v>0.5615324236</v>
      </c>
      <c r="CY106" s="9">
        <v>1.2486472793000001</v>
      </c>
      <c r="CZ106" s="9">
        <v>277</v>
      </c>
      <c r="DA106" s="9">
        <v>236</v>
      </c>
      <c r="DB106" s="9">
        <v>77</v>
      </c>
      <c r="DC106" s="9">
        <v>77</v>
      </c>
      <c r="DD106" s="9">
        <v>14</v>
      </c>
      <c r="DE106" s="9">
        <v>15</v>
      </c>
      <c r="DF106" s="9">
        <v>21</v>
      </c>
      <c r="DG106" s="9">
        <v>11</v>
      </c>
      <c r="DH106" s="9">
        <v>24</v>
      </c>
      <c r="DI106" s="9">
        <v>5</v>
      </c>
      <c r="DJ106" s="9">
        <v>3</v>
      </c>
      <c r="DK106" s="9">
        <v>14</v>
      </c>
      <c r="DL106" s="9">
        <v>0</v>
      </c>
      <c r="DM106" s="9">
        <v>17</v>
      </c>
      <c r="DN106" s="9">
        <v>0</v>
      </c>
      <c r="DO106" s="9">
        <v>320.91000000000003</v>
      </c>
      <c r="DP106" s="9">
        <v>73.290000000000006</v>
      </c>
      <c r="DQ106" s="9">
        <v>39.08</v>
      </c>
      <c r="DR106" s="9">
        <v>34.21</v>
      </c>
      <c r="DS106" s="9">
        <v>20.43</v>
      </c>
      <c r="DT106" s="9">
        <v>0.71</v>
      </c>
      <c r="DU106" s="9">
        <v>112.6</v>
      </c>
      <c r="DV106" s="9">
        <v>65.2</v>
      </c>
      <c r="DW106" s="9">
        <v>32.090000000000003</v>
      </c>
      <c r="DX106" s="9">
        <v>114.56</v>
      </c>
      <c r="DY106" s="9">
        <v>66.08</v>
      </c>
      <c r="DZ106" s="9">
        <v>18.079999999999998</v>
      </c>
      <c r="EA106" s="9">
        <v>-220.255</v>
      </c>
      <c r="EB106" s="9">
        <v>-251.02600000000001</v>
      </c>
      <c r="EC106" s="9">
        <v>-16.890899999999998</v>
      </c>
      <c r="ED106" s="9">
        <v>-32.550199999999997</v>
      </c>
      <c r="EE106" s="9">
        <v>80.212220000000002</v>
      </c>
      <c r="EF106" s="9">
        <v>22.579820000000002</v>
      </c>
      <c r="EG106" s="9">
        <v>-337.70800000000003</v>
      </c>
      <c r="EH106" s="9">
        <v>-225.761</v>
      </c>
      <c r="EI106" s="9">
        <v>-10.077500000000001</v>
      </c>
      <c r="EJ106" s="9">
        <v>0</v>
      </c>
      <c r="EK106" s="9">
        <v>-101.87</v>
      </c>
      <c r="EL106" s="9">
        <v>-241.27500000000001</v>
      </c>
      <c r="EM106" s="9">
        <v>-101.24299999999999</v>
      </c>
      <c r="EN106" s="9">
        <v>881.1</v>
      </c>
      <c r="EO106" s="9"/>
      <c r="EP106" s="9"/>
      <c r="EQ106" s="9"/>
      <c r="ER106" s="9"/>
      <c r="ES106" s="9"/>
      <c r="ET106" s="9"/>
      <c r="EU106">
        <v>1148.24</v>
      </c>
      <c r="EV106" s="9">
        <v>5201.0600000000004</v>
      </c>
      <c r="EW106" s="9">
        <v>1562.47</v>
      </c>
      <c r="EX106" s="9">
        <v>7.3</v>
      </c>
      <c r="EY106" s="9">
        <v>351.57</v>
      </c>
      <c r="EZ106" s="9">
        <v>791.84</v>
      </c>
      <c r="FA106" s="9">
        <v>2487.89</v>
      </c>
      <c r="FB106" s="9">
        <v>164.49837662339999</v>
      </c>
      <c r="FC106" s="9">
        <v>99.064545454500006</v>
      </c>
      <c r="FD106" s="9">
        <v>6975.1136363635997</v>
      </c>
      <c r="FE106" s="9">
        <v>60.8</v>
      </c>
      <c r="FF106" s="9">
        <v>829.93181818180005</v>
      </c>
      <c r="FG106">
        <v>2752739.09</v>
      </c>
      <c r="FH106">
        <v>2716858.59</v>
      </c>
      <c r="FI106">
        <v>35880.5</v>
      </c>
      <c r="FJ106" s="9">
        <v>2576282.89</v>
      </c>
      <c r="FK106">
        <v>2149680.4800000004</v>
      </c>
      <c r="FL106" s="9">
        <v>426602.41</v>
      </c>
      <c r="FM106" s="9">
        <v>3961661.83</v>
      </c>
      <c r="FN106" s="9">
        <v>479801.3</v>
      </c>
      <c r="FO106">
        <v>1146.0999999999999</v>
      </c>
      <c r="FP106">
        <v>2799.5</v>
      </c>
      <c r="FQ106">
        <v>50.24</v>
      </c>
      <c r="FR106">
        <v>127.97</v>
      </c>
      <c r="FS106">
        <v>14.84</v>
      </c>
      <c r="FT106">
        <v>481.72</v>
      </c>
      <c r="FU106">
        <v>103.31</v>
      </c>
      <c r="FV106">
        <v>1468.2</v>
      </c>
      <c r="FW106">
        <v>16191.39</v>
      </c>
      <c r="FX106">
        <v>256.93</v>
      </c>
      <c r="HB106" s="6"/>
      <c r="HC106" s="6"/>
      <c r="HD106" s="6"/>
    </row>
    <row r="107" spans="1:212" x14ac:dyDescent="0.2">
      <c r="A107" s="8" t="s">
        <v>851</v>
      </c>
      <c r="B107" s="8" t="s">
        <v>311</v>
      </c>
      <c r="C107" s="8" t="s">
        <v>312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>
        <v>155812.29999999999</v>
      </c>
      <c r="BO107" s="9">
        <v>148674.70000000001</v>
      </c>
      <c r="BP107" s="9">
        <v>52912.1</v>
      </c>
      <c r="BQ107" s="9">
        <v>29052.7</v>
      </c>
      <c r="BR107" s="9">
        <v>11580.3</v>
      </c>
      <c r="BS107" s="9">
        <v>20949.599999999999</v>
      </c>
      <c r="BT107" s="9">
        <v>33440.9</v>
      </c>
      <c r="BU107" s="9">
        <v>16448.900000000001</v>
      </c>
      <c r="BV107" s="9">
        <v>6466.2</v>
      </c>
      <c r="BW107" s="9">
        <v>166123</v>
      </c>
      <c r="BX107" s="9">
        <v>2500.8000000000002</v>
      </c>
      <c r="BY107" s="9">
        <v>53120</v>
      </c>
      <c r="BZ107" s="9">
        <v>50504.800000000003</v>
      </c>
      <c r="CA107" s="9">
        <v>2012.8</v>
      </c>
      <c r="CB107" s="9">
        <v>0</v>
      </c>
      <c r="CC107" s="9">
        <v>0</v>
      </c>
      <c r="CD107" s="9">
        <v>0</v>
      </c>
      <c r="CE107" s="9">
        <v>54856.2</v>
      </c>
      <c r="CF107" s="9">
        <v>561252.60112264007</v>
      </c>
      <c r="CG107" s="9">
        <v>2355076.7669357941</v>
      </c>
      <c r="CH107" s="9"/>
      <c r="CI107" s="9"/>
      <c r="CJ107" s="9">
        <v>21</v>
      </c>
      <c r="CK107" s="9">
        <v>16.7</v>
      </c>
      <c r="CL107" s="9">
        <v>10.25</v>
      </c>
      <c r="CM107" s="9">
        <v>54.301212490399998</v>
      </c>
      <c r="CN107" s="9">
        <v>23.676864639400002</v>
      </c>
      <c r="CO107" s="9">
        <v>1.2956158287999999</v>
      </c>
      <c r="CP107" s="9">
        <v>6.8405125823999997</v>
      </c>
      <c r="CQ107" s="9">
        <v>5.8213615026000003</v>
      </c>
      <c r="CR107" s="9">
        <v>2.7576382556999999</v>
      </c>
      <c r="CS107" s="9">
        <v>1.0448888994000001</v>
      </c>
      <c r="CT107" s="9">
        <v>5.5180456469000001</v>
      </c>
      <c r="CU107" s="9">
        <v>0.79872144810000001</v>
      </c>
      <c r="CV107" s="9">
        <v>1.2691544716000001</v>
      </c>
      <c r="CW107" s="9">
        <v>3.4441290920999998</v>
      </c>
      <c r="CX107" s="9">
        <v>0.57438376960000004</v>
      </c>
      <c r="CY107" s="9">
        <v>1.2598963539000001</v>
      </c>
      <c r="CZ107" s="9">
        <v>190</v>
      </c>
      <c r="DA107" s="9">
        <v>150</v>
      </c>
      <c r="DB107" s="9">
        <v>13</v>
      </c>
      <c r="DC107" s="9">
        <v>70</v>
      </c>
      <c r="DD107" s="9">
        <v>12</v>
      </c>
      <c r="DE107" s="9">
        <v>6</v>
      </c>
      <c r="DF107" s="9">
        <v>21</v>
      </c>
      <c r="DG107" s="9">
        <v>9</v>
      </c>
      <c r="DH107" s="9">
        <v>29</v>
      </c>
      <c r="DI107" s="9">
        <v>6</v>
      </c>
      <c r="DJ107" s="9">
        <v>5</v>
      </c>
      <c r="DK107" s="9">
        <v>16</v>
      </c>
      <c r="DL107" s="9">
        <v>0</v>
      </c>
      <c r="DM107" s="9">
        <v>11</v>
      </c>
      <c r="DN107" s="9">
        <v>0</v>
      </c>
      <c r="DO107" s="9">
        <v>273.19</v>
      </c>
      <c r="DP107" s="9">
        <v>80.58</v>
      </c>
      <c r="DQ107" s="9">
        <v>44.73</v>
      </c>
      <c r="DR107" s="9">
        <v>35.85</v>
      </c>
      <c r="DS107" s="9">
        <v>21.84</v>
      </c>
      <c r="DT107" s="9">
        <v>0.22</v>
      </c>
      <c r="DU107" s="9">
        <v>96.56</v>
      </c>
      <c r="DV107" s="9">
        <v>61.41</v>
      </c>
      <c r="DW107" s="9">
        <v>24.89</v>
      </c>
      <c r="DX107" s="9">
        <v>74.180000000000007</v>
      </c>
      <c r="DY107" s="9">
        <v>38.840000000000003</v>
      </c>
      <c r="DZ107" s="9">
        <v>13.9</v>
      </c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>
        <v>755.7</v>
      </c>
      <c r="EO107" s="9"/>
      <c r="EP107" s="9"/>
      <c r="EQ107" s="9"/>
      <c r="ER107" s="9"/>
      <c r="ES107" s="9"/>
      <c r="ET107" s="9"/>
      <c r="EU107">
        <v>1144.58</v>
      </c>
      <c r="EV107" s="9"/>
      <c r="EW107" s="9"/>
      <c r="EX107" s="9"/>
      <c r="EY107" s="9"/>
      <c r="EZ107" s="9"/>
      <c r="FA107" s="9"/>
      <c r="FB107" s="9">
        <v>119.3664596273</v>
      </c>
      <c r="FC107" s="9">
        <v>72.842608695699994</v>
      </c>
      <c r="FD107" s="9">
        <v>4894.8913043477996</v>
      </c>
      <c r="FE107" s="9">
        <v>60.8</v>
      </c>
      <c r="FF107" s="9">
        <v>806.61956521740001</v>
      </c>
      <c r="FG107">
        <v>2727903.76</v>
      </c>
      <c r="FH107">
        <v>2691283.62</v>
      </c>
      <c r="FI107">
        <v>36620.14</v>
      </c>
      <c r="FJ107" s="9">
        <v>2445596.0199999996</v>
      </c>
      <c r="FK107">
        <v>2009761.86</v>
      </c>
      <c r="FL107" s="9">
        <v>435834.16</v>
      </c>
      <c r="FM107" s="9">
        <v>3856916.44</v>
      </c>
      <c r="FN107" s="9">
        <v>485379.97</v>
      </c>
      <c r="FO107">
        <v>1144.3699999999999</v>
      </c>
      <c r="FP107">
        <v>578.12</v>
      </c>
      <c r="FQ107">
        <v>50.4</v>
      </c>
      <c r="FR107">
        <v>101.9</v>
      </c>
      <c r="FS107">
        <v>6.2</v>
      </c>
      <c r="FT107">
        <v>508.1</v>
      </c>
      <c r="FU107">
        <v>103.09</v>
      </c>
      <c r="FV107">
        <v>2694.32</v>
      </c>
      <c r="FW107">
        <v>29799.01</v>
      </c>
      <c r="FX107">
        <v>349.66</v>
      </c>
      <c r="HB107" s="6"/>
      <c r="HC107" s="6"/>
      <c r="HD107" s="6"/>
    </row>
    <row r="108" spans="1:212" x14ac:dyDescent="0.2">
      <c r="A108" s="8" t="s">
        <v>851</v>
      </c>
      <c r="B108" s="8" t="s">
        <v>311</v>
      </c>
      <c r="C108" s="8" t="s">
        <v>313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>
        <v>139007</v>
      </c>
      <c r="BO108" s="9">
        <v>123649</v>
      </c>
      <c r="BP108" s="9">
        <v>38503.9</v>
      </c>
      <c r="BQ108" s="9">
        <v>16590.900000000001</v>
      </c>
      <c r="BR108" s="9">
        <v>9518</v>
      </c>
      <c r="BS108" s="9">
        <v>17642.2</v>
      </c>
      <c r="BT108" s="9">
        <v>30964.5</v>
      </c>
      <c r="BU108" s="9">
        <v>15729</v>
      </c>
      <c r="BV108" s="9">
        <v>14969.3</v>
      </c>
      <c r="BW108" s="9">
        <v>129497.5</v>
      </c>
      <c r="BX108" s="9">
        <v>-5568.6</v>
      </c>
      <c r="BY108" s="9">
        <v>43967.1</v>
      </c>
      <c r="BZ108" s="9">
        <v>47547.5</v>
      </c>
      <c r="CA108" s="9">
        <v>2401.5</v>
      </c>
      <c r="CB108" s="9">
        <v>0</v>
      </c>
      <c r="CC108" s="9">
        <v>0</v>
      </c>
      <c r="CD108" s="9">
        <v>0</v>
      </c>
      <c r="CE108" s="9">
        <v>107272.5</v>
      </c>
      <c r="CF108" s="9">
        <v>548309.30212723743</v>
      </c>
      <c r="CG108" s="9">
        <v>2239113.9520866349</v>
      </c>
      <c r="CH108" s="9"/>
      <c r="CI108" s="9"/>
      <c r="CJ108" s="9">
        <v>18.5</v>
      </c>
      <c r="CK108" s="9">
        <v>16</v>
      </c>
      <c r="CL108" s="9">
        <v>9.75</v>
      </c>
      <c r="CM108" s="9">
        <v>53.761162836799997</v>
      </c>
      <c r="CN108" s="9">
        <v>23.1027951833</v>
      </c>
      <c r="CO108" s="9">
        <v>1.2876794378</v>
      </c>
      <c r="CP108" s="9">
        <v>7.0394897566000001</v>
      </c>
      <c r="CQ108" s="9">
        <v>5.7148267823000003</v>
      </c>
      <c r="CR108" s="9">
        <v>2.7635985689</v>
      </c>
      <c r="CS108" s="9">
        <v>1.0448888994000001</v>
      </c>
      <c r="CT108" s="9">
        <v>5.4390810555</v>
      </c>
      <c r="CU108" s="9">
        <v>0.79872144810000001</v>
      </c>
      <c r="CV108" s="9">
        <v>1.2854675111</v>
      </c>
      <c r="CW108" s="9">
        <v>3.4441290920999998</v>
      </c>
      <c r="CX108" s="9">
        <v>0.57402678780000005</v>
      </c>
      <c r="CY108" s="9">
        <v>1.2664583140000001</v>
      </c>
      <c r="CZ108" s="9">
        <v>165</v>
      </c>
      <c r="DA108" s="9">
        <v>128</v>
      </c>
      <c r="DB108" s="9">
        <v>35</v>
      </c>
      <c r="DC108" s="9">
        <v>50</v>
      </c>
      <c r="DD108" s="9">
        <v>8</v>
      </c>
      <c r="DE108" s="9">
        <v>4</v>
      </c>
      <c r="DF108" s="9">
        <v>16</v>
      </c>
      <c r="DG108" s="9">
        <v>7</v>
      </c>
      <c r="DH108" s="9">
        <v>23</v>
      </c>
      <c r="DI108" s="9">
        <v>6</v>
      </c>
      <c r="DJ108" s="9">
        <v>4</v>
      </c>
      <c r="DK108" s="9">
        <v>13</v>
      </c>
      <c r="DL108" s="9">
        <v>0</v>
      </c>
      <c r="DM108" s="9">
        <v>13</v>
      </c>
      <c r="DN108" s="9">
        <v>0</v>
      </c>
      <c r="DO108" s="9">
        <v>269.56</v>
      </c>
      <c r="DP108" s="9">
        <v>82.56</v>
      </c>
      <c r="DQ108" s="9">
        <v>46.56</v>
      </c>
      <c r="DR108" s="9">
        <v>36</v>
      </c>
      <c r="DS108" s="9">
        <v>25.62</v>
      </c>
      <c r="DT108" s="9">
        <v>0.83</v>
      </c>
      <c r="DU108" s="9">
        <v>93.15</v>
      </c>
      <c r="DV108" s="9">
        <v>63.4</v>
      </c>
      <c r="DW108" s="9">
        <v>14.93</v>
      </c>
      <c r="DX108" s="9">
        <v>67.92</v>
      </c>
      <c r="DY108" s="9">
        <v>39.85</v>
      </c>
      <c r="DZ108" s="9">
        <v>16.93</v>
      </c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>
        <v>626.29999999999995</v>
      </c>
      <c r="EO108" s="9"/>
      <c r="EP108" s="9"/>
      <c r="EQ108" s="9"/>
      <c r="ER108" s="9"/>
      <c r="ES108" s="9"/>
      <c r="ET108" s="9"/>
      <c r="EU108">
        <v>1155.8499999999999</v>
      </c>
      <c r="EV108" s="9"/>
      <c r="EW108" s="9"/>
      <c r="EX108" s="9"/>
      <c r="EY108" s="9"/>
      <c r="EZ108" s="9"/>
      <c r="FA108" s="9"/>
      <c r="FB108" s="9">
        <v>101.38232142859999</v>
      </c>
      <c r="FC108" s="9">
        <v>53.241500000000002</v>
      </c>
      <c r="FD108" s="9">
        <v>3729.1875</v>
      </c>
      <c r="FE108" s="9">
        <v>60.8</v>
      </c>
      <c r="FF108" s="9">
        <v>760.86249999999995</v>
      </c>
      <c r="FG108">
        <v>2705576.85</v>
      </c>
      <c r="FH108">
        <v>2668119.2599999998</v>
      </c>
      <c r="FI108">
        <v>37457.589999999997</v>
      </c>
      <c r="FJ108" s="9">
        <v>2316421.73</v>
      </c>
      <c r="FK108">
        <v>1905084.68</v>
      </c>
      <c r="FL108" s="9">
        <v>411337.05</v>
      </c>
      <c r="FM108" s="9">
        <v>3837666.81</v>
      </c>
      <c r="FN108" s="9">
        <v>492638.91</v>
      </c>
      <c r="FO108">
        <v>1170.6400000000001</v>
      </c>
      <c r="FP108">
        <v>1410.05</v>
      </c>
      <c r="FQ108">
        <v>48.4</v>
      </c>
      <c r="FR108">
        <v>89.72</v>
      </c>
      <c r="FS108">
        <v>6.12</v>
      </c>
      <c r="FT108">
        <v>321.55</v>
      </c>
      <c r="FU108">
        <v>95.59</v>
      </c>
      <c r="FV108">
        <v>2859.32</v>
      </c>
      <c r="FW108">
        <v>26208.32</v>
      </c>
      <c r="FX108">
        <v>265</v>
      </c>
      <c r="HB108" s="6"/>
      <c r="HC108" s="6"/>
      <c r="HD108" s="6"/>
    </row>
    <row r="109" spans="1:212" x14ac:dyDescent="0.2">
      <c r="A109" s="8" t="s">
        <v>851</v>
      </c>
      <c r="B109" s="8" t="s">
        <v>311</v>
      </c>
      <c r="C109" s="8" t="s">
        <v>314</v>
      </c>
      <c r="D109" s="9">
        <v>1823437.7</v>
      </c>
      <c r="E109" s="9">
        <v>374383.7</v>
      </c>
      <c r="F109" s="9">
        <v>253908.4</v>
      </c>
      <c r="G109" s="9">
        <v>117384.7</v>
      </c>
      <c r="H109" s="9">
        <v>47982.400000000001</v>
      </c>
      <c r="I109" s="9">
        <v>68072.100000000006</v>
      </c>
      <c r="J109" s="9">
        <v>188978.5</v>
      </c>
      <c r="K109" s="9">
        <v>122284.4</v>
      </c>
      <c r="L109" s="9">
        <v>53934</v>
      </c>
      <c r="M109" s="9">
        <v>397907.9</v>
      </c>
      <c r="N109" s="9">
        <v>198601.60000000001</v>
      </c>
      <c r="O109" s="9">
        <v>3732597.116478648</v>
      </c>
      <c r="P109" s="9">
        <v>570851.44480796496</v>
      </c>
      <c r="Q109" s="9">
        <v>359661.61190462229</v>
      </c>
      <c r="R109" s="9">
        <v>306099.24494089722</v>
      </c>
      <c r="S109" s="9">
        <v>124029.706695175</v>
      </c>
      <c r="T109" s="9">
        <v>264973.50226789131</v>
      </c>
      <c r="U109" s="9">
        <v>481778.2690694292</v>
      </c>
      <c r="V109" s="9">
        <v>190136.3219510566</v>
      </c>
      <c r="W109" s="9">
        <v>65672.315959864107</v>
      </c>
      <c r="X109" s="9">
        <v>1054961.800791472</v>
      </c>
      <c r="Y109" s="9">
        <v>314432.8980902746</v>
      </c>
      <c r="Z109" s="9">
        <v>1921040.8</v>
      </c>
      <c r="AA109" s="9">
        <v>977430</v>
      </c>
      <c r="AB109" s="9">
        <v>314373.2</v>
      </c>
      <c r="AC109" s="9">
        <v>783718.6</v>
      </c>
      <c r="AD109" s="9">
        <v>159082.6</v>
      </c>
      <c r="AE109" s="9">
        <v>797134.4</v>
      </c>
      <c r="AF109" s="9">
        <v>1110698.1000000001</v>
      </c>
      <c r="AG109" s="9">
        <v>3855028.5597342313</v>
      </c>
      <c r="AH109" s="9">
        <v>1896884.534032315</v>
      </c>
      <c r="AI109" s="9">
        <v>576789.13878355466</v>
      </c>
      <c r="AJ109" s="9">
        <v>1458273.830599878</v>
      </c>
      <c r="AK109" s="9">
        <v>359962.94770616328</v>
      </c>
      <c r="AL109" s="9">
        <v>762799.29822401342</v>
      </c>
      <c r="AM109" s="9">
        <v>1199681.189611692</v>
      </c>
      <c r="AN109" s="9">
        <v>904354</v>
      </c>
      <c r="AO109" s="9">
        <v>470002</v>
      </c>
      <c r="AP109" s="9">
        <v>434352</v>
      </c>
      <c r="AQ109" s="9">
        <v>104922</v>
      </c>
      <c r="AR109" s="9">
        <v>52196</v>
      </c>
      <c r="AS109" s="9">
        <v>52726</v>
      </c>
      <c r="AT109" s="9">
        <v>642403</v>
      </c>
      <c r="AU109" s="9">
        <v>266575</v>
      </c>
      <c r="AV109" s="9">
        <v>375828</v>
      </c>
      <c r="AW109" s="9">
        <v>291.10000000000002</v>
      </c>
      <c r="AX109" s="9">
        <v>173.3</v>
      </c>
      <c r="AY109" s="9">
        <v>351.8</v>
      </c>
      <c r="AZ109" s="9">
        <v>294.39999999999998</v>
      </c>
      <c r="BA109" s="9">
        <v>262.5</v>
      </c>
      <c r="BB109" s="9"/>
      <c r="BC109" s="9">
        <v>243.5</v>
      </c>
      <c r="BD109" s="9">
        <v>203.8</v>
      </c>
      <c r="BE109" s="9">
        <v>277.89999999999998</v>
      </c>
      <c r="BF109" s="9">
        <v>227.9</v>
      </c>
      <c r="BG109" s="9"/>
      <c r="BH109" s="9">
        <v>579.79999999999995</v>
      </c>
      <c r="BI109" s="9">
        <v>266.39999999999998</v>
      </c>
      <c r="BJ109" s="9">
        <v>284.3</v>
      </c>
      <c r="BK109" s="9">
        <v>303.39999999999998</v>
      </c>
      <c r="BL109" s="9"/>
      <c r="BM109" s="9">
        <v>223.1</v>
      </c>
      <c r="BN109" s="9">
        <v>256458.9</v>
      </c>
      <c r="BO109" s="9">
        <v>203929.60000000001</v>
      </c>
      <c r="BP109" s="9">
        <v>60564</v>
      </c>
      <c r="BQ109" s="9">
        <v>16627.3</v>
      </c>
      <c r="BR109" s="9">
        <v>18857.5</v>
      </c>
      <c r="BS109" s="9">
        <v>37699.9</v>
      </c>
      <c r="BT109" s="9">
        <v>59969.599999999999</v>
      </c>
      <c r="BU109" s="9">
        <v>21677.3</v>
      </c>
      <c r="BV109" s="9">
        <v>45525.2</v>
      </c>
      <c r="BW109" s="9">
        <v>239986.4</v>
      </c>
      <c r="BX109" s="9">
        <v>-30908.400000000001</v>
      </c>
      <c r="BY109" s="9">
        <v>101908.6</v>
      </c>
      <c r="BZ109" s="9">
        <v>58456.5</v>
      </c>
      <c r="CA109" s="9">
        <v>1791.9</v>
      </c>
      <c r="CB109" s="9">
        <v>0</v>
      </c>
      <c r="CC109" s="9">
        <v>0</v>
      </c>
      <c r="CD109" s="9">
        <v>0</v>
      </c>
      <c r="CE109" s="9">
        <v>180841.8</v>
      </c>
      <c r="CF109" s="9">
        <v>647335.29743000469</v>
      </c>
      <c r="CG109" s="9">
        <v>2267415.2589321872</v>
      </c>
      <c r="CH109" s="9"/>
      <c r="CI109" s="9"/>
      <c r="CJ109" s="9">
        <v>20.399999999999999</v>
      </c>
      <c r="CK109" s="9">
        <v>16.8</v>
      </c>
      <c r="CL109" s="9">
        <v>9.75</v>
      </c>
      <c r="CM109" s="9">
        <v>53.773298583100001</v>
      </c>
      <c r="CN109" s="9">
        <v>23.256813817899999</v>
      </c>
      <c r="CO109" s="9">
        <v>1.3005760732</v>
      </c>
      <c r="CP109" s="9">
        <v>7.0825118483000002</v>
      </c>
      <c r="CQ109" s="9">
        <v>5.7642893309999996</v>
      </c>
      <c r="CR109" s="9">
        <v>2.7695588821000001</v>
      </c>
      <c r="CS109" s="9">
        <v>1.0492686732000001</v>
      </c>
      <c r="CT109" s="9">
        <v>5.1706014446999999</v>
      </c>
      <c r="CU109" s="9">
        <v>0.79872144810000001</v>
      </c>
      <c r="CV109" s="9">
        <v>1.2963428707</v>
      </c>
      <c r="CW109" s="9">
        <v>3.4441290920999998</v>
      </c>
      <c r="CX109" s="9">
        <v>0.57402678780000005</v>
      </c>
      <c r="CY109" s="9">
        <v>1.2664583140000001</v>
      </c>
      <c r="CZ109" s="9">
        <v>215</v>
      </c>
      <c r="DA109" s="9">
        <v>191</v>
      </c>
      <c r="DB109" s="9">
        <v>122</v>
      </c>
      <c r="DC109" s="9">
        <v>35</v>
      </c>
      <c r="DD109" s="9">
        <v>3</v>
      </c>
      <c r="DE109" s="9">
        <v>5</v>
      </c>
      <c r="DF109" s="9">
        <v>11</v>
      </c>
      <c r="DG109" s="9">
        <v>4</v>
      </c>
      <c r="DH109" s="9">
        <v>17</v>
      </c>
      <c r="DI109" s="9">
        <v>2</v>
      </c>
      <c r="DJ109" s="9">
        <v>3</v>
      </c>
      <c r="DK109" s="9">
        <v>10</v>
      </c>
      <c r="DL109" s="9">
        <v>0</v>
      </c>
      <c r="DM109" s="9">
        <v>7</v>
      </c>
      <c r="DN109" s="9">
        <v>0</v>
      </c>
      <c r="DO109" s="9">
        <v>264.43</v>
      </c>
      <c r="DP109" s="9">
        <v>73.19</v>
      </c>
      <c r="DQ109" s="9">
        <v>44</v>
      </c>
      <c r="DR109" s="9">
        <v>29.19</v>
      </c>
      <c r="DS109" s="9">
        <v>52.08</v>
      </c>
      <c r="DT109" s="9">
        <v>0.95</v>
      </c>
      <c r="DU109" s="9">
        <v>87.95</v>
      </c>
      <c r="DV109" s="9">
        <v>49.03</v>
      </c>
      <c r="DW109" s="9">
        <v>13.28</v>
      </c>
      <c r="DX109" s="9">
        <v>51.2</v>
      </c>
      <c r="DY109" s="9">
        <v>22.97</v>
      </c>
      <c r="DZ109" s="9">
        <v>20.66</v>
      </c>
      <c r="EA109" s="9">
        <v>-276.59399999999999</v>
      </c>
      <c r="EB109" s="9">
        <v>-228.87100000000001</v>
      </c>
      <c r="EC109" s="9">
        <v>-36.396700000000003</v>
      </c>
      <c r="ED109" s="9">
        <v>-45.512</v>
      </c>
      <c r="EE109" s="9">
        <v>34.185890000000001</v>
      </c>
      <c r="EF109" s="9">
        <v>22.720690000000001</v>
      </c>
      <c r="EG109" s="9">
        <v>-284.92</v>
      </c>
      <c r="EH109" s="9">
        <v>-156.845</v>
      </c>
      <c r="EI109" s="9">
        <v>31.696670000000001</v>
      </c>
      <c r="EJ109" s="9">
        <v>0</v>
      </c>
      <c r="EK109" s="9">
        <v>-159.77199999999999</v>
      </c>
      <c r="EL109" s="9">
        <v>-223.9</v>
      </c>
      <c r="EM109" s="9">
        <v>-192.85400000000001</v>
      </c>
      <c r="EN109" s="9">
        <v>657.4</v>
      </c>
      <c r="EO109" s="9"/>
      <c r="EP109" s="9"/>
      <c r="EQ109" s="9"/>
      <c r="ER109" s="9"/>
      <c r="ES109" s="9"/>
      <c r="ET109" s="9"/>
      <c r="EU109">
        <v>1228.97</v>
      </c>
      <c r="EV109" s="9">
        <v>5250.4</v>
      </c>
      <c r="EW109" s="9">
        <v>1602.18</v>
      </c>
      <c r="EX109" s="9">
        <v>5.76</v>
      </c>
      <c r="EY109" s="9">
        <v>355.14</v>
      </c>
      <c r="EZ109" s="9">
        <v>797.6</v>
      </c>
      <c r="FA109" s="9">
        <v>2489.73</v>
      </c>
      <c r="FB109" s="9">
        <v>82.608673469400003</v>
      </c>
      <c r="FC109" s="9">
        <v>41.2530434783</v>
      </c>
      <c r="FD109" s="9">
        <v>3105.0952380951999</v>
      </c>
      <c r="FE109" s="9">
        <v>69.982608695699994</v>
      </c>
      <c r="FF109" s="9">
        <v>816.09210526319998</v>
      </c>
      <c r="FG109">
        <v>2677528.14</v>
      </c>
      <c r="FH109">
        <v>2635551.56</v>
      </c>
      <c r="FI109">
        <v>41976.58</v>
      </c>
      <c r="FJ109" s="9">
        <v>2400802.9299999997</v>
      </c>
      <c r="FK109">
        <v>1867146.02</v>
      </c>
      <c r="FL109" s="9">
        <v>533656.90999999992</v>
      </c>
      <c r="FM109" s="9">
        <v>3650001.85</v>
      </c>
      <c r="FN109" s="9">
        <v>340566.37</v>
      </c>
      <c r="FO109">
        <v>1267.51</v>
      </c>
      <c r="FP109">
        <v>4654.43</v>
      </c>
      <c r="FQ109">
        <v>49.08</v>
      </c>
      <c r="FR109">
        <v>51.09</v>
      </c>
      <c r="FS109">
        <v>7.21</v>
      </c>
      <c r="FT109">
        <v>287.08</v>
      </c>
      <c r="FU109">
        <v>101.29</v>
      </c>
      <c r="FV109">
        <v>1664.94</v>
      </c>
      <c r="FW109">
        <v>16991.61</v>
      </c>
      <c r="FX109">
        <v>203.83</v>
      </c>
      <c r="HB109" s="6"/>
      <c r="HC109" s="6"/>
      <c r="HD109" s="6"/>
    </row>
    <row r="110" spans="1:212" x14ac:dyDescent="0.2">
      <c r="A110" s="8" t="s">
        <v>852</v>
      </c>
      <c r="B110" s="8" t="s">
        <v>315</v>
      </c>
      <c r="C110" s="8" t="s">
        <v>316</v>
      </c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>
        <v>83778.899999999994</v>
      </c>
      <c r="BO110" s="9">
        <v>76253.2</v>
      </c>
      <c r="BP110" s="9">
        <v>16100.7</v>
      </c>
      <c r="BQ110" s="9">
        <v>9270</v>
      </c>
      <c r="BR110" s="9">
        <v>6753</v>
      </c>
      <c r="BS110" s="9">
        <v>12290.4</v>
      </c>
      <c r="BT110" s="9">
        <v>23866.3</v>
      </c>
      <c r="BU110" s="9">
        <v>9259.4</v>
      </c>
      <c r="BV110" s="9">
        <v>7434.2</v>
      </c>
      <c r="BW110" s="9">
        <v>102417.2</v>
      </c>
      <c r="BX110" s="9">
        <v>588.5</v>
      </c>
      <c r="BY110" s="9">
        <v>17296.8</v>
      </c>
      <c r="BZ110" s="9">
        <v>38756.699999999997</v>
      </c>
      <c r="CA110" s="9">
        <v>577.5</v>
      </c>
      <c r="CB110" s="9">
        <v>1523</v>
      </c>
      <c r="CC110" s="9">
        <v>44263.199999999997</v>
      </c>
      <c r="CD110" s="9">
        <v>0</v>
      </c>
      <c r="CE110" s="9">
        <v>9482.2999999999993</v>
      </c>
      <c r="CF110" s="9">
        <v>535268.17789044091</v>
      </c>
      <c r="CG110" s="9">
        <v>2199368.0338124586</v>
      </c>
      <c r="CH110" s="9"/>
      <c r="CI110" s="9"/>
      <c r="CJ110" s="9">
        <v>21.2</v>
      </c>
      <c r="CK110" s="9">
        <v>17.5</v>
      </c>
      <c r="CL110" s="9">
        <v>9.75</v>
      </c>
      <c r="CM110" s="9">
        <v>54.235426660400002</v>
      </c>
      <c r="CN110" s="9">
        <v>23.662862945400001</v>
      </c>
      <c r="CO110" s="9">
        <v>1.3948207160999999</v>
      </c>
      <c r="CP110" s="9">
        <v>7.1255339400000004</v>
      </c>
      <c r="CQ110" s="9">
        <v>5.7224364050999998</v>
      </c>
      <c r="CR110" s="9">
        <v>2.7874398218000001</v>
      </c>
      <c r="CS110" s="9">
        <v>1.0517714010999999</v>
      </c>
      <c r="CT110" s="9">
        <v>5.0726853513999997</v>
      </c>
      <c r="CU110" s="9">
        <v>0.79872144810000001</v>
      </c>
      <c r="CV110" s="9">
        <v>1.3104808383</v>
      </c>
      <c r="CW110" s="9">
        <v>3.4441290920999998</v>
      </c>
      <c r="CX110" s="9">
        <v>0.57652566059999999</v>
      </c>
      <c r="CY110" s="9">
        <v>1.2880190403</v>
      </c>
      <c r="CZ110" s="9">
        <v>145</v>
      </c>
      <c r="DA110" s="9">
        <v>124</v>
      </c>
      <c r="DB110" s="9">
        <v>79</v>
      </c>
      <c r="DC110" s="9">
        <v>28</v>
      </c>
      <c r="DD110" s="9">
        <v>3</v>
      </c>
      <c r="DE110" s="9">
        <v>3</v>
      </c>
      <c r="DF110" s="9">
        <v>0</v>
      </c>
      <c r="DG110" s="9">
        <v>2</v>
      </c>
      <c r="DH110" s="9">
        <v>12</v>
      </c>
      <c r="DI110" s="9">
        <v>0</v>
      </c>
      <c r="DJ110" s="9">
        <v>3</v>
      </c>
      <c r="DK110" s="9">
        <v>8</v>
      </c>
      <c r="DL110" s="9">
        <v>1</v>
      </c>
      <c r="DM110" s="9">
        <v>8</v>
      </c>
      <c r="DN110" s="9">
        <v>0</v>
      </c>
      <c r="DO110" s="9">
        <v>125.35</v>
      </c>
      <c r="DP110" s="9">
        <v>43.61</v>
      </c>
      <c r="DQ110" s="9">
        <v>26.68</v>
      </c>
      <c r="DR110" s="9">
        <v>16.93</v>
      </c>
      <c r="DS110" s="9">
        <v>11.54</v>
      </c>
      <c r="DT110" s="9">
        <v>0.01</v>
      </c>
      <c r="DU110" s="9">
        <v>50.35</v>
      </c>
      <c r="DV110" s="9">
        <v>37.03</v>
      </c>
      <c r="DW110" s="9">
        <v>5.87</v>
      </c>
      <c r="DX110" s="9">
        <v>19.62</v>
      </c>
      <c r="DY110" s="9">
        <v>11.24</v>
      </c>
      <c r="DZ110" s="9">
        <v>3.96</v>
      </c>
      <c r="EA110" s="9">
        <v>28.718260000000001</v>
      </c>
      <c r="EB110" s="9">
        <v>49.340760000000003</v>
      </c>
      <c r="EC110" s="9">
        <v>-15.7662</v>
      </c>
      <c r="ED110" s="9">
        <v>-15.420400000000001</v>
      </c>
      <c r="EE110" s="9">
        <v>10.56404</v>
      </c>
      <c r="EF110" s="9">
        <v>11.95064</v>
      </c>
      <c r="EG110" s="9">
        <v>27.338539999999998</v>
      </c>
      <c r="EH110" s="9">
        <v>-12.3528</v>
      </c>
      <c r="EI110" s="9">
        <v>-6.0508899999999999</v>
      </c>
      <c r="EJ110" s="9">
        <v>0</v>
      </c>
      <c r="EK110" s="9">
        <v>45.742220000000003</v>
      </c>
      <c r="EL110" s="9">
        <v>-9.2919300000000007</v>
      </c>
      <c r="EM110" s="9">
        <v>4.038443</v>
      </c>
      <c r="EN110" s="9">
        <v>552.29999999999995</v>
      </c>
      <c r="EO110" s="9"/>
      <c r="EP110" s="9"/>
      <c r="EQ110" s="9"/>
      <c r="ER110" s="9"/>
      <c r="ES110" s="9"/>
      <c r="ET110" s="9"/>
      <c r="EU110">
        <v>1333.41</v>
      </c>
      <c r="EV110" s="9"/>
      <c r="EW110" s="9"/>
      <c r="EX110" s="9"/>
      <c r="EY110" s="9"/>
      <c r="EZ110" s="9"/>
      <c r="FA110" s="9"/>
      <c r="FB110" s="9">
        <v>85.561734693899993</v>
      </c>
      <c r="FC110" s="9">
        <v>44.719090909099997</v>
      </c>
      <c r="FD110" s="9">
        <v>3260.3571428570999</v>
      </c>
      <c r="FE110" s="9">
        <v>72.509090909099996</v>
      </c>
      <c r="FF110" s="9">
        <v>858.69047619050002</v>
      </c>
      <c r="FG110">
        <v>2715946.1100000003</v>
      </c>
      <c r="FH110">
        <v>2671994.3000000003</v>
      </c>
      <c r="FI110">
        <v>43951.81</v>
      </c>
      <c r="FJ110" s="9">
        <v>2367566.63</v>
      </c>
      <c r="FK110">
        <v>1849498.46</v>
      </c>
      <c r="FL110" s="9">
        <v>518068.17</v>
      </c>
      <c r="FM110" s="9">
        <v>3697722.83</v>
      </c>
      <c r="FN110" s="9">
        <v>346476.35</v>
      </c>
      <c r="FO110">
        <v>1381.66</v>
      </c>
      <c r="FP110">
        <v>3865.57</v>
      </c>
      <c r="FQ110">
        <v>45.67</v>
      </c>
      <c r="FR110">
        <v>60.4</v>
      </c>
      <c r="FS110">
        <v>4.8099999999999996</v>
      </c>
      <c r="FT110">
        <v>1.6</v>
      </c>
      <c r="FU110">
        <v>51.77</v>
      </c>
      <c r="FV110">
        <v>370.86</v>
      </c>
      <c r="FW110">
        <v>12233.46</v>
      </c>
      <c r="FX110">
        <v>531.1</v>
      </c>
      <c r="HB110" s="6"/>
      <c r="HC110" s="6"/>
      <c r="HD110" s="6"/>
    </row>
    <row r="111" spans="1:212" x14ac:dyDescent="0.2">
      <c r="A111" s="8" t="s">
        <v>852</v>
      </c>
      <c r="B111" s="8" t="s">
        <v>315</v>
      </c>
      <c r="C111" s="8" t="s">
        <v>317</v>
      </c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>
        <v>93307.8</v>
      </c>
      <c r="BO111" s="9">
        <v>84089.7</v>
      </c>
      <c r="BP111" s="9">
        <v>27111.599999999999</v>
      </c>
      <c r="BQ111" s="9">
        <v>18010.7</v>
      </c>
      <c r="BR111" s="9">
        <v>9015</v>
      </c>
      <c r="BS111" s="9">
        <v>15691.4</v>
      </c>
      <c r="BT111" s="9">
        <v>17786.8</v>
      </c>
      <c r="BU111" s="9">
        <v>9476</v>
      </c>
      <c r="BV111" s="9">
        <v>9034.4</v>
      </c>
      <c r="BW111" s="9">
        <v>164943.4</v>
      </c>
      <c r="BX111" s="9">
        <v>4000.4</v>
      </c>
      <c r="BY111" s="9">
        <v>33361.800000000003</v>
      </c>
      <c r="BZ111" s="9">
        <v>52034.5</v>
      </c>
      <c r="CA111" s="9">
        <v>2615.3000000000002</v>
      </c>
      <c r="CB111" s="9">
        <v>1341.7</v>
      </c>
      <c r="CC111" s="9">
        <v>75590.100000000006</v>
      </c>
      <c r="CD111" s="9">
        <v>0</v>
      </c>
      <c r="CE111" s="9">
        <v>7895.8</v>
      </c>
      <c r="CF111" s="9">
        <v>549886.58852519002</v>
      </c>
      <c r="CG111" s="9">
        <v>2312990.6205076021</v>
      </c>
      <c r="CH111" s="9"/>
      <c r="CI111" s="9"/>
      <c r="CJ111" s="9">
        <v>21.6</v>
      </c>
      <c r="CK111" s="9">
        <v>17</v>
      </c>
      <c r="CL111" s="9">
        <v>9.75</v>
      </c>
      <c r="CM111" s="9">
        <v>54.545074962999998</v>
      </c>
      <c r="CN111" s="9">
        <v>24.084641981699999</v>
      </c>
      <c r="CO111" s="9">
        <v>1.4318481884000001</v>
      </c>
      <c r="CP111" s="9">
        <v>7.1460063829999996</v>
      </c>
      <c r="CQ111" s="9">
        <v>5.6511143377000002</v>
      </c>
      <c r="CR111" s="9">
        <v>2.7941409476999999</v>
      </c>
      <c r="CS111" s="9">
        <v>1.0718794636</v>
      </c>
      <c r="CT111" s="9">
        <v>4.9314305858000003</v>
      </c>
      <c r="CU111" s="9">
        <v>0.79762529640000002</v>
      </c>
      <c r="CV111" s="9">
        <v>1.3196081359</v>
      </c>
      <c r="CW111" s="9">
        <v>3.4410980503999999</v>
      </c>
      <c r="CX111" s="9">
        <v>0.5747484195</v>
      </c>
      <c r="CY111" s="9">
        <v>1.3009331727</v>
      </c>
      <c r="CZ111" s="9">
        <v>61</v>
      </c>
      <c r="DA111" s="9">
        <v>47</v>
      </c>
      <c r="DB111" s="9">
        <v>9</v>
      </c>
      <c r="DC111" s="9">
        <v>26</v>
      </c>
      <c r="DD111" s="9">
        <v>4</v>
      </c>
      <c r="DE111" s="9">
        <v>1</v>
      </c>
      <c r="DF111" s="9">
        <v>1</v>
      </c>
      <c r="DG111" s="9">
        <v>2</v>
      </c>
      <c r="DH111" s="9">
        <v>10</v>
      </c>
      <c r="DI111" s="9">
        <v>2</v>
      </c>
      <c r="DJ111" s="9">
        <v>3</v>
      </c>
      <c r="DK111" s="9">
        <v>4</v>
      </c>
      <c r="DL111" s="9">
        <v>0</v>
      </c>
      <c r="DM111" s="9">
        <v>5</v>
      </c>
      <c r="DN111" s="9">
        <v>0</v>
      </c>
      <c r="DO111" s="9">
        <v>91.02</v>
      </c>
      <c r="DP111" s="9">
        <v>31.78</v>
      </c>
      <c r="DQ111" s="9">
        <v>20.95</v>
      </c>
      <c r="DR111" s="9">
        <v>10.84</v>
      </c>
      <c r="DS111" s="9">
        <v>6.61</v>
      </c>
      <c r="DT111" s="9">
        <v>0.76</v>
      </c>
      <c r="DU111" s="9">
        <v>30.25</v>
      </c>
      <c r="DV111" s="9">
        <v>23.65</v>
      </c>
      <c r="DW111" s="9">
        <v>4.2</v>
      </c>
      <c r="DX111" s="9">
        <v>22.31</v>
      </c>
      <c r="DY111" s="9">
        <v>13.03</v>
      </c>
      <c r="DZ111" s="9">
        <v>4.93</v>
      </c>
      <c r="EA111" s="9">
        <v>-14.623699999999999</v>
      </c>
      <c r="EB111" s="9">
        <v>-12.0227</v>
      </c>
      <c r="EC111" s="9">
        <v>-8.6672499999999992</v>
      </c>
      <c r="ED111" s="9">
        <v>-7.2170800000000002</v>
      </c>
      <c r="EE111" s="9">
        <v>13.28332</v>
      </c>
      <c r="EF111" s="9">
        <v>13.34962</v>
      </c>
      <c r="EG111" s="9">
        <v>-14.3682</v>
      </c>
      <c r="EH111" s="9">
        <v>-41.885199999999998</v>
      </c>
      <c r="EI111" s="9">
        <v>1.76847</v>
      </c>
      <c r="EJ111" s="9">
        <v>0</v>
      </c>
      <c r="EK111" s="9">
        <v>25.7485</v>
      </c>
      <c r="EL111" s="9">
        <v>-38.877200000000002</v>
      </c>
      <c r="EM111" s="9">
        <v>-25.783100000000001</v>
      </c>
      <c r="EN111" s="9">
        <v>525.9</v>
      </c>
      <c r="EO111" s="9"/>
      <c r="EP111" s="9"/>
      <c r="EQ111" s="9"/>
      <c r="ER111" s="9"/>
      <c r="ES111" s="9"/>
      <c r="ET111" s="9"/>
      <c r="EU111">
        <v>1436.96</v>
      </c>
      <c r="EV111" s="9"/>
      <c r="EW111" s="9"/>
      <c r="EX111" s="9"/>
      <c r="EY111" s="9"/>
      <c r="EZ111" s="9"/>
      <c r="FA111" s="9"/>
      <c r="FB111" s="9">
        <v>80.822678571400004</v>
      </c>
      <c r="FC111" s="9">
        <v>43.2425</v>
      </c>
      <c r="FD111" s="9">
        <v>3328.4124999999999</v>
      </c>
      <c r="FE111" s="9">
        <v>75.59</v>
      </c>
      <c r="FF111" s="9">
        <v>943.16250000000002</v>
      </c>
      <c r="FG111">
        <v>2732033.5300000003</v>
      </c>
      <c r="FH111">
        <v>2685301.5500000003</v>
      </c>
      <c r="FI111">
        <v>46731.98</v>
      </c>
      <c r="FJ111" s="9">
        <v>2482221.2300000004</v>
      </c>
      <c r="FK111">
        <v>1940479.16</v>
      </c>
      <c r="FL111" s="9">
        <v>541742.07000000007</v>
      </c>
      <c r="FM111" s="9">
        <v>3858651.91</v>
      </c>
      <c r="FN111" s="9">
        <v>354227.95</v>
      </c>
      <c r="FO111">
        <v>1470.17</v>
      </c>
      <c r="FP111">
        <v>355.38</v>
      </c>
      <c r="FQ111">
        <v>44.29</v>
      </c>
      <c r="FR111">
        <v>68.680000000000007</v>
      </c>
      <c r="FS111">
        <v>1.8</v>
      </c>
      <c r="FT111">
        <v>28.29</v>
      </c>
      <c r="FU111">
        <v>55.33</v>
      </c>
      <c r="FV111">
        <v>928.93</v>
      </c>
      <c r="FW111">
        <v>26486.63</v>
      </c>
      <c r="FX111">
        <v>400.11</v>
      </c>
      <c r="HB111" s="6"/>
      <c r="HC111" s="6"/>
      <c r="HD111" s="6"/>
    </row>
    <row r="112" spans="1:212" x14ac:dyDescent="0.2">
      <c r="A112" s="8" t="s">
        <v>852</v>
      </c>
      <c r="B112" s="8" t="s">
        <v>315</v>
      </c>
      <c r="C112" s="8" t="s">
        <v>318</v>
      </c>
      <c r="D112" s="9">
        <v>1101956.6000000001</v>
      </c>
      <c r="E112" s="9">
        <v>67439.8</v>
      </c>
      <c r="F112" s="9">
        <v>185453.5</v>
      </c>
      <c r="G112" s="9">
        <v>70203.5</v>
      </c>
      <c r="H112" s="9">
        <v>53641.2</v>
      </c>
      <c r="I112" s="9">
        <v>5472.7</v>
      </c>
      <c r="J112" s="9">
        <v>78311.100000000006</v>
      </c>
      <c r="K112" s="9">
        <v>83373.3</v>
      </c>
      <c r="L112" s="9">
        <v>47997.5</v>
      </c>
      <c r="M112" s="9">
        <v>403097.4</v>
      </c>
      <c r="N112" s="9">
        <v>106966.5</v>
      </c>
      <c r="O112" s="9">
        <v>2215251.284015792</v>
      </c>
      <c r="P112" s="9">
        <v>114893.06698677719</v>
      </c>
      <c r="Q112" s="9">
        <v>288351.64285043831</v>
      </c>
      <c r="R112" s="9">
        <v>169860.37159697729</v>
      </c>
      <c r="S112" s="9">
        <v>117756.8050348453</v>
      </c>
      <c r="T112" s="9">
        <v>20041.900206568698</v>
      </c>
      <c r="U112" s="9">
        <v>193623.7418523925</v>
      </c>
      <c r="V112" s="9">
        <v>108873.5170113098</v>
      </c>
      <c r="W112" s="9">
        <v>65028.110228501297</v>
      </c>
      <c r="X112" s="9">
        <v>977623.78505195782</v>
      </c>
      <c r="Y112" s="9">
        <v>159198.3431960239</v>
      </c>
      <c r="Z112" s="9">
        <v>1174745.3999999999</v>
      </c>
      <c r="AA112" s="9">
        <v>1011308.4</v>
      </c>
      <c r="AB112" s="9">
        <v>218547.20000000001</v>
      </c>
      <c r="AC112" s="9">
        <v>71502.8</v>
      </c>
      <c r="AD112" s="9">
        <v>13568.6</v>
      </c>
      <c r="AE112" s="9">
        <v>553508.80000000005</v>
      </c>
      <c r="AF112" s="9">
        <v>693690.4</v>
      </c>
      <c r="AG112" s="9">
        <v>2352827.4348084722</v>
      </c>
      <c r="AH112" s="9">
        <v>1946428.3260054211</v>
      </c>
      <c r="AI112" s="9">
        <v>413387.2867690663</v>
      </c>
      <c r="AJ112" s="9">
        <v>123727.9836996003</v>
      </c>
      <c r="AK112" s="9">
        <v>30487.888702724798</v>
      </c>
      <c r="AL112" s="9">
        <v>720102.07661290455</v>
      </c>
      <c r="AM112" s="9">
        <v>881306.12698124605</v>
      </c>
      <c r="AN112" s="9">
        <v>904438</v>
      </c>
      <c r="AO112" s="9">
        <v>474415</v>
      </c>
      <c r="AP112" s="9">
        <v>430023</v>
      </c>
      <c r="AQ112" s="9">
        <v>115916</v>
      </c>
      <c r="AR112" s="9">
        <v>61782</v>
      </c>
      <c r="AS112" s="9">
        <v>54134</v>
      </c>
      <c r="AT112" s="9">
        <v>691099</v>
      </c>
      <c r="AU112" s="9">
        <v>294250</v>
      </c>
      <c r="AV112" s="9">
        <v>396849</v>
      </c>
      <c r="AW112" s="9">
        <v>288</v>
      </c>
      <c r="AX112" s="9">
        <v>159.80000000000001</v>
      </c>
      <c r="AY112" s="9">
        <v>341.7</v>
      </c>
      <c r="AZ112" s="9">
        <v>260.60000000000002</v>
      </c>
      <c r="BA112" s="9">
        <v>288.60000000000002</v>
      </c>
      <c r="BB112" s="9"/>
      <c r="BC112" s="9">
        <v>215.6</v>
      </c>
      <c r="BD112" s="9">
        <v>206.4</v>
      </c>
      <c r="BE112" s="9">
        <v>271.60000000000002</v>
      </c>
      <c r="BF112" s="9">
        <v>222.8</v>
      </c>
      <c r="BG112" s="9"/>
      <c r="BH112" s="9">
        <v>587.29999999999995</v>
      </c>
      <c r="BI112" s="9">
        <v>261.7</v>
      </c>
      <c r="BJ112" s="9">
        <v>279.39999999999998</v>
      </c>
      <c r="BK112" s="9">
        <v>301.3</v>
      </c>
      <c r="BL112" s="9"/>
      <c r="BM112" s="9">
        <v>247.3</v>
      </c>
      <c r="BN112" s="9">
        <v>156840.1</v>
      </c>
      <c r="BO112" s="9">
        <v>116877.1</v>
      </c>
      <c r="BP112" s="9">
        <v>31325.4</v>
      </c>
      <c r="BQ112" s="9">
        <v>13376.2</v>
      </c>
      <c r="BR112" s="9">
        <v>12552.3</v>
      </c>
      <c r="BS112" s="9">
        <v>32207.3</v>
      </c>
      <c r="BT112" s="9">
        <v>18173.5</v>
      </c>
      <c r="BU112" s="9">
        <v>11246.1</v>
      </c>
      <c r="BV112" s="9">
        <v>39776.6</v>
      </c>
      <c r="BW112" s="9">
        <v>138870.6</v>
      </c>
      <c r="BX112" s="9">
        <v>2312.6999999999998</v>
      </c>
      <c r="BY112" s="9">
        <v>33401.5</v>
      </c>
      <c r="BZ112" s="9">
        <v>46831.3</v>
      </c>
      <c r="CA112" s="9">
        <v>2033.8</v>
      </c>
      <c r="CB112" s="9">
        <v>4883.2</v>
      </c>
      <c r="CC112" s="9">
        <v>51720.9</v>
      </c>
      <c r="CD112" s="9">
        <v>0</v>
      </c>
      <c r="CE112" s="9">
        <v>10341.5</v>
      </c>
      <c r="CF112" s="9">
        <v>511386.83759860788</v>
      </c>
      <c r="CG112" s="9">
        <v>2350936.443127248</v>
      </c>
      <c r="CH112" s="9"/>
      <c r="CI112" s="9"/>
      <c r="CJ112" s="9">
        <v>20.399999999999999</v>
      </c>
      <c r="CK112" s="9">
        <v>19.399999999999999</v>
      </c>
      <c r="CL112" s="9">
        <v>14</v>
      </c>
      <c r="CM112" s="9">
        <v>55.522815817199998</v>
      </c>
      <c r="CN112" s="9">
        <v>24.811001857499999</v>
      </c>
      <c r="CO112" s="9">
        <v>1.4682323328</v>
      </c>
      <c r="CP112" s="9">
        <v>7.1954448390000003</v>
      </c>
      <c r="CQ112" s="9">
        <v>5.6120968733999996</v>
      </c>
      <c r="CR112" s="9">
        <v>2.8291620145</v>
      </c>
      <c r="CS112" s="9">
        <v>1.0736702702000001</v>
      </c>
      <c r="CT112" s="9">
        <v>5.0568924330999998</v>
      </c>
      <c r="CU112" s="9">
        <v>0.797705263</v>
      </c>
      <c r="CV112" s="9">
        <v>1.3224437338999999</v>
      </c>
      <c r="CW112" s="9">
        <v>3.4441290920999998</v>
      </c>
      <c r="CX112" s="9">
        <v>0.58652115199999999</v>
      </c>
      <c r="CY112" s="9">
        <v>1.3255159556</v>
      </c>
      <c r="CZ112" s="9">
        <v>92</v>
      </c>
      <c r="DA112" s="9">
        <v>74</v>
      </c>
      <c r="DB112" s="9">
        <v>11</v>
      </c>
      <c r="DC112" s="9">
        <v>27</v>
      </c>
      <c r="DD112" s="9">
        <v>5</v>
      </c>
      <c r="DE112" s="9">
        <v>4</v>
      </c>
      <c r="DF112" s="9">
        <v>19</v>
      </c>
      <c r="DG112" s="9">
        <v>3</v>
      </c>
      <c r="DH112" s="9">
        <v>13</v>
      </c>
      <c r="DI112" s="9">
        <v>4</v>
      </c>
      <c r="DJ112" s="9">
        <v>3</v>
      </c>
      <c r="DK112" s="9">
        <v>4</v>
      </c>
      <c r="DL112" s="9">
        <v>0</v>
      </c>
      <c r="DM112" s="9">
        <v>4</v>
      </c>
      <c r="DN112" s="9">
        <v>0</v>
      </c>
      <c r="DO112" s="9">
        <v>183.96</v>
      </c>
      <c r="DP112" s="9">
        <v>42.58</v>
      </c>
      <c r="DQ112" s="9">
        <v>32.07</v>
      </c>
      <c r="DR112" s="9">
        <v>10.52</v>
      </c>
      <c r="DS112" s="9">
        <v>11.27</v>
      </c>
      <c r="DT112" s="9">
        <v>0.6</v>
      </c>
      <c r="DU112" s="9">
        <v>95.3</v>
      </c>
      <c r="DV112" s="9">
        <v>80.13</v>
      </c>
      <c r="DW112" s="9">
        <v>6.49</v>
      </c>
      <c r="DX112" s="9">
        <v>34.799999999999997</v>
      </c>
      <c r="DY112" s="9">
        <v>16.48</v>
      </c>
      <c r="DZ112" s="9">
        <v>10.9</v>
      </c>
      <c r="EA112" s="9">
        <v>-105.708</v>
      </c>
      <c r="EB112" s="9">
        <v>-87.9208</v>
      </c>
      <c r="EC112" s="9">
        <v>-21.552299999999999</v>
      </c>
      <c r="ED112" s="9">
        <v>-7.9513600000000002</v>
      </c>
      <c r="EE112" s="9">
        <v>11.716699999999999</v>
      </c>
      <c r="EF112" s="9">
        <v>12.98678</v>
      </c>
      <c r="EG112" s="9">
        <v>15.69209</v>
      </c>
      <c r="EH112" s="9">
        <v>-47.7913</v>
      </c>
      <c r="EI112" s="9">
        <v>46.037889999999997</v>
      </c>
      <c r="EJ112" s="9">
        <v>0</v>
      </c>
      <c r="EK112" s="9">
        <v>17.445509999999999</v>
      </c>
      <c r="EL112" s="9">
        <v>104.5498</v>
      </c>
      <c r="EM112" s="9">
        <v>-3.8633199999999999</v>
      </c>
      <c r="EN112" s="9">
        <v>521.4</v>
      </c>
      <c r="EO112" s="9"/>
      <c r="EP112" s="9"/>
      <c r="EQ112" s="9"/>
      <c r="ER112" s="9"/>
      <c r="ES112" s="9"/>
      <c r="ET112" s="9"/>
      <c r="EU112">
        <v>1562.95</v>
      </c>
      <c r="EV112" s="9">
        <v>5120.01</v>
      </c>
      <c r="EW112" s="9">
        <v>1526.9</v>
      </c>
      <c r="EX112" s="9">
        <v>3.54</v>
      </c>
      <c r="EY112" s="9">
        <v>343.33</v>
      </c>
      <c r="EZ112" s="9">
        <v>735.51</v>
      </c>
      <c r="FA112" s="9">
        <v>2510.7199999999998</v>
      </c>
      <c r="FB112" s="9">
        <v>65.452110389599994</v>
      </c>
      <c r="FC112" s="9">
        <v>46.839090909100001</v>
      </c>
      <c r="FD112" s="9">
        <v>3770.875</v>
      </c>
      <c r="FE112" s="9">
        <v>64.072727272700007</v>
      </c>
      <c r="FF112" s="9">
        <v>924.27272727269997</v>
      </c>
      <c r="FG112">
        <v>2713768.93</v>
      </c>
      <c r="FH112">
        <v>2671726.5900000003</v>
      </c>
      <c r="FI112">
        <v>42042.34</v>
      </c>
      <c r="FJ112" s="9">
        <v>2543556.44</v>
      </c>
      <c r="FK112">
        <v>2011941.37</v>
      </c>
      <c r="FL112" s="9">
        <v>531615.07000000007</v>
      </c>
      <c r="FM112" s="9">
        <v>3903944.06</v>
      </c>
      <c r="FN112" s="9">
        <v>359061.83</v>
      </c>
      <c r="FO112">
        <v>1524.07</v>
      </c>
      <c r="FP112">
        <v>411.19</v>
      </c>
      <c r="FQ112">
        <v>47.58</v>
      </c>
      <c r="FR112">
        <v>101.91</v>
      </c>
      <c r="FS112">
        <v>7.81</v>
      </c>
      <c r="FT112">
        <v>483.47</v>
      </c>
      <c r="FU112">
        <v>74.150000000000006</v>
      </c>
      <c r="FV112">
        <v>2335.15</v>
      </c>
      <c r="FW112">
        <v>27495.119999999999</v>
      </c>
      <c r="FX112">
        <v>449.93</v>
      </c>
      <c r="HB112" s="6"/>
      <c r="HC112" s="6"/>
      <c r="HD112" s="6"/>
    </row>
    <row r="113" spans="1:212" x14ac:dyDescent="0.2">
      <c r="A113" s="8" t="s">
        <v>852</v>
      </c>
      <c r="B113" s="8" t="s">
        <v>319</v>
      </c>
      <c r="C113" s="8" t="s">
        <v>320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>
        <v>135542.39999999999</v>
      </c>
      <c r="BO113" s="9">
        <v>108252.7</v>
      </c>
      <c r="BP113" s="9">
        <v>27959.8</v>
      </c>
      <c r="BQ113" s="9">
        <v>14652.2</v>
      </c>
      <c r="BR113" s="9">
        <v>9073.9</v>
      </c>
      <c r="BS113" s="9">
        <v>8845.2999999999993</v>
      </c>
      <c r="BT113" s="9">
        <v>23651.3</v>
      </c>
      <c r="BU113" s="9">
        <v>14490.7</v>
      </c>
      <c r="BV113" s="9">
        <v>27057.8</v>
      </c>
      <c r="BW113" s="9">
        <v>137358.9</v>
      </c>
      <c r="BX113" s="9">
        <v>9140.7000000000007</v>
      </c>
      <c r="BY113" s="9">
        <v>30949.9</v>
      </c>
      <c r="BZ113" s="9">
        <v>45448.9</v>
      </c>
      <c r="CA113" s="9">
        <v>3216.9</v>
      </c>
      <c r="CB113" s="9">
        <v>2054.5</v>
      </c>
      <c r="CC113" s="9">
        <v>55688.7</v>
      </c>
      <c r="CD113" s="9">
        <v>0</v>
      </c>
      <c r="CE113" s="9">
        <v>25630.1</v>
      </c>
      <c r="CF113" s="9">
        <v>517897.87100330828</v>
      </c>
      <c r="CG113" s="9">
        <v>2340691.1296400079</v>
      </c>
      <c r="CH113" s="9"/>
      <c r="CI113" s="9"/>
      <c r="CJ113" s="9">
        <v>19.45</v>
      </c>
      <c r="CK113" s="9">
        <v>19.87</v>
      </c>
      <c r="CL113" s="9">
        <v>14</v>
      </c>
      <c r="CM113" s="9">
        <v>56.774818185000001</v>
      </c>
      <c r="CN113" s="9">
        <v>25.903133993400001</v>
      </c>
      <c r="CO113" s="9">
        <v>1.524109146</v>
      </c>
      <c r="CP113" s="9">
        <v>7.2438446921999997</v>
      </c>
      <c r="CQ113" s="9">
        <v>5.5245862102999999</v>
      </c>
      <c r="CR113" s="9">
        <v>2.8808180624999999</v>
      </c>
      <c r="CS113" s="9">
        <v>1.081178454</v>
      </c>
      <c r="CT113" s="9">
        <v>5.0790025187000003</v>
      </c>
      <c r="CU113" s="9">
        <v>0.82920699949999999</v>
      </c>
      <c r="CV113" s="9">
        <v>1.3267938777999999</v>
      </c>
      <c r="CW113" s="9">
        <v>3.4441290920999998</v>
      </c>
      <c r="CX113" s="9">
        <v>0.59187587949999998</v>
      </c>
      <c r="CY113" s="9">
        <v>1.3461392590000001</v>
      </c>
      <c r="CZ113" s="9">
        <v>124</v>
      </c>
      <c r="DA113" s="9">
        <v>102</v>
      </c>
      <c r="DB113" s="9">
        <v>17</v>
      </c>
      <c r="DC113" s="9">
        <v>33</v>
      </c>
      <c r="DD113" s="9">
        <v>7</v>
      </c>
      <c r="DE113" s="9">
        <v>6</v>
      </c>
      <c r="DF113" s="9">
        <v>26</v>
      </c>
      <c r="DG113" s="9">
        <v>7</v>
      </c>
      <c r="DH113" s="9">
        <v>17</v>
      </c>
      <c r="DI113" s="9">
        <v>1</v>
      </c>
      <c r="DJ113" s="9">
        <v>4</v>
      </c>
      <c r="DK113" s="9">
        <v>10</v>
      </c>
      <c r="DL113" s="9">
        <v>1</v>
      </c>
      <c r="DM113" s="9">
        <v>4</v>
      </c>
      <c r="DN113" s="9">
        <v>0</v>
      </c>
      <c r="DO113" s="9">
        <v>147.52000000000001</v>
      </c>
      <c r="DP113" s="9">
        <v>37.24</v>
      </c>
      <c r="DQ113" s="9">
        <v>26.12</v>
      </c>
      <c r="DR113" s="9">
        <v>11.13</v>
      </c>
      <c r="DS113" s="9">
        <v>13.09</v>
      </c>
      <c r="DT113" s="9">
        <v>0.54</v>
      </c>
      <c r="DU113" s="9">
        <v>68.63</v>
      </c>
      <c r="DV113" s="9">
        <v>48.96</v>
      </c>
      <c r="DW113" s="9">
        <v>9.7799999999999994</v>
      </c>
      <c r="DX113" s="9">
        <v>28.45</v>
      </c>
      <c r="DY113" s="9">
        <v>14.37</v>
      </c>
      <c r="DZ113" s="9">
        <v>7.12</v>
      </c>
      <c r="EA113" s="9">
        <v>-14.677099999999999</v>
      </c>
      <c r="EB113" s="9">
        <v>-16.9316</v>
      </c>
      <c r="EC113" s="9">
        <v>-6.7034799999999999</v>
      </c>
      <c r="ED113" s="9">
        <v>-7.2879100000000001</v>
      </c>
      <c r="EE113" s="9">
        <v>16.245920000000002</v>
      </c>
      <c r="EF113" s="9">
        <v>15.11989</v>
      </c>
      <c r="EG113" s="9">
        <v>32.209139999999998</v>
      </c>
      <c r="EH113" s="9">
        <v>8.8620260000000002</v>
      </c>
      <c r="EI113" s="9">
        <v>0.63468999999999998</v>
      </c>
      <c r="EJ113" s="9">
        <v>0</v>
      </c>
      <c r="EK113" s="9">
        <v>22.712420000000002</v>
      </c>
      <c r="EL113" s="9">
        <v>47.30556</v>
      </c>
      <c r="EM113" s="9">
        <v>15.539239999999999</v>
      </c>
      <c r="EN113" s="9">
        <v>630.6</v>
      </c>
      <c r="EO113" s="9"/>
      <c r="EP113" s="9"/>
      <c r="EQ113" s="9"/>
      <c r="ER113" s="9"/>
      <c r="ES113" s="9"/>
      <c r="ET113" s="9"/>
      <c r="EU113">
        <v>1430.72</v>
      </c>
      <c r="EV113" s="9"/>
      <c r="EW113" s="9"/>
      <c r="EX113" s="9"/>
      <c r="EY113" s="9"/>
      <c r="EZ113" s="9"/>
      <c r="FA113" s="9"/>
      <c r="FB113" s="9">
        <v>66.270535714299996</v>
      </c>
      <c r="FC113" s="9">
        <v>50.983181818200002</v>
      </c>
      <c r="FD113" s="9">
        <v>4436.9250000000002</v>
      </c>
      <c r="FE113" s="9">
        <v>59.781818181799999</v>
      </c>
      <c r="FF113" s="9">
        <v>890.2</v>
      </c>
      <c r="FG113">
        <v>2618531.12</v>
      </c>
      <c r="FH113">
        <v>2580239.4</v>
      </c>
      <c r="FI113">
        <v>38291.72</v>
      </c>
      <c r="FJ113" s="9">
        <v>2474240.4200000004</v>
      </c>
      <c r="FK113">
        <v>1984265.8200000003</v>
      </c>
      <c r="FL113" s="9">
        <v>489974.6</v>
      </c>
      <c r="FM113" s="9">
        <v>3758096.41</v>
      </c>
      <c r="FN113" s="9">
        <v>352584.91</v>
      </c>
      <c r="FO113">
        <v>1423.86</v>
      </c>
      <c r="FP113">
        <v>672.79</v>
      </c>
      <c r="FQ113">
        <v>50.99</v>
      </c>
      <c r="FR113">
        <v>138.84</v>
      </c>
      <c r="FS113">
        <v>9.25</v>
      </c>
      <c r="FT113">
        <v>627.70000000000005</v>
      </c>
      <c r="FU113">
        <v>150.38</v>
      </c>
      <c r="FV113">
        <v>868.15</v>
      </c>
      <c r="FW113">
        <v>31762.44</v>
      </c>
      <c r="FX113">
        <v>525.77</v>
      </c>
      <c r="HB113" s="6"/>
      <c r="HC113" s="6"/>
      <c r="HD113" s="6"/>
    </row>
    <row r="114" spans="1:212" x14ac:dyDescent="0.2">
      <c r="A114" s="8" t="s">
        <v>852</v>
      </c>
      <c r="B114" s="8" t="s">
        <v>319</v>
      </c>
      <c r="C114" s="8" t="s">
        <v>321</v>
      </c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>
        <v>163647.4</v>
      </c>
      <c r="BO114" s="9">
        <v>115076.2</v>
      </c>
      <c r="BP114" s="9">
        <v>27170.6</v>
      </c>
      <c r="BQ114" s="9">
        <v>10066.200000000001</v>
      </c>
      <c r="BR114" s="9">
        <v>8152.6</v>
      </c>
      <c r="BS114" s="9">
        <v>20532.7</v>
      </c>
      <c r="BT114" s="9">
        <v>29185.8</v>
      </c>
      <c r="BU114" s="9">
        <v>15607.8</v>
      </c>
      <c r="BV114" s="9">
        <v>48318.6</v>
      </c>
      <c r="BW114" s="9">
        <v>158774.39999999999</v>
      </c>
      <c r="BX114" s="9">
        <v>29269</v>
      </c>
      <c r="BY114" s="9">
        <v>31407.7</v>
      </c>
      <c r="BZ114" s="9">
        <v>47643.9</v>
      </c>
      <c r="CA114" s="9">
        <v>2915.5</v>
      </c>
      <c r="CB114" s="9">
        <v>2312.9</v>
      </c>
      <c r="CC114" s="9">
        <v>74494.2</v>
      </c>
      <c r="CD114" s="9">
        <v>0</v>
      </c>
      <c r="CE114" s="9">
        <v>23868.799999999999</v>
      </c>
      <c r="CF114" s="9">
        <v>559144.49014182994</v>
      </c>
      <c r="CG114" s="9">
        <v>2403511.3454962801</v>
      </c>
      <c r="CH114" s="9"/>
      <c r="CI114" s="9"/>
      <c r="CJ114" s="9">
        <v>23.3</v>
      </c>
      <c r="CK114" s="9">
        <v>17.600000000000001</v>
      </c>
      <c r="CL114" s="9">
        <v>12.75</v>
      </c>
      <c r="CM114" s="9">
        <v>56.816171362600002</v>
      </c>
      <c r="CN114" s="9">
        <v>26.043150933900002</v>
      </c>
      <c r="CO114" s="9">
        <v>1.5297393629</v>
      </c>
      <c r="CP114" s="9">
        <v>7.2653557381000002</v>
      </c>
      <c r="CQ114" s="9">
        <v>5.5131717760000001</v>
      </c>
      <c r="CR114" s="9">
        <v>2.8887651468</v>
      </c>
      <c r="CS114" s="9">
        <v>1.1174680084999999</v>
      </c>
      <c r="CT114" s="9">
        <v>4.8831703320999997</v>
      </c>
      <c r="CU114" s="9">
        <v>0.82819081449999998</v>
      </c>
      <c r="CV114" s="9">
        <v>1.3365817014000001</v>
      </c>
      <c r="CW114" s="9">
        <v>3.4441290920999998</v>
      </c>
      <c r="CX114" s="9">
        <v>0.59687362509999997</v>
      </c>
      <c r="CY114" s="9">
        <v>1.3695748311</v>
      </c>
      <c r="CZ114" s="9">
        <v>148</v>
      </c>
      <c r="DA114" s="9">
        <v>123</v>
      </c>
      <c r="DB114" s="9">
        <v>26</v>
      </c>
      <c r="DC114" s="9">
        <v>37</v>
      </c>
      <c r="DD114" s="9">
        <v>7</v>
      </c>
      <c r="DE114" s="9">
        <v>11</v>
      </c>
      <c r="DF114" s="9">
        <v>27</v>
      </c>
      <c r="DG114" s="9">
        <v>8</v>
      </c>
      <c r="DH114" s="9">
        <v>20</v>
      </c>
      <c r="DI114" s="9">
        <v>1</v>
      </c>
      <c r="DJ114" s="9">
        <v>1</v>
      </c>
      <c r="DK114" s="9">
        <v>17</v>
      </c>
      <c r="DL114" s="9">
        <v>0</v>
      </c>
      <c r="DM114" s="9">
        <v>5</v>
      </c>
      <c r="DN114" s="9">
        <v>0</v>
      </c>
      <c r="DO114" s="9">
        <v>157.02000000000001</v>
      </c>
      <c r="DP114" s="9">
        <v>42.91</v>
      </c>
      <c r="DQ114" s="9">
        <v>29.52</v>
      </c>
      <c r="DR114" s="9">
        <v>13.39</v>
      </c>
      <c r="DS114" s="9">
        <v>14.22</v>
      </c>
      <c r="DT114" s="9">
        <v>0.82</v>
      </c>
      <c r="DU114" s="9">
        <v>60.19</v>
      </c>
      <c r="DV114" s="9">
        <v>41.35</v>
      </c>
      <c r="DW114" s="9">
        <v>14.03</v>
      </c>
      <c r="DX114" s="9">
        <v>39.6</v>
      </c>
      <c r="DY114" s="9">
        <v>21.87</v>
      </c>
      <c r="DZ114" s="9">
        <v>8.31</v>
      </c>
      <c r="EA114" s="9">
        <v>-29.634</v>
      </c>
      <c r="EB114" s="9">
        <v>-3.9247200000000002</v>
      </c>
      <c r="EC114" s="9">
        <v>-25.835100000000001</v>
      </c>
      <c r="ED114" s="9">
        <v>-13.6448</v>
      </c>
      <c r="EE114" s="9">
        <v>13.77061</v>
      </c>
      <c r="EF114" s="9">
        <v>14.83568</v>
      </c>
      <c r="EG114" s="9">
        <v>-52.770499999999998</v>
      </c>
      <c r="EH114" s="9">
        <v>-0.68700000000000006</v>
      </c>
      <c r="EI114" s="9">
        <v>-71.7226</v>
      </c>
      <c r="EJ114" s="9">
        <v>0</v>
      </c>
      <c r="EK114" s="9">
        <v>19.639140000000001</v>
      </c>
      <c r="EL114" s="9">
        <v>-2.6952099999999999</v>
      </c>
      <c r="EM114" s="9">
        <v>35.276949999999999</v>
      </c>
      <c r="EN114" s="9">
        <v>648.6</v>
      </c>
      <c r="EO114" s="9"/>
      <c r="EP114" s="9"/>
      <c r="EQ114" s="9"/>
      <c r="ER114" s="9"/>
      <c r="ES114" s="9"/>
      <c r="ET114" s="9"/>
      <c r="EU114">
        <v>1423.94</v>
      </c>
      <c r="EV114" s="9"/>
      <c r="EW114" s="9"/>
      <c r="EX114" s="9"/>
      <c r="EY114" s="9"/>
      <c r="EZ114" s="9"/>
      <c r="FA114" s="9"/>
      <c r="FB114" s="9">
        <v>67.015037594000006</v>
      </c>
      <c r="FC114" s="9">
        <v>57.941428571400003</v>
      </c>
      <c r="FD114" s="9">
        <v>4591.4605263158001</v>
      </c>
      <c r="FE114" s="9">
        <v>62.6904761905</v>
      </c>
      <c r="FF114" s="9">
        <v>928.64473684209997</v>
      </c>
      <c r="FG114">
        <v>2573503.8299999996</v>
      </c>
      <c r="FH114">
        <v>2534906.9699999997</v>
      </c>
      <c r="FI114">
        <v>38596.86</v>
      </c>
      <c r="FJ114" s="9">
        <v>2528591.12</v>
      </c>
      <c r="FK114">
        <v>2029014.48</v>
      </c>
      <c r="FL114" s="9">
        <v>499576.64</v>
      </c>
      <c r="FM114" s="9">
        <v>3755782.45</v>
      </c>
      <c r="FN114" s="9">
        <v>315904.27</v>
      </c>
      <c r="FO114">
        <v>1428.37</v>
      </c>
      <c r="FP114">
        <v>897.38</v>
      </c>
      <c r="FQ114">
        <v>51.29</v>
      </c>
      <c r="FR114">
        <v>128.55000000000001</v>
      </c>
      <c r="FS114">
        <v>15.99</v>
      </c>
      <c r="FT114">
        <v>641.04999999999995</v>
      </c>
      <c r="FU114">
        <v>158.44999999999999</v>
      </c>
      <c r="FV114">
        <v>238.97</v>
      </c>
      <c r="FW114">
        <v>15361.79</v>
      </c>
      <c r="FX114">
        <v>614.37</v>
      </c>
      <c r="HB114" s="6"/>
      <c r="HC114" s="6"/>
      <c r="HD114" s="6"/>
    </row>
    <row r="115" spans="1:212" x14ac:dyDescent="0.2">
      <c r="A115" s="8" t="s">
        <v>852</v>
      </c>
      <c r="B115" s="8" t="s">
        <v>319</v>
      </c>
      <c r="C115" s="8" t="s">
        <v>322</v>
      </c>
      <c r="D115" s="9">
        <v>1708257.8</v>
      </c>
      <c r="E115" s="9">
        <v>403224</v>
      </c>
      <c r="F115" s="9">
        <v>299852.2</v>
      </c>
      <c r="G115" s="9">
        <v>104104.5</v>
      </c>
      <c r="H115" s="9">
        <v>43140.1</v>
      </c>
      <c r="I115" s="9">
        <v>13248.6</v>
      </c>
      <c r="J115" s="9">
        <v>71860.600000000006</v>
      </c>
      <c r="K115" s="9">
        <v>118191.3</v>
      </c>
      <c r="L115" s="9">
        <v>52805.599999999999</v>
      </c>
      <c r="M115" s="9">
        <v>439888.4</v>
      </c>
      <c r="N115" s="9">
        <v>161942.6</v>
      </c>
      <c r="O115" s="9">
        <v>3434091.9459804432</v>
      </c>
      <c r="P115" s="9">
        <v>723697.28962382069</v>
      </c>
      <c r="Q115" s="9">
        <v>491165.27974895173</v>
      </c>
      <c r="R115" s="9">
        <v>265360.2279155507</v>
      </c>
      <c r="S115" s="9">
        <v>99770.396935238299</v>
      </c>
      <c r="T115" s="9">
        <v>51114.046665979302</v>
      </c>
      <c r="U115" s="9">
        <v>187179.87242719191</v>
      </c>
      <c r="V115" s="9">
        <v>162597.4737725915</v>
      </c>
      <c r="W115" s="9">
        <v>75369.480369750803</v>
      </c>
      <c r="X115" s="9">
        <v>1123924.9063841619</v>
      </c>
      <c r="Y115" s="9">
        <v>253912.972137206</v>
      </c>
      <c r="Z115" s="9">
        <v>1643946.1</v>
      </c>
      <c r="AA115" s="9">
        <v>923826.9</v>
      </c>
      <c r="AB115" s="9">
        <v>249707.6</v>
      </c>
      <c r="AC115" s="9">
        <v>492700.3</v>
      </c>
      <c r="AD115" s="9">
        <v>93494.3</v>
      </c>
      <c r="AE115" s="9">
        <v>786623.4</v>
      </c>
      <c r="AF115" s="9">
        <v>902406.5</v>
      </c>
      <c r="AG115" s="9">
        <v>3292561.5077329879</v>
      </c>
      <c r="AH115" s="9">
        <v>1835260.703065739</v>
      </c>
      <c r="AI115" s="9">
        <v>487523.98872154072</v>
      </c>
      <c r="AJ115" s="9">
        <v>879994.73447247886</v>
      </c>
      <c r="AK115" s="9">
        <v>216835.2100259561</v>
      </c>
      <c r="AL115" s="9">
        <v>1056303.58752515</v>
      </c>
      <c r="AM115" s="9">
        <v>1183356.716077876</v>
      </c>
      <c r="AN115" s="9">
        <v>945425</v>
      </c>
      <c r="AO115" s="9">
        <v>492204</v>
      </c>
      <c r="AP115" s="9">
        <v>453221</v>
      </c>
      <c r="AQ115" s="9">
        <v>110443</v>
      </c>
      <c r="AR115" s="9">
        <v>53718</v>
      </c>
      <c r="AS115" s="9">
        <v>56725</v>
      </c>
      <c r="AT115" s="9">
        <v>631834</v>
      </c>
      <c r="AU115" s="9">
        <v>253451</v>
      </c>
      <c r="AV115" s="9">
        <v>378383</v>
      </c>
      <c r="AW115" s="9">
        <v>309.2</v>
      </c>
      <c r="AX115" s="9">
        <v>166.6</v>
      </c>
      <c r="AY115" s="9">
        <v>484.6</v>
      </c>
      <c r="AZ115" s="9">
        <v>270.39999999999998</v>
      </c>
      <c r="BA115" s="9">
        <v>296.10000000000002</v>
      </c>
      <c r="BB115" s="9"/>
      <c r="BC115" s="9">
        <v>213.3</v>
      </c>
      <c r="BD115" s="9">
        <v>229.8</v>
      </c>
      <c r="BE115" s="9">
        <v>307.8</v>
      </c>
      <c r="BF115" s="9">
        <v>240.9</v>
      </c>
      <c r="BG115" s="9"/>
      <c r="BH115" s="9">
        <v>591</v>
      </c>
      <c r="BI115" s="9">
        <v>275.3</v>
      </c>
      <c r="BJ115" s="9">
        <v>351.2</v>
      </c>
      <c r="BK115" s="9">
        <v>301.89999999999998</v>
      </c>
      <c r="BL115" s="9"/>
      <c r="BM115" s="9">
        <v>269.39999999999998</v>
      </c>
      <c r="BN115" s="9">
        <v>193201.8</v>
      </c>
      <c r="BO115" s="9">
        <v>145469</v>
      </c>
      <c r="BP115" s="9">
        <v>34654.300000000003</v>
      </c>
      <c r="BQ115" s="9">
        <v>8940.2999999999993</v>
      </c>
      <c r="BR115" s="9">
        <v>13132.6</v>
      </c>
      <c r="BS115" s="9">
        <v>28242.7</v>
      </c>
      <c r="BT115" s="9">
        <v>31005.7</v>
      </c>
      <c r="BU115" s="9">
        <v>18863.599999999999</v>
      </c>
      <c r="BV115" s="9">
        <v>47263.5</v>
      </c>
      <c r="BW115" s="9">
        <v>157962.5</v>
      </c>
      <c r="BX115" s="9">
        <v>72083.399999999994</v>
      </c>
      <c r="BY115" s="9">
        <v>32110</v>
      </c>
      <c r="BZ115" s="9">
        <v>71559</v>
      </c>
      <c r="CA115" s="9">
        <v>2448.4</v>
      </c>
      <c r="CB115" s="9">
        <v>2407.1999999999998</v>
      </c>
      <c r="CC115" s="9">
        <v>49438</v>
      </c>
      <c r="CD115" s="9">
        <v>0</v>
      </c>
      <c r="CE115" s="9">
        <v>32643.599999999999</v>
      </c>
      <c r="CF115" s="9">
        <v>544382.06301740999</v>
      </c>
      <c r="CG115" s="9">
        <v>2438367.8967239461</v>
      </c>
      <c r="CH115" s="9"/>
      <c r="CI115" s="9"/>
      <c r="CJ115" s="9">
        <v>23.5</v>
      </c>
      <c r="CK115" s="9">
        <v>16.3</v>
      </c>
      <c r="CL115" s="9">
        <v>11.5</v>
      </c>
      <c r="CM115" s="9">
        <v>56.032020041700001</v>
      </c>
      <c r="CN115" s="9">
        <v>25.0630323504</v>
      </c>
      <c r="CO115" s="9">
        <v>1.5386678028</v>
      </c>
      <c r="CP115" s="9">
        <v>7.2922445454</v>
      </c>
      <c r="CQ115" s="9">
        <v>5.5512198903999996</v>
      </c>
      <c r="CR115" s="9">
        <v>2.920553484</v>
      </c>
      <c r="CS115" s="9">
        <v>1.1193450545000001</v>
      </c>
      <c r="CT115" s="9">
        <v>4.9021218339999999</v>
      </c>
      <c r="CU115" s="9">
        <v>0.84343359019999997</v>
      </c>
      <c r="CV115" s="9">
        <v>1.3528947409000001</v>
      </c>
      <c r="CW115" s="9">
        <v>3.4441290920999998</v>
      </c>
      <c r="CX115" s="9">
        <v>0.61793555330000005</v>
      </c>
      <c r="CY115" s="9">
        <v>1.3789490599000001</v>
      </c>
      <c r="CZ115" s="9">
        <v>164</v>
      </c>
      <c r="DA115" s="9">
        <v>111</v>
      </c>
      <c r="DB115" s="9">
        <v>0</v>
      </c>
      <c r="DC115" s="9">
        <v>39</v>
      </c>
      <c r="DD115" s="9">
        <v>6</v>
      </c>
      <c r="DE115" s="9">
        <v>15</v>
      </c>
      <c r="DF115" s="9">
        <v>36</v>
      </c>
      <c r="DG115" s="9">
        <v>8</v>
      </c>
      <c r="DH115" s="9">
        <v>46</v>
      </c>
      <c r="DI115" s="9">
        <v>1</v>
      </c>
      <c r="DJ115" s="9">
        <v>2</v>
      </c>
      <c r="DK115" s="9">
        <v>40</v>
      </c>
      <c r="DL115" s="9">
        <v>0</v>
      </c>
      <c r="DM115" s="9">
        <v>7</v>
      </c>
      <c r="DN115" s="9">
        <v>0</v>
      </c>
      <c r="DO115" s="9">
        <v>202.92</v>
      </c>
      <c r="DP115" s="9">
        <v>53.74</v>
      </c>
      <c r="DQ115" s="9">
        <v>38</v>
      </c>
      <c r="DR115" s="9">
        <v>15.74</v>
      </c>
      <c r="DS115" s="9">
        <v>19.64</v>
      </c>
      <c r="DT115" s="9">
        <v>0.51</v>
      </c>
      <c r="DU115" s="9">
        <v>85.42</v>
      </c>
      <c r="DV115" s="9">
        <v>51.76</v>
      </c>
      <c r="DW115" s="9">
        <v>16.97</v>
      </c>
      <c r="DX115" s="9">
        <v>44.07</v>
      </c>
      <c r="DY115" s="9">
        <v>25.85</v>
      </c>
      <c r="DZ115" s="9">
        <v>8.7899999999999991</v>
      </c>
      <c r="EA115" s="9">
        <v>-16.629799999999999</v>
      </c>
      <c r="EB115" s="9">
        <v>-23.587499999999999</v>
      </c>
      <c r="EC115" s="9">
        <v>-4.0864799999999999</v>
      </c>
      <c r="ED115" s="9">
        <v>-3.0861900000000002</v>
      </c>
      <c r="EE115" s="9">
        <v>14.13043</v>
      </c>
      <c r="EF115" s="9">
        <v>14.556179999999999</v>
      </c>
      <c r="EG115" s="9">
        <v>-58.027799999999999</v>
      </c>
      <c r="EH115" s="9">
        <v>-18.5505</v>
      </c>
      <c r="EI115" s="9">
        <v>-53.263800000000003</v>
      </c>
      <c r="EJ115" s="9">
        <v>0</v>
      </c>
      <c r="EK115" s="9">
        <v>13.786440000000001</v>
      </c>
      <c r="EL115" s="9">
        <v>26.06287</v>
      </c>
      <c r="EM115" s="9">
        <v>82.017060000000001</v>
      </c>
      <c r="EN115" s="9">
        <v>783.3</v>
      </c>
      <c r="EO115" s="9"/>
      <c r="EP115" s="9"/>
      <c r="EQ115" s="9"/>
      <c r="ER115" s="9"/>
      <c r="ES115" s="9"/>
      <c r="ET115" s="9"/>
      <c r="EU115">
        <v>1428.56</v>
      </c>
      <c r="EV115" s="9">
        <v>5422.8</v>
      </c>
      <c r="EW115" s="9">
        <v>1642.25</v>
      </c>
      <c r="EX115" s="9">
        <v>189.99</v>
      </c>
      <c r="EY115" s="9">
        <v>319.60000000000002</v>
      </c>
      <c r="EZ115" s="9">
        <v>749.78</v>
      </c>
      <c r="FA115" s="9">
        <v>2521.17</v>
      </c>
      <c r="FB115" s="9">
        <v>75.813311688300004</v>
      </c>
      <c r="FC115" s="9">
        <v>68.616818181799999</v>
      </c>
      <c r="FD115" s="9">
        <v>5015.4318181817998</v>
      </c>
      <c r="FE115" s="9">
        <v>71.659090909100001</v>
      </c>
      <c r="FF115" s="9">
        <v>945.67045454549998</v>
      </c>
      <c r="FG115">
        <v>2597726.6100000003</v>
      </c>
      <c r="FH115">
        <v>2558929.7400000002</v>
      </c>
      <c r="FI115">
        <v>38796.870000000003</v>
      </c>
      <c r="FJ115" s="9">
        <v>2700802.2800000003</v>
      </c>
      <c r="FK115">
        <v>2087644.3</v>
      </c>
      <c r="FL115" s="9">
        <v>613157.98</v>
      </c>
      <c r="FM115" s="9">
        <v>3920811.64</v>
      </c>
      <c r="FN115" s="9">
        <v>323391.92</v>
      </c>
      <c r="FO115">
        <v>1435.49</v>
      </c>
      <c r="FP115">
        <v>0</v>
      </c>
      <c r="FQ115">
        <v>50.61</v>
      </c>
      <c r="FR115">
        <v>126.07</v>
      </c>
      <c r="FS115">
        <v>19.350000000000001</v>
      </c>
      <c r="FT115">
        <v>855.39</v>
      </c>
      <c r="FU115">
        <v>128.33000000000001</v>
      </c>
      <c r="FV115">
        <v>544.38</v>
      </c>
      <c r="FW115">
        <v>12047.51</v>
      </c>
      <c r="FX115">
        <v>1492.69</v>
      </c>
      <c r="HB115" s="6"/>
      <c r="HC115" s="6"/>
      <c r="HD115" s="6"/>
    </row>
    <row r="116" spans="1:212" x14ac:dyDescent="0.2">
      <c r="A116" s="8" t="s">
        <v>852</v>
      </c>
      <c r="B116" s="8" t="s">
        <v>323</v>
      </c>
      <c r="C116" s="8" t="s">
        <v>324</v>
      </c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>
        <v>163827.4</v>
      </c>
      <c r="BO116" s="9">
        <v>136995.6</v>
      </c>
      <c r="BP116" s="9">
        <v>43779.7</v>
      </c>
      <c r="BQ116" s="9">
        <v>18521.599999999999</v>
      </c>
      <c r="BR116" s="9">
        <v>10229.700000000001</v>
      </c>
      <c r="BS116" s="9">
        <v>17861.099999999999</v>
      </c>
      <c r="BT116" s="9">
        <v>31230.7</v>
      </c>
      <c r="BU116" s="9">
        <v>14284</v>
      </c>
      <c r="BV116" s="9">
        <v>13712.6</v>
      </c>
      <c r="BW116" s="9">
        <v>125550.2</v>
      </c>
      <c r="BX116" s="9">
        <v>2839.7</v>
      </c>
      <c r="BY116" s="9">
        <v>25713.8</v>
      </c>
      <c r="BZ116" s="9">
        <v>34868.300000000003</v>
      </c>
      <c r="CA116" s="9">
        <v>393.6</v>
      </c>
      <c r="CB116" s="9">
        <v>2059.8000000000002</v>
      </c>
      <c r="CC116" s="9">
        <v>62514.7</v>
      </c>
      <c r="CD116" s="9">
        <v>0</v>
      </c>
      <c r="CE116" s="9">
        <v>55763</v>
      </c>
      <c r="CF116" s="9">
        <v>521831.83746044798</v>
      </c>
      <c r="CG116" s="9">
        <v>2509088.7804056439</v>
      </c>
      <c r="CH116" s="9"/>
      <c r="CI116" s="9"/>
      <c r="CJ116" s="9">
        <v>23.3943713916</v>
      </c>
      <c r="CK116" s="9">
        <v>17.639636861100001</v>
      </c>
      <c r="CL116" s="9">
        <v>11.5</v>
      </c>
      <c r="CM116" s="9">
        <v>55.280895024599999</v>
      </c>
      <c r="CN116" s="9">
        <v>24.0129052966</v>
      </c>
      <c r="CO116" s="9">
        <v>1.5466041937999999</v>
      </c>
      <c r="CP116" s="9">
        <v>7.3352666371000002</v>
      </c>
      <c r="CQ116" s="9">
        <v>5.5702439475999999</v>
      </c>
      <c r="CR116" s="9">
        <v>2.9344608816000002</v>
      </c>
      <c r="CS116" s="9">
        <v>1.1249761922999999</v>
      </c>
      <c r="CT116" s="9">
        <v>5.1042711880000002</v>
      </c>
      <c r="CU116" s="9">
        <v>0.84140122009999996</v>
      </c>
      <c r="CV116" s="9">
        <v>1.3518072050000001</v>
      </c>
      <c r="CW116" s="9">
        <v>3.4441290920999998</v>
      </c>
      <c r="CX116" s="9">
        <v>0.61900649880000003</v>
      </c>
      <c r="CY116" s="9">
        <v>1.3958226718</v>
      </c>
      <c r="CZ116" s="9">
        <v>165</v>
      </c>
      <c r="DA116" s="9">
        <v>125</v>
      </c>
      <c r="DB116" s="9">
        <v>0</v>
      </c>
      <c r="DC116" s="9">
        <v>39</v>
      </c>
      <c r="DD116" s="9">
        <v>6</v>
      </c>
      <c r="DE116" s="9">
        <v>18</v>
      </c>
      <c r="DF116" s="9">
        <v>44</v>
      </c>
      <c r="DG116" s="9">
        <v>12</v>
      </c>
      <c r="DH116" s="9">
        <v>31</v>
      </c>
      <c r="DI116" s="9">
        <v>1</v>
      </c>
      <c r="DJ116" s="9">
        <v>1</v>
      </c>
      <c r="DK116" s="9">
        <v>28</v>
      </c>
      <c r="DL116" s="9">
        <v>0</v>
      </c>
      <c r="DM116" s="9">
        <v>8</v>
      </c>
      <c r="DN116" s="9">
        <v>0</v>
      </c>
      <c r="DO116" s="9">
        <v>194.46</v>
      </c>
      <c r="DP116" s="9">
        <v>48.32</v>
      </c>
      <c r="DQ116" s="9">
        <v>31.16</v>
      </c>
      <c r="DR116" s="9">
        <v>17.16</v>
      </c>
      <c r="DS116" s="9">
        <v>16.43</v>
      </c>
      <c r="DT116" s="9">
        <v>0.66</v>
      </c>
      <c r="DU116" s="9">
        <v>78.53</v>
      </c>
      <c r="DV116" s="9">
        <v>42.52</v>
      </c>
      <c r="DW116" s="9">
        <v>20.39</v>
      </c>
      <c r="DX116" s="9">
        <v>51.17</v>
      </c>
      <c r="DY116" s="9">
        <v>28.41</v>
      </c>
      <c r="DZ116" s="9">
        <v>11.89</v>
      </c>
      <c r="EA116" s="9">
        <v>-33.637599999999999</v>
      </c>
      <c r="EB116" s="9">
        <v>-29.127600000000001</v>
      </c>
      <c r="EC116" s="9">
        <v>-1.74604</v>
      </c>
      <c r="ED116" s="9">
        <v>-21.805</v>
      </c>
      <c r="EE116" s="9">
        <v>19.041070000000001</v>
      </c>
      <c r="EF116" s="9">
        <v>14.66014</v>
      </c>
      <c r="EG116" s="9">
        <v>-86.395300000000006</v>
      </c>
      <c r="EH116" s="9">
        <v>-52.160200000000003</v>
      </c>
      <c r="EI116" s="9">
        <v>-6.6275199999999996</v>
      </c>
      <c r="EJ116" s="9">
        <v>0</v>
      </c>
      <c r="EK116" s="9">
        <v>-27.607600000000001</v>
      </c>
      <c r="EL116" s="9">
        <v>-57.7712</v>
      </c>
      <c r="EM116" s="9">
        <v>9.6466069999999995</v>
      </c>
      <c r="EN116" s="9">
        <v>818.6</v>
      </c>
      <c r="EO116" s="9"/>
      <c r="EP116" s="9"/>
      <c r="EQ116" s="9"/>
      <c r="ER116" s="9"/>
      <c r="ES116" s="9"/>
      <c r="ET116" s="9"/>
      <c r="EU116">
        <v>1455.62</v>
      </c>
      <c r="EV116" s="9"/>
      <c r="EW116" s="9"/>
      <c r="EX116" s="9"/>
      <c r="EY116" s="9"/>
      <c r="EZ116" s="9"/>
      <c r="FA116" s="9"/>
      <c r="FB116" s="9">
        <v>77.620341614899999</v>
      </c>
      <c r="FC116" s="9">
        <v>64.91</v>
      </c>
      <c r="FD116" s="9">
        <v>5228.4130434783001</v>
      </c>
      <c r="FE116" s="9">
        <v>83.952173912999996</v>
      </c>
      <c r="FF116" s="9">
        <v>934.22826086960004</v>
      </c>
      <c r="FG116">
        <v>2619866.98</v>
      </c>
      <c r="FH116">
        <v>2580778.52</v>
      </c>
      <c r="FI116">
        <v>39088.46</v>
      </c>
      <c r="FJ116" s="9">
        <v>2795429.49</v>
      </c>
      <c r="FK116">
        <v>2166954.0299999998</v>
      </c>
      <c r="FL116" s="9">
        <v>628475.46</v>
      </c>
      <c r="FM116" s="9">
        <v>3952094.92</v>
      </c>
      <c r="FN116" s="9">
        <v>270869.28999999998</v>
      </c>
      <c r="FO116">
        <v>1455.3</v>
      </c>
      <c r="FP116">
        <v>0</v>
      </c>
      <c r="FQ116">
        <v>44.91</v>
      </c>
      <c r="FR116">
        <v>137.58000000000001</v>
      </c>
      <c r="FS116">
        <v>23.39</v>
      </c>
      <c r="FT116">
        <v>997.12</v>
      </c>
      <c r="FU116">
        <v>196.93</v>
      </c>
      <c r="FV116">
        <v>487.46</v>
      </c>
      <c r="FW116">
        <v>4766.3100000000004</v>
      </c>
      <c r="FX116">
        <v>980.76</v>
      </c>
      <c r="HB116" s="6"/>
      <c r="HC116" s="6"/>
      <c r="HD116" s="6"/>
    </row>
    <row r="117" spans="1:212" x14ac:dyDescent="0.2">
      <c r="A117" s="8" t="s">
        <v>852</v>
      </c>
      <c r="B117" s="8" t="s">
        <v>323</v>
      </c>
      <c r="C117" s="8" t="s">
        <v>325</v>
      </c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>
        <v>147711</v>
      </c>
      <c r="BO117" s="9">
        <v>133547.9</v>
      </c>
      <c r="BP117" s="9">
        <v>48903.7</v>
      </c>
      <c r="BQ117" s="9">
        <v>24725.5</v>
      </c>
      <c r="BR117" s="9">
        <v>8071.4</v>
      </c>
      <c r="BS117" s="9">
        <v>20770.400000000001</v>
      </c>
      <c r="BT117" s="9">
        <v>32145.8</v>
      </c>
      <c r="BU117" s="9">
        <v>10300</v>
      </c>
      <c r="BV117" s="9">
        <v>13961.2</v>
      </c>
      <c r="BW117" s="9">
        <v>135926.39999999999</v>
      </c>
      <c r="BX117" s="9">
        <v>14912.9</v>
      </c>
      <c r="BY117" s="9">
        <v>26909.599999999999</v>
      </c>
      <c r="BZ117" s="9">
        <v>40125.699999999997</v>
      </c>
      <c r="CA117" s="9">
        <v>2913.7</v>
      </c>
      <c r="CB117" s="9">
        <v>1863</v>
      </c>
      <c r="CC117" s="9">
        <v>64114.3</v>
      </c>
      <c r="CD117" s="9">
        <v>0</v>
      </c>
      <c r="CE117" s="9">
        <v>49783.9</v>
      </c>
      <c r="CF117" s="9">
        <v>597140.07197765796</v>
      </c>
      <c r="CG117" s="9">
        <v>2563470.6112568011</v>
      </c>
      <c r="CH117" s="9"/>
      <c r="CI117" s="9"/>
      <c r="CJ117" s="9">
        <v>23.7</v>
      </c>
      <c r="CK117" s="9">
        <v>15.9</v>
      </c>
      <c r="CL117" s="9">
        <v>11.5</v>
      </c>
      <c r="CM117" s="9">
        <v>54.966325120400001</v>
      </c>
      <c r="CN117" s="9">
        <v>23.088793489299999</v>
      </c>
      <c r="CO117" s="9">
        <v>1.5565246825000001</v>
      </c>
      <c r="CP117" s="9">
        <v>7.4266885819999997</v>
      </c>
      <c r="CQ117" s="9">
        <v>5.5892680048000001</v>
      </c>
      <c r="CR117" s="9">
        <v>2.9662492187999998</v>
      </c>
      <c r="CS117" s="9">
        <v>1.1281046021000001</v>
      </c>
      <c r="CT117" s="9">
        <v>5.1895529467000001</v>
      </c>
      <c r="CU117" s="9">
        <v>0.84140122009999996</v>
      </c>
      <c r="CV117" s="9">
        <v>1.3583324208000001</v>
      </c>
      <c r="CW117" s="9">
        <v>3.7862736397000001</v>
      </c>
      <c r="CX117" s="9">
        <v>0.62900199010000002</v>
      </c>
      <c r="CY117" s="9">
        <v>1.4061343234999999</v>
      </c>
      <c r="CZ117" s="9">
        <v>173</v>
      </c>
      <c r="DA117" s="9">
        <v>134</v>
      </c>
      <c r="DB117" s="9">
        <v>17</v>
      </c>
      <c r="DC117" s="9">
        <v>44</v>
      </c>
      <c r="DD117" s="9">
        <v>7</v>
      </c>
      <c r="DE117" s="9">
        <v>10</v>
      </c>
      <c r="DF117" s="9">
        <v>34</v>
      </c>
      <c r="DG117" s="9">
        <v>12</v>
      </c>
      <c r="DH117" s="9">
        <v>30</v>
      </c>
      <c r="DI117" s="9">
        <v>3</v>
      </c>
      <c r="DJ117" s="9">
        <v>1</v>
      </c>
      <c r="DK117" s="9">
        <v>24</v>
      </c>
      <c r="DL117" s="9">
        <v>0</v>
      </c>
      <c r="DM117" s="9">
        <v>10</v>
      </c>
      <c r="DN117" s="9">
        <v>0</v>
      </c>
      <c r="DO117" s="9">
        <v>181.33</v>
      </c>
      <c r="DP117" s="9">
        <v>46.55</v>
      </c>
      <c r="DQ117" s="9">
        <v>28.61</v>
      </c>
      <c r="DR117" s="9">
        <v>17.95</v>
      </c>
      <c r="DS117" s="9">
        <v>12.22</v>
      </c>
      <c r="DT117" s="9">
        <v>0.64</v>
      </c>
      <c r="DU117" s="9">
        <v>73.08</v>
      </c>
      <c r="DV117" s="9">
        <v>29.43</v>
      </c>
      <c r="DW117" s="9">
        <v>22.6</v>
      </c>
      <c r="DX117" s="9">
        <v>49.47</v>
      </c>
      <c r="DY117" s="9">
        <v>25.19</v>
      </c>
      <c r="DZ117" s="9">
        <v>12.43</v>
      </c>
      <c r="EA117" s="9">
        <v>-8.5747900000000001</v>
      </c>
      <c r="EB117" s="9">
        <v>-19.1236</v>
      </c>
      <c r="EC117" s="9">
        <v>7.1116320000000002</v>
      </c>
      <c r="ED117" s="9">
        <v>-15.3932</v>
      </c>
      <c r="EE117" s="9">
        <v>18.830359999999999</v>
      </c>
      <c r="EF117" s="9">
        <v>14.181330000000001</v>
      </c>
      <c r="EG117" s="9">
        <v>-162.15299999999999</v>
      </c>
      <c r="EH117" s="9">
        <v>-52.982100000000003</v>
      </c>
      <c r="EI117" s="9">
        <v>-0.70552000000000004</v>
      </c>
      <c r="EJ117" s="9">
        <v>0</v>
      </c>
      <c r="EK117" s="9">
        <v>-108.465</v>
      </c>
      <c r="EL117" s="9">
        <v>-27.295200000000001</v>
      </c>
      <c r="EM117" s="9">
        <v>140.464</v>
      </c>
      <c r="EN117" s="9">
        <v>962.6</v>
      </c>
      <c r="EO117" s="9"/>
      <c r="EP117" s="9"/>
      <c r="EQ117" s="9"/>
      <c r="ER117" s="9"/>
      <c r="ES117" s="9"/>
      <c r="ET117" s="9"/>
      <c r="EU117">
        <v>1446.33</v>
      </c>
      <c r="EV117" s="9"/>
      <c r="EW117" s="9"/>
      <c r="EX117" s="9"/>
      <c r="EY117" s="9"/>
      <c r="EZ117" s="9"/>
      <c r="FA117" s="9"/>
      <c r="FB117" s="9">
        <v>77.882142857100007</v>
      </c>
      <c r="FC117" s="9">
        <v>72.504761904800006</v>
      </c>
      <c r="FD117" s="9">
        <v>6176.875</v>
      </c>
      <c r="FE117" s="9">
        <v>97.666666666699996</v>
      </c>
      <c r="FF117" s="9">
        <v>949.375</v>
      </c>
      <c r="FG117">
        <v>2626926.6599999997</v>
      </c>
      <c r="FH117">
        <v>2588829.0699999998</v>
      </c>
      <c r="FI117">
        <v>38097.589999999997</v>
      </c>
      <c r="FJ117" s="9">
        <v>2806437.3899999997</v>
      </c>
      <c r="FK117">
        <v>2196785.0999999996</v>
      </c>
      <c r="FL117" s="9">
        <v>609652.29</v>
      </c>
      <c r="FM117" s="9">
        <v>3985299.49</v>
      </c>
      <c r="FN117" s="9">
        <v>284666.71000000002</v>
      </c>
      <c r="FO117">
        <v>1429.05</v>
      </c>
      <c r="FP117">
        <v>645.70000000000005</v>
      </c>
      <c r="FQ117">
        <v>49.19</v>
      </c>
      <c r="FR117">
        <v>163.44</v>
      </c>
      <c r="FS117">
        <v>13.04</v>
      </c>
      <c r="FT117">
        <v>761.24</v>
      </c>
      <c r="FU117">
        <v>193.32</v>
      </c>
      <c r="FV117">
        <v>936.25</v>
      </c>
      <c r="FW117">
        <v>12571.71</v>
      </c>
      <c r="FX117">
        <v>789.52</v>
      </c>
      <c r="HB117" s="6"/>
      <c r="HC117" s="6"/>
      <c r="HD117" s="6"/>
    </row>
    <row r="118" spans="1:212" x14ac:dyDescent="0.2">
      <c r="A118" s="8" t="s">
        <v>852</v>
      </c>
      <c r="B118" s="8" t="s">
        <v>323</v>
      </c>
      <c r="C118" s="8" t="s">
        <v>326</v>
      </c>
      <c r="D118" s="9">
        <v>1747017.6</v>
      </c>
      <c r="E118" s="9">
        <v>383669.9</v>
      </c>
      <c r="F118" s="9">
        <v>325675.7</v>
      </c>
      <c r="G118" s="9">
        <v>95339.5</v>
      </c>
      <c r="H118" s="9">
        <v>36263.9</v>
      </c>
      <c r="I118" s="9">
        <v>24370.9</v>
      </c>
      <c r="J118" s="9">
        <v>113413.8</v>
      </c>
      <c r="K118" s="9">
        <v>178819.20000000001</v>
      </c>
      <c r="L118" s="9">
        <v>49526.1</v>
      </c>
      <c r="M118" s="9">
        <v>382651.1</v>
      </c>
      <c r="N118" s="9">
        <v>157287.6</v>
      </c>
      <c r="O118" s="9">
        <v>3512010.3474113112</v>
      </c>
      <c r="P118" s="9">
        <v>695059.2401062157</v>
      </c>
      <c r="Q118" s="9">
        <v>538467.25033058773</v>
      </c>
      <c r="R118" s="9">
        <v>245297.2721334582</v>
      </c>
      <c r="S118" s="9">
        <v>84654.213816449803</v>
      </c>
      <c r="T118" s="9">
        <v>94906.370367205804</v>
      </c>
      <c r="U118" s="9">
        <v>298186.32985828392</v>
      </c>
      <c r="V118" s="9">
        <v>248310.99582794751</v>
      </c>
      <c r="W118" s="9">
        <v>71351.513441168907</v>
      </c>
      <c r="X118" s="9">
        <v>986850.28661769384</v>
      </c>
      <c r="Y118" s="9">
        <v>248926.8749122998</v>
      </c>
      <c r="Z118" s="9">
        <v>1684283.7</v>
      </c>
      <c r="AA118" s="9">
        <v>939319.6</v>
      </c>
      <c r="AB118" s="9">
        <v>190322.6</v>
      </c>
      <c r="AC118" s="9">
        <v>552740.30000000005</v>
      </c>
      <c r="AD118" s="9">
        <v>104887.5</v>
      </c>
      <c r="AE118" s="9">
        <v>952736.2</v>
      </c>
      <c r="AF118" s="9">
        <v>1055722.5</v>
      </c>
      <c r="AG118" s="9">
        <v>3373351.2788053658</v>
      </c>
      <c r="AH118" s="9">
        <v>1871743.5098539719</v>
      </c>
      <c r="AI118" s="9">
        <v>372718.0122613592</v>
      </c>
      <c r="AJ118" s="9">
        <v>990248.43910620001</v>
      </c>
      <c r="AK118" s="9">
        <v>244002.4541876688</v>
      </c>
      <c r="AL118" s="9">
        <v>1283276.8214025849</v>
      </c>
      <c r="AM118" s="9">
        <v>1388637.958006419</v>
      </c>
      <c r="AN118" s="9">
        <v>1035141</v>
      </c>
      <c r="AO118" s="9">
        <v>535852</v>
      </c>
      <c r="AP118" s="9">
        <v>499289</v>
      </c>
      <c r="AQ118" s="9">
        <v>120371</v>
      </c>
      <c r="AR118" s="9">
        <v>58125</v>
      </c>
      <c r="AS118" s="9">
        <v>62246</v>
      </c>
      <c r="AT118" s="9">
        <v>728072</v>
      </c>
      <c r="AU118" s="9">
        <v>304697</v>
      </c>
      <c r="AV118" s="9">
        <v>423375</v>
      </c>
      <c r="AW118" s="9">
        <v>296.5</v>
      </c>
      <c r="AX118" s="9">
        <v>174.6</v>
      </c>
      <c r="AY118" s="9">
        <v>392.2</v>
      </c>
      <c r="AZ118" s="9">
        <v>278.7</v>
      </c>
      <c r="BA118" s="9">
        <v>285.60000000000002</v>
      </c>
      <c r="BB118" s="9"/>
      <c r="BC118" s="9">
        <v>258.2</v>
      </c>
      <c r="BD118" s="9">
        <v>218.5</v>
      </c>
      <c r="BE118" s="9">
        <v>301</v>
      </c>
      <c r="BF118" s="9">
        <v>231.2</v>
      </c>
      <c r="BG118" s="9"/>
      <c r="BH118" s="9">
        <v>600.20000000000005</v>
      </c>
      <c r="BI118" s="9">
        <v>260.10000000000002</v>
      </c>
      <c r="BJ118" s="9">
        <v>262.7</v>
      </c>
      <c r="BK118" s="9">
        <v>297.8</v>
      </c>
      <c r="BL118" s="9"/>
      <c r="BM118" s="9">
        <v>268.10000000000002</v>
      </c>
      <c r="BN118" s="9">
        <v>193556.8</v>
      </c>
      <c r="BO118" s="9">
        <v>154362.70000000001</v>
      </c>
      <c r="BP118" s="9">
        <v>43970.7</v>
      </c>
      <c r="BQ118" s="9">
        <v>5902.3</v>
      </c>
      <c r="BR118" s="9">
        <v>11641.7</v>
      </c>
      <c r="BS118" s="9">
        <v>24300</v>
      </c>
      <c r="BT118" s="9">
        <v>29398</v>
      </c>
      <c r="BU118" s="9">
        <v>12172.8</v>
      </c>
      <c r="BV118" s="9">
        <v>38924.9</v>
      </c>
      <c r="BW118" s="9">
        <v>138542</v>
      </c>
      <c r="BX118" s="9">
        <v>4139.8999999999996</v>
      </c>
      <c r="BY118" s="9">
        <v>30315.9</v>
      </c>
      <c r="BZ118" s="9">
        <v>46999.6</v>
      </c>
      <c r="CA118" s="9">
        <v>3524.3</v>
      </c>
      <c r="CB118" s="9">
        <v>1139</v>
      </c>
      <c r="CC118" s="9">
        <v>56563.3</v>
      </c>
      <c r="CD118" s="9">
        <v>0</v>
      </c>
      <c r="CE118" s="9">
        <v>48879.6</v>
      </c>
      <c r="CF118" s="9">
        <v>622707.27903982811</v>
      </c>
      <c r="CG118" s="9">
        <v>2652385.1535334471</v>
      </c>
      <c r="CH118" s="9"/>
      <c r="CI118" s="9"/>
      <c r="CJ118" s="9">
        <v>22.1582668858</v>
      </c>
      <c r="CK118" s="9">
        <v>14.791277467</v>
      </c>
      <c r="CL118" s="9">
        <v>10</v>
      </c>
      <c r="CM118" s="9">
        <v>54.916305303500003</v>
      </c>
      <c r="CN118" s="9">
        <v>22.654740973700001</v>
      </c>
      <c r="CO118" s="9">
        <v>1.5614849269</v>
      </c>
      <c r="CP118" s="9">
        <v>7.5396215726999998</v>
      </c>
      <c r="CQ118" s="9">
        <v>5.7528748966999999</v>
      </c>
      <c r="CR118" s="9">
        <v>2.9861169296000001</v>
      </c>
      <c r="CS118" s="9">
        <v>1.1268532382000001</v>
      </c>
      <c r="CT118" s="9">
        <v>5.2464074524999997</v>
      </c>
      <c r="CU118" s="9">
        <v>0.83936885000000006</v>
      </c>
      <c r="CV118" s="9">
        <v>1.3518072050000001</v>
      </c>
      <c r="CW118" s="9">
        <v>3.7862736397000001</v>
      </c>
      <c r="CX118" s="9">
        <v>0.63649860859999996</v>
      </c>
      <c r="CY118" s="9">
        <v>1.4342570100000001</v>
      </c>
      <c r="CZ118" s="9">
        <v>205</v>
      </c>
      <c r="DA118" s="9">
        <v>180</v>
      </c>
      <c r="DB118" s="9">
        <v>68</v>
      </c>
      <c r="DC118" s="9">
        <v>49</v>
      </c>
      <c r="DD118" s="9">
        <v>7</v>
      </c>
      <c r="DE118" s="9">
        <v>10</v>
      </c>
      <c r="DF118" s="9">
        <v>26</v>
      </c>
      <c r="DG118" s="9">
        <v>13</v>
      </c>
      <c r="DH118" s="9">
        <v>17</v>
      </c>
      <c r="DI118" s="9">
        <v>5</v>
      </c>
      <c r="DJ118" s="9">
        <v>3</v>
      </c>
      <c r="DK118" s="9">
        <v>8</v>
      </c>
      <c r="DL118" s="9">
        <v>0</v>
      </c>
      <c r="DM118" s="9">
        <v>8</v>
      </c>
      <c r="DN118" s="9">
        <v>0</v>
      </c>
      <c r="DO118" s="9">
        <v>218.01</v>
      </c>
      <c r="DP118" s="9">
        <v>48.71</v>
      </c>
      <c r="DQ118" s="9">
        <v>29.02</v>
      </c>
      <c r="DR118" s="9">
        <v>19.690000000000001</v>
      </c>
      <c r="DS118" s="9">
        <v>15.8</v>
      </c>
      <c r="DT118" s="9">
        <v>0.22</v>
      </c>
      <c r="DU118" s="9">
        <v>101.42</v>
      </c>
      <c r="DV118" s="9">
        <v>57.65</v>
      </c>
      <c r="DW118" s="9">
        <v>22.43</v>
      </c>
      <c r="DX118" s="9">
        <v>51.49</v>
      </c>
      <c r="DY118" s="9">
        <v>24.59</v>
      </c>
      <c r="DZ118" s="9">
        <v>17.39</v>
      </c>
      <c r="EA118" s="9">
        <v>-23.23</v>
      </c>
      <c r="EB118" s="9">
        <v>-24.038699999999999</v>
      </c>
      <c r="EC118" s="9">
        <v>-4.7418899999999997</v>
      </c>
      <c r="ED118" s="9">
        <v>-13.0869</v>
      </c>
      <c r="EE118" s="9">
        <v>18.63748</v>
      </c>
      <c r="EF118" s="9">
        <v>13.82348</v>
      </c>
      <c r="EG118" s="9">
        <v>-33.958500000000001</v>
      </c>
      <c r="EH118" s="9">
        <v>-65.845500000000001</v>
      </c>
      <c r="EI118" s="9">
        <v>78.537859999999995</v>
      </c>
      <c r="EJ118" s="9">
        <v>0</v>
      </c>
      <c r="EK118" s="9">
        <v>-46.6509</v>
      </c>
      <c r="EL118" s="9">
        <v>45.890650000000001</v>
      </c>
      <c r="EM118" s="9">
        <v>70.44265</v>
      </c>
      <c r="EN118" s="9">
        <v>1062.5999999999999</v>
      </c>
      <c r="EO118" s="9"/>
      <c r="EP118" s="9"/>
      <c r="EQ118" s="9"/>
      <c r="ER118" s="9"/>
      <c r="ES118" s="9"/>
      <c r="ET118" s="9"/>
      <c r="EU118">
        <v>1418.47</v>
      </c>
      <c r="EV118" s="9">
        <v>5663.65</v>
      </c>
      <c r="EW118" s="9">
        <v>1882.46</v>
      </c>
      <c r="EX118" s="9">
        <v>214.91</v>
      </c>
      <c r="EY118" s="9">
        <v>295.89</v>
      </c>
      <c r="EZ118" s="9">
        <v>746.49</v>
      </c>
      <c r="FA118" s="9">
        <v>2523.9</v>
      </c>
      <c r="FB118" s="9">
        <v>73.149350649400006</v>
      </c>
      <c r="FC118" s="9">
        <v>67.687272727299998</v>
      </c>
      <c r="FD118" s="9">
        <v>6195.75</v>
      </c>
      <c r="FE118" s="9">
        <v>80.713636363600003</v>
      </c>
      <c r="FF118" s="9">
        <v>996.59090909090003</v>
      </c>
      <c r="FG118">
        <v>2666724.37</v>
      </c>
      <c r="FH118">
        <v>2630934.67</v>
      </c>
      <c r="FI118">
        <v>35789.699999999997</v>
      </c>
      <c r="FJ118" s="9">
        <v>2902009.1999999997</v>
      </c>
      <c r="FK118">
        <v>2300506.8099999996</v>
      </c>
      <c r="FL118" s="9">
        <v>601502.39</v>
      </c>
      <c r="FM118" s="9">
        <v>4020960.44</v>
      </c>
      <c r="FN118" s="9">
        <v>249819.45</v>
      </c>
      <c r="FO118">
        <v>1426.01</v>
      </c>
      <c r="FP118">
        <v>2191.11</v>
      </c>
      <c r="FQ118">
        <v>48.46</v>
      </c>
      <c r="FR118">
        <v>143.69999999999999</v>
      </c>
      <c r="FS118">
        <v>12.02</v>
      </c>
      <c r="FT118">
        <v>582.28</v>
      </c>
      <c r="FU118">
        <v>203.69</v>
      </c>
      <c r="FV118">
        <v>2137.46</v>
      </c>
      <c r="FW118">
        <v>25811.81</v>
      </c>
      <c r="FX118">
        <v>205.22</v>
      </c>
      <c r="HB118" s="6"/>
      <c r="HC118" s="6"/>
      <c r="HD118" s="6"/>
    </row>
    <row r="119" spans="1:212" x14ac:dyDescent="0.2">
      <c r="A119" s="8" t="s">
        <v>852</v>
      </c>
      <c r="B119" s="8" t="s">
        <v>327</v>
      </c>
      <c r="C119" s="8" t="s">
        <v>328</v>
      </c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>
        <v>188176.5</v>
      </c>
      <c r="BO119" s="9">
        <v>176632.2</v>
      </c>
      <c r="BP119" s="9">
        <v>78361.899999999994</v>
      </c>
      <c r="BQ119" s="9">
        <v>35318.400000000001</v>
      </c>
      <c r="BR119" s="9">
        <v>10966.4</v>
      </c>
      <c r="BS119" s="9">
        <v>20734.2</v>
      </c>
      <c r="BT119" s="9">
        <v>30295.8</v>
      </c>
      <c r="BU119" s="9">
        <v>13282.4</v>
      </c>
      <c r="BV119" s="9">
        <v>11253.7</v>
      </c>
      <c r="BW119" s="9">
        <v>141155.29999999999</v>
      </c>
      <c r="BX119" s="9">
        <v>5349.1</v>
      </c>
      <c r="BY119" s="9">
        <v>18058.8</v>
      </c>
      <c r="BZ119" s="9">
        <v>46927.3</v>
      </c>
      <c r="CA119" s="9">
        <v>2228.4</v>
      </c>
      <c r="CB119" s="9">
        <v>2432</v>
      </c>
      <c r="CC119" s="9">
        <v>71508.7</v>
      </c>
      <c r="CD119" s="9">
        <v>0</v>
      </c>
      <c r="CE119" s="9">
        <v>45221.8</v>
      </c>
      <c r="CF119" s="9">
        <v>608778.24329635804</v>
      </c>
      <c r="CG119" s="9">
        <v>2669937.0564018278</v>
      </c>
      <c r="CH119" s="9"/>
      <c r="CI119" s="9"/>
      <c r="CJ119" s="9">
        <v>21.927293435700001</v>
      </c>
      <c r="CK119" s="9">
        <v>15.849071927200001</v>
      </c>
      <c r="CL119" s="9">
        <v>10</v>
      </c>
      <c r="CM119" s="9">
        <v>54.765575855199998</v>
      </c>
      <c r="CN119" s="9">
        <v>22.4027104808</v>
      </c>
      <c r="CO119" s="9">
        <v>1.5624769757999999</v>
      </c>
      <c r="CP119" s="9">
        <v>7.6310435176000002</v>
      </c>
      <c r="CQ119" s="9">
        <v>5.7414604623000001</v>
      </c>
      <c r="CR119" s="9">
        <v>2.9980375560999999</v>
      </c>
      <c r="CS119" s="9">
        <v>1.1368641498000001</v>
      </c>
      <c r="CT119" s="9">
        <v>5.2400902852</v>
      </c>
      <c r="CU119" s="9">
        <v>0.83936885000000006</v>
      </c>
      <c r="CV119" s="9">
        <v>1.3518072050000001</v>
      </c>
      <c r="CW119" s="9">
        <v>3.7862736397000001</v>
      </c>
      <c r="CX119" s="9">
        <v>0.63649860859999996</v>
      </c>
      <c r="CY119" s="9">
        <v>1.4389441244000001</v>
      </c>
      <c r="CZ119" s="9">
        <v>201</v>
      </c>
      <c r="DA119" s="9">
        <v>173</v>
      </c>
      <c r="DB119" s="9">
        <v>42</v>
      </c>
      <c r="DC119" s="9">
        <v>59</v>
      </c>
      <c r="DD119" s="9">
        <v>9</v>
      </c>
      <c r="DE119" s="9">
        <v>12</v>
      </c>
      <c r="DF119" s="9">
        <v>25</v>
      </c>
      <c r="DG119" s="9">
        <v>15</v>
      </c>
      <c r="DH119" s="9">
        <v>20</v>
      </c>
      <c r="DI119" s="9">
        <v>9</v>
      </c>
      <c r="DJ119" s="9">
        <v>3</v>
      </c>
      <c r="DK119" s="9">
        <v>7</v>
      </c>
      <c r="DL119" s="9">
        <v>0</v>
      </c>
      <c r="DM119" s="9">
        <v>9</v>
      </c>
      <c r="DN119" s="9">
        <v>0</v>
      </c>
      <c r="DO119" s="9">
        <v>218.39</v>
      </c>
      <c r="DP119" s="9">
        <v>57.87</v>
      </c>
      <c r="DQ119" s="9">
        <v>38.369999999999997</v>
      </c>
      <c r="DR119" s="9">
        <v>19.5</v>
      </c>
      <c r="DS119" s="9">
        <v>16.190000000000001</v>
      </c>
      <c r="DT119" s="9">
        <v>0.48</v>
      </c>
      <c r="DU119" s="9">
        <v>81.88</v>
      </c>
      <c r="DV119" s="9">
        <v>48.97</v>
      </c>
      <c r="DW119" s="9">
        <v>16.57</v>
      </c>
      <c r="DX119" s="9">
        <v>56.26</v>
      </c>
      <c r="DY119" s="9">
        <v>20.75</v>
      </c>
      <c r="DZ119" s="9">
        <v>16.23</v>
      </c>
      <c r="EA119" s="9">
        <v>-53.922400000000003</v>
      </c>
      <c r="EB119" s="9">
        <v>-20.382300000000001</v>
      </c>
      <c r="EC119" s="9">
        <v>-19.2422</v>
      </c>
      <c r="ED119" s="9">
        <v>-30.028500000000001</v>
      </c>
      <c r="EE119" s="9">
        <v>15.73063</v>
      </c>
      <c r="EF119" s="9">
        <v>11.63758</v>
      </c>
      <c r="EG119" s="9">
        <v>-198.51599999999999</v>
      </c>
      <c r="EH119" s="9">
        <v>-169.65700000000001</v>
      </c>
      <c r="EI119" s="9">
        <v>-0.64071</v>
      </c>
      <c r="EJ119" s="9">
        <v>0</v>
      </c>
      <c r="EK119" s="9">
        <v>-28.2178</v>
      </c>
      <c r="EL119" s="9">
        <v>27.972809999999999</v>
      </c>
      <c r="EM119" s="9">
        <v>184.2039</v>
      </c>
      <c r="EN119" s="9">
        <v>1262.8</v>
      </c>
      <c r="EO119" s="9"/>
      <c r="EP119" s="9"/>
      <c r="EQ119" s="9"/>
      <c r="ER119" s="9"/>
      <c r="ES119" s="9"/>
      <c r="ET119" s="9"/>
      <c r="EU119">
        <v>1438.6</v>
      </c>
      <c r="EV119" s="9"/>
      <c r="EW119" s="9"/>
      <c r="EX119" s="9"/>
      <c r="EY119" s="9"/>
      <c r="EZ119" s="9"/>
      <c r="FA119" s="9"/>
      <c r="FB119" s="9">
        <v>75.703733766200003</v>
      </c>
      <c r="FC119" s="9">
        <v>73.194090909099998</v>
      </c>
      <c r="FD119" s="9">
        <v>6305.9886363635997</v>
      </c>
      <c r="FE119" s="9">
        <v>86.786363636399997</v>
      </c>
      <c r="FF119" s="9">
        <v>1043.1590909091001</v>
      </c>
      <c r="FG119">
        <v>2655849.5299999998</v>
      </c>
      <c r="FH119">
        <v>2617986.27</v>
      </c>
      <c r="FI119">
        <v>37863.26</v>
      </c>
      <c r="FJ119" s="9">
        <v>2936449.08</v>
      </c>
      <c r="FK119">
        <v>2326678.1599999997</v>
      </c>
      <c r="FL119" s="9">
        <v>609770.92000000004</v>
      </c>
      <c r="FM119" s="9">
        <v>4048911.77</v>
      </c>
      <c r="FN119" s="9">
        <v>243822.28</v>
      </c>
      <c r="FO119">
        <v>1423.84</v>
      </c>
      <c r="FP119">
        <v>1397.67</v>
      </c>
      <c r="FQ119">
        <v>51.28</v>
      </c>
      <c r="FR119">
        <v>171.34</v>
      </c>
      <c r="FS119">
        <v>12.02</v>
      </c>
      <c r="FT119">
        <v>547.84</v>
      </c>
      <c r="FU119">
        <v>239.86</v>
      </c>
      <c r="FV119">
        <v>3993.98</v>
      </c>
      <c r="FW119">
        <v>22408.09</v>
      </c>
      <c r="FX119">
        <v>181.44</v>
      </c>
      <c r="HB119" s="6"/>
      <c r="HC119" s="6"/>
      <c r="HD119" s="6"/>
    </row>
    <row r="120" spans="1:212" x14ac:dyDescent="0.2">
      <c r="A120" s="8" t="s">
        <v>852</v>
      </c>
      <c r="B120" s="8" t="s">
        <v>327</v>
      </c>
      <c r="C120" s="8" t="s">
        <v>329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>
        <v>181728.4</v>
      </c>
      <c r="BO120" s="9">
        <v>156183.29999999999</v>
      </c>
      <c r="BP120" s="9">
        <v>66339.8</v>
      </c>
      <c r="BQ120" s="9">
        <v>24347.9</v>
      </c>
      <c r="BR120" s="9">
        <v>10316.6</v>
      </c>
      <c r="BS120" s="9">
        <v>22117</v>
      </c>
      <c r="BT120" s="9">
        <v>21578.799999999999</v>
      </c>
      <c r="BU120" s="9">
        <v>16121.8</v>
      </c>
      <c r="BV120" s="9">
        <v>19317.3</v>
      </c>
      <c r="BW120" s="9">
        <v>169061.6</v>
      </c>
      <c r="BX120" s="9">
        <v>2125</v>
      </c>
      <c r="BY120" s="9">
        <v>42626</v>
      </c>
      <c r="BZ120" s="9">
        <v>47297.5</v>
      </c>
      <c r="CA120" s="9">
        <v>3125</v>
      </c>
      <c r="CB120" s="9">
        <v>3234.7</v>
      </c>
      <c r="CC120" s="9">
        <v>72778.600000000006</v>
      </c>
      <c r="CD120" s="9">
        <v>0</v>
      </c>
      <c r="CE120" s="9">
        <v>36426.199999999997</v>
      </c>
      <c r="CF120" s="9">
        <v>600593.41045031301</v>
      </c>
      <c r="CG120" s="9">
        <v>2714140.0549744829</v>
      </c>
      <c r="CH120" s="9"/>
      <c r="CI120" s="9"/>
      <c r="CJ120" s="9">
        <v>18.55</v>
      </c>
      <c r="CK120" s="9">
        <v>16.399999999999999</v>
      </c>
      <c r="CL120" s="9">
        <v>10</v>
      </c>
      <c r="CM120" s="9">
        <v>55.662378971999999</v>
      </c>
      <c r="CN120" s="9">
        <v>23.060790101199999</v>
      </c>
      <c r="CO120" s="9">
        <v>1.560492878</v>
      </c>
      <c r="CP120" s="9">
        <v>7.7869986000999996</v>
      </c>
      <c r="CQ120" s="9">
        <v>5.7833133881999998</v>
      </c>
      <c r="CR120" s="9">
        <v>3.0139317246999999</v>
      </c>
      <c r="CS120" s="9">
        <v>1.1500034713</v>
      </c>
      <c r="CT120" s="9">
        <v>5.2400902852</v>
      </c>
      <c r="CU120" s="9">
        <v>0.83733647990000004</v>
      </c>
      <c r="CV120" s="9">
        <v>1.3528947409000001</v>
      </c>
      <c r="CW120" s="9">
        <v>3.7862736397000001</v>
      </c>
      <c r="CX120" s="9">
        <v>0.63792653590000004</v>
      </c>
      <c r="CY120" s="9">
        <v>1.4417563929999999</v>
      </c>
      <c r="CZ120" s="9">
        <v>182</v>
      </c>
      <c r="DA120" s="9">
        <v>156</v>
      </c>
      <c r="DB120" s="9">
        <v>18</v>
      </c>
      <c r="DC120" s="9">
        <v>57</v>
      </c>
      <c r="DD120" s="9">
        <v>9</v>
      </c>
      <c r="DE120" s="9">
        <v>15</v>
      </c>
      <c r="DF120" s="9">
        <v>27</v>
      </c>
      <c r="DG120" s="9">
        <v>17</v>
      </c>
      <c r="DH120" s="9">
        <v>15</v>
      </c>
      <c r="DI120" s="9">
        <v>7</v>
      </c>
      <c r="DJ120" s="9">
        <v>1</v>
      </c>
      <c r="DK120" s="9">
        <v>5</v>
      </c>
      <c r="DL120" s="9">
        <v>1</v>
      </c>
      <c r="DM120" s="9">
        <v>10</v>
      </c>
      <c r="DN120" s="9">
        <v>0</v>
      </c>
      <c r="DO120" s="9">
        <v>213.08</v>
      </c>
      <c r="DP120" s="9">
        <v>58.42</v>
      </c>
      <c r="DQ120" s="9">
        <v>40.07</v>
      </c>
      <c r="DR120" s="9">
        <v>18.350000000000001</v>
      </c>
      <c r="DS120" s="9">
        <v>18.66</v>
      </c>
      <c r="DT120" s="9">
        <v>0.7</v>
      </c>
      <c r="DU120" s="9">
        <v>62.33</v>
      </c>
      <c r="DV120" s="9">
        <v>36.380000000000003</v>
      </c>
      <c r="DW120" s="9">
        <v>10.18</v>
      </c>
      <c r="DX120" s="9">
        <v>73.12</v>
      </c>
      <c r="DY120" s="9">
        <v>41.71</v>
      </c>
      <c r="DZ120" s="9">
        <v>12.78</v>
      </c>
      <c r="EA120" s="9">
        <v>-44.2301</v>
      </c>
      <c r="EB120" s="9">
        <v>-8.9683299999999999</v>
      </c>
      <c r="EC120" s="9">
        <v>-21.9575</v>
      </c>
      <c r="ED120" s="9">
        <v>-30.445</v>
      </c>
      <c r="EE120" s="9">
        <v>17.140740000000001</v>
      </c>
      <c r="EF120" s="9">
        <v>11.640409999999999</v>
      </c>
      <c r="EG120" s="9">
        <v>-88.217200000000005</v>
      </c>
      <c r="EH120" s="9">
        <v>-60.788899999999998</v>
      </c>
      <c r="EI120" s="9">
        <v>-0.88668000000000002</v>
      </c>
      <c r="EJ120" s="9">
        <v>0</v>
      </c>
      <c r="EK120" s="9">
        <v>-26.541499999999999</v>
      </c>
      <c r="EL120" s="9">
        <v>-57.188499999999998</v>
      </c>
      <c r="EM120" s="9">
        <v>-1.5610200000000001</v>
      </c>
      <c r="EN120" s="9">
        <v>1295.4000000000001</v>
      </c>
      <c r="EO120" s="9"/>
      <c r="EP120" s="9"/>
      <c r="EQ120" s="9"/>
      <c r="ER120" s="9"/>
      <c r="ES120" s="9"/>
      <c r="ET120" s="9"/>
      <c r="EU120">
        <v>1431.46</v>
      </c>
      <c r="EV120" s="9"/>
      <c r="EW120" s="9"/>
      <c r="EX120" s="9"/>
      <c r="EY120" s="9"/>
      <c r="EZ120" s="9"/>
      <c r="FA120" s="9"/>
      <c r="FB120" s="9">
        <v>82.265306122400006</v>
      </c>
      <c r="FC120" s="9">
        <v>77.0366666667</v>
      </c>
      <c r="FD120" s="9">
        <v>6682.4404761904998</v>
      </c>
      <c r="FE120" s="9">
        <v>99.257142857100007</v>
      </c>
      <c r="FF120" s="9">
        <v>1127.0357142856999</v>
      </c>
      <c r="FG120">
        <v>2670444.5799999996</v>
      </c>
      <c r="FH120">
        <v>2632031.1199999996</v>
      </c>
      <c r="FI120">
        <v>38413.46</v>
      </c>
      <c r="FJ120" s="9">
        <v>2966960.6900000004</v>
      </c>
      <c r="FK120">
        <v>2367544.54</v>
      </c>
      <c r="FL120" s="9">
        <v>599416.15</v>
      </c>
      <c r="FM120" s="9">
        <v>4289699.21</v>
      </c>
      <c r="FN120" s="9">
        <v>196248.5</v>
      </c>
      <c r="FO120">
        <v>1446.41</v>
      </c>
      <c r="FP120">
        <v>588.98</v>
      </c>
      <c r="FQ120">
        <v>49.8</v>
      </c>
      <c r="FR120">
        <v>133.88999999999999</v>
      </c>
      <c r="FS120">
        <v>14.42</v>
      </c>
      <c r="FT120">
        <v>615.97</v>
      </c>
      <c r="FU120">
        <v>241.07</v>
      </c>
      <c r="FV120">
        <v>3554.66</v>
      </c>
      <c r="FW120">
        <v>8718.44</v>
      </c>
      <c r="FX120">
        <v>131.13</v>
      </c>
      <c r="HB120" s="6"/>
      <c r="HC120" s="6"/>
      <c r="HD120" s="6"/>
    </row>
    <row r="121" spans="1:212" x14ac:dyDescent="0.2">
      <c r="A121" s="8" t="s">
        <v>852</v>
      </c>
      <c r="B121" s="8" t="s">
        <v>327</v>
      </c>
      <c r="C121" s="8" t="s">
        <v>330</v>
      </c>
      <c r="D121" s="9">
        <v>2033405.2</v>
      </c>
      <c r="E121" s="9">
        <v>323046.59999999998</v>
      </c>
      <c r="F121" s="9">
        <v>474918.3</v>
      </c>
      <c r="G121" s="9">
        <v>155353.1</v>
      </c>
      <c r="H121" s="9">
        <v>50734.5</v>
      </c>
      <c r="I121" s="9">
        <v>43146.5</v>
      </c>
      <c r="J121" s="9">
        <v>169060.7</v>
      </c>
      <c r="K121" s="9">
        <v>166361.70000000001</v>
      </c>
      <c r="L121" s="9">
        <v>65174.8</v>
      </c>
      <c r="M121" s="9">
        <v>420037.8</v>
      </c>
      <c r="N121" s="9">
        <v>165571.1</v>
      </c>
      <c r="O121" s="9">
        <v>4087732.2030871161</v>
      </c>
      <c r="P121" s="9">
        <v>573505.38109545084</v>
      </c>
      <c r="Q121" s="9">
        <v>769486.62268180004</v>
      </c>
      <c r="R121" s="9">
        <v>391694.97739993292</v>
      </c>
      <c r="S121" s="9">
        <v>116060.83406597729</v>
      </c>
      <c r="T121" s="9">
        <v>164656.01445751739</v>
      </c>
      <c r="U121" s="9">
        <v>435584.8044445191</v>
      </c>
      <c r="V121" s="9">
        <v>226382.77747789121</v>
      </c>
      <c r="W121" s="9">
        <v>92014.653833365694</v>
      </c>
      <c r="X121" s="9">
        <v>1061560.8924909099</v>
      </c>
      <c r="Y121" s="9">
        <v>256785.2451397515</v>
      </c>
      <c r="Z121" s="9">
        <v>2065428.1</v>
      </c>
      <c r="AA121" s="9">
        <v>976810.7</v>
      </c>
      <c r="AB121" s="9">
        <v>271628.59999999998</v>
      </c>
      <c r="AC121" s="9">
        <v>787025.4</v>
      </c>
      <c r="AD121" s="9">
        <v>149345.1</v>
      </c>
      <c r="AE121" s="9">
        <v>1020772.1</v>
      </c>
      <c r="AF121" s="9">
        <v>1140153.7</v>
      </c>
      <c r="AG121" s="9">
        <v>4136722.645012558</v>
      </c>
      <c r="AH121" s="9">
        <v>1958620.6782083311</v>
      </c>
      <c r="AI121" s="9">
        <v>535269.49074656738</v>
      </c>
      <c r="AJ121" s="9">
        <v>1418792.097931193</v>
      </c>
      <c r="AK121" s="9">
        <v>349597.57707238168</v>
      </c>
      <c r="AL121" s="9">
        <v>1383513.6556345641</v>
      </c>
      <c r="AM121" s="9">
        <v>1509070.854580478</v>
      </c>
      <c r="AN121" s="9">
        <v>977432</v>
      </c>
      <c r="AO121" s="9">
        <v>516531</v>
      </c>
      <c r="AP121" s="9">
        <v>460901</v>
      </c>
      <c r="AQ121" s="9">
        <v>142861</v>
      </c>
      <c r="AR121" s="9">
        <v>79553</v>
      </c>
      <c r="AS121" s="9">
        <v>63308</v>
      </c>
      <c r="AT121" s="9">
        <v>703164</v>
      </c>
      <c r="AU121" s="9">
        <v>290049</v>
      </c>
      <c r="AV121" s="9">
        <v>413115</v>
      </c>
      <c r="AW121" s="9">
        <v>308.10000000000002</v>
      </c>
      <c r="AX121" s="9">
        <v>197.4</v>
      </c>
      <c r="AY121" s="9">
        <v>402.9</v>
      </c>
      <c r="AZ121" s="9">
        <v>277.7</v>
      </c>
      <c r="BA121" s="9">
        <v>313.7</v>
      </c>
      <c r="BB121" s="9"/>
      <c r="BC121" s="9">
        <v>252</v>
      </c>
      <c r="BD121" s="9">
        <v>202.7</v>
      </c>
      <c r="BE121" s="9">
        <v>297.89999999999998</v>
      </c>
      <c r="BF121" s="9">
        <v>264</v>
      </c>
      <c r="BG121" s="9"/>
      <c r="BH121" s="9">
        <v>621.1</v>
      </c>
      <c r="BI121" s="9">
        <v>261.60000000000002</v>
      </c>
      <c r="BJ121" s="9">
        <v>296.2</v>
      </c>
      <c r="BK121" s="9">
        <v>292.8</v>
      </c>
      <c r="BL121" s="9"/>
      <c r="BM121" s="9">
        <v>275</v>
      </c>
      <c r="BN121" s="9">
        <v>292677.09999999998</v>
      </c>
      <c r="BO121" s="9">
        <v>216810</v>
      </c>
      <c r="BP121" s="9">
        <v>74492.399999999994</v>
      </c>
      <c r="BQ121" s="9">
        <v>22271.9</v>
      </c>
      <c r="BR121" s="9">
        <v>18335.400000000001</v>
      </c>
      <c r="BS121" s="9">
        <v>39970.9</v>
      </c>
      <c r="BT121" s="9">
        <v>37637.9</v>
      </c>
      <c r="BU121" s="9">
        <v>21638.7</v>
      </c>
      <c r="BV121" s="9">
        <v>76014.899999999994</v>
      </c>
      <c r="BW121" s="9">
        <v>217595.1</v>
      </c>
      <c r="BX121" s="9">
        <v>-58853.7</v>
      </c>
      <c r="BY121" s="9">
        <v>72079.600000000006</v>
      </c>
      <c r="BZ121" s="9">
        <v>57419.7</v>
      </c>
      <c r="CA121" s="9">
        <v>3629.2</v>
      </c>
      <c r="CB121" s="9">
        <v>10548.5</v>
      </c>
      <c r="CC121" s="9">
        <v>73918</v>
      </c>
      <c r="CD121" s="9">
        <v>0</v>
      </c>
      <c r="CE121" s="9">
        <v>114627.9</v>
      </c>
      <c r="CF121" s="9">
        <v>651247.04175338999</v>
      </c>
      <c r="CG121" s="9">
        <v>2879429.72568146</v>
      </c>
      <c r="CH121" s="9"/>
      <c r="CI121" s="9"/>
      <c r="CJ121" s="9">
        <v>20.823628432500001</v>
      </c>
      <c r="CK121" s="9">
        <v>16.508022717700001</v>
      </c>
      <c r="CL121" s="9">
        <v>10</v>
      </c>
      <c r="CM121" s="9">
        <v>56.063638944499999</v>
      </c>
      <c r="CN121" s="9">
        <v>23.3688273703</v>
      </c>
      <c r="CO121" s="9">
        <v>1.5634690246</v>
      </c>
      <c r="CP121" s="9">
        <v>7.8515317377000002</v>
      </c>
      <c r="CQ121" s="9">
        <v>5.8023374454000001</v>
      </c>
      <c r="CR121" s="9">
        <v>3.0238655800999998</v>
      </c>
      <c r="CS121" s="9">
        <v>1.1512548352</v>
      </c>
      <c r="CT121" s="9">
        <v>5.2400902852</v>
      </c>
      <c r="CU121" s="9">
        <v>0.83733647990000004</v>
      </c>
      <c r="CV121" s="9">
        <v>1.3561573488000001</v>
      </c>
      <c r="CW121" s="9">
        <v>3.7862736397000001</v>
      </c>
      <c r="CX121" s="9">
        <v>0.63792653590000004</v>
      </c>
      <c r="CY121" s="9">
        <v>1.4445686617</v>
      </c>
      <c r="CZ121" s="9">
        <v>223</v>
      </c>
      <c r="DA121" s="9">
        <v>195</v>
      </c>
      <c r="DB121" s="9">
        <v>21</v>
      </c>
      <c r="DC121" s="9">
        <v>64</v>
      </c>
      <c r="DD121" s="9">
        <v>20</v>
      </c>
      <c r="DE121" s="9">
        <v>18</v>
      </c>
      <c r="DF121" s="9">
        <v>41</v>
      </c>
      <c r="DG121" s="9">
        <v>17</v>
      </c>
      <c r="DH121" s="9">
        <v>18</v>
      </c>
      <c r="DI121" s="9">
        <v>4</v>
      </c>
      <c r="DJ121" s="9">
        <v>3</v>
      </c>
      <c r="DK121" s="9">
        <v>9</v>
      </c>
      <c r="DL121" s="9">
        <v>0</v>
      </c>
      <c r="DM121" s="9">
        <v>10</v>
      </c>
      <c r="DN121" s="9">
        <v>0</v>
      </c>
      <c r="DO121" s="9">
        <v>204.61</v>
      </c>
      <c r="DP121" s="9">
        <v>60.34</v>
      </c>
      <c r="DQ121" s="9">
        <v>39.950000000000003</v>
      </c>
      <c r="DR121" s="9">
        <v>20.39</v>
      </c>
      <c r="DS121" s="9">
        <v>24.47</v>
      </c>
      <c r="DT121" s="9">
        <v>0.44</v>
      </c>
      <c r="DU121" s="9">
        <v>62.1</v>
      </c>
      <c r="DV121" s="9">
        <v>34.42</v>
      </c>
      <c r="DW121" s="9">
        <v>13.02</v>
      </c>
      <c r="DX121" s="9">
        <v>57.56</v>
      </c>
      <c r="DY121" s="9">
        <v>30.41</v>
      </c>
      <c r="DZ121" s="9">
        <v>15.7</v>
      </c>
      <c r="EA121" s="9">
        <v>-25.6342</v>
      </c>
      <c r="EB121" s="9">
        <v>18.491520000000001</v>
      </c>
      <c r="EC121" s="9">
        <v>-30.623699999999999</v>
      </c>
      <c r="ED121" s="9">
        <v>-30.066600000000001</v>
      </c>
      <c r="EE121" s="9">
        <v>16.564609999999998</v>
      </c>
      <c r="EF121" s="9">
        <v>11.75572</v>
      </c>
      <c r="EG121" s="9">
        <v>10.83324</v>
      </c>
      <c r="EH121" s="9">
        <v>-55.9649</v>
      </c>
      <c r="EI121" s="9">
        <v>95.015469999999993</v>
      </c>
      <c r="EJ121" s="9">
        <v>0</v>
      </c>
      <c r="EK121" s="9">
        <v>-28.217400000000001</v>
      </c>
      <c r="EL121" s="9">
        <v>69.818520000000007</v>
      </c>
      <c r="EM121" s="9">
        <v>45.106769999999997</v>
      </c>
      <c r="EN121" s="9">
        <v>1327.4</v>
      </c>
      <c r="EO121" s="9"/>
      <c r="EP121" s="9"/>
      <c r="EQ121" s="9"/>
      <c r="ER121" s="9"/>
      <c r="ES121" s="9"/>
      <c r="ET121" s="9"/>
      <c r="EU121">
        <v>1446.52</v>
      </c>
      <c r="EV121" s="9">
        <v>5822.59</v>
      </c>
      <c r="EW121" s="9">
        <v>1879.62</v>
      </c>
      <c r="EX121" s="9">
        <v>239.35</v>
      </c>
      <c r="EY121" s="9">
        <v>321.47000000000003</v>
      </c>
      <c r="EZ121" s="9">
        <v>756.85</v>
      </c>
      <c r="FA121" s="9">
        <v>2625.31</v>
      </c>
      <c r="FB121" s="9">
        <v>86.359693877599994</v>
      </c>
      <c r="FC121" s="9">
        <v>74.7</v>
      </c>
      <c r="FD121" s="9">
        <v>6976.9761904761999</v>
      </c>
      <c r="FE121" s="9">
        <v>105.24782608700001</v>
      </c>
      <c r="FF121" s="9">
        <v>1134.7236842105001</v>
      </c>
      <c r="FG121">
        <v>2693434.6799999997</v>
      </c>
      <c r="FH121">
        <v>2655000.61</v>
      </c>
      <c r="FI121">
        <v>38434.07</v>
      </c>
      <c r="FJ121" s="9">
        <v>3078789.54</v>
      </c>
      <c r="FK121">
        <v>2520393.67</v>
      </c>
      <c r="FL121" s="9">
        <v>558395.87</v>
      </c>
      <c r="FM121" s="9">
        <v>4421769.38</v>
      </c>
      <c r="FN121" s="9">
        <v>230212.08</v>
      </c>
      <c r="FO121">
        <v>1442.84</v>
      </c>
      <c r="FP121">
        <v>688.22</v>
      </c>
      <c r="FQ121">
        <v>52.91</v>
      </c>
      <c r="FR121">
        <v>223.72</v>
      </c>
      <c r="FS121">
        <v>16.829999999999998</v>
      </c>
      <c r="FT121">
        <v>951.55</v>
      </c>
      <c r="FU121">
        <v>245.24</v>
      </c>
      <c r="FV121">
        <v>2233.27</v>
      </c>
      <c r="FW121">
        <v>35662.959999999999</v>
      </c>
      <c r="FX121">
        <v>695.94</v>
      </c>
      <c r="HB121" s="6"/>
      <c r="HC121" s="6"/>
      <c r="HD121" s="6"/>
    </row>
    <row r="122" spans="1:212" x14ac:dyDescent="0.2">
      <c r="A122" s="8" t="s">
        <v>853</v>
      </c>
      <c r="B122" s="8" t="s">
        <v>331</v>
      </c>
      <c r="C122" s="8" t="s">
        <v>332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>
        <v>154677.29999999999</v>
      </c>
      <c r="BO122" s="9">
        <v>125651.1</v>
      </c>
      <c r="BP122" s="9">
        <v>42355.4</v>
      </c>
      <c r="BQ122" s="9">
        <v>8949.6</v>
      </c>
      <c r="BR122" s="9">
        <v>7078.8</v>
      </c>
      <c r="BS122" s="9">
        <v>20483.3</v>
      </c>
      <c r="BT122" s="9">
        <v>26240</v>
      </c>
      <c r="BU122" s="9">
        <v>10877.3</v>
      </c>
      <c r="BV122" s="9">
        <v>14301.6</v>
      </c>
      <c r="BW122" s="9">
        <v>207655.7</v>
      </c>
      <c r="BX122" s="9">
        <v>2053.5</v>
      </c>
      <c r="BY122" s="9">
        <v>22469.8</v>
      </c>
      <c r="BZ122" s="9">
        <v>44277.1</v>
      </c>
      <c r="CA122" s="9">
        <v>1934.9</v>
      </c>
      <c r="CB122" s="9">
        <v>9223.1</v>
      </c>
      <c r="CC122" s="9">
        <v>129750.8</v>
      </c>
      <c r="CD122" s="9">
        <v>0</v>
      </c>
      <c r="CE122" s="9">
        <v>10425.9</v>
      </c>
      <c r="CF122" s="9">
        <v>629700.95040509803</v>
      </c>
      <c r="CG122" s="9">
        <v>2870392.7884991509</v>
      </c>
      <c r="CH122" s="9"/>
      <c r="CI122" s="9"/>
      <c r="CJ122" s="9">
        <v>22.2499011797</v>
      </c>
      <c r="CK122" s="9">
        <v>15.3820337959</v>
      </c>
      <c r="CL122" s="9">
        <v>10</v>
      </c>
      <c r="CM122" s="9">
        <v>57.340571823700003</v>
      </c>
      <c r="CN122" s="9">
        <v>24.4438484241</v>
      </c>
      <c r="CO122" s="9">
        <v>1.5667743747</v>
      </c>
      <c r="CP122" s="9">
        <v>7.9239187210999997</v>
      </c>
      <c r="CQ122" s="9">
        <v>5.8949265805</v>
      </c>
      <c r="CR122" s="9">
        <v>3.0347692917</v>
      </c>
      <c r="CS122" s="9">
        <v>1.1476093808000001</v>
      </c>
      <c r="CT122" s="9">
        <v>5.2404857007999999</v>
      </c>
      <c r="CU122" s="9">
        <v>0.83937560919999998</v>
      </c>
      <c r="CV122" s="9">
        <v>1.3584478456</v>
      </c>
      <c r="CW122" s="9">
        <v>3.7871576329000001</v>
      </c>
      <c r="CX122" s="9">
        <v>0.65942574990000002</v>
      </c>
      <c r="CY122" s="9">
        <v>1.4438325123</v>
      </c>
      <c r="CZ122" s="9">
        <v>169</v>
      </c>
      <c r="DA122" s="9">
        <v>150</v>
      </c>
      <c r="DB122" s="9">
        <v>11</v>
      </c>
      <c r="DC122" s="9">
        <v>59</v>
      </c>
      <c r="DD122" s="9">
        <v>13</v>
      </c>
      <c r="DE122" s="9">
        <v>15</v>
      </c>
      <c r="DF122" s="9">
        <v>30</v>
      </c>
      <c r="DG122" s="9">
        <v>14</v>
      </c>
      <c r="DH122" s="9">
        <v>15</v>
      </c>
      <c r="DI122" s="9">
        <v>3</v>
      </c>
      <c r="DJ122" s="9">
        <v>6</v>
      </c>
      <c r="DK122" s="9">
        <v>4</v>
      </c>
      <c r="DL122" s="9">
        <v>0</v>
      </c>
      <c r="DM122" s="9">
        <v>4</v>
      </c>
      <c r="DN122" s="9">
        <v>0</v>
      </c>
      <c r="DO122" s="9">
        <v>133.72999999999999</v>
      </c>
      <c r="DP122" s="9">
        <v>42.33</v>
      </c>
      <c r="DQ122" s="9">
        <v>27.93</v>
      </c>
      <c r="DR122" s="9">
        <v>14.4</v>
      </c>
      <c r="DS122" s="9">
        <v>15.47</v>
      </c>
      <c r="DT122" s="9">
        <v>0.55000000000000004</v>
      </c>
      <c r="DU122" s="9">
        <v>50.13</v>
      </c>
      <c r="DV122" s="9">
        <v>33.78</v>
      </c>
      <c r="DW122" s="9">
        <v>7.77</v>
      </c>
      <c r="DX122" s="9">
        <v>25.79</v>
      </c>
      <c r="DY122" s="9">
        <v>12.95</v>
      </c>
      <c r="DZ122" s="9">
        <v>6.67</v>
      </c>
      <c r="EA122" s="9">
        <v>-9.4068500000000004</v>
      </c>
      <c r="EB122" s="9">
        <v>36.926760000000002</v>
      </c>
      <c r="EC122" s="9">
        <v>-28.116199999999999</v>
      </c>
      <c r="ED122" s="9">
        <v>-31.951799999999999</v>
      </c>
      <c r="EE122" s="9">
        <v>13.73441</v>
      </c>
      <c r="EF122" s="9">
        <v>8.3531519999999997</v>
      </c>
      <c r="EG122" s="9">
        <v>3.0944940000000001</v>
      </c>
      <c r="EH122" s="9">
        <v>-59.422499999999999</v>
      </c>
      <c r="EI122" s="9">
        <v>39.409109999999998</v>
      </c>
      <c r="EJ122" s="9">
        <v>0</v>
      </c>
      <c r="EK122" s="9">
        <v>23.10793</v>
      </c>
      <c r="EL122" s="9">
        <v>-17.168800000000001</v>
      </c>
      <c r="EM122" s="9">
        <v>-21.317</v>
      </c>
      <c r="EN122" s="9">
        <v>1302.5</v>
      </c>
      <c r="EO122" s="9"/>
      <c r="EP122" s="9"/>
      <c r="EQ122" s="9"/>
      <c r="ER122" s="9"/>
      <c r="ES122" s="9"/>
      <c r="ET122" s="9"/>
      <c r="EU122">
        <v>1455.09</v>
      </c>
      <c r="EV122" s="9"/>
      <c r="EW122" s="9"/>
      <c r="EX122" s="9"/>
      <c r="EY122" s="9"/>
      <c r="EZ122" s="9"/>
      <c r="FA122" s="9"/>
      <c r="FB122" s="9">
        <v>100.14375</v>
      </c>
      <c r="FC122" s="9">
        <v>76.4123809524</v>
      </c>
      <c r="FD122" s="9">
        <v>7367.375</v>
      </c>
      <c r="FE122" s="9">
        <v>125.91428571429999</v>
      </c>
      <c r="FF122" s="9">
        <v>1117.9625000000001</v>
      </c>
      <c r="FG122">
        <v>2713190.73</v>
      </c>
      <c r="FH122">
        <v>2674444.5</v>
      </c>
      <c r="FI122">
        <v>38746.230000000003</v>
      </c>
      <c r="FJ122" s="9">
        <v>3056788.35</v>
      </c>
      <c r="FK122">
        <v>2537998.3400000003</v>
      </c>
      <c r="FL122" s="9">
        <v>518790.01</v>
      </c>
      <c r="FM122" s="9">
        <v>4338748.84</v>
      </c>
      <c r="FN122" s="9">
        <v>219361.42</v>
      </c>
      <c r="FO122">
        <v>1455.7</v>
      </c>
      <c r="FP122">
        <v>367.95</v>
      </c>
      <c r="FQ122">
        <v>47.51</v>
      </c>
      <c r="FR122">
        <v>166.07</v>
      </c>
      <c r="FS122">
        <v>12.62</v>
      </c>
      <c r="FT122">
        <v>696.02</v>
      </c>
      <c r="FU122">
        <v>200.08</v>
      </c>
      <c r="FV122">
        <v>1356.6</v>
      </c>
      <c r="FW122">
        <v>59970.25</v>
      </c>
      <c r="FX122">
        <v>647.42999999999995</v>
      </c>
      <c r="HB122" s="6"/>
      <c r="HC122" s="6"/>
      <c r="HD122" s="6"/>
    </row>
    <row r="123" spans="1:212" x14ac:dyDescent="0.2">
      <c r="A123" s="8" t="s">
        <v>853</v>
      </c>
      <c r="B123" s="8" t="s">
        <v>331</v>
      </c>
      <c r="C123" s="8" t="s">
        <v>333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>
        <v>171986.7</v>
      </c>
      <c r="BO123" s="9">
        <v>154633.60000000001</v>
      </c>
      <c r="BP123" s="9">
        <v>73883.5</v>
      </c>
      <c r="BQ123" s="9">
        <v>51859.9</v>
      </c>
      <c r="BR123" s="9">
        <v>11145.5</v>
      </c>
      <c r="BS123" s="9">
        <v>15441.3</v>
      </c>
      <c r="BT123" s="9">
        <v>29808.799999999999</v>
      </c>
      <c r="BU123" s="9">
        <v>15974.4</v>
      </c>
      <c r="BV123" s="9">
        <v>17207.3</v>
      </c>
      <c r="BW123" s="9">
        <v>140744.79999999999</v>
      </c>
      <c r="BX123" s="9">
        <v>4005.6</v>
      </c>
      <c r="BY123" s="9">
        <v>30823.9</v>
      </c>
      <c r="BZ123" s="9">
        <v>47850.6</v>
      </c>
      <c r="CA123" s="9">
        <v>3750</v>
      </c>
      <c r="CB123" s="9">
        <v>9068.9</v>
      </c>
      <c r="CC123" s="9">
        <v>49251.3</v>
      </c>
      <c r="CD123" s="9">
        <v>0</v>
      </c>
      <c r="CE123" s="9">
        <v>13171.4</v>
      </c>
      <c r="CF123" s="9">
        <v>627897.46645263187</v>
      </c>
      <c r="CG123" s="9">
        <v>2981256.8949659029</v>
      </c>
      <c r="CH123" s="9"/>
      <c r="CI123" s="9"/>
      <c r="CJ123" s="9">
        <v>21.413441236699999</v>
      </c>
      <c r="CK123" s="9">
        <v>14.9408210683</v>
      </c>
      <c r="CL123" s="9">
        <v>10</v>
      </c>
      <c r="CM123" s="9">
        <v>59.076819697799998</v>
      </c>
      <c r="CN123" s="9">
        <v>25.962093515999999</v>
      </c>
      <c r="CO123" s="9">
        <v>1.5707890245</v>
      </c>
      <c r="CP123" s="9">
        <v>8.0452191608000003</v>
      </c>
      <c r="CQ123" s="9">
        <v>5.8884927710000001</v>
      </c>
      <c r="CR123" s="9">
        <v>3.0673315761</v>
      </c>
      <c r="CS123" s="9">
        <v>1.1487525297000001</v>
      </c>
      <c r="CT123" s="9">
        <v>5.1932093545000004</v>
      </c>
      <c r="CU123" s="9">
        <v>0.91015065959999997</v>
      </c>
      <c r="CV123" s="9">
        <v>1.3664687811</v>
      </c>
      <c r="CW123" s="9">
        <v>3.7871576329000001</v>
      </c>
      <c r="CX123" s="9">
        <v>0.6782519333</v>
      </c>
      <c r="CY123" s="9">
        <v>1.4589027584000001</v>
      </c>
      <c r="CZ123" s="9">
        <v>140</v>
      </c>
      <c r="DA123" s="9">
        <v>127</v>
      </c>
      <c r="DB123" s="9">
        <v>8</v>
      </c>
      <c r="DC123" s="9">
        <v>59</v>
      </c>
      <c r="DD123" s="9">
        <v>10</v>
      </c>
      <c r="DE123" s="9">
        <v>14</v>
      </c>
      <c r="DF123" s="9">
        <v>16</v>
      </c>
      <c r="DG123" s="9">
        <v>11</v>
      </c>
      <c r="DH123" s="9">
        <v>10</v>
      </c>
      <c r="DI123" s="9">
        <v>2</v>
      </c>
      <c r="DJ123" s="9">
        <v>3</v>
      </c>
      <c r="DK123" s="9">
        <v>3</v>
      </c>
      <c r="DL123" s="9">
        <v>0</v>
      </c>
      <c r="DM123" s="9">
        <v>3</v>
      </c>
      <c r="DN123" s="9">
        <v>0</v>
      </c>
      <c r="DO123" s="9">
        <v>162.97</v>
      </c>
      <c r="DP123" s="9">
        <v>40.270000000000003</v>
      </c>
      <c r="DQ123" s="9">
        <v>25.22</v>
      </c>
      <c r="DR123" s="9">
        <v>15.05</v>
      </c>
      <c r="DS123" s="9">
        <v>13.53</v>
      </c>
      <c r="DT123" s="9">
        <v>1.07</v>
      </c>
      <c r="DU123" s="9">
        <v>57.5</v>
      </c>
      <c r="DV123" s="9">
        <v>44.29</v>
      </c>
      <c r="DW123" s="9">
        <v>7.45</v>
      </c>
      <c r="DX123" s="9">
        <v>51.45</v>
      </c>
      <c r="DY123" s="9">
        <v>30.08</v>
      </c>
      <c r="DZ123" s="9">
        <v>10.01</v>
      </c>
      <c r="EA123" s="9">
        <v>-34.0229</v>
      </c>
      <c r="EB123" s="9">
        <v>-10.731999999999999</v>
      </c>
      <c r="EC123" s="9">
        <v>-16.367599999999999</v>
      </c>
      <c r="ED123" s="9">
        <v>-19.046800000000001</v>
      </c>
      <c r="EE123" s="9">
        <v>12.12337</v>
      </c>
      <c r="EF123" s="9">
        <v>8.3485340000000008</v>
      </c>
      <c r="EG123" s="9">
        <v>-26.967500000000001</v>
      </c>
      <c r="EH123" s="9">
        <v>-62.874099999999999</v>
      </c>
      <c r="EI123" s="9">
        <v>0.37957800000000003</v>
      </c>
      <c r="EJ123" s="9">
        <v>0</v>
      </c>
      <c r="EK123" s="9">
        <v>35.527050000000003</v>
      </c>
      <c r="EL123" s="9">
        <v>-26.919599999999999</v>
      </c>
      <c r="EM123" s="9">
        <v>-25.6265</v>
      </c>
      <c r="EN123" s="9">
        <v>1270.9000000000001</v>
      </c>
      <c r="EO123" s="9"/>
      <c r="EP123" s="9"/>
      <c r="EQ123" s="9"/>
      <c r="ER123" s="9"/>
      <c r="ES123" s="9"/>
      <c r="ET123" s="9"/>
      <c r="EU123">
        <v>1446.08</v>
      </c>
      <c r="EV123" s="9"/>
      <c r="EW123" s="9"/>
      <c r="EX123" s="9"/>
      <c r="EY123" s="9"/>
      <c r="EZ123" s="9"/>
      <c r="FA123" s="9"/>
      <c r="FB123" s="9">
        <v>98.158928571399997</v>
      </c>
      <c r="FC123" s="9">
        <v>74.311999999999998</v>
      </c>
      <c r="FD123" s="9">
        <v>6867.6750000000002</v>
      </c>
      <c r="FE123" s="9">
        <v>127.61499999999999</v>
      </c>
      <c r="FF123" s="9">
        <v>1095.4124999999999</v>
      </c>
      <c r="FG123">
        <v>2722679.8099999996</v>
      </c>
      <c r="FH123">
        <v>2682019.8499999996</v>
      </c>
      <c r="FI123">
        <v>40659.96</v>
      </c>
      <c r="FJ123" s="9">
        <v>3158010.87</v>
      </c>
      <c r="FK123">
        <v>2626305.79</v>
      </c>
      <c r="FL123" s="9">
        <v>531705.07999999996</v>
      </c>
      <c r="FM123" s="9">
        <v>4499643.07</v>
      </c>
      <c r="FN123" s="9">
        <v>252683.05</v>
      </c>
      <c r="FO123">
        <v>1449.82</v>
      </c>
      <c r="FP123">
        <v>259.06</v>
      </c>
      <c r="FQ123">
        <v>44.35</v>
      </c>
      <c r="FR123">
        <v>148.28</v>
      </c>
      <c r="FS123">
        <v>12.2</v>
      </c>
      <c r="FT123">
        <v>357.34</v>
      </c>
      <c r="FU123">
        <v>158.65</v>
      </c>
      <c r="FV123">
        <v>1447.22</v>
      </c>
      <c r="FW123">
        <v>31046.67</v>
      </c>
      <c r="FX123">
        <v>647.1</v>
      </c>
      <c r="HB123" s="6"/>
      <c r="HC123" s="6"/>
      <c r="HD123" s="6"/>
    </row>
    <row r="124" spans="1:212" x14ac:dyDescent="0.2">
      <c r="A124" s="8" t="s">
        <v>853</v>
      </c>
      <c r="B124" s="8" t="s">
        <v>331</v>
      </c>
      <c r="C124" s="8" t="s">
        <v>334</v>
      </c>
      <c r="D124" s="9">
        <v>1674571.54</v>
      </c>
      <c r="E124" s="9">
        <v>47800.75</v>
      </c>
      <c r="F124" s="9">
        <v>395477.2</v>
      </c>
      <c r="G124" s="9">
        <v>120048.1</v>
      </c>
      <c r="H124" s="9">
        <v>59488.5</v>
      </c>
      <c r="I124" s="9">
        <v>5816.01</v>
      </c>
      <c r="J124" s="9">
        <v>204388.17</v>
      </c>
      <c r="K124" s="9">
        <v>122199.13</v>
      </c>
      <c r="L124" s="9">
        <v>61223.88</v>
      </c>
      <c r="M124" s="9">
        <v>503792.82</v>
      </c>
      <c r="N124" s="9">
        <v>154336.98000000001</v>
      </c>
      <c r="O124" s="9">
        <v>2418750.2839004952</v>
      </c>
      <c r="P124" s="9">
        <v>72224.7656414331</v>
      </c>
      <c r="Q124" s="9">
        <v>402802.06247722049</v>
      </c>
      <c r="R124" s="9">
        <v>203690.2629759621</v>
      </c>
      <c r="S124" s="9">
        <v>111496.9300617259</v>
      </c>
      <c r="T124" s="9">
        <v>8837.7871289110008</v>
      </c>
      <c r="U124" s="9">
        <v>262598.73433666269</v>
      </c>
      <c r="V124" s="9">
        <v>142344.25577568941</v>
      </c>
      <c r="W124" s="9">
        <v>76908.696624080694</v>
      </c>
      <c r="X124" s="9">
        <v>934204.616304136</v>
      </c>
      <c r="Y124" s="9">
        <v>203642.17257467381</v>
      </c>
      <c r="Z124" s="9">
        <v>1711157.4</v>
      </c>
      <c r="AA124" s="9">
        <v>1280815.7</v>
      </c>
      <c r="AB124" s="9">
        <v>262455.09999999998</v>
      </c>
      <c r="AC124" s="9">
        <v>328910.2</v>
      </c>
      <c r="AD124" s="9">
        <v>80877.8</v>
      </c>
      <c r="AE124" s="9">
        <v>817700.4</v>
      </c>
      <c r="AF124" s="9">
        <v>1059601.8</v>
      </c>
      <c r="AG124" s="9">
        <v>2456356.5591072771</v>
      </c>
      <c r="AH124" s="9">
        <v>1828792.069418303</v>
      </c>
      <c r="AI124" s="9">
        <v>397504.82521194778</v>
      </c>
      <c r="AJ124" s="9">
        <v>400567.40395680058</v>
      </c>
      <c r="AK124" s="9">
        <v>127814.4530239173</v>
      </c>
      <c r="AL124" s="9">
        <v>772663.14075651811</v>
      </c>
      <c r="AM124" s="9">
        <v>1070985.33326021</v>
      </c>
      <c r="AN124" s="9">
        <v>975889</v>
      </c>
      <c r="AO124" s="9">
        <v>506335</v>
      </c>
      <c r="AP124" s="9">
        <v>469554</v>
      </c>
      <c r="AQ124" s="9">
        <v>135122</v>
      </c>
      <c r="AR124" s="9">
        <v>76333</v>
      </c>
      <c r="AS124" s="9">
        <v>58789</v>
      </c>
      <c r="AT124" s="9">
        <v>707407</v>
      </c>
      <c r="AU124" s="9">
        <v>287139</v>
      </c>
      <c r="AV124" s="9">
        <v>420268</v>
      </c>
      <c r="AW124" s="9">
        <v>314.39999999999998</v>
      </c>
      <c r="AX124" s="9">
        <v>180.3</v>
      </c>
      <c r="AY124" s="9">
        <v>494.5</v>
      </c>
      <c r="AZ124" s="9">
        <v>295.10000000000002</v>
      </c>
      <c r="BA124" s="9">
        <v>317.39999999999998</v>
      </c>
      <c r="BB124" s="9"/>
      <c r="BC124" s="9">
        <v>208.4</v>
      </c>
      <c r="BD124" s="9">
        <v>232.2</v>
      </c>
      <c r="BE124" s="9">
        <v>352.3</v>
      </c>
      <c r="BF124" s="9">
        <v>233.8</v>
      </c>
      <c r="BG124" s="9"/>
      <c r="BH124" s="9">
        <v>657.3</v>
      </c>
      <c r="BI124" s="9">
        <v>262.3</v>
      </c>
      <c r="BJ124" s="9">
        <v>270.3</v>
      </c>
      <c r="BK124" s="9">
        <v>294.60000000000002</v>
      </c>
      <c r="BL124" s="9"/>
      <c r="BM124" s="9">
        <v>247</v>
      </c>
      <c r="BN124" s="9">
        <v>228173.4</v>
      </c>
      <c r="BO124" s="9">
        <v>199999.5</v>
      </c>
      <c r="BP124" s="9">
        <v>71193.100000000006</v>
      </c>
      <c r="BQ124" s="9">
        <v>19667.099999999999</v>
      </c>
      <c r="BR124" s="9">
        <v>13559.8</v>
      </c>
      <c r="BS124" s="9">
        <v>28660.400000000001</v>
      </c>
      <c r="BT124" s="9">
        <v>44809.2</v>
      </c>
      <c r="BU124" s="9">
        <v>17011.2</v>
      </c>
      <c r="BV124" s="9">
        <v>27870.2</v>
      </c>
      <c r="BW124" s="9">
        <v>164156.29999999999</v>
      </c>
      <c r="BX124" s="9">
        <v>104067.6</v>
      </c>
      <c r="BY124" s="9">
        <v>47720.5</v>
      </c>
      <c r="BZ124" s="9">
        <v>49628.3</v>
      </c>
      <c r="CA124" s="9">
        <v>2145.6999999999998</v>
      </c>
      <c r="CB124" s="9">
        <v>11608.2</v>
      </c>
      <c r="CC124" s="9">
        <v>53053.8</v>
      </c>
      <c r="CD124" s="9">
        <v>0</v>
      </c>
      <c r="CE124" s="9">
        <v>17758</v>
      </c>
      <c r="CF124" s="9">
        <v>693003.01357504993</v>
      </c>
      <c r="CG124" s="9">
        <v>2973911.5735159731</v>
      </c>
      <c r="CH124" s="9"/>
      <c r="CI124" s="9"/>
      <c r="CJ124" s="9">
        <v>20.0480134546</v>
      </c>
      <c r="CK124" s="9">
        <v>14.9343314054</v>
      </c>
      <c r="CL124" s="9">
        <v>10</v>
      </c>
      <c r="CM124" s="9">
        <v>60.237277098</v>
      </c>
      <c r="CN124" s="9">
        <v>27.0571203525</v>
      </c>
      <c r="CO124" s="9">
        <v>1.5671183343999999</v>
      </c>
      <c r="CP124" s="9">
        <v>8.0523382304000002</v>
      </c>
      <c r="CQ124" s="9">
        <v>5.8271242998000004</v>
      </c>
      <c r="CR124" s="9">
        <v>3.0789465842000001</v>
      </c>
      <c r="CS124" s="9">
        <v>1.1531641244999999</v>
      </c>
      <c r="CT124" s="9">
        <v>5.2387469202999997</v>
      </c>
      <c r="CU124" s="9">
        <v>0.95305235119999998</v>
      </c>
      <c r="CV124" s="9">
        <v>1.3702597405000001</v>
      </c>
      <c r="CW124" s="9">
        <v>3.7871576329000001</v>
      </c>
      <c r="CX124" s="9">
        <v>0.68114672639999996</v>
      </c>
      <c r="CY124" s="9">
        <v>1.4711018008000001</v>
      </c>
      <c r="CZ124" s="9">
        <v>184</v>
      </c>
      <c r="DA124" s="9">
        <v>167</v>
      </c>
      <c r="DB124" s="9">
        <v>10</v>
      </c>
      <c r="DC124" s="9">
        <v>64</v>
      </c>
      <c r="DD124" s="9">
        <v>13</v>
      </c>
      <c r="DE124" s="9">
        <v>10</v>
      </c>
      <c r="DF124" s="9">
        <v>48</v>
      </c>
      <c r="DG124" s="9">
        <v>15</v>
      </c>
      <c r="DH124" s="9">
        <v>12</v>
      </c>
      <c r="DI124" s="9">
        <v>2</v>
      </c>
      <c r="DJ124" s="9">
        <v>5</v>
      </c>
      <c r="DK124" s="9">
        <v>2</v>
      </c>
      <c r="DL124" s="9">
        <v>0</v>
      </c>
      <c r="DM124" s="9">
        <v>5</v>
      </c>
      <c r="DN124" s="9">
        <v>0</v>
      </c>
      <c r="DO124" s="9">
        <v>272.25</v>
      </c>
      <c r="DP124" s="9">
        <v>54.92</v>
      </c>
      <c r="DQ124" s="9">
        <v>29.68</v>
      </c>
      <c r="DR124" s="9">
        <v>25.23</v>
      </c>
      <c r="DS124" s="9">
        <v>19.739999999999998</v>
      </c>
      <c r="DT124" s="9">
        <v>0.28000000000000003</v>
      </c>
      <c r="DU124" s="9">
        <v>122.71</v>
      </c>
      <c r="DV124" s="9">
        <v>98.96</v>
      </c>
      <c r="DW124" s="9">
        <v>16.72</v>
      </c>
      <c r="DX124" s="9">
        <v>55.44</v>
      </c>
      <c r="DY124" s="9">
        <v>24.08</v>
      </c>
      <c r="DZ124" s="9">
        <v>17.84</v>
      </c>
      <c r="EA124" s="9">
        <v>-100.961</v>
      </c>
      <c r="EB124" s="9">
        <v>-83.815600000000003</v>
      </c>
      <c r="EC124" s="9">
        <v>-21.1022</v>
      </c>
      <c r="ED124" s="9">
        <v>-15.4762</v>
      </c>
      <c r="EE124" s="9">
        <v>19.433330000000002</v>
      </c>
      <c r="EF124" s="9">
        <v>8.6411569999999998</v>
      </c>
      <c r="EG124" s="9">
        <v>-107.55200000000001</v>
      </c>
      <c r="EH124" s="9">
        <v>-71.884900000000002</v>
      </c>
      <c r="EI124" s="9">
        <v>36.816330000000001</v>
      </c>
      <c r="EJ124" s="9">
        <v>0</v>
      </c>
      <c r="EK124" s="9">
        <v>-72.483400000000003</v>
      </c>
      <c r="EL124" s="9">
        <v>-4.6373699999999998</v>
      </c>
      <c r="EM124" s="9">
        <v>10.595079999999999</v>
      </c>
      <c r="EN124" s="9">
        <v>1304.8</v>
      </c>
      <c r="EO124" s="9"/>
      <c r="EP124" s="9"/>
      <c r="EQ124" s="9"/>
      <c r="ER124" s="9"/>
      <c r="ES124" s="9"/>
      <c r="ET124" s="9"/>
      <c r="EU124">
        <v>1412.82</v>
      </c>
      <c r="EV124" s="9">
        <v>5808.74</v>
      </c>
      <c r="EW124" s="9">
        <v>1823.16</v>
      </c>
      <c r="EX124" s="9">
        <v>257.85000000000002</v>
      </c>
      <c r="EY124" s="9">
        <v>351.1</v>
      </c>
      <c r="EZ124" s="9">
        <v>746.95</v>
      </c>
      <c r="FA124" s="9">
        <v>2629.68</v>
      </c>
      <c r="FB124" s="9">
        <v>100.099378882</v>
      </c>
      <c r="FC124" s="9">
        <v>79.274782608699994</v>
      </c>
      <c r="FD124" s="9">
        <v>7466.9347826086996</v>
      </c>
      <c r="FE124" s="9">
        <v>139.76956521739999</v>
      </c>
      <c r="FF124" s="9">
        <v>1113.3369565216999</v>
      </c>
      <c r="FG124">
        <v>2773170.76</v>
      </c>
      <c r="FH124">
        <v>2734817.09</v>
      </c>
      <c r="FI124">
        <v>38353.67</v>
      </c>
      <c r="FJ124" s="9">
        <v>3179041.7300000004</v>
      </c>
      <c r="FK124">
        <v>2586999.17</v>
      </c>
      <c r="FL124" s="9">
        <v>592042.56000000006</v>
      </c>
      <c r="FM124" s="9">
        <v>4481593.2300000004</v>
      </c>
      <c r="FN124" s="9">
        <v>251779.16</v>
      </c>
      <c r="FO124">
        <v>1367.1</v>
      </c>
      <c r="FP124">
        <v>307.5</v>
      </c>
      <c r="FQ124">
        <v>49.44</v>
      </c>
      <c r="FR124">
        <v>203.04</v>
      </c>
      <c r="FS124">
        <v>9.43</v>
      </c>
      <c r="FT124">
        <v>1070.2</v>
      </c>
      <c r="FU124">
        <v>197.65</v>
      </c>
      <c r="FV124">
        <v>1834.64</v>
      </c>
      <c r="FW124">
        <v>51772.36</v>
      </c>
      <c r="FX124">
        <v>730.49</v>
      </c>
      <c r="HB124" s="6"/>
      <c r="HC124" s="6"/>
      <c r="HD124" s="6"/>
    </row>
    <row r="125" spans="1:212" x14ac:dyDescent="0.2">
      <c r="A125" s="8" t="s">
        <v>853</v>
      </c>
      <c r="B125" s="8" t="s">
        <v>335</v>
      </c>
      <c r="C125" s="8" t="s">
        <v>336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>
        <v>226115.8</v>
      </c>
      <c r="BO125" s="9">
        <v>187546.2</v>
      </c>
      <c r="BP125" s="9">
        <v>69829.2</v>
      </c>
      <c r="BQ125" s="9">
        <v>44974.400000000001</v>
      </c>
      <c r="BR125" s="9">
        <v>11824.4</v>
      </c>
      <c r="BS125" s="9">
        <v>24916.2</v>
      </c>
      <c r="BT125" s="9">
        <v>39297.800000000003</v>
      </c>
      <c r="BU125" s="9">
        <v>15554.7</v>
      </c>
      <c r="BV125" s="9">
        <v>26483.200000000001</v>
      </c>
      <c r="BW125" s="9">
        <v>250434</v>
      </c>
      <c r="BX125" s="9">
        <v>4882.8999999999996</v>
      </c>
      <c r="BY125" s="9">
        <v>38963.300000000003</v>
      </c>
      <c r="BZ125" s="9">
        <v>52715.6</v>
      </c>
      <c r="CA125" s="9">
        <v>3797.4</v>
      </c>
      <c r="CB125" s="9">
        <v>2967</v>
      </c>
      <c r="CC125" s="9">
        <v>151990.6</v>
      </c>
      <c r="CD125" s="9">
        <v>0</v>
      </c>
      <c r="CE125" s="9">
        <v>51755.1</v>
      </c>
      <c r="CF125" s="9">
        <v>754299.91017847264</v>
      </c>
      <c r="CG125" s="9">
        <v>3162435.1435934179</v>
      </c>
      <c r="CH125" s="9"/>
      <c r="CI125" s="9"/>
      <c r="CJ125" s="9">
        <v>20.470090962099999</v>
      </c>
      <c r="CK125" s="9">
        <v>15.573054084300001</v>
      </c>
      <c r="CL125" s="9">
        <v>10</v>
      </c>
      <c r="CM125" s="9">
        <v>61.479741387600001</v>
      </c>
      <c r="CN125" s="9">
        <v>28.2237118647</v>
      </c>
      <c r="CO125" s="9">
        <v>1.5723303118</v>
      </c>
      <c r="CP125" s="9">
        <v>8.1055902191999998</v>
      </c>
      <c r="CQ125" s="9">
        <v>5.8060997008999999</v>
      </c>
      <c r="CR125" s="9">
        <v>3.1063474736000001</v>
      </c>
      <c r="CS125" s="9">
        <v>1.1514825619</v>
      </c>
      <c r="CT125" s="9">
        <v>5.2371720211000001</v>
      </c>
      <c r="CU125" s="9">
        <v>0.95445405699999997</v>
      </c>
      <c r="CV125" s="9">
        <v>1.373211409</v>
      </c>
      <c r="CW125" s="9">
        <v>3.7871576329000001</v>
      </c>
      <c r="CX125" s="9">
        <v>0.68298005230000003</v>
      </c>
      <c r="CY125" s="9">
        <v>1.4792040833</v>
      </c>
      <c r="CZ125" s="9">
        <v>234</v>
      </c>
      <c r="DA125" s="9">
        <v>196</v>
      </c>
      <c r="DB125" s="9">
        <v>13</v>
      </c>
      <c r="DC125" s="9">
        <v>64</v>
      </c>
      <c r="DD125" s="9">
        <v>16</v>
      </c>
      <c r="DE125" s="9">
        <v>14</v>
      </c>
      <c r="DF125" s="9">
        <v>62</v>
      </c>
      <c r="DG125" s="9">
        <v>15</v>
      </c>
      <c r="DH125" s="9">
        <v>32</v>
      </c>
      <c r="DI125" s="9">
        <v>3</v>
      </c>
      <c r="DJ125" s="9">
        <v>5</v>
      </c>
      <c r="DK125" s="9">
        <v>23</v>
      </c>
      <c r="DL125" s="9">
        <v>0</v>
      </c>
      <c r="DM125" s="9">
        <v>6</v>
      </c>
      <c r="DN125" s="9">
        <v>0</v>
      </c>
      <c r="DO125" s="9">
        <v>212.39</v>
      </c>
      <c r="DP125" s="9">
        <v>58.78</v>
      </c>
      <c r="DQ125" s="9">
        <v>36.46</v>
      </c>
      <c r="DR125" s="9">
        <v>22.31</v>
      </c>
      <c r="DS125" s="9">
        <v>18.100000000000001</v>
      </c>
      <c r="DT125" s="9">
        <v>2.0499999999999998</v>
      </c>
      <c r="DU125" s="9">
        <v>86.98</v>
      </c>
      <c r="DV125" s="9">
        <v>61.07</v>
      </c>
      <c r="DW125" s="9">
        <v>19.2</v>
      </c>
      <c r="DX125" s="9">
        <v>44.54</v>
      </c>
      <c r="DY125" s="9">
        <v>28.33</v>
      </c>
      <c r="DZ125" s="9">
        <v>8.58</v>
      </c>
      <c r="EA125" s="9">
        <v>-68.531599999999997</v>
      </c>
      <c r="EB125" s="9">
        <v>-7.2709400000000004</v>
      </c>
      <c r="EC125" s="9">
        <v>-24.595700000000001</v>
      </c>
      <c r="ED125" s="9">
        <v>-52.406799999999997</v>
      </c>
      <c r="EE125" s="9">
        <v>15.74174</v>
      </c>
      <c r="EF125" s="9">
        <v>12.000970000000001</v>
      </c>
      <c r="EG125" s="9">
        <v>-134.435</v>
      </c>
      <c r="EH125" s="9">
        <v>-183.29599999999999</v>
      </c>
      <c r="EI125" s="9">
        <v>-0.15334999999999999</v>
      </c>
      <c r="EJ125" s="9">
        <v>0</v>
      </c>
      <c r="EK125" s="9">
        <v>49.014899999999997</v>
      </c>
      <c r="EL125" s="9">
        <v>24.619230000000002</v>
      </c>
      <c r="EM125" s="9">
        <v>102.5231</v>
      </c>
      <c r="EN125" s="9">
        <v>1407</v>
      </c>
      <c r="EO125" s="9"/>
      <c r="EP125" s="9"/>
      <c r="EQ125" s="9"/>
      <c r="ER125" s="9"/>
      <c r="ES125" s="9"/>
      <c r="ET125" s="9"/>
      <c r="EU125">
        <v>1382.64</v>
      </c>
      <c r="EV125" s="9"/>
      <c r="EW125" s="9"/>
      <c r="EX125" s="9"/>
      <c r="EY125" s="9"/>
      <c r="EZ125" s="9"/>
      <c r="FA125" s="9"/>
      <c r="FB125" s="9">
        <v>104.96250000000001</v>
      </c>
      <c r="FC125" s="9">
        <v>84.928636363600006</v>
      </c>
      <c r="FD125" s="9">
        <v>7729.8374999999996</v>
      </c>
      <c r="FE125" s="9">
        <v>172.46818181820001</v>
      </c>
      <c r="FF125" s="9">
        <v>1148.6875</v>
      </c>
      <c r="FG125">
        <v>2769510.95</v>
      </c>
      <c r="FH125">
        <v>2731140</v>
      </c>
      <c r="FI125">
        <v>38370.949999999997</v>
      </c>
      <c r="FJ125" s="9">
        <v>3298320.7800000003</v>
      </c>
      <c r="FK125">
        <v>2732351.48</v>
      </c>
      <c r="FL125" s="9">
        <v>565969.30000000005</v>
      </c>
      <c r="FM125" s="9">
        <v>4601484.8099999996</v>
      </c>
      <c r="FN125" s="9">
        <v>255858.73</v>
      </c>
      <c r="FO125">
        <v>1372.46</v>
      </c>
      <c r="FP125">
        <v>427.45</v>
      </c>
      <c r="FQ125">
        <v>48.14</v>
      </c>
      <c r="FR125">
        <v>219.49</v>
      </c>
      <c r="FS125">
        <v>12.02</v>
      </c>
      <c r="FT125">
        <v>1254.53</v>
      </c>
      <c r="FU125">
        <v>189.63</v>
      </c>
      <c r="FV125">
        <v>1701.28</v>
      </c>
      <c r="FW125">
        <v>49449.93</v>
      </c>
      <c r="FX125">
        <v>1282.53</v>
      </c>
      <c r="HB125" s="6"/>
      <c r="HC125" s="6"/>
      <c r="HD125" s="6"/>
    </row>
    <row r="126" spans="1:212" x14ac:dyDescent="0.2">
      <c r="A126" s="8" t="s">
        <v>853</v>
      </c>
      <c r="B126" s="8" t="s">
        <v>335</v>
      </c>
      <c r="C126" s="8" t="s">
        <v>337</v>
      </c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>
        <v>221153.9</v>
      </c>
      <c r="BO126" s="9">
        <v>188346.6</v>
      </c>
      <c r="BP126" s="9">
        <v>45337</v>
      </c>
      <c r="BQ126" s="9">
        <v>14728.5</v>
      </c>
      <c r="BR126" s="9">
        <v>9893.6</v>
      </c>
      <c r="BS126" s="9">
        <v>22813.5</v>
      </c>
      <c r="BT126" s="9">
        <v>48796.5</v>
      </c>
      <c r="BU126" s="9">
        <v>19268.3</v>
      </c>
      <c r="BV126" s="9">
        <v>26700.7</v>
      </c>
      <c r="BW126" s="9">
        <v>149860.9</v>
      </c>
      <c r="BX126" s="9">
        <v>11010.9</v>
      </c>
      <c r="BY126" s="9">
        <v>37123.300000000003</v>
      </c>
      <c r="BZ126" s="9">
        <v>48382.8</v>
      </c>
      <c r="CA126" s="9">
        <v>2326.1999999999998</v>
      </c>
      <c r="CB126" s="9">
        <v>5402.7</v>
      </c>
      <c r="CC126" s="9">
        <v>56625.9</v>
      </c>
      <c r="CD126" s="9">
        <v>0</v>
      </c>
      <c r="CE126" s="9">
        <v>39884.699999999997</v>
      </c>
      <c r="CF126" s="9">
        <v>795658.05322029348</v>
      </c>
      <c r="CG126" s="9">
        <v>3251587.0207718769</v>
      </c>
      <c r="CH126" s="9"/>
      <c r="CI126" s="9"/>
      <c r="CJ126" s="9">
        <v>20.1702546667</v>
      </c>
      <c r="CK126" s="9">
        <v>14.488688781500001</v>
      </c>
      <c r="CL126" s="9">
        <v>11</v>
      </c>
      <c r="CM126" s="9">
        <v>63.420619461500003</v>
      </c>
      <c r="CN126" s="9">
        <v>30.0173265265</v>
      </c>
      <c r="CO126" s="9">
        <v>1.5815861885</v>
      </c>
      <c r="CP126" s="9">
        <v>8.1514685902000004</v>
      </c>
      <c r="CQ126" s="9">
        <v>5.8335668653999999</v>
      </c>
      <c r="CR126" s="9">
        <v>3.1110429596000002</v>
      </c>
      <c r="CS126" s="9">
        <v>1.1574517687000001</v>
      </c>
      <c r="CT126" s="9">
        <v>5.2828728456</v>
      </c>
      <c r="CU126" s="9">
        <v>0.95357369290000005</v>
      </c>
      <c r="CV126" s="9">
        <v>1.3762518672999999</v>
      </c>
      <c r="CW126" s="9">
        <v>3.7871576329000001</v>
      </c>
      <c r="CX126" s="9">
        <v>0.68993270179999999</v>
      </c>
      <c r="CY126" s="9">
        <v>1.4783878219</v>
      </c>
      <c r="CZ126" s="9">
        <v>269</v>
      </c>
      <c r="DA126" s="9">
        <v>214</v>
      </c>
      <c r="DB126" s="9">
        <v>19</v>
      </c>
      <c r="DC126" s="9">
        <v>70</v>
      </c>
      <c r="DD126" s="9">
        <v>15</v>
      </c>
      <c r="DE126" s="9">
        <v>12</v>
      </c>
      <c r="DF126" s="9">
        <v>72</v>
      </c>
      <c r="DG126" s="9">
        <v>13</v>
      </c>
      <c r="DH126" s="9">
        <v>44</v>
      </c>
      <c r="DI126" s="9">
        <v>3</v>
      </c>
      <c r="DJ126" s="9">
        <v>3</v>
      </c>
      <c r="DK126" s="9">
        <v>37</v>
      </c>
      <c r="DL126" s="9">
        <v>0</v>
      </c>
      <c r="DM126" s="9">
        <v>10</v>
      </c>
      <c r="DN126" s="9">
        <v>0</v>
      </c>
      <c r="DO126" s="9">
        <v>235.96</v>
      </c>
      <c r="DP126" s="9">
        <v>61.82</v>
      </c>
      <c r="DQ126" s="9">
        <v>36.840000000000003</v>
      </c>
      <c r="DR126" s="9">
        <v>24.98</v>
      </c>
      <c r="DS126" s="9">
        <v>30.25</v>
      </c>
      <c r="DT126" s="9">
        <v>0.83</v>
      </c>
      <c r="DU126" s="9">
        <v>103.87</v>
      </c>
      <c r="DV126" s="9">
        <v>73.209999999999994</v>
      </c>
      <c r="DW126" s="9">
        <v>21.4</v>
      </c>
      <c r="DX126" s="9">
        <v>39.89</v>
      </c>
      <c r="DY126" s="9">
        <v>21.33</v>
      </c>
      <c r="DZ126" s="9">
        <v>7.95</v>
      </c>
      <c r="EA126" s="9">
        <v>9.6209760000000006</v>
      </c>
      <c r="EB126" s="9">
        <v>41.401809999999998</v>
      </c>
      <c r="EC126" s="9">
        <v>-25.494700000000002</v>
      </c>
      <c r="ED126" s="9">
        <v>-15.4785</v>
      </c>
      <c r="EE126" s="9">
        <v>9.1924349999999997</v>
      </c>
      <c r="EF126" s="9">
        <v>8.7189530000000008</v>
      </c>
      <c r="EG126" s="9">
        <v>-44.069400000000002</v>
      </c>
      <c r="EH126" s="9">
        <v>-81.728099999999998</v>
      </c>
      <c r="EI126" s="9">
        <v>-1.1039699999999999</v>
      </c>
      <c r="EJ126" s="9">
        <v>0</v>
      </c>
      <c r="EK126" s="9">
        <v>38.76267</v>
      </c>
      <c r="EL126" s="9">
        <v>-76.187299999999993</v>
      </c>
      <c r="EM126" s="9">
        <v>-13.778</v>
      </c>
      <c r="EN126" s="9">
        <v>1384.5</v>
      </c>
      <c r="EO126" s="9"/>
      <c r="EP126" s="9"/>
      <c r="EQ126" s="9"/>
      <c r="ER126" s="9"/>
      <c r="ES126" s="9"/>
      <c r="ET126" s="9"/>
      <c r="EU126">
        <v>1387.24</v>
      </c>
      <c r="EV126" s="9"/>
      <c r="EW126" s="9"/>
      <c r="EX126" s="9"/>
      <c r="EY126" s="9"/>
      <c r="EZ126" s="9"/>
      <c r="FA126" s="9"/>
      <c r="FB126" s="9">
        <v>107.93515037589999</v>
      </c>
      <c r="FC126" s="9">
        <v>76.250952381000005</v>
      </c>
      <c r="FD126" s="9">
        <v>6843.1578947367998</v>
      </c>
      <c r="FE126" s="9">
        <v>161.34761904760001</v>
      </c>
      <c r="FF126" s="9">
        <v>1205.4342105262999</v>
      </c>
      <c r="FG126">
        <v>2857836.24</v>
      </c>
      <c r="FH126">
        <v>2819146.5900000003</v>
      </c>
      <c r="FI126">
        <v>38689.65</v>
      </c>
      <c r="FJ126" s="9">
        <v>3350873.81</v>
      </c>
      <c r="FK126">
        <v>2807111.6900000004</v>
      </c>
      <c r="FL126" s="9">
        <v>543762.12</v>
      </c>
      <c r="FM126" s="9">
        <v>4669159.1100000003</v>
      </c>
      <c r="FN126" s="9">
        <v>256184.67</v>
      </c>
      <c r="FO126">
        <v>1384.85</v>
      </c>
      <c r="FP126">
        <v>562.96</v>
      </c>
      <c r="FQ126">
        <v>49.89</v>
      </c>
      <c r="FR126">
        <v>212.72</v>
      </c>
      <c r="FS126">
        <v>9.98</v>
      </c>
      <c r="FT126">
        <v>1421.43</v>
      </c>
      <c r="FU126">
        <v>164.04</v>
      </c>
      <c r="FV126">
        <v>1469.13</v>
      </c>
      <c r="FW126">
        <v>28479.89</v>
      </c>
      <c r="FX126">
        <v>1097.07</v>
      </c>
      <c r="HB126" s="6"/>
      <c r="HC126" s="6"/>
      <c r="HD126" s="6"/>
    </row>
    <row r="127" spans="1:212" x14ac:dyDescent="0.2">
      <c r="A127" s="8" t="s">
        <v>853</v>
      </c>
      <c r="B127" s="8" t="s">
        <v>335</v>
      </c>
      <c r="C127" s="8" t="s">
        <v>338</v>
      </c>
      <c r="D127" s="9">
        <v>2582693.25</v>
      </c>
      <c r="E127" s="9">
        <v>465219.86</v>
      </c>
      <c r="F127" s="9">
        <v>477263.84</v>
      </c>
      <c r="G127" s="9">
        <v>168553.19</v>
      </c>
      <c r="H127" s="9">
        <v>49247.67</v>
      </c>
      <c r="I127" s="9">
        <v>32929.14</v>
      </c>
      <c r="J127" s="9">
        <v>361421.78</v>
      </c>
      <c r="K127" s="9">
        <v>151606.54</v>
      </c>
      <c r="L127" s="9">
        <v>63437.75</v>
      </c>
      <c r="M127" s="9">
        <v>566067.91</v>
      </c>
      <c r="N127" s="9">
        <v>246945.57</v>
      </c>
      <c r="O127" s="9">
        <v>3730440.8216954358</v>
      </c>
      <c r="P127" s="9">
        <v>706127.77545607556</v>
      </c>
      <c r="Q127" s="9">
        <v>488317.60751389049</v>
      </c>
      <c r="R127" s="9">
        <v>287293.34922847681</v>
      </c>
      <c r="S127" s="9">
        <v>92723.367844673397</v>
      </c>
      <c r="T127" s="9">
        <v>50265.776824868801</v>
      </c>
      <c r="U127" s="9">
        <v>466471.17456919659</v>
      </c>
      <c r="V127" s="9">
        <v>177403.99127399811</v>
      </c>
      <c r="W127" s="9">
        <v>80052.701310208606</v>
      </c>
      <c r="X127" s="9">
        <v>1054465.0483063341</v>
      </c>
      <c r="Y127" s="9">
        <v>327320.02936771442</v>
      </c>
      <c r="Z127" s="9">
        <v>2596158.7999999998</v>
      </c>
      <c r="AA127" s="9">
        <v>1299649.7</v>
      </c>
      <c r="AB127" s="9">
        <v>309688</v>
      </c>
      <c r="AC127" s="9">
        <v>871598.9</v>
      </c>
      <c r="AD127" s="9">
        <v>216701.1</v>
      </c>
      <c r="AE127" s="9">
        <v>1273465.6000000001</v>
      </c>
      <c r="AF127" s="9">
        <v>1374944.7</v>
      </c>
      <c r="AG127" s="9">
        <v>3726770.9544803286</v>
      </c>
      <c r="AH127" s="9">
        <v>1952330.010502974</v>
      </c>
      <c r="AI127" s="9">
        <v>493470.27551134379</v>
      </c>
      <c r="AJ127" s="9">
        <v>1116771.107167653</v>
      </c>
      <c r="AK127" s="9">
        <v>360297.28073456732</v>
      </c>
      <c r="AL127" s="9">
        <v>1265996.295222854</v>
      </c>
      <c r="AM127" s="9">
        <v>1462094.014659062</v>
      </c>
      <c r="AN127" s="9">
        <v>1045690</v>
      </c>
      <c r="AO127" s="9">
        <v>547385</v>
      </c>
      <c r="AP127" s="9">
        <v>498305</v>
      </c>
      <c r="AQ127" s="9">
        <v>109388</v>
      </c>
      <c r="AR127" s="9">
        <v>59920</v>
      </c>
      <c r="AS127" s="9">
        <v>49468</v>
      </c>
      <c r="AT127" s="9">
        <v>703761</v>
      </c>
      <c r="AU127" s="9">
        <v>290093</v>
      </c>
      <c r="AV127" s="9">
        <v>413668</v>
      </c>
      <c r="AW127" s="9">
        <v>338.6</v>
      </c>
      <c r="AX127" s="9">
        <v>163.9</v>
      </c>
      <c r="AY127" s="9">
        <v>641.70000000000005</v>
      </c>
      <c r="AZ127" s="9">
        <v>322.2</v>
      </c>
      <c r="BA127" s="9">
        <v>325.89999999999998</v>
      </c>
      <c r="BB127" s="9"/>
      <c r="BC127" s="9">
        <v>242.5</v>
      </c>
      <c r="BD127" s="9">
        <v>225.6</v>
      </c>
      <c r="BE127" s="9">
        <v>349.1</v>
      </c>
      <c r="BF127" s="9">
        <v>262.8</v>
      </c>
      <c r="BG127" s="9"/>
      <c r="BH127" s="9">
        <v>689.1</v>
      </c>
      <c r="BI127" s="9">
        <v>262.8</v>
      </c>
      <c r="BJ127" s="9">
        <v>338.5</v>
      </c>
      <c r="BK127" s="9">
        <v>310.39999999999998</v>
      </c>
      <c r="BL127" s="9"/>
      <c r="BM127" s="9">
        <v>250.6</v>
      </c>
      <c r="BN127" s="9">
        <v>237524.8</v>
      </c>
      <c r="BO127" s="9">
        <v>217452.3</v>
      </c>
      <c r="BP127" s="9">
        <v>52387.8</v>
      </c>
      <c r="BQ127" s="9">
        <v>16835.2</v>
      </c>
      <c r="BR127" s="9">
        <v>13477.7</v>
      </c>
      <c r="BS127" s="9">
        <v>32914.199999999997</v>
      </c>
      <c r="BT127" s="9">
        <v>53849.8</v>
      </c>
      <c r="BU127" s="9">
        <v>28051.599999999999</v>
      </c>
      <c r="BV127" s="9">
        <v>19420</v>
      </c>
      <c r="BW127" s="9">
        <v>188125.7</v>
      </c>
      <c r="BX127" s="9">
        <v>7644.3</v>
      </c>
      <c r="BY127" s="9">
        <v>38342.800000000003</v>
      </c>
      <c r="BZ127" s="9">
        <v>70685.8</v>
      </c>
      <c r="CA127" s="9">
        <v>14442.6</v>
      </c>
      <c r="CB127" s="9">
        <v>3066.1</v>
      </c>
      <c r="CC127" s="9">
        <v>61588.4</v>
      </c>
      <c r="CD127" s="9">
        <v>0</v>
      </c>
      <c r="CE127" s="9">
        <v>39501.800000000003</v>
      </c>
      <c r="CF127" s="9">
        <v>839626.89760778146</v>
      </c>
      <c r="CG127" s="9">
        <v>3521839.272544696</v>
      </c>
      <c r="CH127" s="9"/>
      <c r="CI127" s="9"/>
      <c r="CJ127" s="9">
        <v>19.729701006199999</v>
      </c>
      <c r="CK127" s="9">
        <v>13.9912202943</v>
      </c>
      <c r="CL127" s="9">
        <v>11</v>
      </c>
      <c r="CM127" s="9">
        <v>62.443597795899997</v>
      </c>
      <c r="CN127" s="9">
        <v>28.805112750999999</v>
      </c>
      <c r="CO127" s="9">
        <v>1.5811438531999999</v>
      </c>
      <c r="CP127" s="9">
        <v>8.1463282648999993</v>
      </c>
      <c r="CQ127" s="9">
        <v>6.0305172398</v>
      </c>
      <c r="CR127" s="9">
        <v>3.1369720174000002</v>
      </c>
      <c r="CS127" s="9">
        <v>1.1627303513</v>
      </c>
      <c r="CT127" s="9">
        <v>5.2928911855000003</v>
      </c>
      <c r="CU127" s="9">
        <v>0.9601543132</v>
      </c>
      <c r="CV127" s="9">
        <v>1.3691667246000001</v>
      </c>
      <c r="CW127" s="9">
        <v>3.7871576329000001</v>
      </c>
      <c r="CX127" s="9">
        <v>0.69644311219999999</v>
      </c>
      <c r="CY127" s="9">
        <v>1.4749803498</v>
      </c>
      <c r="CZ127" s="9">
        <v>316</v>
      </c>
      <c r="DA127" s="9">
        <v>261</v>
      </c>
      <c r="DB127" s="9">
        <v>47</v>
      </c>
      <c r="DC127" s="9">
        <v>66</v>
      </c>
      <c r="DD127" s="9">
        <v>23</v>
      </c>
      <c r="DE127" s="9">
        <v>3</v>
      </c>
      <c r="DF127" s="9">
        <v>101</v>
      </c>
      <c r="DG127" s="9">
        <v>9</v>
      </c>
      <c r="DH127" s="9">
        <v>44</v>
      </c>
      <c r="DI127" s="9">
        <v>1</v>
      </c>
      <c r="DJ127" s="9">
        <v>2</v>
      </c>
      <c r="DK127" s="9">
        <v>41</v>
      </c>
      <c r="DL127" s="9">
        <v>0</v>
      </c>
      <c r="DM127" s="9">
        <v>11</v>
      </c>
      <c r="DN127" s="9">
        <v>0</v>
      </c>
      <c r="DO127" s="9">
        <v>307.44</v>
      </c>
      <c r="DP127" s="9">
        <v>78.67</v>
      </c>
      <c r="DQ127" s="9">
        <v>44.56</v>
      </c>
      <c r="DR127" s="9">
        <v>34.1</v>
      </c>
      <c r="DS127" s="9">
        <v>32.67</v>
      </c>
      <c r="DT127" s="9">
        <v>1.89</v>
      </c>
      <c r="DU127" s="9">
        <v>133.91999999999999</v>
      </c>
      <c r="DV127" s="9">
        <v>93.7</v>
      </c>
      <c r="DW127" s="9">
        <v>32.51</v>
      </c>
      <c r="DX127" s="9">
        <v>61.84</v>
      </c>
      <c r="DY127" s="9">
        <v>37.130000000000003</v>
      </c>
      <c r="DZ127" s="9">
        <v>9.5</v>
      </c>
      <c r="EA127" s="9">
        <v>-2.9277000000000002</v>
      </c>
      <c r="EB127" s="9">
        <v>23.082789999999999</v>
      </c>
      <c r="EC127" s="9">
        <v>-17.8186</v>
      </c>
      <c r="ED127" s="9">
        <v>-21.263300000000001</v>
      </c>
      <c r="EE127" s="9">
        <v>13.071400000000001</v>
      </c>
      <c r="EF127" s="9">
        <v>11.47254</v>
      </c>
      <c r="EG127" s="9">
        <v>12.40278</v>
      </c>
      <c r="EH127" s="9">
        <v>-161.441</v>
      </c>
      <c r="EI127" s="9">
        <v>78.502830000000003</v>
      </c>
      <c r="EJ127" s="9">
        <v>0</v>
      </c>
      <c r="EK127" s="9">
        <v>95.340549999999993</v>
      </c>
      <c r="EL127" s="9">
        <v>77.539479999999998</v>
      </c>
      <c r="EM127" s="9">
        <v>73.681550000000001</v>
      </c>
      <c r="EN127" s="9">
        <v>1421.5</v>
      </c>
      <c r="EO127" s="9"/>
      <c r="EP127" s="9"/>
      <c r="EQ127" s="9"/>
      <c r="ER127" s="9"/>
      <c r="ES127" s="9"/>
      <c r="ET127" s="9"/>
      <c r="EU127">
        <v>1380.33</v>
      </c>
      <c r="EV127" s="9">
        <v>5940.39</v>
      </c>
      <c r="EW127" s="9">
        <v>1752.58</v>
      </c>
      <c r="EX127" s="9">
        <v>260.64999999999998</v>
      </c>
      <c r="EY127" s="9">
        <v>374.44</v>
      </c>
      <c r="EZ127" s="9">
        <v>803.76</v>
      </c>
      <c r="FA127" s="9">
        <v>2748.96</v>
      </c>
      <c r="FB127" s="9">
        <v>104.4837662338</v>
      </c>
      <c r="FC127" s="9">
        <v>74.838181818199999</v>
      </c>
      <c r="FD127" s="9">
        <v>6501.5</v>
      </c>
      <c r="FE127" s="9">
        <v>143.63181818180001</v>
      </c>
      <c r="FF127" s="9">
        <v>1232.9204545453999</v>
      </c>
      <c r="FG127">
        <v>2885215.1999999997</v>
      </c>
      <c r="FH127">
        <v>2849058.49</v>
      </c>
      <c r="FI127">
        <v>36156.71</v>
      </c>
      <c r="FJ127" s="9">
        <v>3576593.8400000003</v>
      </c>
      <c r="FK127">
        <v>3088078.73</v>
      </c>
      <c r="FL127" s="9">
        <v>488515.11</v>
      </c>
      <c r="FM127" s="9">
        <v>4938693.4800000004</v>
      </c>
      <c r="FN127" s="9">
        <v>284285.49</v>
      </c>
      <c r="FO127">
        <v>1368.65</v>
      </c>
      <c r="FP127">
        <v>1206.73</v>
      </c>
      <c r="FQ127">
        <v>48.49</v>
      </c>
      <c r="FR127">
        <v>286.89</v>
      </c>
      <c r="FS127">
        <v>3</v>
      </c>
      <c r="FT127">
        <v>1790.12</v>
      </c>
      <c r="FU127">
        <v>124.16</v>
      </c>
      <c r="FV127">
        <v>358.16</v>
      </c>
      <c r="FW127">
        <v>18931.759999999998</v>
      </c>
      <c r="FX127">
        <v>1169.81</v>
      </c>
      <c r="HB127" s="6"/>
      <c r="HC127" s="6"/>
      <c r="HD127" s="6"/>
    </row>
    <row r="128" spans="1:212" x14ac:dyDescent="0.2">
      <c r="A128" s="8" t="s">
        <v>853</v>
      </c>
      <c r="B128" s="8" t="s">
        <v>339</v>
      </c>
      <c r="C128" s="8" t="s">
        <v>340</v>
      </c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>
        <v>244338.7</v>
      </c>
      <c r="BO128" s="9">
        <v>222580.6</v>
      </c>
      <c r="BP128" s="9">
        <v>86349.8</v>
      </c>
      <c r="BQ128" s="9">
        <v>52882.1</v>
      </c>
      <c r="BR128" s="9">
        <v>11425.7</v>
      </c>
      <c r="BS128" s="9">
        <v>21805</v>
      </c>
      <c r="BT128" s="9">
        <v>42103.8</v>
      </c>
      <c r="BU128" s="9">
        <v>27761.200000000001</v>
      </c>
      <c r="BV128" s="9">
        <v>21110.6</v>
      </c>
      <c r="BW128" s="9">
        <v>149821.9</v>
      </c>
      <c r="BX128" s="9">
        <v>14584.2</v>
      </c>
      <c r="BY128" s="9">
        <v>29928.9</v>
      </c>
      <c r="BZ128" s="9">
        <v>35880.400000000001</v>
      </c>
      <c r="CA128" s="9">
        <v>1757.2</v>
      </c>
      <c r="CB128" s="9">
        <v>4410.3</v>
      </c>
      <c r="CC128" s="9">
        <v>77845.100000000006</v>
      </c>
      <c r="CD128" s="9">
        <v>0</v>
      </c>
      <c r="CE128" s="9">
        <v>41829.699999999997</v>
      </c>
      <c r="CF128" s="9">
        <v>825886.79613658984</v>
      </c>
      <c r="CG128" s="9">
        <v>3540946.4963583071</v>
      </c>
      <c r="CH128" s="9"/>
      <c r="CI128" s="9"/>
      <c r="CJ128" s="9">
        <v>19.433144388199999</v>
      </c>
      <c r="CK128" s="9">
        <v>14.330068349799999</v>
      </c>
      <c r="CL128" s="9">
        <v>11</v>
      </c>
      <c r="CM128" s="9">
        <v>60.693869567100002</v>
      </c>
      <c r="CN128" s="9">
        <v>26.940845166100001</v>
      </c>
      <c r="CO128" s="9">
        <v>1.5858023079000001</v>
      </c>
      <c r="CP128" s="9">
        <v>8.2246159843999997</v>
      </c>
      <c r="CQ128" s="9">
        <v>6.0466531236999996</v>
      </c>
      <c r="CR128" s="9">
        <v>3.1477294037000001</v>
      </c>
      <c r="CS128" s="9">
        <v>1.1620347005</v>
      </c>
      <c r="CT128" s="9">
        <v>5.2868487126000003</v>
      </c>
      <c r="CU128" s="9">
        <v>0.95948068070000003</v>
      </c>
      <c r="CV128" s="9">
        <v>1.368427166</v>
      </c>
      <c r="CW128" s="9">
        <v>3.7871576329000001</v>
      </c>
      <c r="CX128" s="9">
        <v>0.7014822181</v>
      </c>
      <c r="CY128" s="9">
        <v>1.4827924706</v>
      </c>
      <c r="CZ128" s="9">
        <v>223</v>
      </c>
      <c r="DA128" s="9">
        <v>188</v>
      </c>
      <c r="DB128" s="9">
        <v>13</v>
      </c>
      <c r="DC128" s="9">
        <v>58</v>
      </c>
      <c r="DD128" s="9">
        <v>23</v>
      </c>
      <c r="DE128" s="9">
        <v>5</v>
      </c>
      <c r="DF128" s="9">
        <v>71</v>
      </c>
      <c r="DG128" s="9">
        <v>7</v>
      </c>
      <c r="DH128" s="9">
        <v>26</v>
      </c>
      <c r="DI128" s="9">
        <v>1</v>
      </c>
      <c r="DJ128" s="9">
        <v>3</v>
      </c>
      <c r="DK128" s="9">
        <v>20</v>
      </c>
      <c r="DL128" s="9">
        <v>0</v>
      </c>
      <c r="DM128" s="9">
        <v>9</v>
      </c>
      <c r="DN128" s="9">
        <v>0</v>
      </c>
      <c r="DO128" s="9">
        <v>307.16000000000003</v>
      </c>
      <c r="DP128" s="9">
        <v>74.22</v>
      </c>
      <c r="DQ128" s="9">
        <v>41.42</v>
      </c>
      <c r="DR128" s="9">
        <v>32.79</v>
      </c>
      <c r="DS128" s="9">
        <v>27.17</v>
      </c>
      <c r="DT128" s="9">
        <v>0.9</v>
      </c>
      <c r="DU128" s="9">
        <v>148.22</v>
      </c>
      <c r="DV128" s="9">
        <v>103</v>
      </c>
      <c r="DW128" s="9">
        <v>32.729999999999997</v>
      </c>
      <c r="DX128" s="9">
        <v>57.24</v>
      </c>
      <c r="DY128" s="9">
        <v>31.28</v>
      </c>
      <c r="DZ128" s="9">
        <v>11.49</v>
      </c>
      <c r="EA128" s="9">
        <v>-76.892099999999999</v>
      </c>
      <c r="EB128" s="9">
        <v>-72.584299999999999</v>
      </c>
      <c r="EC128" s="9">
        <v>2.3855780000000002</v>
      </c>
      <c r="ED128" s="9">
        <v>-27.847899999999999</v>
      </c>
      <c r="EE128" s="9">
        <v>21.15448</v>
      </c>
      <c r="EF128" s="9">
        <v>20.554410000000001</v>
      </c>
      <c r="EG128" s="9">
        <v>-48.679099999999998</v>
      </c>
      <c r="EH128" s="9">
        <v>-74.2072</v>
      </c>
      <c r="EI128" s="9">
        <v>-1.07813</v>
      </c>
      <c r="EJ128" s="9">
        <v>0</v>
      </c>
      <c r="EK128" s="9">
        <v>26.606300000000001</v>
      </c>
      <c r="EL128" s="9">
        <v>47.830919999999999</v>
      </c>
      <c r="EM128" s="9">
        <v>40.172289999999997</v>
      </c>
      <c r="EN128" s="9">
        <v>1475.6</v>
      </c>
      <c r="EO128" s="9"/>
      <c r="EP128" s="9"/>
      <c r="EQ128" s="9"/>
      <c r="ER128" s="9"/>
      <c r="ES128" s="9"/>
      <c r="ET128" s="9"/>
      <c r="EU128">
        <v>1365.63</v>
      </c>
      <c r="EV128" s="9"/>
      <c r="EW128" s="9"/>
      <c r="EX128" s="9"/>
      <c r="EY128" s="9"/>
      <c r="EZ128" s="9"/>
      <c r="FA128" s="9"/>
      <c r="FB128" s="9">
        <v>102.861525974</v>
      </c>
      <c r="FC128" s="9">
        <v>74.735454545500005</v>
      </c>
      <c r="FD128" s="9">
        <v>6750.5681818182002</v>
      </c>
      <c r="FE128" s="9">
        <v>126.36363636359999</v>
      </c>
      <c r="FF128" s="9">
        <v>1192.9659090908999</v>
      </c>
      <c r="FG128">
        <v>2974225.53</v>
      </c>
      <c r="FH128">
        <v>2938422.4699999997</v>
      </c>
      <c r="FI128">
        <v>35803.06</v>
      </c>
      <c r="FJ128" s="9">
        <v>3611568.31</v>
      </c>
      <c r="FK128">
        <v>3112904.24</v>
      </c>
      <c r="FL128" s="9">
        <v>498664.06999999989</v>
      </c>
      <c r="FM128" s="9">
        <v>4943297.93</v>
      </c>
      <c r="FN128" s="9">
        <v>279042.69</v>
      </c>
      <c r="FO128">
        <v>1353.49</v>
      </c>
      <c r="FP128">
        <v>370.92</v>
      </c>
      <c r="FQ128">
        <v>46.17</v>
      </c>
      <c r="FR128">
        <v>314.29000000000002</v>
      </c>
      <c r="FS128">
        <v>5.17</v>
      </c>
      <c r="FT128">
        <v>1392.36</v>
      </c>
      <c r="FU128">
        <v>105.1</v>
      </c>
      <c r="FV128">
        <v>666.5</v>
      </c>
      <c r="FW128">
        <v>26671.23</v>
      </c>
      <c r="FX128">
        <v>512.33000000000004</v>
      </c>
      <c r="HB128" s="6"/>
      <c r="HC128" s="6"/>
      <c r="HD128" s="6"/>
    </row>
    <row r="129" spans="1:212" x14ac:dyDescent="0.2">
      <c r="A129" s="8" t="s">
        <v>853</v>
      </c>
      <c r="B129" s="8" t="s">
        <v>339</v>
      </c>
      <c r="C129" s="8" t="s">
        <v>341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>
        <v>288661.59999999998</v>
      </c>
      <c r="BO129" s="9">
        <v>262120.8</v>
      </c>
      <c r="BP129" s="9">
        <v>106074.5</v>
      </c>
      <c r="BQ129" s="9">
        <v>19798.5</v>
      </c>
      <c r="BR129" s="9">
        <v>10810.2</v>
      </c>
      <c r="BS129" s="9">
        <v>25657.9</v>
      </c>
      <c r="BT129" s="9">
        <v>51482.8</v>
      </c>
      <c r="BU129" s="9">
        <v>31433.9</v>
      </c>
      <c r="BV129" s="9">
        <v>26023</v>
      </c>
      <c r="BW129" s="9">
        <v>127723</v>
      </c>
      <c r="BX129" s="9">
        <v>840.1</v>
      </c>
      <c r="BY129" s="9">
        <v>35711.599999999999</v>
      </c>
      <c r="BZ129" s="9">
        <v>42705.2</v>
      </c>
      <c r="CA129" s="9">
        <v>3248.7</v>
      </c>
      <c r="CB129" s="9">
        <v>1732.3</v>
      </c>
      <c r="CC129" s="9">
        <v>44325.3</v>
      </c>
      <c r="CD129" s="9">
        <v>0</v>
      </c>
      <c r="CE129" s="9">
        <v>63577.2</v>
      </c>
      <c r="CF129" s="9">
        <v>931464.346465318</v>
      </c>
      <c r="CG129" s="9">
        <v>3655609.276705551</v>
      </c>
      <c r="CH129" s="9"/>
      <c r="CI129" s="9"/>
      <c r="CJ129" s="9">
        <v>20.387951903800001</v>
      </c>
      <c r="CK129" s="9">
        <v>13.9779649015</v>
      </c>
      <c r="CL129" s="9">
        <v>11</v>
      </c>
      <c r="CM129" s="9">
        <v>61.130509846199999</v>
      </c>
      <c r="CN129" s="9">
        <v>26.447092225399999</v>
      </c>
      <c r="CO129" s="9">
        <v>1.5940724963999999</v>
      </c>
      <c r="CP129" s="9">
        <v>8.2592809187</v>
      </c>
      <c r="CQ129" s="9">
        <v>6.2299870630000003</v>
      </c>
      <c r="CR129" s="9">
        <v>3.1662690953000001</v>
      </c>
      <c r="CS129" s="9">
        <v>1.1646288439000001</v>
      </c>
      <c r="CT129" s="9">
        <v>5.2797220144999999</v>
      </c>
      <c r="CU129" s="9">
        <v>0.95953026789999996</v>
      </c>
      <c r="CV129" s="9">
        <v>1.3739055302000001</v>
      </c>
      <c r="CW129" s="9">
        <v>4.4636429100999999</v>
      </c>
      <c r="CX129" s="9">
        <v>0.70523211279999998</v>
      </c>
      <c r="CY129" s="9">
        <v>1.4871463679000001</v>
      </c>
      <c r="CZ129" s="9">
        <v>253</v>
      </c>
      <c r="DA129" s="9">
        <v>228</v>
      </c>
      <c r="DB129" s="9">
        <v>12</v>
      </c>
      <c r="DC129" s="9">
        <v>59</v>
      </c>
      <c r="DD129" s="9">
        <v>27</v>
      </c>
      <c r="DE129" s="9">
        <v>13</v>
      </c>
      <c r="DF129" s="9">
        <v>91</v>
      </c>
      <c r="DG129" s="9">
        <v>14</v>
      </c>
      <c r="DH129" s="9">
        <v>14</v>
      </c>
      <c r="DI129" s="9">
        <v>3</v>
      </c>
      <c r="DJ129" s="9">
        <v>3</v>
      </c>
      <c r="DK129" s="9">
        <v>7</v>
      </c>
      <c r="DL129" s="9">
        <v>0</v>
      </c>
      <c r="DM129" s="9">
        <v>11</v>
      </c>
      <c r="DN129" s="9">
        <v>0</v>
      </c>
      <c r="DO129" s="9">
        <v>293.91000000000003</v>
      </c>
      <c r="DP129" s="9">
        <v>72.53</v>
      </c>
      <c r="DQ129" s="9">
        <v>41.12</v>
      </c>
      <c r="DR129" s="9">
        <v>31.4</v>
      </c>
      <c r="DS129" s="9">
        <v>21.14</v>
      </c>
      <c r="DT129" s="9">
        <v>0</v>
      </c>
      <c r="DU129" s="9">
        <v>141.04</v>
      </c>
      <c r="DV129" s="9">
        <v>88.19</v>
      </c>
      <c r="DW129" s="9">
        <v>35.86</v>
      </c>
      <c r="DX129" s="9">
        <v>58.86</v>
      </c>
      <c r="DY129" s="9">
        <v>32.43</v>
      </c>
      <c r="DZ129" s="9">
        <v>10.4</v>
      </c>
      <c r="EA129" s="9">
        <v>-44.586300000000001</v>
      </c>
      <c r="EB129" s="9">
        <v>-30.346699999999998</v>
      </c>
      <c r="EC129" s="9">
        <v>-18.473700000000001</v>
      </c>
      <c r="ED129" s="9">
        <v>-21.2834</v>
      </c>
      <c r="EE129" s="9">
        <v>25.517489999999999</v>
      </c>
      <c r="EF129" s="9">
        <v>26.782</v>
      </c>
      <c r="EG129" s="9">
        <v>-143.56800000000001</v>
      </c>
      <c r="EH129" s="9">
        <v>-198.3</v>
      </c>
      <c r="EI129" s="9">
        <v>-2.0425399999999998</v>
      </c>
      <c r="EJ129" s="9">
        <v>0</v>
      </c>
      <c r="EK129" s="9">
        <v>56.775410000000001</v>
      </c>
      <c r="EL129" s="9">
        <v>-32.461799999999997</v>
      </c>
      <c r="EM129" s="9">
        <v>93.301550000000006</v>
      </c>
      <c r="EN129" s="9">
        <v>1608.6</v>
      </c>
      <c r="EO129" s="9"/>
      <c r="EP129" s="9"/>
      <c r="EQ129" s="9"/>
      <c r="ER129" s="9"/>
      <c r="ES129" s="9"/>
      <c r="ET129" s="9"/>
      <c r="EU129">
        <v>1325.13</v>
      </c>
      <c r="EV129" s="9"/>
      <c r="EW129" s="9"/>
      <c r="EX129" s="9"/>
      <c r="EY129" s="9"/>
      <c r="EZ129" s="9"/>
      <c r="FA129" s="9"/>
      <c r="FB129" s="9">
        <v>96.846938775500007</v>
      </c>
      <c r="FC129" s="9">
        <v>76.693181818200003</v>
      </c>
      <c r="FD129" s="9">
        <v>7302.6666666666997</v>
      </c>
      <c r="FE129" s="9">
        <v>145.3409090909</v>
      </c>
      <c r="FF129" s="9">
        <v>1215.8095238095</v>
      </c>
      <c r="FG129">
        <v>3021204.78</v>
      </c>
      <c r="FH129">
        <v>2986992.44</v>
      </c>
      <c r="FI129">
        <v>34212.339999999997</v>
      </c>
      <c r="FJ129" s="9">
        <v>3702991.79</v>
      </c>
      <c r="FK129">
        <v>3219561.73</v>
      </c>
      <c r="FL129" s="9">
        <v>483430.06</v>
      </c>
      <c r="FM129" s="9">
        <v>5020957.83</v>
      </c>
      <c r="FN129" s="9">
        <v>279535.71999999997</v>
      </c>
      <c r="FO129">
        <v>1301.8</v>
      </c>
      <c r="FP129">
        <v>364.54</v>
      </c>
      <c r="FQ129">
        <v>47.09</v>
      </c>
      <c r="FR129">
        <v>406.12</v>
      </c>
      <c r="FS129">
        <v>13.4</v>
      </c>
      <c r="FT129">
        <v>1820.62</v>
      </c>
      <c r="FU129">
        <v>186.18</v>
      </c>
      <c r="FV129">
        <v>1059.99</v>
      </c>
      <c r="FW129">
        <v>19016.71</v>
      </c>
      <c r="FX129">
        <v>98.5</v>
      </c>
      <c r="HB129" s="6"/>
      <c r="HC129" s="6"/>
      <c r="HD129" s="6"/>
    </row>
    <row r="130" spans="1:212" x14ac:dyDescent="0.2">
      <c r="A130" s="8" t="s">
        <v>853</v>
      </c>
      <c r="B130" s="8" t="s">
        <v>339</v>
      </c>
      <c r="C130" s="8" t="s">
        <v>342</v>
      </c>
      <c r="D130" s="9">
        <v>2617758.1</v>
      </c>
      <c r="E130" s="9">
        <v>344088.77</v>
      </c>
      <c r="F130" s="9">
        <v>590197.92000000004</v>
      </c>
      <c r="G130" s="9">
        <v>173355.21</v>
      </c>
      <c r="H130" s="9">
        <v>39620.78</v>
      </c>
      <c r="I130" s="9">
        <v>61604.11</v>
      </c>
      <c r="J130" s="9">
        <v>323390.92</v>
      </c>
      <c r="K130" s="9">
        <v>218006.06</v>
      </c>
      <c r="L130" s="9">
        <v>64076.57</v>
      </c>
      <c r="M130" s="9">
        <v>517741.22</v>
      </c>
      <c r="N130" s="9">
        <v>285676.55</v>
      </c>
      <c r="O130" s="9">
        <v>3781088.4732687031</v>
      </c>
      <c r="P130" s="9">
        <v>535642.16633480054</v>
      </c>
      <c r="Q130" s="9">
        <v>619328.03284713684</v>
      </c>
      <c r="R130" s="9">
        <v>303043.31279244833</v>
      </c>
      <c r="S130" s="9">
        <v>76507.804774549702</v>
      </c>
      <c r="T130" s="9">
        <v>96445.264468088499</v>
      </c>
      <c r="U130" s="9">
        <v>428072.69191333652</v>
      </c>
      <c r="V130" s="9">
        <v>261633.42511277011</v>
      </c>
      <c r="W130" s="9">
        <v>82929.049339878693</v>
      </c>
      <c r="X130" s="9">
        <v>989135.08460462757</v>
      </c>
      <c r="Y130" s="9">
        <v>388351.64108106622</v>
      </c>
      <c r="Z130" s="9">
        <v>2622554</v>
      </c>
      <c r="AA130" s="9">
        <v>1495106.1</v>
      </c>
      <c r="AB130" s="9">
        <v>244037.9</v>
      </c>
      <c r="AC130" s="9">
        <v>1013989.4</v>
      </c>
      <c r="AD130" s="9">
        <v>211274.6</v>
      </c>
      <c r="AE130" s="9">
        <v>1194769</v>
      </c>
      <c r="AF130" s="9">
        <v>1536622.9</v>
      </c>
      <c r="AG130" s="9">
        <v>3764661.111545336</v>
      </c>
      <c r="AH130" s="9">
        <v>2202432.9505175608</v>
      </c>
      <c r="AI130" s="9">
        <v>381327.09312996751</v>
      </c>
      <c r="AJ130" s="9">
        <v>1274044.7254883221</v>
      </c>
      <c r="AK130" s="9">
        <v>344469.61519704427</v>
      </c>
      <c r="AL130" s="9">
        <v>1164750.554247807</v>
      </c>
      <c r="AM130" s="9">
        <v>1602363.8270353661</v>
      </c>
      <c r="AN130" s="9">
        <v>1089587</v>
      </c>
      <c r="AO130" s="9">
        <v>577450</v>
      </c>
      <c r="AP130" s="9">
        <v>512137</v>
      </c>
      <c r="AQ130" s="9">
        <v>103117</v>
      </c>
      <c r="AR130" s="9">
        <v>59526</v>
      </c>
      <c r="AS130" s="9">
        <v>43591</v>
      </c>
      <c r="AT130" s="9">
        <v>740078</v>
      </c>
      <c r="AU130" s="9">
        <v>306221</v>
      </c>
      <c r="AV130" s="9">
        <v>433857</v>
      </c>
      <c r="AW130" s="9">
        <v>333.4</v>
      </c>
      <c r="AX130" s="9">
        <v>174.7</v>
      </c>
      <c r="AY130" s="9">
        <v>568.9</v>
      </c>
      <c r="AZ130" s="9">
        <v>347.9</v>
      </c>
      <c r="BA130" s="9">
        <v>335.6</v>
      </c>
      <c r="BB130" s="9"/>
      <c r="BC130" s="9">
        <v>266.8</v>
      </c>
      <c r="BD130" s="9">
        <v>229</v>
      </c>
      <c r="BE130" s="9">
        <v>353.7</v>
      </c>
      <c r="BF130" s="9">
        <v>264.3</v>
      </c>
      <c r="BG130" s="9"/>
      <c r="BH130" s="9">
        <v>714.9</v>
      </c>
      <c r="BI130" s="9">
        <v>269</v>
      </c>
      <c r="BJ130" s="9">
        <v>262.10000000000002</v>
      </c>
      <c r="BK130" s="9">
        <v>303.2</v>
      </c>
      <c r="BL130" s="9"/>
      <c r="BM130" s="9">
        <v>250.2</v>
      </c>
      <c r="BN130" s="9">
        <v>285940.8</v>
      </c>
      <c r="BO130" s="9">
        <v>246897.2</v>
      </c>
      <c r="BP130" s="9">
        <v>81814.3</v>
      </c>
      <c r="BQ130" s="9">
        <v>25422.2</v>
      </c>
      <c r="BR130" s="9">
        <v>16154</v>
      </c>
      <c r="BS130" s="9">
        <v>29624.5</v>
      </c>
      <c r="BT130" s="9">
        <v>53827</v>
      </c>
      <c r="BU130" s="9">
        <v>30367.1</v>
      </c>
      <c r="BV130" s="9">
        <v>35272.6</v>
      </c>
      <c r="BW130" s="9">
        <v>145871.29999999999</v>
      </c>
      <c r="BX130" s="9">
        <v>72976.600000000006</v>
      </c>
      <c r="BY130" s="9">
        <v>42199.4</v>
      </c>
      <c r="BZ130" s="9">
        <v>49825.4</v>
      </c>
      <c r="CA130" s="9">
        <v>2091.9</v>
      </c>
      <c r="CB130" s="9">
        <v>4870.2</v>
      </c>
      <c r="CC130" s="9">
        <v>46884.4</v>
      </c>
      <c r="CD130" s="9">
        <v>0</v>
      </c>
      <c r="CE130" s="9">
        <v>53875.7</v>
      </c>
      <c r="CF130" s="9">
        <v>958807.48662639118</v>
      </c>
      <c r="CG130" s="9">
        <v>3850188.795119802</v>
      </c>
      <c r="CH130" s="9"/>
      <c r="CI130" s="9"/>
      <c r="CJ130" s="9">
        <v>19.412523750999998</v>
      </c>
      <c r="CK130" s="9">
        <v>14.0630272373</v>
      </c>
      <c r="CL130" s="9">
        <v>11</v>
      </c>
      <c r="CM130" s="9">
        <v>60.716912579400002</v>
      </c>
      <c r="CN130" s="9">
        <v>25.886169885800001</v>
      </c>
      <c r="CO130" s="9">
        <v>1.5942704735</v>
      </c>
      <c r="CP130" s="9">
        <v>8.3141011662000004</v>
      </c>
      <c r="CQ130" s="9">
        <v>6.2669362442000001</v>
      </c>
      <c r="CR130" s="9">
        <v>3.1749371879999999</v>
      </c>
      <c r="CS130" s="9">
        <v>1.1654696739999999</v>
      </c>
      <c r="CT130" s="9">
        <v>5.2783978781999998</v>
      </c>
      <c r="CU130" s="9">
        <v>0.95892924020000003</v>
      </c>
      <c r="CV130" s="9">
        <v>1.3777450296</v>
      </c>
      <c r="CW130" s="9">
        <v>4.5003057201000001</v>
      </c>
      <c r="CX130" s="9">
        <v>0.70536045020000004</v>
      </c>
      <c r="CY130" s="9">
        <v>1.4942896294000001</v>
      </c>
      <c r="CZ130" s="9">
        <v>227</v>
      </c>
      <c r="DA130" s="9">
        <v>203</v>
      </c>
      <c r="DB130" s="9">
        <v>12</v>
      </c>
      <c r="DC130" s="9">
        <v>63</v>
      </c>
      <c r="DD130" s="9">
        <v>28</v>
      </c>
      <c r="DE130" s="9">
        <v>8</v>
      </c>
      <c r="DF130" s="9">
        <v>66</v>
      </c>
      <c r="DG130" s="9">
        <v>15</v>
      </c>
      <c r="DH130" s="9">
        <v>14</v>
      </c>
      <c r="DI130" s="9">
        <v>4</v>
      </c>
      <c r="DJ130" s="9">
        <v>1</v>
      </c>
      <c r="DK130" s="9">
        <v>8</v>
      </c>
      <c r="DL130" s="9">
        <v>0</v>
      </c>
      <c r="DM130" s="9">
        <v>10</v>
      </c>
      <c r="DN130" s="9">
        <v>0</v>
      </c>
      <c r="DO130" s="9">
        <v>281.79000000000002</v>
      </c>
      <c r="DP130" s="9">
        <v>71.760000000000005</v>
      </c>
      <c r="DQ130" s="9">
        <v>39.18</v>
      </c>
      <c r="DR130" s="9">
        <v>32.58</v>
      </c>
      <c r="DS130" s="9">
        <v>22.6</v>
      </c>
      <c r="DT130" s="9">
        <v>1.65</v>
      </c>
      <c r="DU130" s="9">
        <v>129.02000000000001</v>
      </c>
      <c r="DV130" s="9">
        <v>87.2</v>
      </c>
      <c r="DW130" s="9">
        <v>33.369999999999997</v>
      </c>
      <c r="DX130" s="9">
        <v>58.32</v>
      </c>
      <c r="DY130" s="9">
        <v>38.700000000000003</v>
      </c>
      <c r="DZ130" s="9">
        <v>4.6500000000000004</v>
      </c>
      <c r="EA130" s="9">
        <v>-71.491699999999994</v>
      </c>
      <c r="EB130" s="9">
        <v>-40.944099999999999</v>
      </c>
      <c r="EC130" s="9">
        <v>-22.2257</v>
      </c>
      <c r="ED130" s="9">
        <v>-23.453600000000002</v>
      </c>
      <c r="EE130" s="9">
        <v>15.13171</v>
      </c>
      <c r="EF130" s="9">
        <v>10.4977</v>
      </c>
      <c r="EG130" s="9">
        <v>-89.571399999999997</v>
      </c>
      <c r="EH130" s="9">
        <v>-168.45400000000001</v>
      </c>
      <c r="EI130" s="9">
        <v>-5.07029</v>
      </c>
      <c r="EJ130" s="9">
        <v>0</v>
      </c>
      <c r="EK130" s="9">
        <v>83.953050000000005</v>
      </c>
      <c r="EL130" s="9">
        <v>4.2868750000000002</v>
      </c>
      <c r="EM130" s="9">
        <v>32.864249999999998</v>
      </c>
      <c r="EN130" s="9">
        <v>1659.1</v>
      </c>
      <c r="EO130" s="9"/>
      <c r="EP130" s="9"/>
      <c r="EQ130" s="9"/>
      <c r="ER130" s="9"/>
      <c r="ES130" s="9"/>
      <c r="ET130" s="9"/>
      <c r="EU130">
        <v>1324.81</v>
      </c>
      <c r="EV130" s="9">
        <v>6003.57</v>
      </c>
      <c r="EW130" s="9">
        <v>1764.74</v>
      </c>
      <c r="EX130" s="9">
        <v>264.91000000000003</v>
      </c>
      <c r="EY130" s="9">
        <v>325.86</v>
      </c>
      <c r="EZ130" s="9">
        <v>802.9</v>
      </c>
      <c r="FA130" s="9">
        <v>2845.16</v>
      </c>
      <c r="FB130" s="9">
        <v>100.11720779220001</v>
      </c>
      <c r="FC130" s="9">
        <v>77.786818181800001</v>
      </c>
      <c r="FD130" s="9">
        <v>7729.5909090908999</v>
      </c>
      <c r="FE130" s="9">
        <v>140.62727272730001</v>
      </c>
      <c r="FF130" s="9">
        <v>1270.9772727273</v>
      </c>
      <c r="FG130">
        <v>3085110.89</v>
      </c>
      <c r="FH130">
        <v>3050299.85</v>
      </c>
      <c r="FI130">
        <v>34811.040000000001</v>
      </c>
      <c r="FJ130" s="9">
        <v>3939388.98</v>
      </c>
      <c r="FK130">
        <v>3424100.41</v>
      </c>
      <c r="FL130" s="9">
        <v>515288.56999999989</v>
      </c>
      <c r="FM130" s="9">
        <v>5264469.82</v>
      </c>
      <c r="FN130" s="9">
        <v>284977.09000000003</v>
      </c>
      <c r="FO130">
        <v>1325.59</v>
      </c>
      <c r="FP130">
        <v>345.23</v>
      </c>
      <c r="FQ130">
        <v>48.59</v>
      </c>
      <c r="FR130">
        <v>406.07</v>
      </c>
      <c r="FS130">
        <v>8.9499999999999993</v>
      </c>
      <c r="FT130">
        <v>1281.3699999999999</v>
      </c>
      <c r="FU130">
        <v>212.67</v>
      </c>
      <c r="FV130">
        <v>1754.62</v>
      </c>
      <c r="FW130">
        <v>7882.34</v>
      </c>
      <c r="FX130">
        <v>179.48</v>
      </c>
      <c r="HB130" s="6"/>
      <c r="HC130" s="6"/>
      <c r="HD130" s="6"/>
    </row>
    <row r="131" spans="1:212" x14ac:dyDescent="0.2">
      <c r="A131" s="8" t="s">
        <v>853</v>
      </c>
      <c r="B131" s="8" t="s">
        <v>343</v>
      </c>
      <c r="C131" s="8" t="s">
        <v>344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>
        <v>289708.79999999999</v>
      </c>
      <c r="BO131" s="9">
        <v>261894.2</v>
      </c>
      <c r="BP131" s="9">
        <v>126749.3</v>
      </c>
      <c r="BQ131" s="9">
        <v>57028.3</v>
      </c>
      <c r="BR131" s="9">
        <v>15250</v>
      </c>
      <c r="BS131" s="9">
        <v>22822.2</v>
      </c>
      <c r="BT131" s="9">
        <v>46117.5</v>
      </c>
      <c r="BU131" s="9">
        <v>23287.200000000001</v>
      </c>
      <c r="BV131" s="9">
        <v>27462.6</v>
      </c>
      <c r="BW131" s="9">
        <v>177439.6</v>
      </c>
      <c r="BX131" s="9">
        <v>-5082.7</v>
      </c>
      <c r="BY131" s="9">
        <v>43179.8</v>
      </c>
      <c r="BZ131" s="9">
        <v>62918.6</v>
      </c>
      <c r="CA131" s="9">
        <v>3045.7</v>
      </c>
      <c r="CB131" s="9">
        <v>3146</v>
      </c>
      <c r="CC131" s="9">
        <v>65149.5</v>
      </c>
      <c r="CD131" s="9">
        <v>0</v>
      </c>
      <c r="CE131" s="9">
        <v>50611.4</v>
      </c>
      <c r="CF131" s="9">
        <v>1000376.172441334</v>
      </c>
      <c r="CG131" s="9">
        <v>3871649.9547565314</v>
      </c>
      <c r="CH131" s="9"/>
      <c r="CI131" s="9"/>
      <c r="CJ131" s="9">
        <v>19.486971496100001</v>
      </c>
      <c r="CK131" s="9">
        <v>13.794813959600001</v>
      </c>
      <c r="CL131" s="9">
        <v>11</v>
      </c>
      <c r="CM131" s="9">
        <v>60.934349448900001</v>
      </c>
      <c r="CN131" s="9">
        <v>25.762478248000001</v>
      </c>
      <c r="CO131" s="9">
        <v>1.6031994086000001</v>
      </c>
      <c r="CP131" s="9">
        <v>8.4478148564000008</v>
      </c>
      <c r="CQ131" s="9">
        <v>6.3752705568000003</v>
      </c>
      <c r="CR131" s="9">
        <v>3.2334165365</v>
      </c>
      <c r="CS131" s="9">
        <v>1.1724499593</v>
      </c>
      <c r="CT131" s="9">
        <v>5.2810924148999998</v>
      </c>
      <c r="CU131" s="9">
        <v>0.95892924020000003</v>
      </c>
      <c r="CV131" s="9">
        <v>1.3836622941000001</v>
      </c>
      <c r="CW131" s="9">
        <v>4.5003057201000001</v>
      </c>
      <c r="CX131" s="9">
        <v>0.7175927419</v>
      </c>
      <c r="CY131" s="9">
        <v>1.4981374721</v>
      </c>
      <c r="CZ131" s="9">
        <v>269</v>
      </c>
      <c r="DA131" s="9">
        <v>231</v>
      </c>
      <c r="DB131" s="9">
        <v>10</v>
      </c>
      <c r="DC131" s="9">
        <v>72</v>
      </c>
      <c r="DD131" s="9">
        <v>30</v>
      </c>
      <c r="DE131" s="9">
        <v>2</v>
      </c>
      <c r="DF131" s="9">
        <v>93</v>
      </c>
      <c r="DG131" s="9">
        <v>12</v>
      </c>
      <c r="DH131" s="9">
        <v>27</v>
      </c>
      <c r="DI131" s="9">
        <v>11</v>
      </c>
      <c r="DJ131" s="9">
        <v>1</v>
      </c>
      <c r="DK131" s="9">
        <v>13</v>
      </c>
      <c r="DL131" s="9">
        <v>0</v>
      </c>
      <c r="DM131" s="9">
        <v>10</v>
      </c>
      <c r="DN131" s="9">
        <v>0</v>
      </c>
      <c r="DO131" s="9">
        <v>282.11</v>
      </c>
      <c r="DP131" s="9">
        <v>74.92</v>
      </c>
      <c r="DQ131" s="9">
        <v>45.25</v>
      </c>
      <c r="DR131" s="9">
        <v>29.67</v>
      </c>
      <c r="DS131" s="9">
        <v>18.63</v>
      </c>
      <c r="DT131" s="9">
        <v>0.19</v>
      </c>
      <c r="DU131" s="9">
        <v>134.81</v>
      </c>
      <c r="DV131" s="9">
        <v>92.73</v>
      </c>
      <c r="DW131" s="9">
        <v>31.65</v>
      </c>
      <c r="DX131" s="9">
        <v>53.63</v>
      </c>
      <c r="DY131" s="9">
        <v>32.11</v>
      </c>
      <c r="DZ131" s="9">
        <v>10.5</v>
      </c>
      <c r="EA131" s="9">
        <v>-65.096999999999994</v>
      </c>
      <c r="EB131" s="9">
        <v>-21.015599999999999</v>
      </c>
      <c r="EC131" s="9">
        <v>-30.152100000000001</v>
      </c>
      <c r="ED131" s="9">
        <v>-27.4419</v>
      </c>
      <c r="EE131" s="9">
        <v>13.51258</v>
      </c>
      <c r="EF131" s="9">
        <v>10.121729999999999</v>
      </c>
      <c r="EG131" s="9">
        <v>-292.471</v>
      </c>
      <c r="EH131" s="9">
        <v>-209.19800000000001</v>
      </c>
      <c r="EI131" s="9">
        <v>-808.97400000000005</v>
      </c>
      <c r="EJ131" s="9">
        <v>0</v>
      </c>
      <c r="EK131" s="9">
        <v>725.70119999999997</v>
      </c>
      <c r="EL131" s="9">
        <v>-52.375300000000003</v>
      </c>
      <c r="EM131" s="9">
        <v>185.1199</v>
      </c>
      <c r="EN131" s="9">
        <v>1847.5</v>
      </c>
      <c r="EO131" s="9"/>
      <c r="EP131" s="9"/>
      <c r="EQ131" s="9"/>
      <c r="ER131" s="9"/>
      <c r="ES131" s="9"/>
      <c r="ET131" s="9"/>
      <c r="EU131">
        <v>1306.77</v>
      </c>
      <c r="EV131" s="9"/>
      <c r="EW131" s="9"/>
      <c r="EX131" s="9"/>
      <c r="EY131" s="9"/>
      <c r="EZ131" s="9"/>
      <c r="FA131" s="9"/>
      <c r="FB131" s="9">
        <v>103.2071428571</v>
      </c>
      <c r="FC131" s="9">
        <v>82.918095238099994</v>
      </c>
      <c r="FD131" s="9">
        <v>8289.7619047618991</v>
      </c>
      <c r="FE131" s="9">
        <v>148.48095238100001</v>
      </c>
      <c r="FF131" s="9">
        <v>1342.0238095238001</v>
      </c>
      <c r="FG131">
        <v>3088462.06</v>
      </c>
      <c r="FH131">
        <v>3055238.18</v>
      </c>
      <c r="FI131">
        <v>33223.879999999997</v>
      </c>
      <c r="FJ131" s="9">
        <v>3971653.5</v>
      </c>
      <c r="FK131">
        <v>3439925.14</v>
      </c>
      <c r="FL131" s="9">
        <v>531728.36</v>
      </c>
      <c r="FM131" s="9">
        <v>5540014.2800000003</v>
      </c>
      <c r="FN131" s="9">
        <v>302468.12</v>
      </c>
      <c r="FO131">
        <v>1283.3800000000001</v>
      </c>
      <c r="FP131">
        <v>258.58</v>
      </c>
      <c r="FQ131">
        <v>52.03</v>
      </c>
      <c r="FR131">
        <v>440.92</v>
      </c>
      <c r="FS131">
        <v>1.1100000000000001</v>
      </c>
      <c r="FT131">
        <v>1666.32</v>
      </c>
      <c r="FU131">
        <v>156.18</v>
      </c>
      <c r="FV131">
        <v>4429.46</v>
      </c>
      <c r="FW131">
        <v>4830.55</v>
      </c>
      <c r="FX131">
        <v>200.35</v>
      </c>
      <c r="HB131" s="6"/>
      <c r="HC131" s="6"/>
      <c r="HD131" s="6"/>
    </row>
    <row r="132" spans="1:212" x14ac:dyDescent="0.2">
      <c r="A132" s="8" t="s">
        <v>853</v>
      </c>
      <c r="B132" s="8" t="s">
        <v>343</v>
      </c>
      <c r="C132" s="8" t="s">
        <v>345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>
        <v>294958.5</v>
      </c>
      <c r="BO132" s="9">
        <v>253313</v>
      </c>
      <c r="BP132" s="9">
        <v>90921.1</v>
      </c>
      <c r="BQ132" s="9">
        <v>26535.5</v>
      </c>
      <c r="BR132" s="9">
        <v>13437</v>
      </c>
      <c r="BS132" s="9">
        <v>29581.7</v>
      </c>
      <c r="BT132" s="9">
        <v>61835.1</v>
      </c>
      <c r="BU132" s="9">
        <v>23463.1</v>
      </c>
      <c r="BV132" s="9">
        <v>40506.699999999997</v>
      </c>
      <c r="BW132" s="9">
        <v>231973.9</v>
      </c>
      <c r="BX132" s="9">
        <v>6825.8</v>
      </c>
      <c r="BY132" s="9">
        <v>50829.7</v>
      </c>
      <c r="BZ132" s="9">
        <v>63651.3</v>
      </c>
      <c r="CA132" s="9">
        <v>1912.1</v>
      </c>
      <c r="CB132" s="9">
        <v>3669.4</v>
      </c>
      <c r="CC132" s="9">
        <v>111911.3</v>
      </c>
      <c r="CD132" s="9">
        <v>0</v>
      </c>
      <c r="CE132" s="9">
        <v>32188.799999999999</v>
      </c>
      <c r="CF132" s="9">
        <v>995546.97540047683</v>
      </c>
      <c r="CG132" s="9">
        <v>3938208.7321035294</v>
      </c>
      <c r="CH132" s="9"/>
      <c r="CI132" s="9"/>
      <c r="CJ132" s="9">
        <v>18.876669603300002</v>
      </c>
      <c r="CK132" s="9">
        <v>12.8895663563</v>
      </c>
      <c r="CL132" s="9">
        <v>11</v>
      </c>
      <c r="CM132" s="9">
        <v>61.8222399227</v>
      </c>
      <c r="CN132" s="9">
        <v>26.324750000000002</v>
      </c>
      <c r="CO132" s="9">
        <v>1.6140203201000001</v>
      </c>
      <c r="CP132" s="9">
        <v>8.6012368676000008</v>
      </c>
      <c r="CQ132" s="9">
        <v>6.5211797989000004</v>
      </c>
      <c r="CR132" s="9">
        <v>3.219551085</v>
      </c>
      <c r="CS132" s="9">
        <v>1.1684249774</v>
      </c>
      <c r="CT132" s="9">
        <v>5.3054370865999996</v>
      </c>
      <c r="CU132" s="9">
        <v>0.95918675649999996</v>
      </c>
      <c r="CV132" s="9">
        <v>1.3868198163000001</v>
      </c>
      <c r="CW132" s="9">
        <v>4.5003057201000001</v>
      </c>
      <c r="CX132" s="9">
        <v>0.71760206500000001</v>
      </c>
      <c r="CY132" s="9">
        <v>1.5037254291</v>
      </c>
      <c r="CZ132" s="9">
        <v>276</v>
      </c>
      <c r="DA132" s="9">
        <v>240</v>
      </c>
      <c r="DB132" s="9">
        <v>10</v>
      </c>
      <c r="DC132" s="9">
        <v>53</v>
      </c>
      <c r="DD132" s="9">
        <v>22</v>
      </c>
      <c r="DE132" s="9">
        <v>15</v>
      </c>
      <c r="DF132" s="9">
        <v>112</v>
      </c>
      <c r="DG132" s="9">
        <v>16</v>
      </c>
      <c r="DH132" s="9">
        <v>25</v>
      </c>
      <c r="DI132" s="9">
        <v>7</v>
      </c>
      <c r="DJ132" s="9">
        <v>1</v>
      </c>
      <c r="DK132" s="9">
        <v>14</v>
      </c>
      <c r="DL132" s="9">
        <v>0</v>
      </c>
      <c r="DM132" s="9">
        <v>11</v>
      </c>
      <c r="DN132" s="9">
        <v>0</v>
      </c>
      <c r="DO132" s="9">
        <v>336.5</v>
      </c>
      <c r="DP132" s="9">
        <v>87.45</v>
      </c>
      <c r="DQ132" s="9">
        <v>46.33</v>
      </c>
      <c r="DR132" s="9">
        <v>41.11</v>
      </c>
      <c r="DS132" s="9">
        <v>25.42</v>
      </c>
      <c r="DT132" s="9">
        <v>1.57</v>
      </c>
      <c r="DU132" s="9">
        <v>123.55</v>
      </c>
      <c r="DV132" s="9">
        <v>78.95</v>
      </c>
      <c r="DW132" s="9">
        <v>28.9</v>
      </c>
      <c r="DX132" s="9">
        <v>99.94</v>
      </c>
      <c r="DY132" s="9">
        <v>63.92</v>
      </c>
      <c r="DZ132" s="9">
        <v>22.42</v>
      </c>
      <c r="EA132" s="9">
        <v>-119.187</v>
      </c>
      <c r="EB132" s="9">
        <v>-49.985100000000003</v>
      </c>
      <c r="EC132" s="9">
        <v>-44.001199999999997</v>
      </c>
      <c r="ED132" s="9">
        <v>-39.542999999999999</v>
      </c>
      <c r="EE132" s="9">
        <v>14.34272</v>
      </c>
      <c r="EF132" s="9">
        <v>9.5336230000000004</v>
      </c>
      <c r="EG132" s="9">
        <v>-101.544</v>
      </c>
      <c r="EH132" s="9">
        <v>-155.57300000000001</v>
      </c>
      <c r="EI132" s="9">
        <v>-25.325299999999999</v>
      </c>
      <c r="EJ132" s="9">
        <v>0</v>
      </c>
      <c r="EK132" s="9">
        <v>79.354789999999994</v>
      </c>
      <c r="EL132" s="9">
        <v>56.792050000000003</v>
      </c>
      <c r="EM132" s="9">
        <v>48.682789999999997</v>
      </c>
      <c r="EN132" s="9">
        <v>1888.3</v>
      </c>
      <c r="EO132" s="9"/>
      <c r="EP132" s="9"/>
      <c r="EQ132" s="9"/>
      <c r="ER132" s="9"/>
      <c r="ES132" s="9"/>
      <c r="ET132" s="9"/>
      <c r="EU132">
        <v>1274.1500000000001</v>
      </c>
      <c r="EV132" s="9"/>
      <c r="EW132" s="9"/>
      <c r="EX132" s="9"/>
      <c r="EY132" s="9"/>
      <c r="EZ132" s="9"/>
      <c r="FA132" s="9"/>
      <c r="FB132" s="9">
        <v>112.58376623380001</v>
      </c>
      <c r="FC132" s="9">
        <v>85.67</v>
      </c>
      <c r="FD132" s="9">
        <v>8458.4204545454995</v>
      </c>
      <c r="FE132" s="9">
        <v>160.55000000000001</v>
      </c>
      <c r="FF132" s="9">
        <v>1369.8863636363999</v>
      </c>
      <c r="FG132">
        <v>3107450.8299999996</v>
      </c>
      <c r="FH132">
        <v>3075887.3899999997</v>
      </c>
      <c r="FI132">
        <v>31563.439999999999</v>
      </c>
      <c r="FJ132" s="9">
        <v>4045810.4500000007</v>
      </c>
      <c r="FK132">
        <v>3507453.8200000003</v>
      </c>
      <c r="FL132" s="9">
        <v>538356.63</v>
      </c>
      <c r="FM132" s="9">
        <v>5568197.75</v>
      </c>
      <c r="FN132" s="9">
        <v>369845</v>
      </c>
      <c r="FO132">
        <v>1246.69</v>
      </c>
      <c r="FP132">
        <v>269.49</v>
      </c>
      <c r="FQ132">
        <v>36.28</v>
      </c>
      <c r="FR132">
        <v>343.61</v>
      </c>
      <c r="FS132">
        <v>12.08</v>
      </c>
      <c r="FT132">
        <v>1893.22</v>
      </c>
      <c r="FU132">
        <v>201.14</v>
      </c>
      <c r="FV132">
        <v>3535.24</v>
      </c>
      <c r="FW132">
        <v>6782.08</v>
      </c>
      <c r="FX132">
        <v>186.68</v>
      </c>
      <c r="HB132" s="6"/>
      <c r="HC132" s="6"/>
      <c r="HD132" s="6"/>
    </row>
    <row r="133" spans="1:212" x14ac:dyDescent="0.2">
      <c r="A133" s="8" t="s">
        <v>853</v>
      </c>
      <c r="B133" s="8" t="s">
        <v>343</v>
      </c>
      <c r="C133" s="8" t="s">
        <v>346</v>
      </c>
      <c r="D133" s="9">
        <v>2881565.55</v>
      </c>
      <c r="E133" s="9">
        <v>287588.49</v>
      </c>
      <c r="F133" s="9">
        <v>639218.98</v>
      </c>
      <c r="G133" s="9">
        <v>202858.77</v>
      </c>
      <c r="H133" s="9">
        <v>73065.289999999994</v>
      </c>
      <c r="I133" s="9">
        <v>149881.49</v>
      </c>
      <c r="J133" s="9">
        <v>309806.39</v>
      </c>
      <c r="K133" s="9">
        <v>186094.44</v>
      </c>
      <c r="L133" s="9">
        <v>66953.02</v>
      </c>
      <c r="M133" s="9">
        <v>654695.81999999995</v>
      </c>
      <c r="N133" s="9">
        <v>311402.86</v>
      </c>
      <c r="O133" s="9">
        <v>4162131.8203821769</v>
      </c>
      <c r="P133" s="9">
        <v>439155.63503558509</v>
      </c>
      <c r="Q133" s="9">
        <v>657984.13993228448</v>
      </c>
      <c r="R133" s="9">
        <v>347859.84143321519</v>
      </c>
      <c r="S133" s="9">
        <v>138400.14099015811</v>
      </c>
      <c r="T133" s="9">
        <v>230176.99860018061</v>
      </c>
      <c r="U133" s="9">
        <v>402274.74972066062</v>
      </c>
      <c r="V133" s="9">
        <v>219079.0044491895</v>
      </c>
      <c r="W133" s="9">
        <v>85000.269417716598</v>
      </c>
      <c r="X133" s="9">
        <v>1226945.104656907</v>
      </c>
      <c r="Y133" s="9">
        <v>415255.9361462802</v>
      </c>
      <c r="Z133" s="9">
        <v>2826718.2</v>
      </c>
      <c r="AA133" s="9">
        <v>1311722.5</v>
      </c>
      <c r="AB133" s="9">
        <v>421747.20000000001</v>
      </c>
      <c r="AC133" s="9">
        <v>1150189.8</v>
      </c>
      <c r="AD133" s="9">
        <v>232709.1</v>
      </c>
      <c r="AE133" s="9">
        <v>1268341.2</v>
      </c>
      <c r="AF133" s="9">
        <v>1557991.6</v>
      </c>
      <c r="AG133" s="9">
        <v>4057737.6408026032</v>
      </c>
      <c r="AH133" s="9">
        <v>1946690.8798413619</v>
      </c>
      <c r="AI133" s="9">
        <v>663921.8096132807</v>
      </c>
      <c r="AJ133" s="9">
        <v>1455945.4877192799</v>
      </c>
      <c r="AK133" s="9">
        <v>382244.58517339831</v>
      </c>
      <c r="AL133" s="9">
        <v>1245688.4101327029</v>
      </c>
      <c r="AM133" s="9">
        <v>1636753.53167742</v>
      </c>
      <c r="AN133" s="9">
        <v>1023667</v>
      </c>
      <c r="AO133" s="9">
        <v>541242</v>
      </c>
      <c r="AP133" s="9">
        <v>482425</v>
      </c>
      <c r="AQ133" s="9">
        <v>106117</v>
      </c>
      <c r="AR133" s="9">
        <v>59179</v>
      </c>
      <c r="AS133" s="9">
        <v>46938</v>
      </c>
      <c r="AT133" s="9">
        <v>713709</v>
      </c>
      <c r="AU133" s="9">
        <v>299174</v>
      </c>
      <c r="AV133" s="9">
        <v>414535</v>
      </c>
      <c r="AW133" s="9">
        <v>379.4</v>
      </c>
      <c r="AX133" s="9">
        <v>171.2</v>
      </c>
      <c r="AY133" s="9">
        <v>583.70000000000005</v>
      </c>
      <c r="AZ133" s="9">
        <v>339.8</v>
      </c>
      <c r="BA133" s="9">
        <v>371.1</v>
      </c>
      <c r="BB133" s="9"/>
      <c r="BC133" s="9">
        <v>272.2</v>
      </c>
      <c r="BD133" s="9">
        <v>239.4</v>
      </c>
      <c r="BE133" s="9">
        <v>421</v>
      </c>
      <c r="BF133" s="9">
        <v>308.60000000000002</v>
      </c>
      <c r="BG133" s="9"/>
      <c r="BH133" s="9">
        <v>725.7</v>
      </c>
      <c r="BI133" s="9">
        <v>314.89999999999998</v>
      </c>
      <c r="BJ133" s="9">
        <v>370.5</v>
      </c>
      <c r="BK133" s="9">
        <v>368.1</v>
      </c>
      <c r="BL133" s="9"/>
      <c r="BM133" s="9">
        <v>282.7</v>
      </c>
      <c r="BN133" s="9">
        <v>479223.9</v>
      </c>
      <c r="BO133" s="9">
        <v>367801.2</v>
      </c>
      <c r="BP133" s="9">
        <v>128075.8</v>
      </c>
      <c r="BQ133" s="9">
        <v>52173.2</v>
      </c>
      <c r="BR133" s="9">
        <v>26887.8</v>
      </c>
      <c r="BS133" s="9">
        <v>56588.800000000003</v>
      </c>
      <c r="BT133" s="9">
        <v>80951.3</v>
      </c>
      <c r="BU133" s="9">
        <v>25476.7</v>
      </c>
      <c r="BV133" s="9">
        <v>107695.1</v>
      </c>
      <c r="BW133" s="9">
        <v>322475.5</v>
      </c>
      <c r="BX133" s="9">
        <v>9554.2000000000007</v>
      </c>
      <c r="BY133" s="9">
        <v>100924.6</v>
      </c>
      <c r="BZ133" s="9">
        <v>79584.7</v>
      </c>
      <c r="CA133" s="9">
        <v>1875.4</v>
      </c>
      <c r="CB133" s="9">
        <v>13396.2</v>
      </c>
      <c r="CC133" s="9">
        <v>126694.6</v>
      </c>
      <c r="CD133" s="9">
        <v>0</v>
      </c>
      <c r="CE133" s="9">
        <v>176459.8</v>
      </c>
      <c r="CF133" s="9">
        <v>1157428.962652344</v>
      </c>
      <c r="CG133" s="9">
        <v>4678683.6717453962</v>
      </c>
      <c r="CH133" s="9"/>
      <c r="CI133" s="9"/>
      <c r="CJ133" s="9">
        <v>17.9061697687</v>
      </c>
      <c r="CK133" s="9">
        <v>12.6350696495</v>
      </c>
      <c r="CL133" s="9">
        <v>11</v>
      </c>
      <c r="CM133" s="9">
        <v>63.325622588800002</v>
      </c>
      <c r="CN133" s="9">
        <v>27.704118965100001</v>
      </c>
      <c r="CO133" s="9">
        <v>1.6284684159</v>
      </c>
      <c r="CP133" s="9">
        <v>8.6795264397</v>
      </c>
      <c r="CQ133" s="9">
        <v>6.5385340247999997</v>
      </c>
      <c r="CR133" s="9">
        <v>3.2229223682999999</v>
      </c>
      <c r="CS133" s="9">
        <v>1.1695689763999999</v>
      </c>
      <c r="CT133" s="9">
        <v>5.3090941583999998</v>
      </c>
      <c r="CU133" s="9">
        <v>0.95918675649999996</v>
      </c>
      <c r="CV133" s="9">
        <v>1.3889391753</v>
      </c>
      <c r="CW133" s="9">
        <v>4.5003057201000001</v>
      </c>
      <c r="CX133" s="9">
        <v>0.71950940990000001</v>
      </c>
      <c r="CY133" s="9">
        <v>1.5054481784</v>
      </c>
      <c r="CZ133" s="9">
        <v>349</v>
      </c>
      <c r="DA133" s="9">
        <v>310</v>
      </c>
      <c r="DB133" s="9">
        <v>13</v>
      </c>
      <c r="DC133" s="9">
        <v>82</v>
      </c>
      <c r="DD133" s="9">
        <v>34</v>
      </c>
      <c r="DE133" s="9">
        <v>23</v>
      </c>
      <c r="DF133" s="9">
        <v>117</v>
      </c>
      <c r="DG133" s="9">
        <v>14</v>
      </c>
      <c r="DH133" s="9">
        <v>28</v>
      </c>
      <c r="DI133" s="9">
        <v>18</v>
      </c>
      <c r="DJ133" s="9">
        <v>1</v>
      </c>
      <c r="DK133" s="9">
        <v>8</v>
      </c>
      <c r="DL133" s="9">
        <v>0</v>
      </c>
      <c r="DM133" s="9">
        <v>11</v>
      </c>
      <c r="DN133" s="9">
        <v>0</v>
      </c>
      <c r="DO133" s="9">
        <v>373.84</v>
      </c>
      <c r="DP133" s="9">
        <v>106.46</v>
      </c>
      <c r="DQ133" s="9">
        <v>55.05</v>
      </c>
      <c r="DR133" s="9">
        <v>51.41</v>
      </c>
      <c r="DS133" s="9">
        <v>27.1</v>
      </c>
      <c r="DT133" s="9">
        <v>2.54</v>
      </c>
      <c r="DU133" s="9">
        <v>156.12</v>
      </c>
      <c r="DV133" s="9">
        <v>120.84</v>
      </c>
      <c r="DW133" s="9">
        <v>23.92</v>
      </c>
      <c r="DX133" s="9">
        <v>67.28</v>
      </c>
      <c r="DY133" s="9">
        <v>45.34</v>
      </c>
      <c r="DZ133" s="9">
        <v>11.85</v>
      </c>
      <c r="EA133" s="9">
        <v>-301.99</v>
      </c>
      <c r="EB133" s="9">
        <v>43.270440000000001</v>
      </c>
      <c r="EC133" s="9">
        <v>-56.944000000000003</v>
      </c>
      <c r="ED133" s="9">
        <v>-302.36099999999999</v>
      </c>
      <c r="EE133" s="9">
        <v>14.044600000000001</v>
      </c>
      <c r="EF133" s="9">
        <v>17.192689999999999</v>
      </c>
      <c r="EG133" s="9">
        <v>-695.38699999999994</v>
      </c>
      <c r="EH133" s="9">
        <v>-202.71600000000001</v>
      </c>
      <c r="EI133" s="9">
        <v>-205.78200000000001</v>
      </c>
      <c r="EJ133" s="9">
        <v>0</v>
      </c>
      <c r="EK133" s="9">
        <v>-286.88799999999998</v>
      </c>
      <c r="EL133" s="9">
        <v>-63.69</v>
      </c>
      <c r="EM133" s="9">
        <v>346.90010000000001</v>
      </c>
      <c r="EN133" s="9">
        <v>2288</v>
      </c>
      <c r="EO133" s="9"/>
      <c r="EP133" s="9"/>
      <c r="EQ133" s="9"/>
      <c r="ER133" s="9"/>
      <c r="ES133" s="9"/>
      <c r="ET133" s="9"/>
      <c r="EU133">
        <v>1234.08</v>
      </c>
      <c r="EV133" s="9">
        <v>7127.79</v>
      </c>
      <c r="EW133" s="9">
        <v>1882.17</v>
      </c>
      <c r="EX133" s="9">
        <v>273.60000000000002</v>
      </c>
      <c r="EY133" s="9">
        <v>512.02</v>
      </c>
      <c r="EZ133" s="9">
        <v>1474.28</v>
      </c>
      <c r="FA133" s="9">
        <v>2985.72</v>
      </c>
      <c r="FB133" s="9">
        <v>123.7857142857</v>
      </c>
      <c r="FC133" s="9">
        <v>91.796521739100001</v>
      </c>
      <c r="FD133" s="9">
        <v>9152.8571428570995</v>
      </c>
      <c r="FE133" s="9">
        <v>168.5260869565</v>
      </c>
      <c r="FF133" s="9">
        <v>1390.552631579</v>
      </c>
      <c r="FG133">
        <v>3251349.74</v>
      </c>
      <c r="FH133">
        <v>3228171.13</v>
      </c>
      <c r="FI133">
        <v>23178.61</v>
      </c>
      <c r="FJ133" s="9">
        <v>4706422.37</v>
      </c>
      <c r="FK133">
        <v>4205395.21</v>
      </c>
      <c r="FL133" s="9">
        <v>501027.16</v>
      </c>
      <c r="FM133" s="9">
        <v>6245632.7599999998</v>
      </c>
      <c r="FN133" s="9">
        <v>382485.06</v>
      </c>
      <c r="FO133">
        <v>1256.47</v>
      </c>
      <c r="FP133">
        <v>319.58999999999997</v>
      </c>
      <c r="FQ133">
        <v>50.69</v>
      </c>
      <c r="FR133">
        <v>415.81</v>
      </c>
      <c r="FS133">
        <v>19.82</v>
      </c>
      <c r="FT133">
        <v>2002.89</v>
      </c>
      <c r="FU133">
        <v>175.36</v>
      </c>
      <c r="FV133">
        <v>8668.74</v>
      </c>
      <c r="FW133">
        <v>7877.62</v>
      </c>
      <c r="FX133">
        <v>182.74</v>
      </c>
      <c r="HB133" s="6"/>
      <c r="HC133" s="6"/>
      <c r="HD133" s="6"/>
    </row>
    <row r="134" spans="1:212" x14ac:dyDescent="0.2">
      <c r="A134" s="8" t="s">
        <v>854</v>
      </c>
      <c r="B134" s="8" t="s">
        <v>347</v>
      </c>
      <c r="C134" s="8" t="s">
        <v>348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>
        <v>219290.9</v>
      </c>
      <c r="BO134" s="9">
        <v>204214.9</v>
      </c>
      <c r="BP134" s="9">
        <v>48001.4</v>
      </c>
      <c r="BQ134" s="9">
        <v>22183.1</v>
      </c>
      <c r="BR134" s="9">
        <v>12838.7</v>
      </c>
      <c r="BS134" s="9">
        <v>23493.4</v>
      </c>
      <c r="BT134" s="9">
        <v>70369.8</v>
      </c>
      <c r="BU134" s="9">
        <v>19350.5</v>
      </c>
      <c r="BV134" s="9">
        <v>14661.6</v>
      </c>
      <c r="BW134" s="9">
        <v>228105.3</v>
      </c>
      <c r="BX134" s="9">
        <v>5079.8</v>
      </c>
      <c r="BY134" s="9">
        <v>28320.3</v>
      </c>
      <c r="BZ134" s="9">
        <v>65126.6</v>
      </c>
      <c r="CA134" s="9">
        <v>9558.2000000000007</v>
      </c>
      <c r="CB134" s="9">
        <v>4052.7</v>
      </c>
      <c r="CC134" s="9">
        <v>121047.4</v>
      </c>
      <c r="CD134" s="9">
        <v>0</v>
      </c>
      <c r="CE134" s="9">
        <v>13373.1</v>
      </c>
      <c r="CF134" s="9">
        <v>1131366.6013742059</v>
      </c>
      <c r="CG134" s="9">
        <v>4804181.8963275859</v>
      </c>
      <c r="CH134" s="9"/>
      <c r="CI134" s="9"/>
      <c r="CJ134" s="9">
        <v>18.397514977299998</v>
      </c>
      <c r="CK134" s="9">
        <v>12.460552377000001</v>
      </c>
      <c r="CL134" s="9">
        <v>11</v>
      </c>
      <c r="CM134" s="9">
        <v>64.283392562499998</v>
      </c>
      <c r="CN134" s="9">
        <v>19.4492164915</v>
      </c>
      <c r="CO134" s="9">
        <v>2.0273831828</v>
      </c>
      <c r="CP134" s="9">
        <v>10.251530349599999</v>
      </c>
      <c r="CQ134" s="9">
        <v>7.7425320488000002</v>
      </c>
      <c r="CR134" s="9">
        <v>2.9909587685000001</v>
      </c>
      <c r="CS134" s="9">
        <v>2.2632356119999999</v>
      </c>
      <c r="CT134" s="9">
        <v>7.7535558246000003</v>
      </c>
      <c r="CU134" s="9">
        <v>2.8081757114000001</v>
      </c>
      <c r="CV134" s="9">
        <v>1.7618274237</v>
      </c>
      <c r="CW134" s="9">
        <v>2.9971595517999998</v>
      </c>
      <c r="CX134" s="9">
        <v>1.6360204377000001</v>
      </c>
      <c r="CY134" s="9">
        <v>2.6017971600999998</v>
      </c>
      <c r="CZ134" s="9">
        <v>214</v>
      </c>
      <c r="DA134" s="9">
        <v>198</v>
      </c>
      <c r="DB134" s="9">
        <v>9</v>
      </c>
      <c r="DC134" s="9">
        <v>75</v>
      </c>
      <c r="DD134" s="9">
        <v>21</v>
      </c>
      <c r="DE134" s="9">
        <v>21</v>
      </c>
      <c r="DF134" s="9">
        <v>39</v>
      </c>
      <c r="DG134" s="9">
        <v>12</v>
      </c>
      <c r="DH134" s="9">
        <v>9</v>
      </c>
      <c r="DI134" s="9">
        <v>1</v>
      </c>
      <c r="DJ134" s="9">
        <v>3</v>
      </c>
      <c r="DK134" s="9">
        <v>1</v>
      </c>
      <c r="DL134" s="9">
        <v>0</v>
      </c>
      <c r="DM134" s="9">
        <v>7</v>
      </c>
      <c r="DN134" s="9">
        <v>0</v>
      </c>
      <c r="DO134" s="9">
        <v>349.87</v>
      </c>
      <c r="DP134" s="9">
        <v>88.43</v>
      </c>
      <c r="DQ134" s="9">
        <v>41.68</v>
      </c>
      <c r="DR134" s="9">
        <v>46.74</v>
      </c>
      <c r="DS134" s="9">
        <v>18.95</v>
      </c>
      <c r="DT134" s="9">
        <v>0.33</v>
      </c>
      <c r="DU134" s="9">
        <v>177.99</v>
      </c>
      <c r="DV134" s="9">
        <v>145.97999999999999</v>
      </c>
      <c r="DW134" s="9">
        <v>21.66</v>
      </c>
      <c r="DX134" s="9">
        <v>63.17</v>
      </c>
      <c r="DY134" s="9">
        <v>41.8</v>
      </c>
      <c r="DZ134" s="9">
        <v>12.51</v>
      </c>
      <c r="EA134" s="9">
        <v>-9.4068500000000004</v>
      </c>
      <c r="EB134" s="9">
        <v>36.926760000000002</v>
      </c>
      <c r="EC134" s="9">
        <v>-28.116199999999999</v>
      </c>
      <c r="ED134" s="9">
        <v>-31.951799999999999</v>
      </c>
      <c r="EE134" s="9">
        <v>13.73441</v>
      </c>
      <c r="EF134" s="9">
        <v>8.3531519999999997</v>
      </c>
      <c r="EG134" s="9">
        <v>3.0944940000000001</v>
      </c>
      <c r="EH134" s="9">
        <v>-59.422499999999999</v>
      </c>
      <c r="EI134" s="9">
        <v>39.409109999999998</v>
      </c>
      <c r="EJ134" s="9">
        <v>0</v>
      </c>
      <c r="EK134" s="9">
        <v>23.10793</v>
      </c>
      <c r="EL134" s="9">
        <v>-17.168800000000001</v>
      </c>
      <c r="EM134" s="9">
        <v>-21.317</v>
      </c>
      <c r="EN134" s="9">
        <v>2329.1</v>
      </c>
      <c r="EO134" s="9"/>
      <c r="EP134" s="9"/>
      <c r="EQ134" s="9"/>
      <c r="ER134" s="9"/>
      <c r="ES134" s="9"/>
      <c r="ET134" s="9"/>
      <c r="EU134">
        <v>1256.42</v>
      </c>
      <c r="EV134" s="9"/>
      <c r="EW134" s="9"/>
      <c r="EX134" s="9"/>
      <c r="EY134" s="9"/>
      <c r="EZ134" s="9"/>
      <c r="FA134" s="9"/>
      <c r="FB134" s="9">
        <v>140.99357142860001</v>
      </c>
      <c r="FC134" s="9">
        <v>96.294761904799998</v>
      </c>
      <c r="FD134" s="9">
        <v>9533.2000000000007</v>
      </c>
      <c r="FE134" s="9">
        <v>179.63</v>
      </c>
      <c r="FF134" s="9">
        <v>1356.4</v>
      </c>
      <c r="FG134">
        <v>3425647.81</v>
      </c>
      <c r="FH134">
        <v>3403658.23</v>
      </c>
      <c r="FI134">
        <v>21989.58</v>
      </c>
      <c r="FJ134" s="9">
        <v>4843489.3599999994</v>
      </c>
      <c r="FK134">
        <v>4328606.3</v>
      </c>
      <c r="FL134" s="9">
        <v>514883.06</v>
      </c>
      <c r="FM134" s="9">
        <v>6396414.6500000004</v>
      </c>
      <c r="FN134" s="9">
        <v>384115.76</v>
      </c>
      <c r="FO134">
        <v>1245.46</v>
      </c>
      <c r="FP134">
        <v>221.25</v>
      </c>
      <c r="FQ134">
        <v>45.21</v>
      </c>
      <c r="FR134">
        <v>252.07</v>
      </c>
      <c r="FS134">
        <v>19.059999999999999</v>
      </c>
      <c r="FT134">
        <v>657.09</v>
      </c>
      <c r="FU134">
        <v>135.99</v>
      </c>
      <c r="FV134">
        <v>335.33</v>
      </c>
      <c r="FW134">
        <v>22159.06</v>
      </c>
      <c r="FX134">
        <v>293.61</v>
      </c>
      <c r="HB134" s="6"/>
      <c r="HC134" s="6"/>
      <c r="HD134" s="6"/>
    </row>
    <row r="135" spans="1:212" x14ac:dyDescent="0.2">
      <c r="A135" s="8" t="s">
        <v>854</v>
      </c>
      <c r="B135" s="8" t="s">
        <v>347</v>
      </c>
      <c r="C135" s="8" t="s">
        <v>349</v>
      </c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>
        <v>269135.59999999998</v>
      </c>
      <c r="BO135" s="9">
        <v>227892.8</v>
      </c>
      <c r="BP135" s="9">
        <v>94724.1</v>
      </c>
      <c r="BQ135" s="9">
        <v>54540.6</v>
      </c>
      <c r="BR135" s="9">
        <v>15038.8</v>
      </c>
      <c r="BS135" s="9">
        <v>26597.200000000001</v>
      </c>
      <c r="BT135" s="9">
        <v>50465.4</v>
      </c>
      <c r="BU135" s="9">
        <v>18181.900000000001</v>
      </c>
      <c r="BV135" s="9">
        <v>20058.400000000001</v>
      </c>
      <c r="BW135" s="9">
        <v>206836.2</v>
      </c>
      <c r="BX135" s="9">
        <v>837.3</v>
      </c>
      <c r="BY135" s="9">
        <v>40638.400000000001</v>
      </c>
      <c r="BZ135" s="9">
        <v>58240.3</v>
      </c>
      <c r="CA135" s="9">
        <v>2454.6</v>
      </c>
      <c r="CB135" s="9">
        <v>6690.8</v>
      </c>
      <c r="CC135" s="9">
        <v>98812.2</v>
      </c>
      <c r="CD135" s="9">
        <v>0</v>
      </c>
      <c r="CE135" s="9">
        <v>15694.3</v>
      </c>
      <c r="CF135" s="9">
        <v>1031107.668650239</v>
      </c>
      <c r="CG135" s="9">
        <v>4866152.2924918979</v>
      </c>
      <c r="CH135" s="9"/>
      <c r="CI135" s="9"/>
      <c r="CJ135" s="9">
        <v>17.7899485471</v>
      </c>
      <c r="CK135" s="9">
        <v>12.1956336979</v>
      </c>
      <c r="CL135" s="9">
        <v>11</v>
      </c>
      <c r="CM135" s="9">
        <v>64.613308496200005</v>
      </c>
      <c r="CN135" s="9">
        <v>19.608326630200001</v>
      </c>
      <c r="CO135" s="9">
        <v>2.0296981661000002</v>
      </c>
      <c r="CP135" s="9">
        <v>10.314989754999999</v>
      </c>
      <c r="CQ135" s="9">
        <v>7.7041179851999999</v>
      </c>
      <c r="CR135" s="9">
        <v>2.9920145269999998</v>
      </c>
      <c r="CS135" s="9">
        <v>2.2822403305000001</v>
      </c>
      <c r="CT135" s="9">
        <v>7.8713749909999997</v>
      </c>
      <c r="CU135" s="9">
        <v>2.8100255495000002</v>
      </c>
      <c r="CV135" s="9">
        <v>1.7623218903</v>
      </c>
      <c r="CW135" s="9">
        <v>2.9971595517999998</v>
      </c>
      <c r="CX135" s="9">
        <v>1.6365713458</v>
      </c>
      <c r="CY135" s="9">
        <v>2.6044677740000002</v>
      </c>
      <c r="CZ135" s="9">
        <v>209</v>
      </c>
      <c r="DA135" s="9">
        <v>196</v>
      </c>
      <c r="DB135" s="9">
        <v>10</v>
      </c>
      <c r="DC135" s="9">
        <v>74</v>
      </c>
      <c r="DD135" s="9">
        <v>31</v>
      </c>
      <c r="DE135" s="9">
        <v>12</v>
      </c>
      <c r="DF135" s="9">
        <v>50</v>
      </c>
      <c r="DG135" s="9">
        <v>10</v>
      </c>
      <c r="DH135" s="9">
        <v>8</v>
      </c>
      <c r="DI135" s="9">
        <v>1</v>
      </c>
      <c r="DJ135" s="9">
        <v>4</v>
      </c>
      <c r="DK135" s="9">
        <v>2</v>
      </c>
      <c r="DL135" s="9">
        <v>0</v>
      </c>
      <c r="DM135" s="9">
        <v>4</v>
      </c>
      <c r="DN135" s="9">
        <v>0</v>
      </c>
      <c r="DO135" s="9">
        <v>266.06</v>
      </c>
      <c r="DP135" s="9">
        <v>63.56</v>
      </c>
      <c r="DQ135" s="9">
        <v>28.78</v>
      </c>
      <c r="DR135" s="9">
        <v>34.79</v>
      </c>
      <c r="DS135" s="9">
        <v>14.34</v>
      </c>
      <c r="DT135" s="9">
        <v>0.9</v>
      </c>
      <c r="DU135" s="9">
        <v>127.96</v>
      </c>
      <c r="DV135" s="9">
        <v>103.18</v>
      </c>
      <c r="DW135" s="9">
        <v>12.57</v>
      </c>
      <c r="DX135" s="9">
        <v>60.08</v>
      </c>
      <c r="DY135" s="9">
        <v>36.6</v>
      </c>
      <c r="DZ135" s="9">
        <v>11.96</v>
      </c>
      <c r="EA135" s="9">
        <v>-34.0229</v>
      </c>
      <c r="EB135" s="9">
        <v>-10.731999999999999</v>
      </c>
      <c r="EC135" s="9">
        <v>-16.367599999999999</v>
      </c>
      <c r="ED135" s="9">
        <v>-19.046800000000001</v>
      </c>
      <c r="EE135" s="9">
        <v>12.12337</v>
      </c>
      <c r="EF135" s="9">
        <v>8.3485340000000008</v>
      </c>
      <c r="EG135" s="9">
        <v>-26.967500000000001</v>
      </c>
      <c r="EH135" s="9">
        <v>-62.874099999999999</v>
      </c>
      <c r="EI135" s="9">
        <v>0.37957800000000003</v>
      </c>
      <c r="EJ135" s="9">
        <v>0</v>
      </c>
      <c r="EK135" s="9">
        <v>35.527050000000003</v>
      </c>
      <c r="EL135" s="9">
        <v>-26.919599999999999</v>
      </c>
      <c r="EM135" s="9">
        <v>-25.6265</v>
      </c>
      <c r="EN135" s="9">
        <v>2319.4</v>
      </c>
      <c r="EO135" s="9"/>
      <c r="EP135" s="9"/>
      <c r="EQ135" s="9"/>
      <c r="ER135" s="9"/>
      <c r="ES135" s="9"/>
      <c r="ET135" s="9"/>
      <c r="EU135">
        <v>1253.4100000000001</v>
      </c>
      <c r="EV135" s="9"/>
      <c r="EW135" s="9"/>
      <c r="EX135" s="9"/>
      <c r="EY135" s="9"/>
      <c r="EZ135" s="9"/>
      <c r="FA135" s="9"/>
      <c r="FB135" s="9">
        <v>134.62446428569999</v>
      </c>
      <c r="FC135" s="9">
        <v>103.955</v>
      </c>
      <c r="FD135" s="9">
        <v>9880.9375</v>
      </c>
      <c r="FE135" s="9">
        <v>187.18</v>
      </c>
      <c r="FF135" s="9">
        <v>1372.7249999999999</v>
      </c>
      <c r="FG135">
        <v>3513730.06</v>
      </c>
      <c r="FH135">
        <v>3491731.23</v>
      </c>
      <c r="FI135">
        <v>21998.83</v>
      </c>
      <c r="FJ135" s="9">
        <v>4981397.84</v>
      </c>
      <c r="FK135">
        <v>4450542.33</v>
      </c>
      <c r="FL135" s="9">
        <v>530855.51</v>
      </c>
      <c r="FM135" s="9">
        <v>6570155.46</v>
      </c>
      <c r="FN135" s="9">
        <v>389005.2</v>
      </c>
      <c r="FO135">
        <v>1254.51</v>
      </c>
      <c r="FP135">
        <v>257.74</v>
      </c>
      <c r="FQ135">
        <v>42.42</v>
      </c>
      <c r="FR135">
        <v>360.6</v>
      </c>
      <c r="FS135">
        <v>9.98</v>
      </c>
      <c r="FT135">
        <v>703.02</v>
      </c>
      <c r="FU135">
        <v>115.1</v>
      </c>
      <c r="FV135">
        <v>287.75</v>
      </c>
      <c r="FW135">
        <v>42656.68</v>
      </c>
      <c r="FX135">
        <v>269.23</v>
      </c>
      <c r="HB135" s="6"/>
      <c r="HC135" s="6"/>
      <c r="HD135" s="6"/>
    </row>
    <row r="136" spans="1:212" x14ac:dyDescent="0.2">
      <c r="A136" s="8" t="s">
        <v>854</v>
      </c>
      <c r="B136" s="8" t="s">
        <v>347</v>
      </c>
      <c r="C136" s="8" t="s">
        <v>350</v>
      </c>
      <c r="D136" s="9">
        <v>2535278.2200000002</v>
      </c>
      <c r="E136" s="9">
        <v>56435.71</v>
      </c>
      <c r="F136" s="9">
        <v>523363.82</v>
      </c>
      <c r="G136" s="9">
        <v>139190.91</v>
      </c>
      <c r="H136" s="9">
        <v>69941.33</v>
      </c>
      <c r="I136" s="9">
        <v>17920.95</v>
      </c>
      <c r="J136" s="9">
        <v>561257.56999999995</v>
      </c>
      <c r="K136" s="9">
        <v>152902.98000000001</v>
      </c>
      <c r="L136" s="9">
        <v>66543.95</v>
      </c>
      <c r="M136" s="9">
        <v>652772.76</v>
      </c>
      <c r="N136" s="9">
        <v>294948.24</v>
      </c>
      <c r="O136" s="9">
        <v>3181009.3504664032</v>
      </c>
      <c r="P136" s="9">
        <v>73471.034255198101</v>
      </c>
      <c r="Q136" s="9">
        <v>487813.36502978689</v>
      </c>
      <c r="R136" s="9">
        <v>186424.97747236639</v>
      </c>
      <c r="S136" s="9">
        <v>122719.1771948446</v>
      </c>
      <c r="T136" s="9">
        <v>21280.577420633901</v>
      </c>
      <c r="U136" s="9">
        <v>657711.31690652319</v>
      </c>
      <c r="V136" s="9">
        <v>177400.1135826644</v>
      </c>
      <c r="W136" s="9">
        <v>79863.950406179501</v>
      </c>
      <c r="X136" s="9">
        <v>982477.48629051878</v>
      </c>
      <c r="Y136" s="9">
        <v>391847.35190768738</v>
      </c>
      <c r="Z136" s="9">
        <v>2462458</v>
      </c>
      <c r="AA136" s="9">
        <v>1605033.1</v>
      </c>
      <c r="AB136" s="9">
        <v>333082.2</v>
      </c>
      <c r="AC136" s="9">
        <v>839427.4</v>
      </c>
      <c r="AD136" s="9">
        <v>212435.9</v>
      </c>
      <c r="AE136" s="9">
        <v>1043013.2</v>
      </c>
      <c r="AF136" s="9">
        <v>1570533.9</v>
      </c>
      <c r="AG136" s="9">
        <v>3077055.7673175209</v>
      </c>
      <c r="AH136" s="9">
        <v>2049908.8642780371</v>
      </c>
      <c r="AI136" s="9">
        <v>433754.396743174</v>
      </c>
      <c r="AJ136" s="9">
        <v>871392.07977058808</v>
      </c>
      <c r="AK136" s="9">
        <v>277887.9526931569</v>
      </c>
      <c r="AL136" s="9">
        <v>745303.21374974423</v>
      </c>
      <c r="AM136" s="9">
        <v>1301190.7399171779</v>
      </c>
      <c r="AN136" s="9">
        <v>1024753</v>
      </c>
      <c r="AO136" s="9">
        <v>538868</v>
      </c>
      <c r="AP136" s="9">
        <v>485885</v>
      </c>
      <c r="AQ136" s="9">
        <v>97159</v>
      </c>
      <c r="AR136" s="9">
        <v>55418</v>
      </c>
      <c r="AS136" s="9">
        <v>41741</v>
      </c>
      <c r="AT136" s="9">
        <v>765634</v>
      </c>
      <c r="AU136" s="9">
        <v>315578</v>
      </c>
      <c r="AV136" s="9">
        <v>450056</v>
      </c>
      <c r="AW136" s="9">
        <v>395.4</v>
      </c>
      <c r="AX136" s="9">
        <v>192.1</v>
      </c>
      <c r="AY136" s="9">
        <v>639.9</v>
      </c>
      <c r="AZ136" s="9">
        <v>360.2</v>
      </c>
      <c r="BA136" s="9">
        <v>416.1</v>
      </c>
      <c r="BB136" s="9"/>
      <c r="BC136" s="9">
        <v>240.9</v>
      </c>
      <c r="BD136" s="9">
        <v>257.5</v>
      </c>
      <c r="BE136" s="9">
        <v>457.7</v>
      </c>
      <c r="BF136" s="9">
        <v>260.39999999999998</v>
      </c>
      <c r="BG136" s="9"/>
      <c r="BH136" s="9">
        <v>814.8</v>
      </c>
      <c r="BI136" s="9">
        <v>285.89999999999998</v>
      </c>
      <c r="BJ136" s="9">
        <v>353.6</v>
      </c>
      <c r="BK136" s="9">
        <v>372.7</v>
      </c>
      <c r="BL136" s="9"/>
      <c r="BM136" s="9">
        <v>289.39999999999998</v>
      </c>
      <c r="BN136" s="9">
        <v>436961.2</v>
      </c>
      <c r="BO136" s="9">
        <v>367784</v>
      </c>
      <c r="BP136" s="9">
        <v>63305.7</v>
      </c>
      <c r="BQ136" s="9">
        <v>34053.800000000003</v>
      </c>
      <c r="BR136" s="9">
        <v>18495.900000000001</v>
      </c>
      <c r="BS136" s="9">
        <v>46292.7</v>
      </c>
      <c r="BT136" s="9">
        <v>73332</v>
      </c>
      <c r="BU136" s="9">
        <v>25030.400000000001</v>
      </c>
      <c r="BV136" s="9">
        <v>68124.399999999994</v>
      </c>
      <c r="BW136" s="9">
        <v>304823.5</v>
      </c>
      <c r="BX136" s="9">
        <v>2238.8000000000002</v>
      </c>
      <c r="BY136" s="9">
        <v>50381.1</v>
      </c>
      <c r="BZ136" s="9">
        <v>66361.100000000006</v>
      </c>
      <c r="CA136" s="9">
        <v>1446</v>
      </c>
      <c r="CB136" s="9">
        <v>12491.5</v>
      </c>
      <c r="CC136" s="9">
        <v>174143.8</v>
      </c>
      <c r="CD136" s="9">
        <v>0</v>
      </c>
      <c r="CE136" s="9">
        <v>44490.1</v>
      </c>
      <c r="CF136" s="9">
        <v>1181381.3128743309</v>
      </c>
      <c r="CG136" s="9">
        <v>4953939.5540122697</v>
      </c>
      <c r="CH136" s="9"/>
      <c r="CI136" s="9"/>
      <c r="CJ136" s="9">
        <v>15.7656166314</v>
      </c>
      <c r="CK136" s="9">
        <v>13.0287283583</v>
      </c>
      <c r="CL136" s="9">
        <v>11</v>
      </c>
      <c r="CM136" s="9">
        <v>64.368022542299997</v>
      </c>
      <c r="CN136" s="9">
        <v>19.324165028700001</v>
      </c>
      <c r="CO136" s="9">
        <v>2.0297822062000002</v>
      </c>
      <c r="CP136" s="9">
        <v>10.356357108799999</v>
      </c>
      <c r="CQ136" s="9">
        <v>7.6484397628999998</v>
      </c>
      <c r="CR136" s="9">
        <v>3.0037127733000002</v>
      </c>
      <c r="CS136" s="9">
        <v>2.2862659715999998</v>
      </c>
      <c r="CT136" s="9">
        <v>7.8950484589999999</v>
      </c>
      <c r="CU136" s="9">
        <v>2.8106724187999998</v>
      </c>
      <c r="CV136" s="9">
        <v>1.7654601593000001</v>
      </c>
      <c r="CW136" s="9">
        <v>2.9971595517999998</v>
      </c>
      <c r="CX136" s="9">
        <v>1.6449955036999999</v>
      </c>
      <c r="CY136" s="9">
        <v>2.6059635980999998</v>
      </c>
      <c r="CZ136" s="9">
        <v>318</v>
      </c>
      <c r="DA136" s="9">
        <v>297</v>
      </c>
      <c r="DB136" s="9">
        <v>14</v>
      </c>
      <c r="DC136" s="9">
        <v>92</v>
      </c>
      <c r="DD136" s="9">
        <v>24</v>
      </c>
      <c r="DE136" s="9">
        <v>15</v>
      </c>
      <c r="DF136" s="9">
        <v>112</v>
      </c>
      <c r="DG136" s="9">
        <v>24</v>
      </c>
      <c r="DH136" s="9">
        <v>13</v>
      </c>
      <c r="DI136" s="9">
        <v>3</v>
      </c>
      <c r="DJ136" s="9">
        <v>6</v>
      </c>
      <c r="DK136" s="9">
        <v>4</v>
      </c>
      <c r="DL136" s="9">
        <v>0</v>
      </c>
      <c r="DM136" s="9">
        <v>8</v>
      </c>
      <c r="DN136" s="9">
        <v>0</v>
      </c>
      <c r="DO136" s="9">
        <v>472.04</v>
      </c>
      <c r="DP136" s="9">
        <v>103.71</v>
      </c>
      <c r="DQ136" s="9">
        <v>45.95</v>
      </c>
      <c r="DR136" s="9">
        <v>57.76</v>
      </c>
      <c r="DS136" s="9">
        <v>22.9</v>
      </c>
      <c r="DT136" s="9">
        <v>1.26</v>
      </c>
      <c r="DU136" s="9">
        <v>287.16000000000003</v>
      </c>
      <c r="DV136" s="9">
        <v>239.81</v>
      </c>
      <c r="DW136" s="9">
        <v>36.01</v>
      </c>
      <c r="DX136" s="9">
        <v>58.18</v>
      </c>
      <c r="DY136" s="9">
        <v>33.39</v>
      </c>
      <c r="DZ136" s="9">
        <v>13.65</v>
      </c>
      <c r="EA136" s="9">
        <v>-100.961</v>
      </c>
      <c r="EB136" s="9">
        <v>-83.815600000000003</v>
      </c>
      <c r="EC136" s="9">
        <v>-21.1022</v>
      </c>
      <c r="ED136" s="9">
        <v>-15.4762</v>
      </c>
      <c r="EE136" s="9">
        <v>19.433330000000002</v>
      </c>
      <c r="EF136" s="9">
        <v>8.6411569999999998</v>
      </c>
      <c r="EG136" s="9">
        <v>-107.55200000000001</v>
      </c>
      <c r="EH136" s="9">
        <v>-71.884900000000002</v>
      </c>
      <c r="EI136" s="9">
        <v>36.816330000000001</v>
      </c>
      <c r="EJ136" s="9">
        <v>0</v>
      </c>
      <c r="EK136" s="9">
        <v>-72.483400000000003</v>
      </c>
      <c r="EL136" s="9">
        <v>-4.6373699999999998</v>
      </c>
      <c r="EM136" s="9">
        <v>10.595079999999999</v>
      </c>
      <c r="EN136" s="9">
        <v>2343.5</v>
      </c>
      <c r="EO136" s="9"/>
      <c r="EP136" s="9"/>
      <c r="EQ136" s="9"/>
      <c r="ER136" s="9"/>
      <c r="ES136" s="9"/>
      <c r="ET136" s="9"/>
      <c r="EU136">
        <v>1228.45</v>
      </c>
      <c r="EV136" s="9">
        <v>7887.43</v>
      </c>
      <c r="EW136" s="9">
        <v>1892.68</v>
      </c>
      <c r="EX136" s="9">
        <v>279.07</v>
      </c>
      <c r="EY136" s="9">
        <v>516.29999999999995</v>
      </c>
      <c r="EZ136" s="9">
        <v>1513.58</v>
      </c>
      <c r="FA136" s="9">
        <v>3685.79</v>
      </c>
      <c r="FB136" s="9">
        <v>135.97127329189999</v>
      </c>
      <c r="FC136" s="9">
        <v>114.4413043478</v>
      </c>
      <c r="FD136" s="9">
        <v>9503.3586956521995</v>
      </c>
      <c r="FE136" s="9">
        <v>169.3565217391</v>
      </c>
      <c r="FF136" s="9">
        <v>1424.0108695652</v>
      </c>
      <c r="FG136">
        <v>3713306.88</v>
      </c>
      <c r="FH136">
        <v>3696259.75</v>
      </c>
      <c r="FI136">
        <v>17047.13</v>
      </c>
      <c r="FJ136" s="9">
        <v>4986781.1300000008</v>
      </c>
      <c r="FK136">
        <v>4488779.84</v>
      </c>
      <c r="FL136" s="9">
        <v>498001.29</v>
      </c>
      <c r="FM136" s="9">
        <v>6677277.5199999996</v>
      </c>
      <c r="FN136" s="9">
        <v>410482.52</v>
      </c>
      <c r="FO136">
        <v>1195.27</v>
      </c>
      <c r="FP136">
        <v>353.37</v>
      </c>
      <c r="FQ136">
        <v>50.14</v>
      </c>
      <c r="FR136">
        <v>296.45</v>
      </c>
      <c r="FS136">
        <v>11.02</v>
      </c>
      <c r="FT136">
        <v>1557.77</v>
      </c>
      <c r="FU136">
        <v>247.29</v>
      </c>
      <c r="FV136">
        <v>1440.14</v>
      </c>
      <c r="FW136">
        <v>62351.93</v>
      </c>
      <c r="FX136">
        <v>543.54999999999995</v>
      </c>
      <c r="HB136" s="6"/>
      <c r="HC136" s="6"/>
      <c r="HD136" s="6"/>
    </row>
    <row r="137" spans="1:212" x14ac:dyDescent="0.2">
      <c r="A137" s="8" t="s">
        <v>854</v>
      </c>
      <c r="B137" s="8" t="s">
        <v>351</v>
      </c>
      <c r="C137" s="8" t="s">
        <v>352</v>
      </c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>
        <v>294120.2</v>
      </c>
      <c r="BO137" s="9">
        <v>270734.3</v>
      </c>
      <c r="BP137" s="9">
        <v>67991.199999999997</v>
      </c>
      <c r="BQ137" s="9">
        <v>46588</v>
      </c>
      <c r="BR137" s="9">
        <v>14958.2</v>
      </c>
      <c r="BS137" s="9">
        <v>24880.799999999999</v>
      </c>
      <c r="BT137" s="9">
        <v>76743.199999999997</v>
      </c>
      <c r="BU137" s="9">
        <v>30289.4</v>
      </c>
      <c r="BV137" s="9">
        <v>22291</v>
      </c>
      <c r="BW137" s="9">
        <v>274621.40000000002</v>
      </c>
      <c r="BX137" s="9">
        <v>1443.2</v>
      </c>
      <c r="BY137" s="9">
        <v>49885.5</v>
      </c>
      <c r="BZ137" s="9">
        <v>62124.5</v>
      </c>
      <c r="CA137" s="9">
        <v>3108.2</v>
      </c>
      <c r="CB137" s="9">
        <v>7224.3</v>
      </c>
      <c r="CC137" s="9">
        <v>152278.9</v>
      </c>
      <c r="CD137" s="9">
        <v>0</v>
      </c>
      <c r="CE137" s="9">
        <v>51937.599999999999</v>
      </c>
      <c r="CF137" s="9">
        <v>1338324.991967164</v>
      </c>
      <c r="CG137" s="9">
        <v>5349577.8320974279</v>
      </c>
      <c r="CH137" s="9"/>
      <c r="CI137" s="9"/>
      <c r="CJ137" s="9">
        <v>16.378035374100001</v>
      </c>
      <c r="CK137" s="9">
        <v>12.932592474</v>
      </c>
      <c r="CL137" s="9">
        <v>11.5</v>
      </c>
      <c r="CM137" s="9">
        <v>64.334933751999998</v>
      </c>
      <c r="CN137" s="9">
        <v>19.164317898699998</v>
      </c>
      <c r="CO137" s="9">
        <v>2.036080552</v>
      </c>
      <c r="CP137" s="9">
        <v>10.4630619498</v>
      </c>
      <c r="CQ137" s="9">
        <v>7.6072951431</v>
      </c>
      <c r="CR137" s="9">
        <v>3.0227570462000002</v>
      </c>
      <c r="CS137" s="9">
        <v>2.2911358346999999</v>
      </c>
      <c r="CT137" s="9">
        <v>7.9017671329999999</v>
      </c>
      <c r="CU137" s="9">
        <v>2.8106720342</v>
      </c>
      <c r="CV137" s="9">
        <v>1.7706540539</v>
      </c>
      <c r="CW137" s="9">
        <v>2.9971595517999998</v>
      </c>
      <c r="CX137" s="9">
        <v>1.6517672928</v>
      </c>
      <c r="CY137" s="9">
        <v>2.6182652617</v>
      </c>
      <c r="CZ137" s="9">
        <v>420</v>
      </c>
      <c r="DA137" s="9">
        <v>372</v>
      </c>
      <c r="DB137" s="9">
        <v>11</v>
      </c>
      <c r="DC137" s="9">
        <v>90</v>
      </c>
      <c r="DD137" s="9">
        <v>45</v>
      </c>
      <c r="DE137" s="9">
        <v>12</v>
      </c>
      <c r="DF137" s="9">
        <v>182</v>
      </c>
      <c r="DG137" s="9">
        <v>19</v>
      </c>
      <c r="DH137" s="9">
        <v>42</v>
      </c>
      <c r="DI137" s="9">
        <v>0</v>
      </c>
      <c r="DJ137" s="9">
        <v>6</v>
      </c>
      <c r="DK137" s="9">
        <v>33</v>
      </c>
      <c r="DL137" s="9">
        <v>0</v>
      </c>
      <c r="DM137" s="9">
        <v>6</v>
      </c>
      <c r="DN137" s="9">
        <v>0</v>
      </c>
      <c r="DO137" s="9">
        <v>495.44</v>
      </c>
      <c r="DP137" s="9">
        <v>107.44</v>
      </c>
      <c r="DQ137" s="9">
        <v>51.48</v>
      </c>
      <c r="DR137" s="9">
        <v>55.97</v>
      </c>
      <c r="DS137" s="9">
        <v>29.07</v>
      </c>
      <c r="DT137" s="9">
        <v>1.72</v>
      </c>
      <c r="DU137" s="9">
        <v>288.77999999999997</v>
      </c>
      <c r="DV137" s="9">
        <v>208.16</v>
      </c>
      <c r="DW137" s="9">
        <v>68.64</v>
      </c>
      <c r="DX137" s="9">
        <v>63.39</v>
      </c>
      <c r="DY137" s="9">
        <v>35.25</v>
      </c>
      <c r="DZ137" s="9">
        <v>13.4</v>
      </c>
      <c r="EA137" s="9">
        <v>-68.531599999999997</v>
      </c>
      <c r="EB137" s="9">
        <v>-7.2709400000000004</v>
      </c>
      <c r="EC137" s="9">
        <v>-24.595700000000001</v>
      </c>
      <c r="ED137" s="9">
        <v>-52.406799999999997</v>
      </c>
      <c r="EE137" s="9">
        <v>15.74174</v>
      </c>
      <c r="EF137" s="9">
        <v>12.000970000000001</v>
      </c>
      <c r="EG137" s="9">
        <v>-134.435</v>
      </c>
      <c r="EH137" s="9">
        <v>-183.29599999999999</v>
      </c>
      <c r="EI137" s="9">
        <v>-0.15334999999999999</v>
      </c>
      <c r="EJ137" s="9">
        <v>0</v>
      </c>
      <c r="EK137" s="9">
        <v>49.014899999999997</v>
      </c>
      <c r="EL137" s="9">
        <v>24.619230000000002</v>
      </c>
      <c r="EM137" s="9">
        <v>102.5231</v>
      </c>
      <c r="EN137" s="9">
        <v>2328.4</v>
      </c>
      <c r="EO137" s="9"/>
      <c r="EP137" s="9"/>
      <c r="EQ137" s="9"/>
      <c r="ER137" s="9"/>
      <c r="ES137" s="9"/>
      <c r="ET137" s="9"/>
      <c r="EU137">
        <v>1219.9000000000001</v>
      </c>
      <c r="EV137" s="9"/>
      <c r="EW137" s="9"/>
      <c r="EX137" s="9"/>
      <c r="EY137" s="9"/>
      <c r="EZ137" s="9"/>
      <c r="FA137" s="9"/>
      <c r="FB137" s="9">
        <v>131.52559523810001</v>
      </c>
      <c r="FC137" s="9">
        <v>123.1504761905</v>
      </c>
      <c r="FD137" s="9">
        <v>9482.75</v>
      </c>
      <c r="FE137" s="9">
        <v>179.26111111110001</v>
      </c>
      <c r="FF137" s="9">
        <v>1473.8055555556</v>
      </c>
      <c r="FG137">
        <v>3950813.31</v>
      </c>
      <c r="FH137">
        <v>3939307.3</v>
      </c>
      <c r="FI137">
        <v>11506.01</v>
      </c>
      <c r="FJ137" s="9">
        <v>5305036.7999999998</v>
      </c>
      <c r="FK137">
        <v>4797501.7699999996</v>
      </c>
      <c r="FL137" s="9">
        <v>507535.03</v>
      </c>
      <c r="FM137" s="9">
        <v>6923690.29</v>
      </c>
      <c r="FN137" s="9">
        <v>416457.97</v>
      </c>
      <c r="FO137">
        <v>1258.47</v>
      </c>
      <c r="FP137">
        <v>268.25</v>
      </c>
      <c r="FQ137">
        <v>49.13</v>
      </c>
      <c r="FR137">
        <v>631.39</v>
      </c>
      <c r="FS137">
        <v>9.01</v>
      </c>
      <c r="FT137">
        <v>1732.61</v>
      </c>
      <c r="FU137">
        <v>186.79</v>
      </c>
      <c r="FV137">
        <v>86.25</v>
      </c>
      <c r="FW137">
        <v>72303.490000000005</v>
      </c>
      <c r="FX137">
        <v>1141.21</v>
      </c>
      <c r="HB137" s="6"/>
      <c r="HC137" s="6"/>
      <c r="HD137" s="6"/>
    </row>
    <row r="138" spans="1:212" x14ac:dyDescent="0.2">
      <c r="A138" s="8" t="s">
        <v>854</v>
      </c>
      <c r="B138" s="8" t="s">
        <v>351</v>
      </c>
      <c r="C138" s="8" t="s">
        <v>353</v>
      </c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>
        <v>351496.7</v>
      </c>
      <c r="BO138" s="9">
        <v>282559</v>
      </c>
      <c r="BP138" s="9">
        <v>34386.800000000003</v>
      </c>
      <c r="BQ138" s="9">
        <v>18270.099999999999</v>
      </c>
      <c r="BR138" s="9">
        <v>15970.4</v>
      </c>
      <c r="BS138" s="9">
        <v>43104.2</v>
      </c>
      <c r="BT138" s="9">
        <v>88236.9</v>
      </c>
      <c r="BU138" s="9">
        <v>25862.2</v>
      </c>
      <c r="BV138" s="9">
        <v>47927.199999999997</v>
      </c>
      <c r="BW138" s="9">
        <v>242614</v>
      </c>
      <c r="BX138" s="9">
        <v>16201</v>
      </c>
      <c r="BY138" s="9">
        <v>49177.5</v>
      </c>
      <c r="BZ138" s="9">
        <v>72396.3</v>
      </c>
      <c r="CA138" s="9">
        <v>2321.6999999999998</v>
      </c>
      <c r="CB138" s="9">
        <v>5532</v>
      </c>
      <c r="CC138" s="9">
        <v>113186.6</v>
      </c>
      <c r="CD138" s="9">
        <v>0</v>
      </c>
      <c r="CE138" s="9">
        <v>73667.899999999994</v>
      </c>
      <c r="CF138" s="9">
        <v>1422605.9718169307</v>
      </c>
      <c r="CG138" s="9">
        <v>5428282.4367613494</v>
      </c>
      <c r="CH138" s="9"/>
      <c r="CI138" s="9"/>
      <c r="CJ138" s="9">
        <v>16.567184333499998</v>
      </c>
      <c r="CK138" s="9">
        <v>14.3037894126</v>
      </c>
      <c r="CL138" s="9">
        <v>11.5</v>
      </c>
      <c r="CM138" s="9">
        <v>65.302250244199996</v>
      </c>
      <c r="CN138" s="9">
        <v>19.694008184000001</v>
      </c>
      <c r="CO138" s="9">
        <v>2.0394700934999999</v>
      </c>
      <c r="CP138" s="9">
        <v>10.4701168714</v>
      </c>
      <c r="CQ138" s="9">
        <v>7.9311950695000002</v>
      </c>
      <c r="CR138" s="9">
        <v>3.0358648796000001</v>
      </c>
      <c r="CS138" s="9">
        <v>2.297734444</v>
      </c>
      <c r="CT138" s="9">
        <v>7.9546628426000003</v>
      </c>
      <c r="CU138" s="9">
        <v>2.8095519786000001</v>
      </c>
      <c r="CV138" s="9">
        <v>1.7767614374</v>
      </c>
      <c r="CW138" s="9">
        <v>2.9971595517999998</v>
      </c>
      <c r="CX138" s="9">
        <v>1.6542204983</v>
      </c>
      <c r="CY138" s="9">
        <v>2.6415043935</v>
      </c>
      <c r="CZ138" s="9">
        <v>414</v>
      </c>
      <c r="DA138" s="9">
        <v>329</v>
      </c>
      <c r="DB138" s="9">
        <v>10</v>
      </c>
      <c r="DC138" s="9">
        <v>89</v>
      </c>
      <c r="DD138" s="9">
        <v>26</v>
      </c>
      <c r="DE138" s="9">
        <v>9</v>
      </c>
      <c r="DF138" s="9">
        <v>162</v>
      </c>
      <c r="DG138" s="9">
        <v>22</v>
      </c>
      <c r="DH138" s="9">
        <v>70</v>
      </c>
      <c r="DI138" s="9">
        <v>1</v>
      </c>
      <c r="DJ138" s="9">
        <v>7</v>
      </c>
      <c r="DK138" s="9">
        <v>61</v>
      </c>
      <c r="DL138" s="9">
        <v>1</v>
      </c>
      <c r="DM138" s="9">
        <v>16</v>
      </c>
      <c r="DN138" s="9">
        <v>0</v>
      </c>
      <c r="DO138" s="9">
        <v>530.58000000000004</v>
      </c>
      <c r="DP138" s="9">
        <v>121.32</v>
      </c>
      <c r="DQ138" s="9">
        <v>59.84</v>
      </c>
      <c r="DR138" s="9">
        <v>61.48</v>
      </c>
      <c r="DS138" s="9">
        <v>40.61</v>
      </c>
      <c r="DT138" s="9">
        <v>0.28000000000000003</v>
      </c>
      <c r="DU138" s="9">
        <v>304.31</v>
      </c>
      <c r="DV138" s="9">
        <v>202.16</v>
      </c>
      <c r="DW138" s="9">
        <v>81.849999999999994</v>
      </c>
      <c r="DX138" s="9">
        <v>49.95</v>
      </c>
      <c r="DY138" s="9">
        <v>23.49</v>
      </c>
      <c r="DZ138" s="9">
        <v>9.2100000000000009</v>
      </c>
      <c r="EA138" s="9">
        <v>9.6209760000000006</v>
      </c>
      <c r="EB138" s="9">
        <v>41.401809999999998</v>
      </c>
      <c r="EC138" s="9">
        <v>-25.494700000000002</v>
      </c>
      <c r="ED138" s="9">
        <v>-15.4785</v>
      </c>
      <c r="EE138" s="9">
        <v>9.1924349999999997</v>
      </c>
      <c r="EF138" s="9">
        <v>8.7189530000000008</v>
      </c>
      <c r="EG138" s="9">
        <v>-44.069400000000002</v>
      </c>
      <c r="EH138" s="9">
        <v>-81.728099999999998</v>
      </c>
      <c r="EI138" s="9">
        <v>-1.1039699999999999</v>
      </c>
      <c r="EJ138" s="9">
        <v>0</v>
      </c>
      <c r="EK138" s="9">
        <v>38.76267</v>
      </c>
      <c r="EL138" s="9">
        <v>-76.187299999999993</v>
      </c>
      <c r="EM138" s="9">
        <v>-13.778</v>
      </c>
      <c r="EN138" s="9">
        <v>2414.5</v>
      </c>
      <c r="EO138" s="9"/>
      <c r="EP138" s="9"/>
      <c r="EQ138" s="9"/>
      <c r="ER138" s="9"/>
      <c r="ES138" s="9"/>
      <c r="ET138" s="9"/>
      <c r="EU138">
        <v>1235.71</v>
      </c>
      <c r="EV138" s="9"/>
      <c r="EW138" s="9"/>
      <c r="EX138" s="9"/>
      <c r="EY138" s="9"/>
      <c r="EZ138" s="9"/>
      <c r="FA138" s="9"/>
      <c r="FB138" s="9">
        <v>127.96285714290001</v>
      </c>
      <c r="FC138" s="9">
        <v>114.4581818182</v>
      </c>
      <c r="FD138" s="9">
        <v>8931.6749999999993</v>
      </c>
      <c r="FE138" s="9">
        <v>177.095</v>
      </c>
      <c r="FF138" s="9">
        <v>1510.4375</v>
      </c>
      <c r="FG138">
        <v>4222497.1500000004</v>
      </c>
      <c r="FH138">
        <v>4211265.9400000004</v>
      </c>
      <c r="FI138">
        <v>11231.21</v>
      </c>
      <c r="FJ138" s="9">
        <v>5399764.1699999999</v>
      </c>
      <c r="FK138">
        <v>4874632.08</v>
      </c>
      <c r="FL138" s="9">
        <v>525132.09</v>
      </c>
      <c r="FM138" s="9">
        <v>7200891.8899999997</v>
      </c>
      <c r="FN138" s="9">
        <v>441592.97</v>
      </c>
      <c r="FO138">
        <v>1245.3499999999999</v>
      </c>
      <c r="FP138">
        <v>233.39</v>
      </c>
      <c r="FQ138">
        <v>48.88</v>
      </c>
      <c r="FR138">
        <v>397.54</v>
      </c>
      <c r="FS138">
        <v>7.21</v>
      </c>
      <c r="FT138">
        <v>1355.19</v>
      </c>
      <c r="FU138">
        <v>200.66</v>
      </c>
      <c r="FV138">
        <v>264.19</v>
      </c>
      <c r="FW138">
        <v>75825.070000000007</v>
      </c>
      <c r="FX138">
        <v>1654.42</v>
      </c>
      <c r="HB138" s="6"/>
      <c r="HC138" s="6"/>
      <c r="HD138" s="6"/>
    </row>
    <row r="139" spans="1:212" x14ac:dyDescent="0.2">
      <c r="A139" s="8" t="s">
        <v>854</v>
      </c>
      <c r="B139" s="8" t="s">
        <v>351</v>
      </c>
      <c r="C139" s="8" t="s">
        <v>354</v>
      </c>
      <c r="D139" s="9">
        <v>3454541.41</v>
      </c>
      <c r="E139" s="9">
        <v>565136.74</v>
      </c>
      <c r="F139" s="9">
        <v>628728.13</v>
      </c>
      <c r="G139" s="9">
        <v>246149.68</v>
      </c>
      <c r="H139" s="9">
        <v>58385.37</v>
      </c>
      <c r="I139" s="9">
        <v>61914.42</v>
      </c>
      <c r="J139" s="9">
        <v>389362.33</v>
      </c>
      <c r="K139" s="9">
        <v>197770.79</v>
      </c>
      <c r="L139" s="9">
        <v>71343.490000000005</v>
      </c>
      <c r="M139" s="9">
        <v>736217.07</v>
      </c>
      <c r="N139" s="9">
        <v>499533.4</v>
      </c>
      <c r="O139" s="9">
        <v>4334407.3404233297</v>
      </c>
      <c r="P139" s="9">
        <v>729656.33365788392</v>
      </c>
      <c r="Q139" s="9">
        <v>581186.53512517188</v>
      </c>
      <c r="R139" s="9">
        <v>326960.39914837288</v>
      </c>
      <c r="S139" s="9">
        <v>101598.01882207709</v>
      </c>
      <c r="T139" s="9">
        <v>72914.993735750904</v>
      </c>
      <c r="U139" s="9">
        <v>452511.57152042998</v>
      </c>
      <c r="V139" s="9">
        <v>227563.5742734521</v>
      </c>
      <c r="W139" s="9">
        <v>84917.894291326302</v>
      </c>
      <c r="X139" s="9">
        <v>1098927.701525972</v>
      </c>
      <c r="Y139" s="9">
        <v>658170.31832289218</v>
      </c>
      <c r="Z139" s="9">
        <v>3582731.5</v>
      </c>
      <c r="AA139" s="9">
        <v>1730349.2</v>
      </c>
      <c r="AB139" s="9">
        <v>397528.7</v>
      </c>
      <c r="AC139" s="9">
        <v>1759031.9</v>
      </c>
      <c r="AD139" s="9">
        <v>357776</v>
      </c>
      <c r="AE139" s="9">
        <v>1733402.3</v>
      </c>
      <c r="AF139" s="9">
        <v>2395356.6</v>
      </c>
      <c r="AG139" s="9">
        <v>4476935.0887711197</v>
      </c>
      <c r="AH139" s="9">
        <v>2313951.5792520102</v>
      </c>
      <c r="AI139" s="9">
        <v>542039.46012899838</v>
      </c>
      <c r="AJ139" s="9">
        <v>1911939.4428975401</v>
      </c>
      <c r="AK139" s="9">
        <v>490030.33154708671</v>
      </c>
      <c r="AL139" s="9">
        <v>1296917.9695693727</v>
      </c>
      <c r="AM139" s="9">
        <v>2077943.6946238887</v>
      </c>
      <c r="AN139" s="9">
        <v>1042546</v>
      </c>
      <c r="AO139" s="9">
        <v>550952</v>
      </c>
      <c r="AP139" s="9">
        <v>491594</v>
      </c>
      <c r="AQ139" s="9">
        <v>81918</v>
      </c>
      <c r="AR139" s="9">
        <v>46158</v>
      </c>
      <c r="AS139" s="9">
        <v>35760</v>
      </c>
      <c r="AT139" s="9">
        <v>687423</v>
      </c>
      <c r="AU139" s="9">
        <v>276754</v>
      </c>
      <c r="AV139" s="9">
        <v>410669</v>
      </c>
      <c r="AW139" s="9">
        <v>427.7</v>
      </c>
      <c r="AX139" s="9">
        <v>207.6</v>
      </c>
      <c r="AY139" s="9">
        <v>750.2</v>
      </c>
      <c r="AZ139" s="9">
        <v>421.3</v>
      </c>
      <c r="BA139" s="9">
        <v>416.6</v>
      </c>
      <c r="BB139" s="9"/>
      <c r="BC139" s="9">
        <v>299.10000000000002</v>
      </c>
      <c r="BD139" s="9">
        <v>247.9</v>
      </c>
      <c r="BE139" s="9">
        <v>468.8</v>
      </c>
      <c r="BF139" s="9">
        <v>308.2</v>
      </c>
      <c r="BG139" s="9"/>
      <c r="BH139" s="9">
        <v>846.7</v>
      </c>
      <c r="BI139" s="9">
        <v>335.9</v>
      </c>
      <c r="BJ139" s="9">
        <v>411.8</v>
      </c>
      <c r="BK139" s="9">
        <v>390.2</v>
      </c>
      <c r="BL139" s="9"/>
      <c r="BM139" s="9">
        <v>297.3</v>
      </c>
      <c r="BN139" s="9">
        <v>395663.6</v>
      </c>
      <c r="BO139" s="9">
        <v>338268.4</v>
      </c>
      <c r="BP139" s="9">
        <v>60707.5</v>
      </c>
      <c r="BQ139" s="9">
        <v>39616.9</v>
      </c>
      <c r="BR139" s="9">
        <v>20948.2</v>
      </c>
      <c r="BS139" s="9">
        <v>45240.6</v>
      </c>
      <c r="BT139" s="9">
        <v>100102.6</v>
      </c>
      <c r="BU139" s="9">
        <v>22783.5</v>
      </c>
      <c r="BV139" s="9">
        <v>53536.4</v>
      </c>
      <c r="BW139" s="9">
        <v>266090.59999999998</v>
      </c>
      <c r="BX139" s="9">
        <v>38388.1</v>
      </c>
      <c r="BY139" s="9">
        <v>54775.4</v>
      </c>
      <c r="BZ139" s="9">
        <v>82257.399999999994</v>
      </c>
      <c r="CA139" s="9">
        <v>1814.3</v>
      </c>
      <c r="CB139" s="9">
        <v>5849.3</v>
      </c>
      <c r="CC139" s="9">
        <v>121394.1</v>
      </c>
      <c r="CD139" s="9">
        <v>0</v>
      </c>
      <c r="CE139" s="9">
        <v>81792.100000000006</v>
      </c>
      <c r="CF139" s="9">
        <v>1552471.903929556</v>
      </c>
      <c r="CG139" s="9">
        <v>5771547.5233057719</v>
      </c>
      <c r="CH139" s="9"/>
      <c r="CI139" s="9"/>
      <c r="CJ139" s="9">
        <v>16.191935793999999</v>
      </c>
      <c r="CK139" s="9">
        <v>12.2737982249</v>
      </c>
      <c r="CL139" s="9">
        <v>11.5</v>
      </c>
      <c r="CM139" s="9">
        <v>66.022981654999995</v>
      </c>
      <c r="CN139" s="9">
        <v>19.773907601099999</v>
      </c>
      <c r="CO139" s="9">
        <v>2.0403600283999999</v>
      </c>
      <c r="CP139" s="9">
        <v>10.565328561399999</v>
      </c>
      <c r="CQ139" s="9">
        <v>7.8921088921999996</v>
      </c>
      <c r="CR139" s="9">
        <v>3.0563812666999999</v>
      </c>
      <c r="CS139" s="9">
        <v>2.2993086112999999</v>
      </c>
      <c r="CT139" s="9">
        <v>8.4518854469000004</v>
      </c>
      <c r="CU139" s="9">
        <v>2.8095519786000001</v>
      </c>
      <c r="CV139" s="9">
        <v>1.79919681</v>
      </c>
      <c r="CW139" s="9">
        <v>2.9971595517999998</v>
      </c>
      <c r="CX139" s="9">
        <v>1.6785639833999999</v>
      </c>
      <c r="CY139" s="9">
        <v>2.6592289233000002</v>
      </c>
      <c r="CZ139" s="9">
        <v>413</v>
      </c>
      <c r="DA139" s="9">
        <v>367</v>
      </c>
      <c r="DB139" s="9">
        <v>8</v>
      </c>
      <c r="DC139" s="9">
        <v>82</v>
      </c>
      <c r="DD139" s="9">
        <v>44</v>
      </c>
      <c r="DE139" s="9">
        <v>9</v>
      </c>
      <c r="DF139" s="9">
        <v>188</v>
      </c>
      <c r="DG139" s="9">
        <v>19</v>
      </c>
      <c r="DH139" s="9">
        <v>33</v>
      </c>
      <c r="DI139" s="9">
        <v>1</v>
      </c>
      <c r="DJ139" s="9">
        <v>5</v>
      </c>
      <c r="DK139" s="9">
        <v>26</v>
      </c>
      <c r="DL139" s="9">
        <v>2</v>
      </c>
      <c r="DM139" s="9">
        <v>11</v>
      </c>
      <c r="DN139" s="9">
        <v>0</v>
      </c>
      <c r="DO139" s="9">
        <v>604.57000000000005</v>
      </c>
      <c r="DP139" s="9">
        <v>129.27000000000001</v>
      </c>
      <c r="DQ139" s="9">
        <v>58.23</v>
      </c>
      <c r="DR139" s="9">
        <v>71.040000000000006</v>
      </c>
      <c r="DS139" s="9">
        <v>33.33</v>
      </c>
      <c r="DT139" s="9">
        <v>0.2</v>
      </c>
      <c r="DU139" s="9">
        <v>323.67</v>
      </c>
      <c r="DV139" s="9">
        <v>208.05</v>
      </c>
      <c r="DW139" s="9">
        <v>93.12</v>
      </c>
      <c r="DX139" s="9">
        <v>118.2</v>
      </c>
      <c r="DY139" s="9">
        <v>79.349999999999994</v>
      </c>
      <c r="DZ139" s="9">
        <v>17.05</v>
      </c>
      <c r="EA139" s="9">
        <v>-2.9277000000000002</v>
      </c>
      <c r="EB139" s="9">
        <v>23.082789999999999</v>
      </c>
      <c r="EC139" s="9">
        <v>-17.8186</v>
      </c>
      <c r="ED139" s="9">
        <v>-21.263300000000001</v>
      </c>
      <c r="EE139" s="9">
        <v>13.071400000000001</v>
      </c>
      <c r="EF139" s="9">
        <v>11.47254</v>
      </c>
      <c r="EG139" s="9">
        <v>12.40278</v>
      </c>
      <c r="EH139" s="9">
        <v>-161.441</v>
      </c>
      <c r="EI139" s="9">
        <v>78.502830000000003</v>
      </c>
      <c r="EJ139" s="9">
        <v>0</v>
      </c>
      <c r="EK139" s="9">
        <v>95.340549999999993</v>
      </c>
      <c r="EL139" s="9">
        <v>77.539479999999998</v>
      </c>
      <c r="EM139" s="9">
        <v>73.681550000000001</v>
      </c>
      <c r="EN139" s="9">
        <v>2541.6</v>
      </c>
      <c r="EO139" s="9"/>
      <c r="EP139" s="9"/>
      <c r="EQ139" s="9"/>
      <c r="ER139" s="9"/>
      <c r="ES139" s="9"/>
      <c r="ET139" s="9"/>
      <c r="EU139">
        <v>1257.29</v>
      </c>
      <c r="EV139" s="9">
        <v>9056.16</v>
      </c>
      <c r="EW139" s="9">
        <v>1947.86</v>
      </c>
      <c r="EX139" s="9">
        <v>280.11</v>
      </c>
      <c r="EY139" s="9">
        <v>587.94000000000005</v>
      </c>
      <c r="EZ139" s="9">
        <v>1674.86</v>
      </c>
      <c r="FA139" s="9">
        <v>4565.3900000000003</v>
      </c>
      <c r="FB139" s="9">
        <v>128.36201298700001</v>
      </c>
      <c r="FC139" s="9">
        <v>113.7577272727</v>
      </c>
      <c r="FD139" s="9">
        <v>9066.8522727272994</v>
      </c>
      <c r="FE139" s="9">
        <v>170.87727272730001</v>
      </c>
      <c r="FF139" s="9">
        <v>1528.6590909091001</v>
      </c>
      <c r="FG139">
        <v>4528427.16</v>
      </c>
      <c r="FH139">
        <v>4517238.33</v>
      </c>
      <c r="FI139">
        <v>11188.83</v>
      </c>
      <c r="FJ139" s="9">
        <v>5725327.8200000012</v>
      </c>
      <c r="FK139">
        <v>5204920.76</v>
      </c>
      <c r="FL139" s="9">
        <v>520407.06</v>
      </c>
      <c r="FM139" s="9">
        <v>7691617.1900000004</v>
      </c>
      <c r="FN139" s="9">
        <v>505565.07</v>
      </c>
      <c r="FO139">
        <v>1258.6400000000001</v>
      </c>
      <c r="FP139">
        <v>195.38</v>
      </c>
      <c r="FQ139">
        <v>48.03</v>
      </c>
      <c r="FR139">
        <v>606.03</v>
      </c>
      <c r="FS139">
        <v>7.81</v>
      </c>
      <c r="FT139">
        <v>1701.3</v>
      </c>
      <c r="FU139">
        <v>185.68</v>
      </c>
      <c r="FV139">
        <v>415.86</v>
      </c>
      <c r="FW139">
        <v>58262.91</v>
      </c>
      <c r="FX139">
        <v>511.14</v>
      </c>
      <c r="HB139" s="6"/>
      <c r="HC139" s="6"/>
      <c r="HD139" s="6"/>
    </row>
    <row r="140" spans="1:212" x14ac:dyDescent="0.2">
      <c r="A140" s="8" t="s">
        <v>854</v>
      </c>
      <c r="B140" s="8" t="s">
        <v>355</v>
      </c>
      <c r="C140" s="8" t="s">
        <v>356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>
        <v>339046.40000000002</v>
      </c>
      <c r="BO140" s="9">
        <v>302075</v>
      </c>
      <c r="BP140" s="9">
        <v>84940.2</v>
      </c>
      <c r="BQ140" s="9">
        <v>68844.600000000006</v>
      </c>
      <c r="BR140" s="9">
        <v>16048</v>
      </c>
      <c r="BS140" s="9">
        <v>20965.3</v>
      </c>
      <c r="BT140" s="9">
        <v>97497.8</v>
      </c>
      <c r="BU140" s="9">
        <v>23680.1</v>
      </c>
      <c r="BV140" s="9">
        <v>36147.5</v>
      </c>
      <c r="BW140" s="9">
        <v>208245.6</v>
      </c>
      <c r="BX140" s="9">
        <v>26066.5</v>
      </c>
      <c r="BY140" s="9">
        <v>44590.400000000001</v>
      </c>
      <c r="BZ140" s="9">
        <v>52342.7</v>
      </c>
      <c r="CA140" s="9">
        <v>2228.9</v>
      </c>
      <c r="CB140" s="9">
        <v>1990.1</v>
      </c>
      <c r="CC140" s="9">
        <v>107093.6</v>
      </c>
      <c r="CD140" s="9">
        <v>0</v>
      </c>
      <c r="CE140" s="9">
        <v>77744.600000000006</v>
      </c>
      <c r="CF140" s="9">
        <v>1559247.8453564269</v>
      </c>
      <c r="CG140" s="9">
        <v>5919386.0130385924</v>
      </c>
      <c r="CH140" s="9"/>
      <c r="CI140" s="9"/>
      <c r="CJ140" s="9">
        <v>17.376443731999998</v>
      </c>
      <c r="CK140" s="9">
        <v>12.195623493899999</v>
      </c>
      <c r="CL140" s="9">
        <v>11.5</v>
      </c>
      <c r="CM140" s="9">
        <v>66.484679453699997</v>
      </c>
      <c r="CN140" s="9">
        <v>20.036058557400001</v>
      </c>
      <c r="CO140" s="9">
        <v>2.0369607275999999</v>
      </c>
      <c r="CP140" s="9">
        <v>10.5916342254</v>
      </c>
      <c r="CQ140" s="9">
        <v>7.8954354805999998</v>
      </c>
      <c r="CR140" s="9">
        <v>3.0601274633000002</v>
      </c>
      <c r="CS140" s="9">
        <v>2.3027495314999999</v>
      </c>
      <c r="CT140" s="9">
        <v>8.6104950883000004</v>
      </c>
      <c r="CU140" s="9">
        <v>2.8080003457</v>
      </c>
      <c r="CV140" s="9">
        <v>1.8018319036999999</v>
      </c>
      <c r="CW140" s="9">
        <v>2.9971595517999998</v>
      </c>
      <c r="CX140" s="9">
        <v>1.6847059551000001</v>
      </c>
      <c r="CY140" s="9">
        <v>2.6595206231000001</v>
      </c>
      <c r="CZ140" s="9">
        <v>350</v>
      </c>
      <c r="DA140" s="9">
        <v>321</v>
      </c>
      <c r="DB140" s="9">
        <v>10</v>
      </c>
      <c r="DC140" s="9">
        <v>75</v>
      </c>
      <c r="DD140" s="9">
        <v>34</v>
      </c>
      <c r="DE140" s="9">
        <v>10</v>
      </c>
      <c r="DF140" s="9">
        <v>163</v>
      </c>
      <c r="DG140" s="9">
        <v>13</v>
      </c>
      <c r="DH140" s="9">
        <v>17</v>
      </c>
      <c r="DI140" s="9">
        <v>2</v>
      </c>
      <c r="DJ140" s="9">
        <v>2</v>
      </c>
      <c r="DK140" s="9">
        <v>11</v>
      </c>
      <c r="DL140" s="9">
        <v>1</v>
      </c>
      <c r="DM140" s="9">
        <v>10</v>
      </c>
      <c r="DN140" s="9">
        <v>0</v>
      </c>
      <c r="DO140" s="9">
        <v>720.65</v>
      </c>
      <c r="DP140" s="9">
        <v>128.77000000000001</v>
      </c>
      <c r="DQ140" s="9">
        <v>50.4</v>
      </c>
      <c r="DR140" s="9">
        <v>78.37</v>
      </c>
      <c r="DS140" s="9">
        <v>35.39</v>
      </c>
      <c r="DT140" s="9">
        <v>3.2</v>
      </c>
      <c r="DU140" s="9">
        <v>391.49</v>
      </c>
      <c r="DV140" s="9">
        <v>259</v>
      </c>
      <c r="DW140" s="9">
        <v>103.41</v>
      </c>
      <c r="DX140" s="9">
        <v>164.83</v>
      </c>
      <c r="DY140" s="9">
        <v>122.69</v>
      </c>
      <c r="DZ140" s="9">
        <v>23.02</v>
      </c>
      <c r="EA140" s="9">
        <v>-76.892099999999999</v>
      </c>
      <c r="EB140" s="9">
        <v>-72.584299999999999</v>
      </c>
      <c r="EC140" s="9">
        <v>2.3855780000000002</v>
      </c>
      <c r="ED140" s="9">
        <v>-27.847899999999999</v>
      </c>
      <c r="EE140" s="9">
        <v>21.15448</v>
      </c>
      <c r="EF140" s="9">
        <v>20.554410000000001</v>
      </c>
      <c r="EG140" s="9">
        <v>-48.679099999999998</v>
      </c>
      <c r="EH140" s="9">
        <v>-74.2072</v>
      </c>
      <c r="EI140" s="9">
        <v>-1.07813</v>
      </c>
      <c r="EJ140" s="9">
        <v>0</v>
      </c>
      <c r="EK140" s="9">
        <v>26.606300000000001</v>
      </c>
      <c r="EL140" s="9">
        <v>47.830919999999999</v>
      </c>
      <c r="EM140" s="9">
        <v>40.172289999999997</v>
      </c>
      <c r="EN140" s="9">
        <v>2664.1</v>
      </c>
      <c r="EO140" s="9"/>
      <c r="EP140" s="9"/>
      <c r="EQ140" s="9"/>
      <c r="ER140" s="9"/>
      <c r="ES140" s="9"/>
      <c r="ET140" s="9"/>
      <c r="EU140">
        <v>1246.93</v>
      </c>
      <c r="EV140" s="9"/>
      <c r="EW140" s="9"/>
      <c r="EX140" s="9"/>
      <c r="EY140" s="9"/>
      <c r="EZ140" s="9"/>
      <c r="FA140" s="9"/>
      <c r="FB140" s="9">
        <v>128.9892857143</v>
      </c>
      <c r="FC140" s="9">
        <v>116.460952381</v>
      </c>
      <c r="FD140" s="9">
        <v>9650.4642857143008</v>
      </c>
      <c r="FE140" s="9">
        <v>172.9761904762</v>
      </c>
      <c r="FF140" s="9">
        <v>1572.8095238095</v>
      </c>
      <c r="FG140">
        <v>4657697.5900000008</v>
      </c>
      <c r="FH140">
        <v>4645846.2200000007</v>
      </c>
      <c r="FI140">
        <v>11851.37</v>
      </c>
      <c r="FJ140" s="9">
        <v>5925578.0199999996</v>
      </c>
      <c r="FK140">
        <v>5333397.54</v>
      </c>
      <c r="FL140" s="9">
        <v>592180.47999999998</v>
      </c>
      <c r="FM140" s="9">
        <v>7865711.6399999997</v>
      </c>
      <c r="FN140" s="9">
        <v>508589.33</v>
      </c>
      <c r="FO140">
        <v>1251.25</v>
      </c>
      <c r="FP140">
        <v>239.2</v>
      </c>
      <c r="FQ140">
        <v>44.85</v>
      </c>
      <c r="FR140">
        <v>521.47</v>
      </c>
      <c r="FS140">
        <v>9.01</v>
      </c>
      <c r="FT140">
        <v>1624.1</v>
      </c>
      <c r="FU140">
        <v>134.25</v>
      </c>
      <c r="FV140">
        <v>711.07</v>
      </c>
      <c r="FW140">
        <v>23831.119999999999</v>
      </c>
      <c r="FX140">
        <v>185.45</v>
      </c>
      <c r="HB140" s="6"/>
      <c r="HC140" s="6"/>
      <c r="HD140" s="6"/>
    </row>
    <row r="141" spans="1:212" x14ac:dyDescent="0.2">
      <c r="A141" s="8" t="s">
        <v>854</v>
      </c>
      <c r="B141" s="8" t="s">
        <v>355</v>
      </c>
      <c r="C141" s="8" t="s">
        <v>357</v>
      </c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>
        <v>451278</v>
      </c>
      <c r="BO141" s="9">
        <v>349228.1</v>
      </c>
      <c r="BP141" s="9">
        <v>72008.5</v>
      </c>
      <c r="BQ141" s="9">
        <v>50529.8</v>
      </c>
      <c r="BR141" s="9">
        <v>21431.3</v>
      </c>
      <c r="BS141" s="9">
        <v>43265.8</v>
      </c>
      <c r="BT141" s="9">
        <v>138786.9</v>
      </c>
      <c r="BU141" s="9">
        <v>25894.400000000001</v>
      </c>
      <c r="BV141" s="9">
        <v>99526.2</v>
      </c>
      <c r="BW141" s="9">
        <v>230807.4</v>
      </c>
      <c r="BX141" s="9">
        <v>49909.4</v>
      </c>
      <c r="BY141" s="9">
        <v>40668.400000000001</v>
      </c>
      <c r="BZ141" s="9">
        <v>52593.2</v>
      </c>
      <c r="CA141" s="9">
        <v>2848.3</v>
      </c>
      <c r="CB141" s="9">
        <v>4859.6000000000004</v>
      </c>
      <c r="CC141" s="9">
        <v>129837.8</v>
      </c>
      <c r="CD141" s="9">
        <v>0</v>
      </c>
      <c r="CE141" s="9">
        <v>69006.100000000006</v>
      </c>
      <c r="CF141" s="9">
        <v>1653627.7913292467</v>
      </c>
      <c r="CG141" s="9">
        <v>5902232.1369153243</v>
      </c>
      <c r="CH141" s="9"/>
      <c r="CI141" s="9"/>
      <c r="CJ141" s="9">
        <v>17.240787372500002</v>
      </c>
      <c r="CK141" s="9">
        <v>12.7188082288</v>
      </c>
      <c r="CL141" s="9">
        <v>11.75</v>
      </c>
      <c r="CM141" s="9">
        <v>66.697531337900003</v>
      </c>
      <c r="CN141" s="9">
        <v>19.640947069599999</v>
      </c>
      <c r="CO141" s="9">
        <v>2.0395208762000001</v>
      </c>
      <c r="CP141" s="9">
        <v>10.688818229200001</v>
      </c>
      <c r="CQ141" s="9">
        <v>8.0179033877000006</v>
      </c>
      <c r="CR141" s="9">
        <v>3.0836985245999999</v>
      </c>
      <c r="CS141" s="9">
        <v>2.3047392029</v>
      </c>
      <c r="CT141" s="9">
        <v>8.6965298956999995</v>
      </c>
      <c r="CU141" s="9">
        <v>2.8080003457</v>
      </c>
      <c r="CV141" s="9">
        <v>1.8035943146</v>
      </c>
      <c r="CW141" s="9">
        <v>3.2591526443999999</v>
      </c>
      <c r="CX141" s="9">
        <v>1.6876487016999999</v>
      </c>
      <c r="CY141" s="9">
        <v>2.6669781454999999</v>
      </c>
      <c r="CZ141" s="9">
        <v>498</v>
      </c>
      <c r="DA141" s="9">
        <v>456</v>
      </c>
      <c r="DB141" s="9">
        <v>9</v>
      </c>
      <c r="DC141" s="9">
        <v>84</v>
      </c>
      <c r="DD141" s="9">
        <v>51</v>
      </c>
      <c r="DE141" s="9">
        <v>13</v>
      </c>
      <c r="DF141" s="9">
        <v>256</v>
      </c>
      <c r="DG141" s="9">
        <v>27</v>
      </c>
      <c r="DH141" s="9">
        <v>25</v>
      </c>
      <c r="DI141" s="9">
        <v>1</v>
      </c>
      <c r="DJ141" s="9">
        <v>3</v>
      </c>
      <c r="DK141" s="9">
        <v>18</v>
      </c>
      <c r="DL141" s="9">
        <v>0</v>
      </c>
      <c r="DM141" s="9">
        <v>18</v>
      </c>
      <c r="DN141" s="9">
        <v>0</v>
      </c>
      <c r="DO141" s="9">
        <v>747.3</v>
      </c>
      <c r="DP141" s="9">
        <v>137.54</v>
      </c>
      <c r="DQ141" s="9">
        <v>55.65</v>
      </c>
      <c r="DR141" s="9">
        <v>81.89</v>
      </c>
      <c r="DS141" s="9">
        <v>41.25</v>
      </c>
      <c r="DT141" s="9">
        <v>2.09</v>
      </c>
      <c r="DU141" s="9">
        <v>416.88</v>
      </c>
      <c r="DV141" s="9">
        <v>281.39999999999998</v>
      </c>
      <c r="DW141" s="9">
        <v>109.72</v>
      </c>
      <c r="DX141" s="9">
        <v>148.61000000000001</v>
      </c>
      <c r="DY141" s="9">
        <v>88.7</v>
      </c>
      <c r="DZ141" s="9">
        <v>34.32</v>
      </c>
      <c r="EA141" s="9">
        <v>-44.586300000000001</v>
      </c>
      <c r="EB141" s="9">
        <v>-30.346699999999998</v>
      </c>
      <c r="EC141" s="9">
        <v>-18.473700000000001</v>
      </c>
      <c r="ED141" s="9">
        <v>-21.2834</v>
      </c>
      <c r="EE141" s="9">
        <v>25.517489999999999</v>
      </c>
      <c r="EF141" s="9">
        <v>26.782</v>
      </c>
      <c r="EG141" s="9">
        <v>-143.56800000000001</v>
      </c>
      <c r="EH141" s="9">
        <v>-198.3</v>
      </c>
      <c r="EI141" s="9">
        <v>-2.0425399999999998</v>
      </c>
      <c r="EJ141" s="9">
        <v>0</v>
      </c>
      <c r="EK141" s="9">
        <v>56.775410000000001</v>
      </c>
      <c r="EL141" s="9">
        <v>-32.461799999999997</v>
      </c>
      <c r="EM141" s="9">
        <v>93.301550000000006</v>
      </c>
      <c r="EN141" s="9">
        <v>2616.8000000000002</v>
      </c>
      <c r="EO141" s="9"/>
      <c r="EP141" s="9"/>
      <c r="EQ141" s="9"/>
      <c r="ER141" s="9"/>
      <c r="ES141" s="9"/>
      <c r="ET141" s="9"/>
      <c r="EU141">
        <v>1238.6300000000001</v>
      </c>
      <c r="EV141" s="9"/>
      <c r="EW141" s="9"/>
      <c r="EX141" s="9"/>
      <c r="EY141" s="9"/>
      <c r="EZ141" s="9"/>
      <c r="FA141" s="9"/>
      <c r="FB141" s="9">
        <v>127.46201298699999</v>
      </c>
      <c r="FC141" s="9">
        <v>110.0813043478</v>
      </c>
      <c r="FD141" s="9">
        <v>8997.9886363635997</v>
      </c>
      <c r="FE141" s="9">
        <v>177.45</v>
      </c>
      <c r="FF141" s="9">
        <v>1755.8068181818001</v>
      </c>
      <c r="FG141">
        <v>4840686.79</v>
      </c>
      <c r="FH141">
        <v>4830677.71</v>
      </c>
      <c r="FI141">
        <v>10009.08</v>
      </c>
      <c r="FJ141" s="9">
        <v>5960638.6099999994</v>
      </c>
      <c r="FK141">
        <v>5273869.5999999996</v>
      </c>
      <c r="FL141" s="9">
        <v>686769.01</v>
      </c>
      <c r="FM141" s="9">
        <v>7813122.3600000003</v>
      </c>
      <c r="FN141" s="9">
        <v>532048.68000000005</v>
      </c>
      <c r="FO141">
        <v>1248.67</v>
      </c>
      <c r="FP141">
        <v>179.96</v>
      </c>
      <c r="FQ141">
        <v>48.67</v>
      </c>
      <c r="FR141">
        <v>683</v>
      </c>
      <c r="FS141">
        <v>9.56</v>
      </c>
      <c r="FT141">
        <v>2337.04</v>
      </c>
      <c r="FU141">
        <v>256.27</v>
      </c>
      <c r="FV141">
        <v>499.39</v>
      </c>
      <c r="FW141">
        <v>31438.34</v>
      </c>
      <c r="FX141">
        <v>255.47</v>
      </c>
      <c r="HB141" s="6"/>
      <c r="HC141" s="6"/>
      <c r="HD141" s="6"/>
    </row>
    <row r="142" spans="1:212" x14ac:dyDescent="0.2">
      <c r="A142" s="8" t="s">
        <v>854</v>
      </c>
      <c r="B142" s="8" t="s">
        <v>355</v>
      </c>
      <c r="C142" s="8" t="s">
        <v>358</v>
      </c>
      <c r="D142" s="9">
        <v>3629016.22</v>
      </c>
      <c r="E142" s="9">
        <v>405988.73</v>
      </c>
      <c r="F142" s="9">
        <v>740800.75</v>
      </c>
      <c r="G142" s="9">
        <v>263728.53000000003</v>
      </c>
      <c r="H142" s="9">
        <v>51733.11</v>
      </c>
      <c r="I142" s="9">
        <v>142216.04999999999</v>
      </c>
      <c r="J142" s="9">
        <v>532245.29</v>
      </c>
      <c r="K142" s="9">
        <v>246107.49</v>
      </c>
      <c r="L142" s="9">
        <v>74296.820000000007</v>
      </c>
      <c r="M142" s="9">
        <v>712766.44</v>
      </c>
      <c r="N142" s="9">
        <v>459133.03</v>
      </c>
      <c r="O142" s="9">
        <v>4553320.5932776248</v>
      </c>
      <c r="P142" s="9">
        <v>533253.59651611419</v>
      </c>
      <c r="Q142" s="9">
        <v>696641.05721553706</v>
      </c>
      <c r="R142" s="9">
        <v>356375.62672024622</v>
      </c>
      <c r="S142" s="9">
        <v>91580.875379776102</v>
      </c>
      <c r="T142" s="9">
        <v>170383.93603347061</v>
      </c>
      <c r="U142" s="9">
        <v>629278.05219907267</v>
      </c>
      <c r="V142" s="9">
        <v>288084.85665386589</v>
      </c>
      <c r="W142" s="9">
        <v>89964.276650967397</v>
      </c>
      <c r="X142" s="9">
        <v>1082344.4189281799</v>
      </c>
      <c r="Y142" s="9">
        <v>615413.89698039438</v>
      </c>
      <c r="Z142" s="9">
        <v>3484974.7</v>
      </c>
      <c r="AA142" s="9">
        <v>1716121.1</v>
      </c>
      <c r="AB142" s="9">
        <v>324530.3</v>
      </c>
      <c r="AC142" s="9">
        <v>2189199.1</v>
      </c>
      <c r="AD142" s="9">
        <v>413005.1</v>
      </c>
      <c r="AE142" s="9">
        <v>1903924.7</v>
      </c>
      <c r="AF142" s="9">
        <v>3061805.6</v>
      </c>
      <c r="AG142" s="9">
        <v>4354779.4519096976</v>
      </c>
      <c r="AH142" s="9">
        <v>2245300.82667389</v>
      </c>
      <c r="AI142" s="9">
        <v>432936.06118933699</v>
      </c>
      <c r="AJ142" s="9">
        <v>2328047.1562346308</v>
      </c>
      <c r="AK142" s="9">
        <v>553443.47003325634</v>
      </c>
      <c r="AL142" s="9">
        <v>1393699.044030102</v>
      </c>
      <c r="AM142" s="9">
        <v>2598647.1062515192</v>
      </c>
      <c r="AN142" s="9">
        <v>1056848</v>
      </c>
      <c r="AO142" s="9">
        <v>557301</v>
      </c>
      <c r="AP142" s="9">
        <v>499547</v>
      </c>
      <c r="AQ142" s="9">
        <v>91614</v>
      </c>
      <c r="AR142" s="9">
        <v>45319</v>
      </c>
      <c r="AS142" s="9">
        <v>46295</v>
      </c>
      <c r="AT142" s="9">
        <v>625035</v>
      </c>
      <c r="AU142" s="9">
        <v>238979</v>
      </c>
      <c r="AV142" s="9">
        <v>386056</v>
      </c>
      <c r="AW142" s="9">
        <v>423.2</v>
      </c>
      <c r="AX142" s="9">
        <v>219</v>
      </c>
      <c r="AY142" s="9">
        <v>788.4</v>
      </c>
      <c r="AZ142" s="9">
        <v>395.4</v>
      </c>
      <c r="BA142" s="9">
        <v>387.9</v>
      </c>
      <c r="BB142" s="9"/>
      <c r="BC142" s="9">
        <v>371.4</v>
      </c>
      <c r="BD142" s="9">
        <v>275</v>
      </c>
      <c r="BE142" s="9">
        <v>512.6</v>
      </c>
      <c r="BF142" s="9">
        <v>308</v>
      </c>
      <c r="BG142" s="9"/>
      <c r="BH142" s="9">
        <v>894.3</v>
      </c>
      <c r="BI142" s="9">
        <v>345.9</v>
      </c>
      <c r="BJ142" s="9">
        <v>318</v>
      </c>
      <c r="BK142" s="9">
        <v>385.2</v>
      </c>
      <c r="BL142" s="9"/>
      <c r="BM142" s="9">
        <v>301.2</v>
      </c>
      <c r="BN142" s="9">
        <v>408941.4</v>
      </c>
      <c r="BO142" s="9">
        <v>332955</v>
      </c>
      <c r="BP142" s="9">
        <v>34820.199999999997</v>
      </c>
      <c r="BQ142" s="9">
        <v>13316.7</v>
      </c>
      <c r="BR142" s="9">
        <v>21502.5</v>
      </c>
      <c r="BS142" s="9">
        <v>54763.3</v>
      </c>
      <c r="BT142" s="9">
        <v>107654.6</v>
      </c>
      <c r="BU142" s="9">
        <v>23153.7</v>
      </c>
      <c r="BV142" s="9">
        <v>49264.800000000003</v>
      </c>
      <c r="BW142" s="9">
        <v>264620.90000000002</v>
      </c>
      <c r="BX142" s="9">
        <v>58246.5</v>
      </c>
      <c r="BY142" s="9">
        <v>50876.800000000003</v>
      </c>
      <c r="BZ142" s="9">
        <v>63883.7</v>
      </c>
      <c r="CA142" s="9">
        <v>3066.1</v>
      </c>
      <c r="CB142" s="9">
        <v>4290.7</v>
      </c>
      <c r="CC142" s="9">
        <v>142503.5</v>
      </c>
      <c r="CD142" s="9">
        <v>0</v>
      </c>
      <c r="CE142" s="9">
        <v>76313.8</v>
      </c>
      <c r="CF142" s="9">
        <v>1672567.1292821567</v>
      </c>
      <c r="CG142" s="9">
        <v>6049323.666115785</v>
      </c>
      <c r="CH142" s="9"/>
      <c r="CI142" s="9"/>
      <c r="CJ142" s="9">
        <v>16.143261330200001</v>
      </c>
      <c r="CK142" s="9">
        <v>12.1010958762</v>
      </c>
      <c r="CL142" s="9">
        <v>11.75</v>
      </c>
      <c r="CM142" s="9">
        <v>67.418560300699994</v>
      </c>
      <c r="CN142" s="9">
        <v>19.571762268699999</v>
      </c>
      <c r="CO142" s="9">
        <v>2.0403341358999998</v>
      </c>
      <c r="CP142" s="9">
        <v>10.875266744999999</v>
      </c>
      <c r="CQ142" s="9">
        <v>8.5805788856999996</v>
      </c>
      <c r="CR142" s="9">
        <v>3.0974874783000002</v>
      </c>
      <c r="CS142" s="9">
        <v>2.3097239025</v>
      </c>
      <c r="CT142" s="9">
        <v>8.6699766712000006</v>
      </c>
      <c r="CU142" s="9">
        <v>2.8065464027</v>
      </c>
      <c r="CV142" s="9">
        <v>1.8049040971999999</v>
      </c>
      <c r="CW142" s="9">
        <v>3.2941758488000001</v>
      </c>
      <c r="CX142" s="9">
        <v>1.6972205815999999</v>
      </c>
      <c r="CY142" s="9">
        <v>2.6705832833000001</v>
      </c>
      <c r="CZ142" s="9">
        <v>483</v>
      </c>
      <c r="DA142" s="9">
        <v>444</v>
      </c>
      <c r="DB142" s="9">
        <v>9</v>
      </c>
      <c r="DC142" s="9">
        <v>87</v>
      </c>
      <c r="DD142" s="9">
        <v>26</v>
      </c>
      <c r="DE142" s="9">
        <v>12</v>
      </c>
      <c r="DF142" s="9">
        <v>256</v>
      </c>
      <c r="DG142" s="9">
        <v>27</v>
      </c>
      <c r="DH142" s="9">
        <v>26</v>
      </c>
      <c r="DI142" s="9">
        <v>4</v>
      </c>
      <c r="DJ142" s="9">
        <v>4</v>
      </c>
      <c r="DK142" s="9">
        <v>17</v>
      </c>
      <c r="DL142" s="9">
        <v>0</v>
      </c>
      <c r="DM142" s="9">
        <v>13</v>
      </c>
      <c r="DN142" s="9">
        <v>0</v>
      </c>
      <c r="DO142" s="9">
        <v>661.48</v>
      </c>
      <c r="DP142" s="9">
        <v>135.02000000000001</v>
      </c>
      <c r="DQ142" s="9">
        <v>58.34</v>
      </c>
      <c r="DR142" s="9">
        <v>76.680000000000007</v>
      </c>
      <c r="DS142" s="9">
        <v>41.98</v>
      </c>
      <c r="DT142" s="9">
        <v>2.0299999999999998</v>
      </c>
      <c r="DU142" s="9">
        <v>409.22</v>
      </c>
      <c r="DV142" s="9">
        <v>288.23</v>
      </c>
      <c r="DW142" s="9">
        <v>91.36</v>
      </c>
      <c r="DX142" s="9">
        <v>75.11</v>
      </c>
      <c r="DY142" s="9">
        <v>42.54</v>
      </c>
      <c r="DZ142" s="9">
        <v>18.21</v>
      </c>
      <c r="EA142" s="9">
        <v>-71.491699999999994</v>
      </c>
      <c r="EB142" s="9">
        <v>-40.944099999999999</v>
      </c>
      <c r="EC142" s="9">
        <v>-22.2257</v>
      </c>
      <c r="ED142" s="9">
        <v>-23.453600000000002</v>
      </c>
      <c r="EE142" s="9">
        <v>15.13171</v>
      </c>
      <c r="EF142" s="9">
        <v>10.4977</v>
      </c>
      <c r="EG142" s="9">
        <v>-89.571399999999997</v>
      </c>
      <c r="EH142" s="9">
        <v>-168.45400000000001</v>
      </c>
      <c r="EI142" s="9">
        <v>-5.07029</v>
      </c>
      <c r="EJ142" s="9">
        <v>0</v>
      </c>
      <c r="EK142" s="9">
        <v>83.953050000000005</v>
      </c>
      <c r="EL142" s="9">
        <v>4.2868750000000002</v>
      </c>
      <c r="EM142" s="9">
        <v>32.864249999999998</v>
      </c>
      <c r="EN142" s="9">
        <v>2606</v>
      </c>
      <c r="EO142" s="9"/>
      <c r="EP142" s="9"/>
      <c r="EQ142" s="9"/>
      <c r="ER142" s="9"/>
      <c r="ES142" s="9"/>
      <c r="ET142" s="9"/>
      <c r="EU142">
        <v>1259.8900000000001</v>
      </c>
      <c r="EV142" s="9">
        <v>9690.94</v>
      </c>
      <c r="EW142" s="9">
        <v>1933.4</v>
      </c>
      <c r="EX142" s="9">
        <v>275.38</v>
      </c>
      <c r="EY142" s="9">
        <v>633.78</v>
      </c>
      <c r="EZ142" s="9">
        <v>1626.53</v>
      </c>
      <c r="FA142" s="9">
        <v>5221.83</v>
      </c>
      <c r="FB142" s="9">
        <v>130.56185064939999</v>
      </c>
      <c r="FC142" s="9">
        <v>112.4468181818</v>
      </c>
      <c r="FD142" s="9">
        <v>8300.1363636364003</v>
      </c>
      <c r="FE142" s="9">
        <v>177.2272727273</v>
      </c>
      <c r="FF142" s="9">
        <v>1771.8522727273</v>
      </c>
      <c r="FG142">
        <v>5030512.08</v>
      </c>
      <c r="FH142">
        <v>5018952.37</v>
      </c>
      <c r="FI142">
        <v>11559.71</v>
      </c>
      <c r="FJ142" s="9">
        <v>6152517.9999999991</v>
      </c>
      <c r="FK142">
        <v>5418684.3700000001</v>
      </c>
      <c r="FL142" s="9">
        <v>733833.63</v>
      </c>
      <c r="FM142" s="9">
        <v>8192724.5499999998</v>
      </c>
      <c r="FN142" s="9">
        <v>564987.21</v>
      </c>
      <c r="FO142">
        <v>1285.6400000000001</v>
      </c>
      <c r="FP142">
        <v>181.02</v>
      </c>
      <c r="FQ142">
        <v>49.61</v>
      </c>
      <c r="FR142">
        <v>376.17</v>
      </c>
      <c r="FS142">
        <v>9.2799999999999994</v>
      </c>
      <c r="FT142">
        <v>2164.92</v>
      </c>
      <c r="FU142">
        <v>266.75</v>
      </c>
      <c r="FV142">
        <v>1153.4000000000001</v>
      </c>
      <c r="FW142">
        <v>31339.53</v>
      </c>
      <c r="FX142">
        <v>262.32</v>
      </c>
      <c r="HB142" s="6"/>
      <c r="HC142" s="6"/>
      <c r="HD142" s="6"/>
    </row>
    <row r="143" spans="1:212" x14ac:dyDescent="0.2">
      <c r="A143" s="8" t="s">
        <v>854</v>
      </c>
      <c r="B143" s="8" t="s">
        <v>359</v>
      </c>
      <c r="C143" s="8" t="s">
        <v>360</v>
      </c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>
        <v>308386.90000000002</v>
      </c>
      <c r="BO143" s="9">
        <v>356071.5</v>
      </c>
      <c r="BP143" s="9">
        <v>111240.3</v>
      </c>
      <c r="BQ143" s="9">
        <v>92240.4</v>
      </c>
      <c r="BR143" s="9">
        <v>18916.7</v>
      </c>
      <c r="BS143" s="9">
        <v>37060.300000000003</v>
      </c>
      <c r="BT143" s="9">
        <v>99216</v>
      </c>
      <c r="BU143" s="9">
        <v>25900.7</v>
      </c>
      <c r="BV143" s="9">
        <v>-49022.7</v>
      </c>
      <c r="BW143" s="9">
        <v>258082.1</v>
      </c>
      <c r="BX143" s="9">
        <v>49147.1</v>
      </c>
      <c r="BY143" s="9">
        <v>51890.6</v>
      </c>
      <c r="BZ143" s="9">
        <v>68108.800000000003</v>
      </c>
      <c r="CA143" s="9">
        <v>2692.8</v>
      </c>
      <c r="CB143" s="9">
        <v>7183</v>
      </c>
      <c r="CC143" s="9">
        <v>128207</v>
      </c>
      <c r="CD143" s="9">
        <v>0</v>
      </c>
      <c r="CE143" s="9">
        <v>48188.9</v>
      </c>
      <c r="CF143" s="9">
        <v>1619263.6484670469</v>
      </c>
      <c r="CG143" s="9">
        <v>6073734.0951577071</v>
      </c>
      <c r="CH143" s="9"/>
      <c r="CI143" s="9"/>
      <c r="CJ143" s="9">
        <v>15.8970124935</v>
      </c>
      <c r="CK143" s="9">
        <v>13.292130823100001</v>
      </c>
      <c r="CL143" s="9">
        <v>12.25</v>
      </c>
      <c r="CM143" s="9">
        <v>67.705166564500004</v>
      </c>
      <c r="CN143" s="9">
        <v>19.449333920699999</v>
      </c>
      <c r="CO143" s="9">
        <v>2.0438594386000002</v>
      </c>
      <c r="CP143" s="9">
        <v>11.1153483277</v>
      </c>
      <c r="CQ143" s="9">
        <v>8.6644767597999994</v>
      </c>
      <c r="CR143" s="9">
        <v>3.1260508799000002</v>
      </c>
      <c r="CS143" s="9">
        <v>2.3098958981000002</v>
      </c>
      <c r="CT143" s="9">
        <v>8.6765694340999993</v>
      </c>
      <c r="CU143" s="9">
        <v>2.8057603276999998</v>
      </c>
      <c r="CV143" s="9">
        <v>1.8120679403</v>
      </c>
      <c r="CW143" s="9">
        <v>3.2941758488000001</v>
      </c>
      <c r="CX143" s="9">
        <v>1.7101174548</v>
      </c>
      <c r="CY143" s="9">
        <v>2.6975103338999999</v>
      </c>
      <c r="CZ143" s="9">
        <v>435</v>
      </c>
      <c r="DA143" s="9">
        <v>399</v>
      </c>
      <c r="DB143" s="9">
        <v>6</v>
      </c>
      <c r="DC143" s="9">
        <v>84</v>
      </c>
      <c r="DD143" s="9">
        <v>47</v>
      </c>
      <c r="DE143" s="9">
        <v>11</v>
      </c>
      <c r="DF143" s="9">
        <v>210</v>
      </c>
      <c r="DG143" s="9">
        <v>24</v>
      </c>
      <c r="DH143" s="9">
        <v>22</v>
      </c>
      <c r="DI143" s="9">
        <v>4</v>
      </c>
      <c r="DJ143" s="9">
        <v>3</v>
      </c>
      <c r="DK143" s="9">
        <v>13</v>
      </c>
      <c r="DL143" s="9">
        <v>0</v>
      </c>
      <c r="DM143" s="9">
        <v>13</v>
      </c>
      <c r="DN143" s="9">
        <v>0</v>
      </c>
      <c r="DO143" s="9">
        <v>528.71</v>
      </c>
      <c r="DP143" s="9">
        <v>129.03</v>
      </c>
      <c r="DQ143" s="9">
        <v>58.91</v>
      </c>
      <c r="DR143" s="9">
        <v>70.13</v>
      </c>
      <c r="DS143" s="9">
        <v>30.64</v>
      </c>
      <c r="DT143" s="9">
        <v>2.15</v>
      </c>
      <c r="DU143" s="9">
        <v>272.76</v>
      </c>
      <c r="DV143" s="9">
        <v>192.91</v>
      </c>
      <c r="DW143" s="9">
        <v>58.36</v>
      </c>
      <c r="DX143" s="9">
        <v>96.24</v>
      </c>
      <c r="DY143" s="9">
        <v>54.93</v>
      </c>
      <c r="DZ143" s="9">
        <v>19.760000000000002</v>
      </c>
      <c r="EA143" s="9">
        <v>-65.096999999999994</v>
      </c>
      <c r="EB143" s="9">
        <v>-21.015599999999999</v>
      </c>
      <c r="EC143" s="9">
        <v>-30.152100000000001</v>
      </c>
      <c r="ED143" s="9">
        <v>-27.4419</v>
      </c>
      <c r="EE143" s="9">
        <v>13.51258</v>
      </c>
      <c r="EF143" s="9">
        <v>10.121729999999999</v>
      </c>
      <c r="EG143" s="9">
        <v>-292.471</v>
      </c>
      <c r="EH143" s="9">
        <v>-209.19800000000001</v>
      </c>
      <c r="EI143" s="9">
        <v>-808.97400000000005</v>
      </c>
      <c r="EJ143" s="9">
        <v>0</v>
      </c>
      <c r="EK143" s="9">
        <v>725.70119999999997</v>
      </c>
      <c r="EL143" s="9">
        <v>-52.375300000000003</v>
      </c>
      <c r="EM143" s="9">
        <v>185.1199</v>
      </c>
      <c r="EN143" s="9">
        <v>2638.5</v>
      </c>
      <c r="EO143" s="9"/>
      <c r="EP143" s="9"/>
      <c r="EQ143" s="9"/>
      <c r="ER143" s="9"/>
      <c r="ES143" s="9"/>
      <c r="ET143" s="9"/>
      <c r="EU143">
        <v>1291.94</v>
      </c>
      <c r="EV143" s="9"/>
      <c r="EW143" s="9"/>
      <c r="EX143" s="9"/>
      <c r="EY143" s="9"/>
      <c r="EZ143" s="9"/>
      <c r="FA143" s="9"/>
      <c r="FB143" s="9">
        <v>127.91275510200001</v>
      </c>
      <c r="FC143" s="9">
        <v>109.46904761899999</v>
      </c>
      <c r="FD143" s="9">
        <v>7394.1904761904998</v>
      </c>
      <c r="FE143" s="9">
        <v>150.4333333333</v>
      </c>
      <c r="FF143" s="9">
        <v>1665.2142857143001</v>
      </c>
      <c r="FG143">
        <v>5193409.5599999996</v>
      </c>
      <c r="FH143">
        <v>5181784.3199999994</v>
      </c>
      <c r="FI143">
        <v>11625.24</v>
      </c>
      <c r="FJ143" s="9">
        <v>6234174.7299999995</v>
      </c>
      <c r="FK143">
        <v>5450092.7999999998</v>
      </c>
      <c r="FL143" s="9">
        <v>784081.92999999993</v>
      </c>
      <c r="FM143" s="9">
        <v>8320856.8200000003</v>
      </c>
      <c r="FN143" s="9">
        <v>580867.35</v>
      </c>
      <c r="FO143">
        <v>1297.67</v>
      </c>
      <c r="FP143">
        <v>127.58</v>
      </c>
      <c r="FQ143">
        <v>50.12</v>
      </c>
      <c r="FR143">
        <v>658.15</v>
      </c>
      <c r="FS143">
        <v>8.91</v>
      </c>
      <c r="FT143">
        <v>1803.23</v>
      </c>
      <c r="FU143">
        <v>243.66</v>
      </c>
      <c r="FV143">
        <v>1366.78</v>
      </c>
      <c r="FW143">
        <v>24503.93</v>
      </c>
      <c r="FX143">
        <v>194.55</v>
      </c>
      <c r="HB143" s="6"/>
      <c r="HC143" s="6"/>
      <c r="HD143" s="6"/>
    </row>
    <row r="144" spans="1:212" x14ac:dyDescent="0.2">
      <c r="A144" s="8" t="s">
        <v>854</v>
      </c>
      <c r="B144" s="8" t="s">
        <v>359</v>
      </c>
      <c r="C144" s="8" t="s">
        <v>361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>
        <v>385904.1</v>
      </c>
      <c r="BO144" s="9">
        <v>267076.8</v>
      </c>
      <c r="BP144" s="9">
        <v>71741.100000000006</v>
      </c>
      <c r="BQ144" s="9">
        <v>50321.3</v>
      </c>
      <c r="BR144" s="9">
        <v>21398.5</v>
      </c>
      <c r="BS144" s="9">
        <v>25651.4</v>
      </c>
      <c r="BT144" s="9">
        <v>90317.2</v>
      </c>
      <c r="BU144" s="9">
        <v>21539.7</v>
      </c>
      <c r="BV144" s="9">
        <v>43820.7</v>
      </c>
      <c r="BW144" s="9">
        <v>291749.5</v>
      </c>
      <c r="BX144" s="9">
        <v>40167.1</v>
      </c>
      <c r="BY144" s="9">
        <v>84695.5</v>
      </c>
      <c r="BZ144" s="9">
        <v>67642.8</v>
      </c>
      <c r="CA144" s="9">
        <v>2876</v>
      </c>
      <c r="CB144" s="9">
        <v>9600.4</v>
      </c>
      <c r="CC144" s="9">
        <v>126934.8</v>
      </c>
      <c r="CD144" s="9">
        <v>0</v>
      </c>
      <c r="CE144" s="9">
        <v>196778.8</v>
      </c>
      <c r="CF144" s="9">
        <v>1552524.0914094129</v>
      </c>
      <c r="CG144" s="9">
        <v>6112144.348872859</v>
      </c>
      <c r="CH144" s="9"/>
      <c r="CI144" s="9"/>
      <c r="CJ144" s="9">
        <v>16.074328003800002</v>
      </c>
      <c r="CK144" s="9">
        <v>12.1548995989</v>
      </c>
      <c r="CL144" s="9">
        <v>12.25</v>
      </c>
      <c r="CM144" s="9">
        <v>68.212562356700005</v>
      </c>
      <c r="CN144" s="9">
        <v>19.607787190300002</v>
      </c>
      <c r="CO144" s="9">
        <v>2.0488499952999999</v>
      </c>
      <c r="CP144" s="9">
        <v>11.3380602047</v>
      </c>
      <c r="CQ144" s="9">
        <v>8.7257803101999993</v>
      </c>
      <c r="CR144" s="9">
        <v>3.1397968012000002</v>
      </c>
      <c r="CS144" s="9">
        <v>2.3097504008</v>
      </c>
      <c r="CT144" s="9">
        <v>8.6946258477999994</v>
      </c>
      <c r="CU144" s="9">
        <v>2.8057603276999998</v>
      </c>
      <c r="CV144" s="9">
        <v>1.8134757563999999</v>
      </c>
      <c r="CW144" s="9">
        <v>3.2941758488000001</v>
      </c>
      <c r="CX144" s="9">
        <v>1.7259038804</v>
      </c>
      <c r="CY144" s="9">
        <v>2.7085957930000002</v>
      </c>
      <c r="CZ144" s="9">
        <v>518</v>
      </c>
      <c r="DA144" s="9">
        <v>491</v>
      </c>
      <c r="DB144" s="9">
        <v>7</v>
      </c>
      <c r="DC144" s="9">
        <v>69</v>
      </c>
      <c r="DD144" s="9">
        <v>27</v>
      </c>
      <c r="DE144" s="9">
        <v>9</v>
      </c>
      <c r="DF144" s="9">
        <v>332</v>
      </c>
      <c r="DG144" s="9">
        <v>26</v>
      </c>
      <c r="DH144" s="9">
        <v>17</v>
      </c>
      <c r="DI144" s="9">
        <v>6</v>
      </c>
      <c r="DJ144" s="9">
        <v>3</v>
      </c>
      <c r="DK144" s="9">
        <v>6</v>
      </c>
      <c r="DL144" s="9">
        <v>0</v>
      </c>
      <c r="DM144" s="9">
        <v>10</v>
      </c>
      <c r="DN144" s="9">
        <v>0</v>
      </c>
      <c r="DO144" s="9">
        <v>612.73</v>
      </c>
      <c r="DP144" s="9">
        <v>146.11000000000001</v>
      </c>
      <c r="DQ144" s="9">
        <v>69.22</v>
      </c>
      <c r="DR144" s="9">
        <v>76.900000000000006</v>
      </c>
      <c r="DS144" s="9">
        <v>33.520000000000003</v>
      </c>
      <c r="DT144" s="9">
        <v>1.3</v>
      </c>
      <c r="DU144" s="9">
        <v>322.55</v>
      </c>
      <c r="DV144" s="9">
        <v>245.5</v>
      </c>
      <c r="DW144" s="9">
        <v>45.66</v>
      </c>
      <c r="DX144" s="9">
        <v>110.46</v>
      </c>
      <c r="DY144" s="9">
        <v>64.930000000000007</v>
      </c>
      <c r="DZ144" s="9">
        <v>22.29</v>
      </c>
      <c r="EA144" s="9">
        <v>-119.187</v>
      </c>
      <c r="EB144" s="9">
        <v>-49.985100000000003</v>
      </c>
      <c r="EC144" s="9">
        <v>-44.001199999999997</v>
      </c>
      <c r="ED144" s="9">
        <v>-39.542999999999999</v>
      </c>
      <c r="EE144" s="9">
        <v>14.34272</v>
      </c>
      <c r="EF144" s="9">
        <v>9.5336230000000004</v>
      </c>
      <c r="EG144" s="9">
        <v>-101.544</v>
      </c>
      <c r="EH144" s="9">
        <v>-155.57300000000001</v>
      </c>
      <c r="EI144" s="9">
        <v>-25.325299999999999</v>
      </c>
      <c r="EJ144" s="9">
        <v>0</v>
      </c>
      <c r="EK144" s="9">
        <v>79.354789999999994</v>
      </c>
      <c r="EL144" s="9">
        <v>56.792050000000003</v>
      </c>
      <c r="EM144" s="9">
        <v>48.682789999999997</v>
      </c>
      <c r="EN144" s="9">
        <v>2487.4</v>
      </c>
      <c r="EO144" s="9"/>
      <c r="EP144" s="9"/>
      <c r="EQ144" s="9"/>
      <c r="ER144" s="9"/>
      <c r="ES144" s="9"/>
      <c r="ET144" s="9"/>
      <c r="EU144">
        <v>1323.42</v>
      </c>
      <c r="EV144" s="9"/>
      <c r="EW144" s="9"/>
      <c r="EX144" s="9"/>
      <c r="EY144" s="9"/>
      <c r="EZ144" s="9"/>
      <c r="FA144" s="9"/>
      <c r="FB144" s="9">
        <v>122.74529220780001</v>
      </c>
      <c r="FC144" s="9">
        <v>110.5040909091</v>
      </c>
      <c r="FD144" s="9">
        <v>7581.0227272726997</v>
      </c>
      <c r="FE144" s="9">
        <v>135.54090909089999</v>
      </c>
      <c r="FF144" s="9">
        <v>1738.9772727273</v>
      </c>
      <c r="FG144">
        <v>5407202.4799999995</v>
      </c>
      <c r="FH144">
        <v>5395248.7599999998</v>
      </c>
      <c r="FI144">
        <v>11953.72</v>
      </c>
      <c r="FJ144" s="9">
        <v>6377573.2299999995</v>
      </c>
      <c r="FK144">
        <v>5480706.8300000001</v>
      </c>
      <c r="FL144" s="9">
        <v>896866.39999999991</v>
      </c>
      <c r="FM144" s="9">
        <v>8450232.6899999995</v>
      </c>
      <c r="FN144" s="9">
        <v>628320.96</v>
      </c>
      <c r="FO144">
        <v>1340.9</v>
      </c>
      <c r="FP144">
        <v>158.66999999999999</v>
      </c>
      <c r="FQ144">
        <v>49.63</v>
      </c>
      <c r="FR144">
        <v>317.13</v>
      </c>
      <c r="FS144">
        <v>9.6300000000000008</v>
      </c>
      <c r="FT144">
        <v>2783.71</v>
      </c>
      <c r="FU144">
        <v>253.62</v>
      </c>
      <c r="FV144">
        <v>2348.2199999999998</v>
      </c>
      <c r="FW144">
        <v>31879.72</v>
      </c>
      <c r="FX144">
        <v>125.81</v>
      </c>
      <c r="HB144" s="6"/>
      <c r="HC144" s="6"/>
      <c r="HD144" s="6"/>
    </row>
    <row r="145" spans="1:212" x14ac:dyDescent="0.2">
      <c r="A145" s="8" t="s">
        <v>854</v>
      </c>
      <c r="B145" s="8" t="s">
        <v>359</v>
      </c>
      <c r="C145" s="8" t="s">
        <v>362</v>
      </c>
      <c r="D145" s="9">
        <v>3554927.49</v>
      </c>
      <c r="E145" s="9">
        <v>330305.63</v>
      </c>
      <c r="F145" s="9">
        <v>643346.9</v>
      </c>
      <c r="G145" s="9">
        <v>282308.40000000002</v>
      </c>
      <c r="H145" s="9">
        <v>77328.67</v>
      </c>
      <c r="I145" s="9">
        <v>180776.87</v>
      </c>
      <c r="J145" s="9">
        <v>490395.22</v>
      </c>
      <c r="K145" s="9">
        <v>206115.83</v>
      </c>
      <c r="L145" s="9">
        <v>78075.61</v>
      </c>
      <c r="M145" s="9">
        <v>863565.85</v>
      </c>
      <c r="N145" s="9">
        <v>402708.51</v>
      </c>
      <c r="O145" s="9">
        <v>4460361.5874237511</v>
      </c>
      <c r="P145" s="9">
        <v>426186.31525645423</v>
      </c>
      <c r="Q145" s="9">
        <v>594314.84009495354</v>
      </c>
      <c r="R145" s="9">
        <v>374747.19403421308</v>
      </c>
      <c r="S145" s="9">
        <v>134474.65935497169</v>
      </c>
      <c r="T145" s="9">
        <v>212758.3464206222</v>
      </c>
      <c r="U145" s="9">
        <v>569561.59203447541</v>
      </c>
      <c r="V145" s="9">
        <v>237012.17480439521</v>
      </c>
      <c r="W145" s="9">
        <v>92870.751900359202</v>
      </c>
      <c r="X145" s="9">
        <v>1288182.5377266239</v>
      </c>
      <c r="Y145" s="9">
        <v>530253.17579668248</v>
      </c>
      <c r="Z145" s="9">
        <v>3643599.1</v>
      </c>
      <c r="AA145" s="9">
        <v>1731160.9</v>
      </c>
      <c r="AB145" s="9">
        <v>559334.80000000005</v>
      </c>
      <c r="AC145" s="9">
        <v>1590067.4</v>
      </c>
      <c r="AD145" s="9">
        <v>299696</v>
      </c>
      <c r="AE145" s="9">
        <v>2242940.7999999998</v>
      </c>
      <c r="AF145" s="9">
        <v>2779600.8</v>
      </c>
      <c r="AG145" s="9">
        <v>4552994.4569401508</v>
      </c>
      <c r="AH145" s="9">
        <v>2350998.6306209471</v>
      </c>
      <c r="AI145" s="9">
        <v>774512.95669688727</v>
      </c>
      <c r="AJ145" s="9">
        <v>1755134.415428278</v>
      </c>
      <c r="AK145" s="9">
        <v>416857.03579977521</v>
      </c>
      <c r="AL145" s="9">
        <v>1704218.9160592393</v>
      </c>
      <c r="AM145" s="9">
        <v>2448727.4976649769</v>
      </c>
      <c r="AN145" s="9">
        <v>1026582</v>
      </c>
      <c r="AO145" s="9">
        <v>542914</v>
      </c>
      <c r="AP145" s="9">
        <v>483668</v>
      </c>
      <c r="AQ145" s="9">
        <v>77430</v>
      </c>
      <c r="AR145" s="9">
        <v>45230</v>
      </c>
      <c r="AS145" s="9">
        <v>32200</v>
      </c>
      <c r="AT145" s="9">
        <v>616618</v>
      </c>
      <c r="AU145" s="9">
        <v>252153</v>
      </c>
      <c r="AV145" s="9">
        <v>364465</v>
      </c>
      <c r="AW145" s="9">
        <v>450.3</v>
      </c>
      <c r="AX145" s="9">
        <v>193.7</v>
      </c>
      <c r="AY145" s="9">
        <v>752.4</v>
      </c>
      <c r="AZ145" s="9">
        <v>432.9</v>
      </c>
      <c r="BA145" s="9">
        <v>424.4</v>
      </c>
      <c r="BB145" s="9"/>
      <c r="BC145" s="9">
        <v>455.4</v>
      </c>
      <c r="BD145" s="9">
        <v>311.7</v>
      </c>
      <c r="BE145" s="9">
        <v>509.8</v>
      </c>
      <c r="BF145" s="9">
        <v>316.5</v>
      </c>
      <c r="BG145" s="9"/>
      <c r="BH145" s="9">
        <v>992</v>
      </c>
      <c r="BI145" s="9">
        <v>352.6</v>
      </c>
      <c r="BJ145" s="9">
        <v>380.8</v>
      </c>
      <c r="BK145" s="9">
        <v>381.5</v>
      </c>
      <c r="BL145" s="9"/>
      <c r="BM145" s="9">
        <v>333.2</v>
      </c>
      <c r="BN145" s="9">
        <v>607973</v>
      </c>
      <c r="BO145" s="9">
        <v>369448</v>
      </c>
      <c r="BP145" s="9">
        <v>89871.9</v>
      </c>
      <c r="BQ145" s="9">
        <v>55125.8</v>
      </c>
      <c r="BR145" s="9">
        <v>34710.1</v>
      </c>
      <c r="BS145" s="9">
        <v>82036.3</v>
      </c>
      <c r="BT145" s="9">
        <v>121660.1</v>
      </c>
      <c r="BU145" s="9">
        <v>32300.5</v>
      </c>
      <c r="BV145" s="9">
        <v>139031</v>
      </c>
      <c r="BW145" s="9">
        <v>459806.4</v>
      </c>
      <c r="BX145" s="9">
        <v>191992.6</v>
      </c>
      <c r="BY145" s="9">
        <v>156140</v>
      </c>
      <c r="BZ145" s="9">
        <v>91387.3</v>
      </c>
      <c r="CA145" s="9">
        <v>2905.9</v>
      </c>
      <c r="CB145" s="9">
        <v>53116.3</v>
      </c>
      <c r="CC145" s="9">
        <v>156256.9</v>
      </c>
      <c r="CD145" s="9">
        <v>0</v>
      </c>
      <c r="CE145" s="9">
        <v>531932.30000000005</v>
      </c>
      <c r="CF145" s="9">
        <v>1740943.8124342461</v>
      </c>
      <c r="CG145" s="9">
        <v>6411181.6953080613</v>
      </c>
      <c r="CH145" s="9"/>
      <c r="CI145" s="9"/>
      <c r="CJ145" s="9">
        <v>15.491168779200001</v>
      </c>
      <c r="CK145" s="9">
        <v>12.0926406737</v>
      </c>
      <c r="CL145" s="9">
        <v>12.25</v>
      </c>
      <c r="CM145" s="9">
        <v>68.991657137700003</v>
      </c>
      <c r="CN145" s="9">
        <v>20.152180483199999</v>
      </c>
      <c r="CO145" s="9">
        <v>2.0548503369</v>
      </c>
      <c r="CP145" s="9">
        <v>11.4779300397</v>
      </c>
      <c r="CQ145" s="9">
        <v>8.7675342334999993</v>
      </c>
      <c r="CR145" s="9">
        <v>3.1509805714999999</v>
      </c>
      <c r="CS145" s="9">
        <v>2.3136439710999999</v>
      </c>
      <c r="CT145" s="9">
        <v>8.7178653773000008</v>
      </c>
      <c r="CU145" s="9">
        <v>2.8047635420999999</v>
      </c>
      <c r="CV145" s="9">
        <v>1.8071316932999999</v>
      </c>
      <c r="CW145" s="9">
        <v>3.2941758488000001</v>
      </c>
      <c r="CX145" s="9">
        <v>1.7314144625000001</v>
      </c>
      <c r="CY145" s="9">
        <v>2.7191865779</v>
      </c>
      <c r="CZ145" s="9">
        <v>545</v>
      </c>
      <c r="DA145" s="9">
        <v>511</v>
      </c>
      <c r="DB145" s="9">
        <v>7</v>
      </c>
      <c r="DC145" s="9">
        <v>68</v>
      </c>
      <c r="DD145" s="9">
        <v>66</v>
      </c>
      <c r="DE145" s="9">
        <v>11</v>
      </c>
      <c r="DF145" s="9">
        <v>311</v>
      </c>
      <c r="DG145" s="9">
        <v>31</v>
      </c>
      <c r="DH145" s="9">
        <v>19</v>
      </c>
      <c r="DI145" s="9">
        <v>4</v>
      </c>
      <c r="DJ145" s="9">
        <v>5</v>
      </c>
      <c r="DK145" s="9">
        <v>7</v>
      </c>
      <c r="DL145" s="9">
        <v>1</v>
      </c>
      <c r="DM145" s="9">
        <v>13</v>
      </c>
      <c r="DN145" s="9">
        <v>0</v>
      </c>
      <c r="DO145" s="9">
        <v>608.92999999999995</v>
      </c>
      <c r="DP145" s="9">
        <v>160.11000000000001</v>
      </c>
      <c r="DQ145" s="9">
        <v>59.83</v>
      </c>
      <c r="DR145" s="9">
        <v>100.29</v>
      </c>
      <c r="DS145" s="9">
        <v>35.700000000000003</v>
      </c>
      <c r="DT145" s="9">
        <v>1.86</v>
      </c>
      <c r="DU145" s="9">
        <v>259.64</v>
      </c>
      <c r="DV145" s="9">
        <v>200.46</v>
      </c>
      <c r="DW145" s="9">
        <v>38.46</v>
      </c>
      <c r="DX145" s="9">
        <v>145.56</v>
      </c>
      <c r="DY145" s="9">
        <v>96.79</v>
      </c>
      <c r="DZ145" s="9">
        <v>27.29</v>
      </c>
      <c r="EA145" s="9">
        <v>-301.99</v>
      </c>
      <c r="EB145" s="9">
        <v>43.270440000000001</v>
      </c>
      <c r="EC145" s="9">
        <v>-56.944000000000003</v>
      </c>
      <c r="ED145" s="9">
        <v>-302.36099999999999</v>
      </c>
      <c r="EE145" s="9">
        <v>14.044600000000001</v>
      </c>
      <c r="EF145" s="9">
        <v>17.192689999999999</v>
      </c>
      <c r="EG145" s="9">
        <v>-695.38699999999994</v>
      </c>
      <c r="EH145" s="9">
        <v>-202.71600000000001</v>
      </c>
      <c r="EI145" s="9">
        <v>-205.78200000000001</v>
      </c>
      <c r="EJ145" s="9">
        <v>0</v>
      </c>
      <c r="EK145" s="9">
        <v>-286.88799999999998</v>
      </c>
      <c r="EL145" s="9">
        <v>-63.69</v>
      </c>
      <c r="EM145" s="9">
        <v>346.90010000000001</v>
      </c>
      <c r="EN145" s="9">
        <v>2450.6</v>
      </c>
      <c r="EO145" s="9"/>
      <c r="EP145" s="9"/>
      <c r="EQ145" s="9"/>
      <c r="ER145" s="9"/>
      <c r="ES145" s="9"/>
      <c r="ET145" s="9"/>
      <c r="EU145">
        <v>1374.2</v>
      </c>
      <c r="EV145" s="9">
        <v>10908.31</v>
      </c>
      <c r="EW145" s="9">
        <v>2043.34</v>
      </c>
      <c r="EX145" s="9">
        <v>267.69</v>
      </c>
      <c r="EY145" s="9">
        <v>739.84</v>
      </c>
      <c r="EZ145" s="9">
        <v>1904.69</v>
      </c>
      <c r="FA145" s="9">
        <v>5952.75</v>
      </c>
      <c r="FB145" s="9">
        <v>118.1764285714</v>
      </c>
      <c r="FC145" s="9">
        <v>107.97</v>
      </c>
      <c r="FD145" s="9">
        <v>7558.875</v>
      </c>
      <c r="FE145" s="9">
        <v>136.45500000000001</v>
      </c>
      <c r="FF145" s="9">
        <v>1652.3055555556</v>
      </c>
      <c r="FG145">
        <v>5610095.4199999999</v>
      </c>
      <c r="FH145">
        <v>5597743.5800000001</v>
      </c>
      <c r="FI145">
        <v>12351.84</v>
      </c>
      <c r="FJ145" s="9">
        <v>6920348.5199999996</v>
      </c>
      <c r="FK145">
        <v>5738410.7800000003</v>
      </c>
      <c r="FL145" s="9">
        <v>1181937.74</v>
      </c>
      <c r="FM145" s="9">
        <v>9371628.3599999994</v>
      </c>
      <c r="FN145" s="9">
        <v>676895.15</v>
      </c>
      <c r="FO145">
        <v>1396.37</v>
      </c>
      <c r="FP145">
        <v>164.68</v>
      </c>
      <c r="FQ145">
        <v>49.22</v>
      </c>
      <c r="FR145">
        <v>702.03</v>
      </c>
      <c r="FS145">
        <v>10.74</v>
      </c>
      <c r="FT145">
        <v>2724.02</v>
      </c>
      <c r="FU145">
        <v>327.61</v>
      </c>
      <c r="FV145">
        <v>1824.03</v>
      </c>
      <c r="FW145">
        <v>43042.48</v>
      </c>
      <c r="FX145">
        <v>266.29000000000002</v>
      </c>
      <c r="HB145" s="6"/>
      <c r="HC145" s="6"/>
      <c r="HD145" s="6"/>
    </row>
    <row r="146" spans="1:212" x14ac:dyDescent="0.2">
      <c r="A146" s="8" t="s">
        <v>855</v>
      </c>
      <c r="B146" s="8" t="s">
        <v>363</v>
      </c>
      <c r="C146" s="8" t="s">
        <v>364</v>
      </c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>
        <v>326056.3</v>
      </c>
      <c r="BO146" s="9">
        <v>294349.3</v>
      </c>
      <c r="BP146" s="9">
        <v>45387.5</v>
      </c>
      <c r="BQ146" s="9">
        <v>26064.5</v>
      </c>
      <c r="BR146" s="9">
        <v>19323</v>
      </c>
      <c r="BS146" s="9">
        <v>40603.1</v>
      </c>
      <c r="BT146" s="9">
        <v>50440.1</v>
      </c>
      <c r="BU146" s="9">
        <v>19850.7</v>
      </c>
      <c r="BV146" s="9">
        <v>30179.8</v>
      </c>
      <c r="BW146" s="9">
        <v>257164.1</v>
      </c>
      <c r="BX146" s="9">
        <v>-4383.3</v>
      </c>
      <c r="BY146" s="9">
        <v>40428.400000000001</v>
      </c>
      <c r="BZ146" s="9">
        <v>61274.3</v>
      </c>
      <c r="CA146" s="9">
        <v>11020</v>
      </c>
      <c r="CB146" s="9">
        <v>5504.1</v>
      </c>
      <c r="CC146" s="9">
        <v>138937.20000000001</v>
      </c>
      <c r="CD146" s="9">
        <v>0</v>
      </c>
      <c r="CE146" s="9">
        <v>7250.1</v>
      </c>
      <c r="CF146" s="9">
        <v>1565667.2785706241</v>
      </c>
      <c r="CG146" s="9">
        <v>6146034.3455612063</v>
      </c>
      <c r="CH146" s="9"/>
      <c r="CI146" s="9"/>
      <c r="CJ146" s="9">
        <v>15.5188728998</v>
      </c>
      <c r="CK146" s="9">
        <v>13.024901337499999</v>
      </c>
      <c r="CL146" s="9">
        <v>12.25</v>
      </c>
      <c r="CM146" s="9">
        <v>70.827573568999995</v>
      </c>
      <c r="CN146" s="9">
        <v>21.0297056428</v>
      </c>
      <c r="CO146" s="9">
        <v>2.0667665906999999</v>
      </c>
      <c r="CP146" s="9">
        <v>11.7428972048</v>
      </c>
      <c r="CQ146" s="9">
        <v>8.7464645536999992</v>
      </c>
      <c r="CR146" s="9">
        <v>3.2087813421</v>
      </c>
      <c r="CS146" s="9">
        <v>2.3507406425999999</v>
      </c>
      <c r="CT146" s="9">
        <v>9.1813821058999991</v>
      </c>
      <c r="CU146" s="9">
        <v>2.8776820378000001</v>
      </c>
      <c r="CV146" s="9">
        <v>1.8021784231</v>
      </c>
      <c r="CW146" s="9">
        <v>3.2941758488000001</v>
      </c>
      <c r="CX146" s="9">
        <v>1.7725201382</v>
      </c>
      <c r="CY146" s="9">
        <v>2.7542790384</v>
      </c>
      <c r="CZ146" s="9">
        <v>238</v>
      </c>
      <c r="DA146" s="9">
        <v>225</v>
      </c>
      <c r="DB146" s="9">
        <v>7</v>
      </c>
      <c r="DC146" s="9">
        <v>67</v>
      </c>
      <c r="DD146" s="9">
        <v>38</v>
      </c>
      <c r="DE146" s="9">
        <v>8</v>
      </c>
      <c r="DF146" s="9">
        <v>75</v>
      </c>
      <c r="DG146" s="9">
        <v>19</v>
      </c>
      <c r="DH146" s="9">
        <v>7</v>
      </c>
      <c r="DI146" s="9">
        <v>2</v>
      </c>
      <c r="DJ146" s="9">
        <v>4</v>
      </c>
      <c r="DK146" s="9">
        <v>1</v>
      </c>
      <c r="DL146" s="9">
        <v>0</v>
      </c>
      <c r="DM146" s="9">
        <v>5</v>
      </c>
      <c r="DN146" s="9">
        <v>0</v>
      </c>
      <c r="DO146" s="9">
        <v>495.75</v>
      </c>
      <c r="DP146" s="9">
        <v>118.11</v>
      </c>
      <c r="DQ146" s="9">
        <v>52.58</v>
      </c>
      <c r="DR146" s="9">
        <v>65.53</v>
      </c>
      <c r="DS146" s="9">
        <v>31.65</v>
      </c>
      <c r="DT146" s="9">
        <v>1.02</v>
      </c>
      <c r="DU146" s="9">
        <v>199.67</v>
      </c>
      <c r="DV146" s="9">
        <v>158.59</v>
      </c>
      <c r="DW146" s="9">
        <v>24.82</v>
      </c>
      <c r="DX146" s="9">
        <v>143.31</v>
      </c>
      <c r="DY146" s="9">
        <v>81.13</v>
      </c>
      <c r="DZ146" s="9">
        <v>39.44</v>
      </c>
      <c r="EA146" s="9">
        <v>-483.12099999999998</v>
      </c>
      <c r="EB146" s="9">
        <v>-299.77600000000001</v>
      </c>
      <c r="EC146" s="9">
        <v>-136.274</v>
      </c>
      <c r="ED146" s="9">
        <v>-68.836799999999997</v>
      </c>
      <c r="EE146" s="9">
        <v>21.765999999999998</v>
      </c>
      <c r="EF146" s="9">
        <v>16.51953</v>
      </c>
      <c r="EG146" s="9">
        <v>-228.27600000000001</v>
      </c>
      <c r="EH146" s="9">
        <v>-332.46899999999999</v>
      </c>
      <c r="EI146" s="9">
        <v>3.5672329999999999</v>
      </c>
      <c r="EJ146" s="9">
        <v>0</v>
      </c>
      <c r="EK146" s="9">
        <v>100.62569999999999</v>
      </c>
      <c r="EL146" s="9">
        <v>142.1353</v>
      </c>
      <c r="EM146" s="9">
        <v>-96.190600000000003</v>
      </c>
      <c r="EN146" s="9">
        <v>2380.9</v>
      </c>
      <c r="EO146" s="9"/>
      <c r="EP146" s="9"/>
      <c r="EQ146" s="9"/>
      <c r="ER146" s="9"/>
      <c r="ES146" s="9"/>
      <c r="ET146" s="9"/>
      <c r="EU146">
        <v>1395.12</v>
      </c>
      <c r="EV146" s="9"/>
      <c r="EW146" s="9"/>
      <c r="EX146" s="9"/>
      <c r="EY146" s="9"/>
      <c r="EZ146" s="9"/>
      <c r="FA146" s="9"/>
      <c r="FB146" s="9">
        <v>123.08571428570001</v>
      </c>
      <c r="FC146" s="9">
        <v>110.9936363636</v>
      </c>
      <c r="FD146" s="9">
        <v>8061.9166666666997</v>
      </c>
      <c r="FE146" s="9">
        <v>140.34761904760001</v>
      </c>
      <c r="FF146" s="9">
        <v>1656.119047619</v>
      </c>
      <c r="FG146">
        <v>5616245.5700000003</v>
      </c>
      <c r="FH146">
        <v>5604138.1100000003</v>
      </c>
      <c r="FI146">
        <v>12107.46</v>
      </c>
      <c r="FJ146" s="9">
        <v>6629449.4299999997</v>
      </c>
      <c r="FK146">
        <v>5544728.0199999996</v>
      </c>
      <c r="FL146" s="9">
        <v>1084721.4099999999</v>
      </c>
      <c r="FM146" s="9">
        <v>8801760.75</v>
      </c>
      <c r="FN146" s="9">
        <v>695421.75</v>
      </c>
      <c r="FO146">
        <v>1366.3</v>
      </c>
      <c r="FP146">
        <v>158.59</v>
      </c>
      <c r="FQ146">
        <v>48.1</v>
      </c>
      <c r="FR146">
        <v>512.96</v>
      </c>
      <c r="FS146">
        <v>8.02</v>
      </c>
      <c r="FT146">
        <v>634.17999999999995</v>
      </c>
      <c r="FU146">
        <v>200.21</v>
      </c>
      <c r="FV146">
        <v>849.02</v>
      </c>
      <c r="FW146">
        <v>41558.89</v>
      </c>
      <c r="FX146">
        <v>419.82</v>
      </c>
      <c r="HB146" s="6"/>
      <c r="HC146" s="6"/>
      <c r="HD146" s="6"/>
    </row>
    <row r="147" spans="1:212" x14ac:dyDescent="0.2">
      <c r="A147" s="8" t="s">
        <v>855</v>
      </c>
      <c r="B147" s="8" t="s">
        <v>363</v>
      </c>
      <c r="C147" s="8" t="s">
        <v>365</v>
      </c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>
        <v>348985</v>
      </c>
      <c r="BO147" s="9">
        <v>298590.3</v>
      </c>
      <c r="BP147" s="9">
        <v>97212.5</v>
      </c>
      <c r="BQ147" s="9">
        <v>72663.8</v>
      </c>
      <c r="BR147" s="9">
        <v>24545.200000000001</v>
      </c>
      <c r="BS147" s="9">
        <v>39773</v>
      </c>
      <c r="BT147" s="9">
        <v>120857.9</v>
      </c>
      <c r="BU147" s="9">
        <v>22290.5</v>
      </c>
      <c r="BV147" s="9">
        <v>49397.1</v>
      </c>
      <c r="BW147" s="9">
        <v>302652.3</v>
      </c>
      <c r="BX147" s="9">
        <v>8343.1</v>
      </c>
      <c r="BY147" s="9">
        <v>52309.4</v>
      </c>
      <c r="BZ147" s="9">
        <v>73090.100000000006</v>
      </c>
      <c r="CA147" s="9">
        <v>2534.9</v>
      </c>
      <c r="CB147" s="9">
        <v>6174.7</v>
      </c>
      <c r="CC147" s="9">
        <v>168543.3</v>
      </c>
      <c r="CD147" s="9">
        <v>0</v>
      </c>
      <c r="CE147" s="9">
        <v>111117.4</v>
      </c>
      <c r="CF147" s="9">
        <v>1500200.622813676</v>
      </c>
      <c r="CG147" s="9">
        <v>6236173.4095217623</v>
      </c>
      <c r="CH147" s="9"/>
      <c r="CI147" s="9"/>
      <c r="CJ147" s="9">
        <v>18.385954309300001</v>
      </c>
      <c r="CK147" s="9">
        <v>13.9954435604</v>
      </c>
      <c r="CL147" s="9">
        <v>12.25</v>
      </c>
      <c r="CM147" s="9">
        <v>72.623280728899999</v>
      </c>
      <c r="CN147" s="9">
        <v>22.544363346299999</v>
      </c>
      <c r="CO147" s="9">
        <v>2.0795713954999999</v>
      </c>
      <c r="CP147" s="9">
        <v>11.842357574899999</v>
      </c>
      <c r="CQ147" s="9">
        <v>8.6638052893000008</v>
      </c>
      <c r="CR147" s="9">
        <v>3.2434141319999998</v>
      </c>
      <c r="CS147" s="9">
        <v>2.3774957267999999</v>
      </c>
      <c r="CT147" s="9">
        <v>9.2071642153000006</v>
      </c>
      <c r="CU147" s="9">
        <v>2.8721365723000001</v>
      </c>
      <c r="CV147" s="9">
        <v>1.8128880803</v>
      </c>
      <c r="CW147" s="9">
        <v>3.2941758488000001</v>
      </c>
      <c r="CX147" s="9">
        <v>1.9246154520000001</v>
      </c>
      <c r="CY147" s="9">
        <v>2.7612930955000001</v>
      </c>
      <c r="CZ147" s="9">
        <v>289</v>
      </c>
      <c r="DA147" s="9">
        <v>274</v>
      </c>
      <c r="DB147" s="9">
        <v>7</v>
      </c>
      <c r="DC147" s="9">
        <v>61</v>
      </c>
      <c r="DD147" s="9">
        <v>48</v>
      </c>
      <c r="DE147" s="9">
        <v>9</v>
      </c>
      <c r="DF147" s="9">
        <v>108</v>
      </c>
      <c r="DG147" s="9">
        <v>28</v>
      </c>
      <c r="DH147" s="9">
        <v>8</v>
      </c>
      <c r="DI147" s="9">
        <v>1</v>
      </c>
      <c r="DJ147" s="9">
        <v>3</v>
      </c>
      <c r="DK147" s="9">
        <v>3</v>
      </c>
      <c r="DL147" s="9">
        <v>0</v>
      </c>
      <c r="DM147" s="9">
        <v>7</v>
      </c>
      <c r="DN147" s="9">
        <v>0</v>
      </c>
      <c r="DO147" s="9">
        <v>478.13</v>
      </c>
      <c r="DP147" s="9">
        <v>112.69</v>
      </c>
      <c r="DQ147" s="9">
        <v>46.75</v>
      </c>
      <c r="DR147" s="9">
        <v>65.94</v>
      </c>
      <c r="DS147" s="9">
        <v>20.65</v>
      </c>
      <c r="DT147" s="9">
        <v>1.41</v>
      </c>
      <c r="DU147" s="9">
        <v>217.5</v>
      </c>
      <c r="DV147" s="9">
        <v>173.53</v>
      </c>
      <c r="DW147" s="9">
        <v>28.91</v>
      </c>
      <c r="DX147" s="9">
        <v>120.5</v>
      </c>
      <c r="DY147" s="9">
        <v>71.099999999999994</v>
      </c>
      <c r="DZ147" s="9">
        <v>25.65</v>
      </c>
      <c r="EA147" s="9">
        <v>-395.392</v>
      </c>
      <c r="EB147" s="9">
        <v>-234.71100000000001</v>
      </c>
      <c r="EC147" s="9">
        <v>-123.729</v>
      </c>
      <c r="ED147" s="9">
        <v>-67.394599999999997</v>
      </c>
      <c r="EE147" s="9">
        <v>30.441960000000002</v>
      </c>
      <c r="EF147" s="9">
        <v>20.45467</v>
      </c>
      <c r="EG147" s="9">
        <v>-362.08600000000001</v>
      </c>
      <c r="EH147" s="9">
        <v>-357.81</v>
      </c>
      <c r="EI147" s="9">
        <v>-3.4348000000000001</v>
      </c>
      <c r="EJ147" s="9">
        <v>0</v>
      </c>
      <c r="EK147" s="9">
        <v>-0.84157999999999999</v>
      </c>
      <c r="EL147" s="9">
        <v>109.60209999999999</v>
      </c>
      <c r="EM147" s="9">
        <v>96.750590000000003</v>
      </c>
      <c r="EN147" s="9">
        <v>2465.1999999999998</v>
      </c>
      <c r="EO147" s="9"/>
      <c r="EP147" s="9"/>
      <c r="EQ147" s="9"/>
      <c r="ER147" s="9"/>
      <c r="ES147" s="9"/>
      <c r="ET147" s="9"/>
      <c r="EU147">
        <v>1340.73</v>
      </c>
      <c r="EV147" s="9"/>
      <c r="EW147" s="9"/>
      <c r="EX147" s="9"/>
      <c r="EY147" s="9"/>
      <c r="EZ147" s="9"/>
      <c r="FA147" s="9"/>
      <c r="FB147" s="9">
        <v>124.9668367347</v>
      </c>
      <c r="FC147" s="9">
        <v>119.70238095240001</v>
      </c>
      <c r="FD147" s="9">
        <v>8441.4880952381009</v>
      </c>
      <c r="FE147" s="9">
        <v>140.3952380952</v>
      </c>
      <c r="FF147" s="9">
        <v>1742.619047619</v>
      </c>
      <c r="FG147">
        <v>5678034.6699999999</v>
      </c>
      <c r="FH147">
        <v>5666201.8099999996</v>
      </c>
      <c r="FI147">
        <v>11832.86</v>
      </c>
      <c r="FJ147" s="9">
        <v>6752402.6499999994</v>
      </c>
      <c r="FK147">
        <v>5644197.7599999998</v>
      </c>
      <c r="FL147" s="9">
        <v>1108204.8899999999</v>
      </c>
      <c r="FM147" s="9">
        <v>8924215.2699999996</v>
      </c>
      <c r="FN147" s="9">
        <v>706433.99</v>
      </c>
      <c r="FO147">
        <v>1340.19</v>
      </c>
      <c r="FP147">
        <v>156.72</v>
      </c>
      <c r="FQ147">
        <v>44.16</v>
      </c>
      <c r="FR147">
        <v>641.29999999999995</v>
      </c>
      <c r="FS147">
        <v>10.220000000000001</v>
      </c>
      <c r="FT147">
        <v>989.86</v>
      </c>
      <c r="FU147">
        <v>293.94</v>
      </c>
      <c r="FV147">
        <v>505.56</v>
      </c>
      <c r="FW147">
        <v>25228.94</v>
      </c>
      <c r="FX147">
        <v>312.86</v>
      </c>
      <c r="HB147" s="6"/>
      <c r="HC147" s="6"/>
      <c r="HD147" s="6"/>
    </row>
    <row r="148" spans="1:212" x14ac:dyDescent="0.2">
      <c r="A148" s="8" t="s">
        <v>855</v>
      </c>
      <c r="B148" s="8" t="s">
        <v>363</v>
      </c>
      <c r="C148" s="8" t="s">
        <v>366</v>
      </c>
      <c r="D148" s="9">
        <v>3192126.52</v>
      </c>
      <c r="E148" s="9">
        <v>80988.13</v>
      </c>
      <c r="F148" s="9">
        <v>578355.98</v>
      </c>
      <c r="G148" s="9">
        <v>191891.38</v>
      </c>
      <c r="H148" s="9">
        <v>87023.57</v>
      </c>
      <c r="I148" s="9">
        <v>26967.14</v>
      </c>
      <c r="J148" s="9">
        <v>647016.75</v>
      </c>
      <c r="K148" s="9">
        <v>211445.72</v>
      </c>
      <c r="L148" s="9">
        <v>85305.21</v>
      </c>
      <c r="M148" s="9">
        <v>906684.24</v>
      </c>
      <c r="N148" s="9">
        <v>376448.4</v>
      </c>
      <c r="O148" s="9">
        <v>3551161.8109611189</v>
      </c>
      <c r="P148" s="9">
        <v>91390.992548294395</v>
      </c>
      <c r="Q148" s="9">
        <v>535001.03261663415</v>
      </c>
      <c r="R148" s="9">
        <v>206532.55298879489</v>
      </c>
      <c r="S148" s="9">
        <v>132367.81060983031</v>
      </c>
      <c r="T148" s="9">
        <v>28274.044615473402</v>
      </c>
      <c r="U148" s="9">
        <v>743933.89820287831</v>
      </c>
      <c r="V148" s="9">
        <v>235865.6066453456</v>
      </c>
      <c r="W148" s="9">
        <v>90143.3718326823</v>
      </c>
      <c r="X148" s="9">
        <v>1013014.345972118</v>
      </c>
      <c r="Y148" s="9">
        <v>474638.15492906811</v>
      </c>
      <c r="Z148" s="9">
        <v>3076659.9</v>
      </c>
      <c r="AA148" s="9">
        <v>2084859.2</v>
      </c>
      <c r="AB148" s="9">
        <v>411860.1</v>
      </c>
      <c r="AC148" s="9">
        <v>1260004.8</v>
      </c>
      <c r="AD148" s="9">
        <v>286948.90000000002</v>
      </c>
      <c r="AE148" s="9">
        <v>1403741.6</v>
      </c>
      <c r="AF148" s="9">
        <v>2370754.7000000002</v>
      </c>
      <c r="AG148" s="9">
        <v>3413650.7769356049</v>
      </c>
      <c r="AH148" s="9">
        <v>2312443.9668649128</v>
      </c>
      <c r="AI148" s="9">
        <v>460991.06033927487</v>
      </c>
      <c r="AJ148" s="9">
        <v>1273725.8438650339</v>
      </c>
      <c r="AK148" s="9">
        <v>352835.54154197237</v>
      </c>
      <c r="AL148" s="9">
        <v>1036981.9973292372</v>
      </c>
      <c r="AM148" s="9">
        <v>2023327.6330048279</v>
      </c>
      <c r="AN148" s="9">
        <v>1033958</v>
      </c>
      <c r="AO148" s="9">
        <v>537721</v>
      </c>
      <c r="AP148" s="9">
        <v>496237</v>
      </c>
      <c r="AQ148" s="9">
        <v>118791</v>
      </c>
      <c r="AR148" s="9">
        <v>63611</v>
      </c>
      <c r="AS148" s="9">
        <v>55180</v>
      </c>
      <c r="AT148" s="9">
        <v>632902</v>
      </c>
      <c r="AU148" s="9">
        <v>258546</v>
      </c>
      <c r="AV148" s="9">
        <v>374356</v>
      </c>
      <c r="AW148" s="9">
        <v>495.1</v>
      </c>
      <c r="AX148" s="9">
        <v>227.7</v>
      </c>
      <c r="AY148" s="9">
        <v>837.9</v>
      </c>
      <c r="AZ148" s="9">
        <v>467.7</v>
      </c>
      <c r="BA148" s="9">
        <v>476.7</v>
      </c>
      <c r="BB148" s="9"/>
      <c r="BC148" s="9">
        <v>375.3</v>
      </c>
      <c r="BD148" s="9">
        <v>320.39999999999998</v>
      </c>
      <c r="BE148" s="9">
        <v>484.9</v>
      </c>
      <c r="BF148" s="9">
        <v>370.5</v>
      </c>
      <c r="BG148" s="9"/>
      <c r="BH148" s="9">
        <v>1092.2</v>
      </c>
      <c r="BI148" s="9">
        <v>396.1</v>
      </c>
      <c r="BJ148" s="9">
        <v>433</v>
      </c>
      <c r="BK148" s="9">
        <v>449.4</v>
      </c>
      <c r="BL148" s="9"/>
      <c r="BM148" s="9">
        <v>355.2</v>
      </c>
      <c r="BN148" s="9">
        <v>382070.4</v>
      </c>
      <c r="BO148" s="9">
        <v>343672.3</v>
      </c>
      <c r="BP148" s="9">
        <v>77722.5</v>
      </c>
      <c r="BQ148" s="9">
        <v>48179.4</v>
      </c>
      <c r="BR148" s="9">
        <v>29541.8</v>
      </c>
      <c r="BS148" s="9">
        <v>52687.9</v>
      </c>
      <c r="BT148" s="9">
        <v>101737.4</v>
      </c>
      <c r="BU148" s="9">
        <v>19604.7</v>
      </c>
      <c r="BV148" s="9">
        <v>29297.200000000001</v>
      </c>
      <c r="BW148" s="9">
        <v>302640.8</v>
      </c>
      <c r="BX148" s="9">
        <v>20563.400000000001</v>
      </c>
      <c r="BY148" s="9">
        <v>60826.7</v>
      </c>
      <c r="BZ148" s="9">
        <v>98606.6</v>
      </c>
      <c r="CA148" s="9">
        <v>7346.3</v>
      </c>
      <c r="CB148" s="9">
        <v>6769</v>
      </c>
      <c r="CC148" s="9">
        <v>129092.2</v>
      </c>
      <c r="CD148" s="9">
        <v>0</v>
      </c>
      <c r="CE148" s="9">
        <v>99476</v>
      </c>
      <c r="CF148" s="9">
        <v>1488041.8796776719</v>
      </c>
      <c r="CG148" s="9">
        <v>6102589.0990717979</v>
      </c>
      <c r="CH148" s="9"/>
      <c r="CI148" s="9"/>
      <c r="CJ148" s="9">
        <v>17.892211519899998</v>
      </c>
      <c r="CK148" s="9">
        <v>12.352002390699999</v>
      </c>
      <c r="CL148" s="9">
        <v>12.75</v>
      </c>
      <c r="CM148" s="9">
        <v>74.242229068100002</v>
      </c>
      <c r="CN148" s="9">
        <v>24.0588392109</v>
      </c>
      <c r="CO148" s="9">
        <v>2.1257495988000001</v>
      </c>
      <c r="CP148" s="9">
        <v>11.9290913634</v>
      </c>
      <c r="CQ148" s="9">
        <v>8.5949433318999997</v>
      </c>
      <c r="CR148" s="9">
        <v>3.2575223697000002</v>
      </c>
      <c r="CS148" s="9">
        <v>2.3989519829999999</v>
      </c>
      <c r="CT148" s="9">
        <v>9.2028174232000008</v>
      </c>
      <c r="CU148" s="9">
        <v>2.7878579275000002</v>
      </c>
      <c r="CV148" s="9">
        <v>1.8555764479000001</v>
      </c>
      <c r="CW148" s="9">
        <v>3.2941758488000001</v>
      </c>
      <c r="CX148" s="9">
        <v>1.9505094427</v>
      </c>
      <c r="CY148" s="9">
        <v>2.7861941204999998</v>
      </c>
      <c r="CZ148" s="9">
        <v>360</v>
      </c>
      <c r="DA148" s="9">
        <v>339</v>
      </c>
      <c r="DB148" s="9">
        <v>7</v>
      </c>
      <c r="DC148" s="9">
        <v>73</v>
      </c>
      <c r="DD148" s="9">
        <v>23</v>
      </c>
      <c r="DE148" s="9">
        <v>13</v>
      </c>
      <c r="DF148" s="9">
        <v>180</v>
      </c>
      <c r="DG148" s="9">
        <v>27</v>
      </c>
      <c r="DH148" s="9">
        <v>13</v>
      </c>
      <c r="DI148" s="9">
        <v>0</v>
      </c>
      <c r="DJ148" s="9">
        <v>4</v>
      </c>
      <c r="DK148" s="9">
        <v>6</v>
      </c>
      <c r="DL148" s="9">
        <v>0</v>
      </c>
      <c r="DM148" s="9">
        <v>6</v>
      </c>
      <c r="DN148" s="9">
        <v>0</v>
      </c>
      <c r="DO148" s="9">
        <v>543.22</v>
      </c>
      <c r="DP148" s="9">
        <v>127.21</v>
      </c>
      <c r="DQ148" s="9">
        <v>50.07</v>
      </c>
      <c r="DR148" s="9">
        <v>77.13</v>
      </c>
      <c r="DS148" s="9">
        <v>31.1</v>
      </c>
      <c r="DT148" s="9">
        <v>2.65</v>
      </c>
      <c r="DU148" s="9">
        <v>289.62</v>
      </c>
      <c r="DV148" s="9">
        <v>205.52</v>
      </c>
      <c r="DW148" s="9">
        <v>59.54</v>
      </c>
      <c r="DX148" s="9">
        <v>95.22</v>
      </c>
      <c r="DY148" s="9">
        <v>49.49</v>
      </c>
      <c r="DZ148" s="9">
        <v>30.74</v>
      </c>
      <c r="EA148" s="9">
        <v>-452.29700000000003</v>
      </c>
      <c r="EB148" s="9">
        <v>-245.316</v>
      </c>
      <c r="EC148" s="9">
        <v>-160.71</v>
      </c>
      <c r="ED148" s="9">
        <v>-77.099800000000002</v>
      </c>
      <c r="EE148" s="9">
        <v>30.829059999999998</v>
      </c>
      <c r="EF148" s="9">
        <v>15.77172</v>
      </c>
      <c r="EG148" s="9">
        <v>-946.87699999999995</v>
      </c>
      <c r="EH148" s="9">
        <v>-376.58800000000002</v>
      </c>
      <c r="EI148" s="9">
        <v>-576.29200000000003</v>
      </c>
      <c r="EJ148" s="9">
        <v>0</v>
      </c>
      <c r="EK148" s="9">
        <v>6.0033659999999998</v>
      </c>
      <c r="EL148" s="9">
        <v>-29.335999999999999</v>
      </c>
      <c r="EM148" s="9">
        <v>481.01620000000003</v>
      </c>
      <c r="EN148" s="9">
        <v>2904.6</v>
      </c>
      <c r="EO148" s="9"/>
      <c r="EP148" s="9"/>
      <c r="EQ148" s="9"/>
      <c r="ER148" s="9"/>
      <c r="ES148" s="9"/>
      <c r="ET148" s="9"/>
      <c r="EU148">
        <v>1333.28</v>
      </c>
      <c r="EV148" s="9">
        <v>12509.72</v>
      </c>
      <c r="EW148" s="9">
        <v>2033.19</v>
      </c>
      <c r="EX148" s="9">
        <v>340.21</v>
      </c>
      <c r="EY148" s="9">
        <v>699.87</v>
      </c>
      <c r="EZ148" s="9">
        <v>2635.92</v>
      </c>
      <c r="FA148" s="9">
        <v>6800.53</v>
      </c>
      <c r="FB148" s="9">
        <v>114.150974026</v>
      </c>
      <c r="FC148" s="9">
        <v>124.92863636360001</v>
      </c>
      <c r="FD148" s="9">
        <v>8470.7840909090992</v>
      </c>
      <c r="FE148" s="9">
        <v>144.66363636360001</v>
      </c>
      <c r="FF148" s="9">
        <v>1673.7727272727</v>
      </c>
      <c r="FG148">
        <v>5769963.2100000009</v>
      </c>
      <c r="FH148">
        <v>5741473.5200000005</v>
      </c>
      <c r="FI148">
        <v>28489.69</v>
      </c>
      <c r="FJ148" s="9">
        <v>6688442.3200000003</v>
      </c>
      <c r="FK148">
        <v>5522923.3100000005</v>
      </c>
      <c r="FL148" s="9">
        <v>1165519.01</v>
      </c>
      <c r="FM148" s="9">
        <v>9351915.4399999995</v>
      </c>
      <c r="FN148" s="9">
        <v>737720.25</v>
      </c>
      <c r="FO148">
        <v>1318.8</v>
      </c>
      <c r="FP148">
        <v>156.41</v>
      </c>
      <c r="FQ148">
        <v>49.63</v>
      </c>
      <c r="FR148">
        <v>338.03</v>
      </c>
      <c r="FS148">
        <v>13.22</v>
      </c>
      <c r="FT148">
        <v>1691.29</v>
      </c>
      <c r="FU148">
        <v>248.81</v>
      </c>
      <c r="FV148">
        <v>232.02</v>
      </c>
      <c r="FW148">
        <v>46172.62</v>
      </c>
      <c r="FX148">
        <v>276.83</v>
      </c>
      <c r="HB148" s="6"/>
      <c r="HC148" s="6"/>
      <c r="HD148" s="6"/>
    </row>
    <row r="149" spans="1:212" x14ac:dyDescent="0.2">
      <c r="A149" s="8" t="s">
        <v>855</v>
      </c>
      <c r="B149" s="8" t="s">
        <v>367</v>
      </c>
      <c r="C149" s="8" t="s">
        <v>368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>
        <v>417556.2</v>
      </c>
      <c r="BO149" s="9">
        <v>363701.1</v>
      </c>
      <c r="BP149" s="9">
        <v>88834.8</v>
      </c>
      <c r="BQ149" s="9">
        <v>64238.3</v>
      </c>
      <c r="BR149" s="9">
        <v>24596.5</v>
      </c>
      <c r="BS149" s="9">
        <v>56011.5</v>
      </c>
      <c r="BT149" s="9">
        <v>110763.2</v>
      </c>
      <c r="BU149" s="9">
        <v>18546.3</v>
      </c>
      <c r="BV149" s="9">
        <v>51643.4</v>
      </c>
      <c r="BW149" s="9">
        <v>369420</v>
      </c>
      <c r="BX149" s="9">
        <v>1959.4</v>
      </c>
      <c r="BY149" s="9">
        <v>61764.5</v>
      </c>
      <c r="BZ149" s="9">
        <v>89396.3</v>
      </c>
      <c r="CA149" s="9">
        <v>3395</v>
      </c>
      <c r="CB149" s="9">
        <v>6323</v>
      </c>
      <c r="CC149" s="9">
        <v>208541.2</v>
      </c>
      <c r="CD149" s="9">
        <v>0</v>
      </c>
      <c r="CE149" s="9">
        <v>37549.300000000003</v>
      </c>
      <c r="CF149" s="9">
        <v>1595684.8301776813</v>
      </c>
      <c r="CG149" s="9">
        <v>6360705.3575873692</v>
      </c>
      <c r="CH149" s="9"/>
      <c r="CI149" s="9"/>
      <c r="CJ149" s="9">
        <v>18.4475181277</v>
      </c>
      <c r="CK149" s="9">
        <v>12.3906593119</v>
      </c>
      <c r="CL149" s="9">
        <v>13.25</v>
      </c>
      <c r="CM149" s="9">
        <v>74.622601649700002</v>
      </c>
      <c r="CN149" s="9">
        <v>24.236446003699999</v>
      </c>
      <c r="CO149" s="9">
        <v>2.1348289732999999</v>
      </c>
      <c r="CP149" s="9">
        <v>12.163314210599999</v>
      </c>
      <c r="CQ149" s="9">
        <v>8.6380310585999993</v>
      </c>
      <c r="CR149" s="9">
        <v>3.2798095256000002</v>
      </c>
      <c r="CS149" s="9">
        <v>2.4066098172000001</v>
      </c>
      <c r="CT149" s="9">
        <v>9.0299209937999994</v>
      </c>
      <c r="CU149" s="9">
        <v>2.7884557894999999</v>
      </c>
      <c r="CV149" s="9">
        <v>1.8661058952</v>
      </c>
      <c r="CW149" s="9">
        <v>3.2941758488000001</v>
      </c>
      <c r="CX149" s="9">
        <v>1.9889461698999999</v>
      </c>
      <c r="CY149" s="9">
        <v>2.7959573635999999</v>
      </c>
      <c r="CZ149" s="9">
        <v>412</v>
      </c>
      <c r="DA149" s="9">
        <v>374</v>
      </c>
      <c r="DB149" s="9">
        <v>6</v>
      </c>
      <c r="DC149" s="9">
        <v>73</v>
      </c>
      <c r="DD149" s="9">
        <v>34</v>
      </c>
      <c r="DE149" s="9">
        <v>9</v>
      </c>
      <c r="DF149" s="9">
        <v>212</v>
      </c>
      <c r="DG149" s="9">
        <v>28</v>
      </c>
      <c r="DH149" s="9">
        <v>32</v>
      </c>
      <c r="DI149" s="9">
        <v>0</v>
      </c>
      <c r="DJ149" s="9">
        <v>1</v>
      </c>
      <c r="DK149" s="9">
        <v>30</v>
      </c>
      <c r="DL149" s="9">
        <v>0</v>
      </c>
      <c r="DM149" s="9">
        <v>7</v>
      </c>
      <c r="DN149" s="9">
        <v>0</v>
      </c>
      <c r="DO149" s="9">
        <v>587.70000000000005</v>
      </c>
      <c r="DP149" s="9">
        <v>120.58</v>
      </c>
      <c r="DQ149" s="9">
        <v>58.16</v>
      </c>
      <c r="DR149" s="9">
        <v>62.42</v>
      </c>
      <c r="DS149" s="9">
        <v>34.89</v>
      </c>
      <c r="DT149" s="9">
        <v>1.59</v>
      </c>
      <c r="DU149" s="9">
        <v>323.64</v>
      </c>
      <c r="DV149" s="9">
        <v>216.07</v>
      </c>
      <c r="DW149" s="9">
        <v>68.739999999999995</v>
      </c>
      <c r="DX149" s="9">
        <v>107.9</v>
      </c>
      <c r="DY149" s="9">
        <v>80.05</v>
      </c>
      <c r="DZ149" s="9">
        <v>14</v>
      </c>
      <c r="EA149" s="9">
        <v>-424.90699999999998</v>
      </c>
      <c r="EB149" s="9">
        <v>-263.726</v>
      </c>
      <c r="EC149" s="9">
        <v>-104.35299999999999</v>
      </c>
      <c r="ED149" s="9">
        <v>-75.614800000000002</v>
      </c>
      <c r="EE149" s="9">
        <v>18.787680000000002</v>
      </c>
      <c r="EF149" s="9">
        <v>9.8472340000000003</v>
      </c>
      <c r="EG149" s="9">
        <v>-346.63400000000001</v>
      </c>
      <c r="EH149" s="9">
        <v>-447.03800000000001</v>
      </c>
      <c r="EI149" s="9">
        <v>0.25143900000000002</v>
      </c>
      <c r="EJ149" s="9">
        <v>0</v>
      </c>
      <c r="EK149" s="9">
        <v>100.15300000000001</v>
      </c>
      <c r="EL149" s="9">
        <v>110.038</v>
      </c>
      <c r="EM149" s="9">
        <v>41.612470000000002</v>
      </c>
      <c r="EN149" s="9">
        <v>2922.7</v>
      </c>
      <c r="EO149" s="9"/>
      <c r="EP149" s="9"/>
      <c r="EQ149" s="9"/>
      <c r="ER149" s="9"/>
      <c r="ES149" s="9"/>
      <c r="ET149" s="9"/>
      <c r="EU149">
        <v>1313.13</v>
      </c>
      <c r="EV149" s="9"/>
      <c r="EW149" s="9"/>
      <c r="EX149" s="9"/>
      <c r="EY149" s="9"/>
      <c r="EZ149" s="9"/>
      <c r="FA149" s="9"/>
      <c r="FB149" s="9">
        <v>110.3537593985</v>
      </c>
      <c r="FC149" s="9">
        <v>120.59095238099999</v>
      </c>
      <c r="FD149" s="9">
        <v>8285.5263157895006</v>
      </c>
      <c r="FE149" s="9">
        <v>147.6473684211</v>
      </c>
      <c r="FF149" s="9">
        <v>1650.0657894737001</v>
      </c>
      <c r="FG149">
        <v>5924404.1800000006</v>
      </c>
      <c r="FH149">
        <v>5895950.1900000004</v>
      </c>
      <c r="FI149">
        <v>28453.99</v>
      </c>
      <c r="FJ149" s="9">
        <v>6831205.9199999999</v>
      </c>
      <c r="FK149">
        <v>5718555.3600000003</v>
      </c>
      <c r="FL149" s="9">
        <v>1112650.56</v>
      </c>
      <c r="FM149" s="9">
        <v>9401897.7200000007</v>
      </c>
      <c r="FN149" s="9">
        <v>764305.05</v>
      </c>
      <c r="FO149">
        <v>1316.11</v>
      </c>
      <c r="FP149">
        <v>114.39</v>
      </c>
      <c r="FQ149">
        <v>47.46</v>
      </c>
      <c r="FR149">
        <v>510.4</v>
      </c>
      <c r="FS149">
        <v>8.75</v>
      </c>
      <c r="FT149">
        <v>1938.51</v>
      </c>
      <c r="FU149">
        <v>264.70999999999998</v>
      </c>
      <c r="FV149">
        <v>73</v>
      </c>
      <c r="FW149">
        <v>10454.82</v>
      </c>
      <c r="FX149">
        <v>681.9</v>
      </c>
      <c r="HB149" s="6"/>
      <c r="HC149" s="6"/>
      <c r="HD149" s="6"/>
    </row>
    <row r="150" spans="1:212" x14ac:dyDescent="0.2">
      <c r="A150" s="8" t="s">
        <v>855</v>
      </c>
      <c r="B150" s="8" t="s">
        <v>367</v>
      </c>
      <c r="C150" s="8" t="s">
        <v>369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>
        <v>370977</v>
      </c>
      <c r="BO150" s="9">
        <v>328709.7</v>
      </c>
      <c r="BP150" s="9">
        <v>35560.9</v>
      </c>
      <c r="BQ150" s="9">
        <v>10768.9</v>
      </c>
      <c r="BR150" s="9">
        <v>24792</v>
      </c>
      <c r="BS150" s="9">
        <v>57333.8</v>
      </c>
      <c r="BT150" s="9">
        <v>105765</v>
      </c>
      <c r="BU150" s="9">
        <v>15835.2</v>
      </c>
      <c r="BV150" s="9">
        <v>24608.6</v>
      </c>
      <c r="BW150" s="9">
        <v>550380.6</v>
      </c>
      <c r="BX150" s="9">
        <v>11996.1</v>
      </c>
      <c r="BY150" s="9">
        <v>80562.899999999994</v>
      </c>
      <c r="BZ150" s="9">
        <v>106624.4</v>
      </c>
      <c r="CA150" s="9">
        <v>12634.4</v>
      </c>
      <c r="CB150" s="9">
        <v>9126.7999999999993</v>
      </c>
      <c r="CC150" s="9">
        <v>341432.2</v>
      </c>
      <c r="CD150" s="9">
        <v>0</v>
      </c>
      <c r="CE150" s="9">
        <v>148355.70000000001</v>
      </c>
      <c r="CF150" s="9">
        <v>1741236.817446711</v>
      </c>
      <c r="CG150" s="9">
        <v>6727359.7347476352</v>
      </c>
      <c r="CH150" s="9"/>
      <c r="CI150" s="9"/>
      <c r="CJ150" s="9">
        <v>18.5605582096</v>
      </c>
      <c r="CK150" s="9">
        <v>12.9407915637</v>
      </c>
      <c r="CL150" s="9">
        <v>13.25</v>
      </c>
      <c r="CM150" s="9">
        <v>75.340242111799995</v>
      </c>
      <c r="CN150" s="9">
        <v>24.546458274700001</v>
      </c>
      <c r="CO150" s="9">
        <v>2.1429635274000001</v>
      </c>
      <c r="CP150" s="9">
        <v>12.260837199399999</v>
      </c>
      <c r="CQ150" s="9">
        <v>8.8482187807999999</v>
      </c>
      <c r="CR150" s="9">
        <v>3.2860154795000001</v>
      </c>
      <c r="CS150" s="9">
        <v>2.4118974874000001</v>
      </c>
      <c r="CT150" s="9">
        <v>9.0521174484000007</v>
      </c>
      <c r="CU150" s="9">
        <v>2.7783390297000001</v>
      </c>
      <c r="CV150" s="9">
        <v>1.8627400456000001</v>
      </c>
      <c r="CW150" s="9">
        <v>3.2941758488000001</v>
      </c>
      <c r="CX150" s="9">
        <v>2.0427933262</v>
      </c>
      <c r="CY150" s="9">
        <v>2.8136856639999999</v>
      </c>
      <c r="CZ150" s="9">
        <v>486</v>
      </c>
      <c r="DA150" s="9">
        <v>436</v>
      </c>
      <c r="DB150" s="9">
        <v>13</v>
      </c>
      <c r="DC150" s="9">
        <v>77</v>
      </c>
      <c r="DD150" s="9">
        <v>30</v>
      </c>
      <c r="DE150" s="9">
        <v>9</v>
      </c>
      <c r="DF150" s="9">
        <v>265</v>
      </c>
      <c r="DG150" s="9">
        <v>29</v>
      </c>
      <c r="DH150" s="9">
        <v>45</v>
      </c>
      <c r="DI150" s="9">
        <v>0</v>
      </c>
      <c r="DJ150" s="9">
        <v>1</v>
      </c>
      <c r="DK150" s="9">
        <v>41</v>
      </c>
      <c r="DL150" s="9">
        <v>0</v>
      </c>
      <c r="DM150" s="9">
        <v>5</v>
      </c>
      <c r="DN150" s="9">
        <v>0</v>
      </c>
      <c r="DO150" s="9">
        <v>656.08</v>
      </c>
      <c r="DP150" s="9">
        <v>137.46</v>
      </c>
      <c r="DQ150" s="9">
        <v>64.599999999999994</v>
      </c>
      <c r="DR150" s="9">
        <v>72.849999999999994</v>
      </c>
      <c r="DS150" s="9">
        <v>48.76</v>
      </c>
      <c r="DT150" s="9">
        <v>1.4</v>
      </c>
      <c r="DU150" s="9">
        <v>368.58</v>
      </c>
      <c r="DV150" s="9">
        <v>242.22</v>
      </c>
      <c r="DW150" s="9">
        <v>92.28</v>
      </c>
      <c r="DX150" s="9">
        <v>100.93</v>
      </c>
      <c r="DY150" s="9">
        <v>67.87</v>
      </c>
      <c r="DZ150" s="9">
        <v>14.18</v>
      </c>
      <c r="EA150" s="9">
        <v>-570.01300000000003</v>
      </c>
      <c r="EB150" s="9">
        <v>-335.41500000000002</v>
      </c>
      <c r="EC150" s="9">
        <v>-173.75899999999999</v>
      </c>
      <c r="ED150" s="9">
        <v>-89.037199999999999</v>
      </c>
      <c r="EE150" s="9">
        <v>28.198309999999999</v>
      </c>
      <c r="EF150" s="9">
        <v>8.6662599999999994</v>
      </c>
      <c r="EG150" s="9">
        <v>-281.47800000000001</v>
      </c>
      <c r="EH150" s="9">
        <v>-462.32799999999997</v>
      </c>
      <c r="EI150" s="9">
        <v>2.1289560000000001</v>
      </c>
      <c r="EJ150" s="9">
        <v>0</v>
      </c>
      <c r="EK150" s="9">
        <v>178.7209</v>
      </c>
      <c r="EL150" s="9">
        <v>178.28809999999999</v>
      </c>
      <c r="EM150" s="9">
        <v>-101.581</v>
      </c>
      <c r="EN150" s="9">
        <v>2874.7</v>
      </c>
      <c r="EO150" s="9"/>
      <c r="EP150" s="9"/>
      <c r="EQ150" s="9"/>
      <c r="ER150" s="9"/>
      <c r="ES150" s="9"/>
      <c r="ET150" s="9"/>
      <c r="EU150">
        <v>1318.03</v>
      </c>
      <c r="EV150" s="9"/>
      <c r="EW150" s="9"/>
      <c r="EX150" s="9"/>
      <c r="EY150" s="9"/>
      <c r="EZ150" s="9"/>
      <c r="FA150" s="9"/>
      <c r="FB150" s="9">
        <v>103.8194805195</v>
      </c>
      <c r="FC150" s="9">
        <v>110.52173913039999</v>
      </c>
      <c r="FD150" s="9">
        <v>7896.9090909091001</v>
      </c>
      <c r="FE150" s="9">
        <v>136.2727272727</v>
      </c>
      <c r="FF150" s="9">
        <v>1585.5045454545</v>
      </c>
      <c r="FG150">
        <v>6097888.4000000004</v>
      </c>
      <c r="FH150">
        <v>6069029.4500000002</v>
      </c>
      <c r="FI150">
        <v>28858.95</v>
      </c>
      <c r="FJ150" s="9">
        <v>7130606.1100000003</v>
      </c>
      <c r="FK150">
        <v>5970525.5800000001</v>
      </c>
      <c r="FL150" s="9">
        <v>1160080.53</v>
      </c>
      <c r="FM150" s="9">
        <v>9723730.8200000003</v>
      </c>
      <c r="FN150" s="9">
        <v>785990.24</v>
      </c>
      <c r="FO150">
        <v>1316</v>
      </c>
      <c r="FP150">
        <v>303.12</v>
      </c>
      <c r="FQ150">
        <v>49.91</v>
      </c>
      <c r="FR150">
        <v>458.8</v>
      </c>
      <c r="FS150">
        <v>9.01</v>
      </c>
      <c r="FT150">
        <v>2460.2199999999998</v>
      </c>
      <c r="FU150">
        <v>305.83999999999997</v>
      </c>
      <c r="FV150">
        <v>26.41</v>
      </c>
      <c r="FW150">
        <v>6577.79</v>
      </c>
      <c r="FX150">
        <v>1081.08</v>
      </c>
      <c r="HB150" s="6"/>
      <c r="HC150" s="6"/>
      <c r="HD150" s="6"/>
    </row>
    <row r="151" spans="1:212" x14ac:dyDescent="0.2">
      <c r="A151" s="8" t="s">
        <v>855</v>
      </c>
      <c r="B151" s="8" t="s">
        <v>367</v>
      </c>
      <c r="C151" s="8" t="s">
        <v>370</v>
      </c>
      <c r="D151" s="9">
        <v>4543685.33</v>
      </c>
      <c r="E151" s="9">
        <v>765097.08</v>
      </c>
      <c r="F151" s="9">
        <v>749823.31</v>
      </c>
      <c r="G151" s="9">
        <v>333025.07</v>
      </c>
      <c r="H151" s="9">
        <v>70196.13</v>
      </c>
      <c r="I151" s="9">
        <v>139375.67999999999</v>
      </c>
      <c r="J151" s="9">
        <v>467461.15</v>
      </c>
      <c r="K151" s="9">
        <v>248103.81</v>
      </c>
      <c r="L151" s="9">
        <v>96500.78</v>
      </c>
      <c r="M151" s="9">
        <v>1109493.8600000001</v>
      </c>
      <c r="N151" s="9">
        <v>564608.43999999994</v>
      </c>
      <c r="O151" s="9">
        <v>5054737.5625074757</v>
      </c>
      <c r="P151" s="9">
        <v>866581.54695382016</v>
      </c>
      <c r="Q151" s="9">
        <v>696192.27010054223</v>
      </c>
      <c r="R151" s="9">
        <v>359766.60288396379</v>
      </c>
      <c r="S151" s="9">
        <v>107169.08663577661</v>
      </c>
      <c r="T151" s="9">
        <v>146673.25099888461</v>
      </c>
      <c r="U151" s="9">
        <v>539479.8366310175</v>
      </c>
      <c r="V151" s="9">
        <v>277785.78771283111</v>
      </c>
      <c r="W151" s="9">
        <v>102352.8490296032</v>
      </c>
      <c r="X151" s="9">
        <v>1244214.624574801</v>
      </c>
      <c r="Y151" s="9">
        <v>714521.70698623417</v>
      </c>
      <c r="Z151" s="9">
        <v>4595194.9000000004</v>
      </c>
      <c r="AA151" s="9">
        <v>2287804.7999999998</v>
      </c>
      <c r="AB151" s="9">
        <v>583777.19999999995</v>
      </c>
      <c r="AC151" s="9">
        <v>2053876.5</v>
      </c>
      <c r="AD151" s="9">
        <v>464459.1</v>
      </c>
      <c r="AE151" s="9">
        <v>2107773.9</v>
      </c>
      <c r="AF151" s="9">
        <v>2902496.6</v>
      </c>
      <c r="AG151" s="9">
        <v>5098513.046747718</v>
      </c>
      <c r="AH151" s="9">
        <v>2630558.8542978158</v>
      </c>
      <c r="AI151" s="9">
        <v>677367.69497185503</v>
      </c>
      <c r="AJ151" s="9">
        <v>2152348.8139064661</v>
      </c>
      <c r="AK151" s="9">
        <v>592038.30427225004</v>
      </c>
      <c r="AL151" s="9">
        <v>1614145.341872737</v>
      </c>
      <c r="AM151" s="9">
        <v>2567945.9625734049</v>
      </c>
      <c r="AN151" s="9">
        <v>1058363</v>
      </c>
      <c r="AO151" s="9">
        <v>547568</v>
      </c>
      <c r="AP151" s="9">
        <v>510795</v>
      </c>
      <c r="AQ151" s="9">
        <v>96920</v>
      </c>
      <c r="AR151" s="9">
        <v>50817</v>
      </c>
      <c r="AS151" s="9">
        <v>46103</v>
      </c>
      <c r="AT151" s="9">
        <v>662254</v>
      </c>
      <c r="AU151" s="9">
        <v>273228</v>
      </c>
      <c r="AV151" s="9">
        <v>389026</v>
      </c>
      <c r="AW151" s="9">
        <v>571.1</v>
      </c>
      <c r="AX151" s="9">
        <v>228.7</v>
      </c>
      <c r="AY151" s="9">
        <v>887.2</v>
      </c>
      <c r="AZ151" s="9">
        <v>493.4</v>
      </c>
      <c r="BA151" s="9">
        <v>550.20000000000005</v>
      </c>
      <c r="BB151" s="9"/>
      <c r="BC151" s="9">
        <v>488.4</v>
      </c>
      <c r="BD151" s="9">
        <v>352.1</v>
      </c>
      <c r="BE151" s="9">
        <v>522.9</v>
      </c>
      <c r="BF151" s="9">
        <v>340.2</v>
      </c>
      <c r="BG151" s="9"/>
      <c r="BH151" s="9">
        <v>977.5</v>
      </c>
      <c r="BI151" s="9">
        <v>508.9</v>
      </c>
      <c r="BJ151" s="9">
        <v>624.9</v>
      </c>
      <c r="BK151" s="9">
        <v>565.5</v>
      </c>
      <c r="BL151" s="9"/>
      <c r="BM151" s="9">
        <v>445.3</v>
      </c>
      <c r="BN151" s="9">
        <v>535323</v>
      </c>
      <c r="BO151" s="9">
        <v>477055</v>
      </c>
      <c r="BP151" s="9">
        <v>54110.6</v>
      </c>
      <c r="BQ151" s="9">
        <v>25775.5</v>
      </c>
      <c r="BR151" s="9">
        <v>28335.200000000001</v>
      </c>
      <c r="BS151" s="9">
        <v>67634.8</v>
      </c>
      <c r="BT151" s="9">
        <v>103252.7</v>
      </c>
      <c r="BU151" s="9">
        <v>25177</v>
      </c>
      <c r="BV151" s="9">
        <v>56638.3</v>
      </c>
      <c r="BW151" s="9">
        <v>500199.3</v>
      </c>
      <c r="BX151" s="9">
        <v>2683.8</v>
      </c>
      <c r="BY151" s="9">
        <v>78038</v>
      </c>
      <c r="BZ151" s="9">
        <v>132965</v>
      </c>
      <c r="CA151" s="9">
        <v>18355.7</v>
      </c>
      <c r="CB151" s="9">
        <v>7493.5</v>
      </c>
      <c r="CC151" s="9">
        <v>263346.90000000002</v>
      </c>
      <c r="CD151" s="9">
        <v>0</v>
      </c>
      <c r="CE151" s="9">
        <v>202708.1</v>
      </c>
      <c r="CF151" s="9">
        <v>1797054.5797628013</v>
      </c>
      <c r="CG151" s="9">
        <v>7048915.5455523096</v>
      </c>
      <c r="CH151" s="9"/>
      <c r="CI151" s="9"/>
      <c r="CJ151" s="9">
        <v>17.931837766000001</v>
      </c>
      <c r="CK151" s="9">
        <v>12.9350435154</v>
      </c>
      <c r="CL151" s="9">
        <v>13.25</v>
      </c>
      <c r="CM151" s="9">
        <v>75.709236516600001</v>
      </c>
      <c r="CN151" s="9">
        <v>24.680804613999999</v>
      </c>
      <c r="CO151" s="9">
        <v>2.1500877991</v>
      </c>
      <c r="CP151" s="9">
        <v>12.331988235800001</v>
      </c>
      <c r="CQ151" s="9">
        <v>8.9629476686</v>
      </c>
      <c r="CR151" s="9">
        <v>3.3090373283000001</v>
      </c>
      <c r="CS151" s="9">
        <v>2.4160820282</v>
      </c>
      <c r="CT151" s="9">
        <v>9.0554050514999993</v>
      </c>
      <c r="CU151" s="9">
        <v>2.7742919953</v>
      </c>
      <c r="CV151" s="9">
        <v>1.8525591023000001</v>
      </c>
      <c r="CW151" s="9">
        <v>3.2941758488000001</v>
      </c>
      <c r="CX151" s="9">
        <v>2.0560488178999998</v>
      </c>
      <c r="CY151" s="9">
        <v>2.8258080266999999</v>
      </c>
      <c r="CZ151" s="9">
        <v>484</v>
      </c>
      <c r="DA151" s="9">
        <v>439</v>
      </c>
      <c r="DB151" s="9">
        <v>7</v>
      </c>
      <c r="DC151" s="9">
        <v>75</v>
      </c>
      <c r="DD151" s="9">
        <v>75</v>
      </c>
      <c r="DE151" s="9">
        <v>8</v>
      </c>
      <c r="DF151" s="9">
        <v>241</v>
      </c>
      <c r="DG151" s="9">
        <v>19</v>
      </c>
      <c r="DH151" s="9">
        <v>36</v>
      </c>
      <c r="DI151" s="9">
        <v>0</v>
      </c>
      <c r="DJ151" s="9">
        <v>1</v>
      </c>
      <c r="DK151" s="9">
        <v>34</v>
      </c>
      <c r="DL151" s="9">
        <v>0</v>
      </c>
      <c r="DM151" s="9">
        <v>8</v>
      </c>
      <c r="DN151" s="9">
        <v>0</v>
      </c>
      <c r="DO151" s="9">
        <v>582.47</v>
      </c>
      <c r="DP151" s="9">
        <v>138.94999999999999</v>
      </c>
      <c r="DQ151" s="9">
        <v>64.98</v>
      </c>
      <c r="DR151" s="9">
        <v>73.97</v>
      </c>
      <c r="DS151" s="9">
        <v>44.21</v>
      </c>
      <c r="DT151" s="9">
        <v>2.5</v>
      </c>
      <c r="DU151" s="9">
        <v>318.24</v>
      </c>
      <c r="DV151" s="9">
        <v>198.5</v>
      </c>
      <c r="DW151" s="9">
        <v>86.9</v>
      </c>
      <c r="DX151" s="9">
        <v>73.56</v>
      </c>
      <c r="DY151" s="9">
        <v>48.02</v>
      </c>
      <c r="DZ151" s="9">
        <v>12.45</v>
      </c>
      <c r="EA151" s="9">
        <v>-278.14299999999997</v>
      </c>
      <c r="EB151" s="9">
        <v>-120.583</v>
      </c>
      <c r="EC151" s="9">
        <v>-97.874600000000001</v>
      </c>
      <c r="ED151" s="9">
        <v>-96.1203</v>
      </c>
      <c r="EE151" s="9">
        <v>36.434980000000003</v>
      </c>
      <c r="EF151" s="9">
        <v>12.14138</v>
      </c>
      <c r="EG151" s="9">
        <v>-513.28200000000004</v>
      </c>
      <c r="EH151" s="9">
        <v>-438.17899999999997</v>
      </c>
      <c r="EI151" s="9">
        <v>-3.8789699999999998</v>
      </c>
      <c r="EJ151" s="9">
        <v>0</v>
      </c>
      <c r="EK151" s="9">
        <v>-71.224699999999999</v>
      </c>
      <c r="EL151" s="9">
        <v>-200.673</v>
      </c>
      <c r="EM151" s="9">
        <v>46.607430000000001</v>
      </c>
      <c r="EN151" s="9">
        <v>2908.2</v>
      </c>
      <c r="EO151" s="9"/>
      <c r="EP151" s="9"/>
      <c r="EQ151" s="9"/>
      <c r="ER151" s="9"/>
      <c r="ES151" s="9"/>
      <c r="ET151" s="9"/>
      <c r="EU151">
        <v>1328.01</v>
      </c>
      <c r="EV151" s="9">
        <v>13160.64</v>
      </c>
      <c r="EW151" s="9">
        <v>2010.08</v>
      </c>
      <c r="EX151" s="9">
        <v>264.45999999999998</v>
      </c>
      <c r="EY151" s="9">
        <v>779.21</v>
      </c>
      <c r="EZ151" s="9">
        <v>2690.77</v>
      </c>
      <c r="FA151" s="9">
        <v>7416.12</v>
      </c>
      <c r="FB151" s="9">
        <v>92.754699248099996</v>
      </c>
      <c r="FC151" s="9">
        <v>95.589047618999999</v>
      </c>
      <c r="FD151" s="9">
        <v>7428.2894736841999</v>
      </c>
      <c r="FE151" s="9">
        <v>134.62105263160001</v>
      </c>
      <c r="FF151" s="9">
        <v>1596.697368421</v>
      </c>
      <c r="FG151">
        <v>6295105.4899999993</v>
      </c>
      <c r="FH151">
        <v>6266024.6099999994</v>
      </c>
      <c r="FI151">
        <v>29080.880000000001</v>
      </c>
      <c r="FJ151" s="9">
        <v>7381606.9900000002</v>
      </c>
      <c r="FK151">
        <v>6186294.5399999991</v>
      </c>
      <c r="FL151" s="9">
        <v>1195312.45</v>
      </c>
      <c r="FM151" s="9">
        <v>10348905.720000001</v>
      </c>
      <c r="FN151" s="9">
        <v>851031.81</v>
      </c>
      <c r="FO151">
        <v>1342.23</v>
      </c>
      <c r="FP151">
        <v>158.85</v>
      </c>
      <c r="FQ151">
        <v>49.61</v>
      </c>
      <c r="FR151">
        <v>744.08</v>
      </c>
      <c r="FS151">
        <v>9.01</v>
      </c>
      <c r="FT151">
        <v>2484.67</v>
      </c>
      <c r="FU151">
        <v>219.97</v>
      </c>
      <c r="FV151">
        <v>0.35</v>
      </c>
      <c r="FW151">
        <v>11587.86</v>
      </c>
      <c r="FX151">
        <v>761.58</v>
      </c>
      <c r="HB151" s="6"/>
      <c r="HC151" s="6"/>
      <c r="HD151" s="6"/>
    </row>
    <row r="152" spans="1:212" x14ac:dyDescent="0.2">
      <c r="A152" s="8" t="s">
        <v>855</v>
      </c>
      <c r="B152" s="8" t="s">
        <v>371</v>
      </c>
      <c r="C152" s="8" t="s">
        <v>372</v>
      </c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>
        <v>389272.7</v>
      </c>
      <c r="BO152" s="9">
        <v>342968.6</v>
      </c>
      <c r="BP152" s="9">
        <v>92496.5</v>
      </c>
      <c r="BQ152" s="9">
        <v>65692.7</v>
      </c>
      <c r="BR152" s="9">
        <v>26758.6</v>
      </c>
      <c r="BS152" s="9">
        <v>49520.3</v>
      </c>
      <c r="BT152" s="9">
        <v>113766.5</v>
      </c>
      <c r="BU152" s="9">
        <v>26868</v>
      </c>
      <c r="BV152" s="9">
        <v>44687.5</v>
      </c>
      <c r="BW152" s="9">
        <v>304352</v>
      </c>
      <c r="BX152" s="9">
        <v>-5681.6</v>
      </c>
      <c r="BY152" s="9">
        <v>66329.600000000006</v>
      </c>
      <c r="BZ152" s="9">
        <v>127756.5</v>
      </c>
      <c r="CA152" s="9">
        <v>-4712</v>
      </c>
      <c r="CB152" s="9">
        <v>5743.9</v>
      </c>
      <c r="CC152" s="9">
        <v>109234.1</v>
      </c>
      <c r="CD152" s="9">
        <v>0</v>
      </c>
      <c r="CE152" s="9">
        <v>115388.5</v>
      </c>
      <c r="CF152" s="9">
        <v>1660242.272725279</v>
      </c>
      <c r="CG152" s="9">
        <v>6951218.8895690246</v>
      </c>
      <c r="CH152" s="9"/>
      <c r="CI152" s="9"/>
      <c r="CJ152" s="9">
        <v>18.2832314377</v>
      </c>
      <c r="CK152" s="9">
        <v>12.934974996499999</v>
      </c>
      <c r="CL152" s="9">
        <v>13.25</v>
      </c>
      <c r="CM152" s="9">
        <v>76.148584941899998</v>
      </c>
      <c r="CN152" s="9">
        <v>25.002102355400002</v>
      </c>
      <c r="CO152" s="9">
        <v>2.1622983976999999</v>
      </c>
      <c r="CP152" s="9">
        <v>12.4008437251</v>
      </c>
      <c r="CQ152" s="9">
        <v>8.9253543318999995</v>
      </c>
      <c r="CR152" s="9">
        <v>3.3358413543999998</v>
      </c>
      <c r="CS152" s="9">
        <v>2.4287788449000001</v>
      </c>
      <c r="CT152" s="9">
        <v>9.0716716801999997</v>
      </c>
      <c r="CU152" s="9">
        <v>2.7716782652999998</v>
      </c>
      <c r="CV152" s="9">
        <v>1.8490001228999999</v>
      </c>
      <c r="CW152" s="9">
        <v>3.2941758488000001</v>
      </c>
      <c r="CX152" s="9">
        <v>2.0714140936000001</v>
      </c>
      <c r="CY152" s="9">
        <v>2.8354259218000002</v>
      </c>
      <c r="CZ152" s="9">
        <v>285</v>
      </c>
      <c r="DA152" s="9">
        <v>240</v>
      </c>
      <c r="DB152" s="9">
        <v>6</v>
      </c>
      <c r="DC152" s="9">
        <v>63</v>
      </c>
      <c r="DD152" s="9">
        <v>45</v>
      </c>
      <c r="DE152" s="9">
        <v>7</v>
      </c>
      <c r="DF152" s="9">
        <v>82</v>
      </c>
      <c r="DG152" s="9">
        <v>24</v>
      </c>
      <c r="DH152" s="9">
        <v>34</v>
      </c>
      <c r="DI152" s="9">
        <v>0</v>
      </c>
      <c r="DJ152" s="9">
        <v>1</v>
      </c>
      <c r="DK152" s="9">
        <v>31</v>
      </c>
      <c r="DL152" s="9">
        <v>0</v>
      </c>
      <c r="DM152" s="9">
        <v>11</v>
      </c>
      <c r="DN152" s="9">
        <v>0</v>
      </c>
      <c r="DO152" s="9">
        <v>657.69</v>
      </c>
      <c r="DP152" s="9">
        <v>146.01</v>
      </c>
      <c r="DQ152" s="9">
        <v>66.12</v>
      </c>
      <c r="DR152" s="9">
        <v>79.900000000000006</v>
      </c>
      <c r="DS152" s="9">
        <v>43.02</v>
      </c>
      <c r="DT152" s="9">
        <v>0.33</v>
      </c>
      <c r="DU152" s="9">
        <v>301.08</v>
      </c>
      <c r="DV152" s="9">
        <v>193.68</v>
      </c>
      <c r="DW152" s="9">
        <v>82.17</v>
      </c>
      <c r="DX152" s="9">
        <v>167.48</v>
      </c>
      <c r="DY152" s="9">
        <v>91.14</v>
      </c>
      <c r="DZ152" s="9">
        <v>36.53</v>
      </c>
      <c r="EA152" s="9">
        <v>-627.89599999999996</v>
      </c>
      <c r="EB152" s="9">
        <v>-425.351</v>
      </c>
      <c r="EC152" s="9">
        <v>-127.827</v>
      </c>
      <c r="ED152" s="9">
        <v>-92.213200000000001</v>
      </c>
      <c r="EE152" s="9">
        <v>17.496110000000002</v>
      </c>
      <c r="EF152" s="9">
        <v>11.03388</v>
      </c>
      <c r="EG152" s="9">
        <v>-542.78200000000004</v>
      </c>
      <c r="EH152" s="9">
        <v>-518.49</v>
      </c>
      <c r="EI152" s="9">
        <v>-0.30135000000000001</v>
      </c>
      <c r="EJ152" s="9">
        <v>0</v>
      </c>
      <c r="EK152" s="9">
        <v>-23.990100000000002</v>
      </c>
      <c r="EL152" s="9">
        <v>-24.7866</v>
      </c>
      <c r="EM152" s="9">
        <v>-98.866500000000002</v>
      </c>
      <c r="EN152" s="9">
        <v>2800.8</v>
      </c>
      <c r="EO152" s="9"/>
      <c r="EP152" s="9"/>
      <c r="EQ152" s="9"/>
      <c r="ER152" s="9"/>
      <c r="ES152" s="9"/>
      <c r="ET152" s="9"/>
      <c r="EU152">
        <v>1344.04</v>
      </c>
      <c r="EV152" s="9"/>
      <c r="EW152" s="9"/>
      <c r="EX152" s="9"/>
      <c r="EY152" s="9"/>
      <c r="EZ152" s="9"/>
      <c r="FA152" s="9"/>
      <c r="FB152" s="9">
        <v>91.364123376600006</v>
      </c>
      <c r="FC152" s="9">
        <v>103.1409090909</v>
      </c>
      <c r="FD152" s="9">
        <v>7584.2613636364003</v>
      </c>
      <c r="FE152" s="9">
        <v>127.9363636364</v>
      </c>
      <c r="FF152" s="9">
        <v>1593.9090909091001</v>
      </c>
      <c r="FG152">
        <v>6405475.6899999995</v>
      </c>
      <c r="FH152">
        <v>6376348.9499999993</v>
      </c>
      <c r="FI152">
        <v>29126.74</v>
      </c>
      <c r="FJ152" s="9">
        <v>7346161.0999999996</v>
      </c>
      <c r="FK152">
        <v>6162646.2200000007</v>
      </c>
      <c r="FL152" s="9">
        <v>1183514.8799999999</v>
      </c>
      <c r="FM152" s="9">
        <v>10152792.01</v>
      </c>
      <c r="FN152" s="9">
        <v>865402.5</v>
      </c>
      <c r="FO152">
        <v>1349.1</v>
      </c>
      <c r="FP152">
        <v>153.06</v>
      </c>
      <c r="FQ152">
        <v>44.57</v>
      </c>
      <c r="FR152">
        <v>471.34</v>
      </c>
      <c r="FS152">
        <v>9.01</v>
      </c>
      <c r="FT152">
        <v>902.11</v>
      </c>
      <c r="FU152">
        <v>269.02</v>
      </c>
      <c r="FV152">
        <v>0.35</v>
      </c>
      <c r="FW152">
        <v>5410</v>
      </c>
      <c r="FX152">
        <v>693.87</v>
      </c>
      <c r="HB152" s="6"/>
      <c r="HC152" s="6"/>
      <c r="HD152" s="6"/>
    </row>
    <row r="153" spans="1:212" x14ac:dyDescent="0.2">
      <c r="A153" s="8" t="s">
        <v>855</v>
      </c>
      <c r="B153" s="8" t="s">
        <v>371</v>
      </c>
      <c r="C153" s="8" t="s">
        <v>373</v>
      </c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>
        <v>355809.86</v>
      </c>
      <c r="BO153" s="9">
        <v>331178.59999999998</v>
      </c>
      <c r="BP153" s="9">
        <v>53200.1</v>
      </c>
      <c r="BQ153" s="9">
        <v>28883.7</v>
      </c>
      <c r="BR153" s="9">
        <v>24316.400000000001</v>
      </c>
      <c r="BS153" s="9">
        <v>55103</v>
      </c>
      <c r="BT153" s="9">
        <v>122171.3</v>
      </c>
      <c r="BU153" s="9">
        <v>30707.9</v>
      </c>
      <c r="BV153" s="9">
        <v>22859.9192</v>
      </c>
      <c r="BW153" s="9">
        <v>174239.8</v>
      </c>
      <c r="BX153" s="9">
        <v>6168.6</v>
      </c>
      <c r="BY153" s="9">
        <v>35265.1</v>
      </c>
      <c r="BZ153" s="9">
        <v>31957</v>
      </c>
      <c r="CA153" s="9">
        <v>12715.7</v>
      </c>
      <c r="CB153" s="9">
        <v>3049</v>
      </c>
      <c r="CC153" s="9">
        <v>91253.1</v>
      </c>
      <c r="CD153" s="9">
        <v>0</v>
      </c>
      <c r="CE153" s="9">
        <v>58097.9</v>
      </c>
      <c r="CF153" s="9">
        <v>1680966.7230776399</v>
      </c>
      <c r="CG153" s="9">
        <v>6995638.5643490944</v>
      </c>
      <c r="CH153" s="9"/>
      <c r="CI153" s="9"/>
      <c r="CJ153" s="9">
        <v>18.2861270533</v>
      </c>
      <c r="CK153" s="9">
        <v>14.0670570881</v>
      </c>
      <c r="CL153" s="9">
        <v>13.25</v>
      </c>
      <c r="CM153" s="9">
        <v>76.6531606466</v>
      </c>
      <c r="CN153" s="9">
        <v>24.482206683800001</v>
      </c>
      <c r="CO153" s="9">
        <v>2.1673537653000001</v>
      </c>
      <c r="CP153" s="9">
        <v>12.5103285033</v>
      </c>
      <c r="CQ153" s="9">
        <v>9.1602664227999995</v>
      </c>
      <c r="CR153" s="9">
        <v>3.3622719747000001</v>
      </c>
      <c r="CS153" s="9">
        <v>2.4629263141000002</v>
      </c>
      <c r="CT153" s="9">
        <v>9.1079118650000002</v>
      </c>
      <c r="CU153" s="9">
        <v>2.7697515303000002</v>
      </c>
      <c r="CV153" s="9">
        <v>1.8694093977999999</v>
      </c>
      <c r="CW153" s="9">
        <v>3.7959604947000001</v>
      </c>
      <c r="CX153" s="9">
        <v>2.1018629274</v>
      </c>
      <c r="CY153" s="9">
        <v>2.8629107672999998</v>
      </c>
      <c r="CZ153" s="9">
        <v>327</v>
      </c>
      <c r="DA153" s="9">
        <v>290</v>
      </c>
      <c r="DB153" s="9">
        <v>9</v>
      </c>
      <c r="DC153" s="9">
        <v>68</v>
      </c>
      <c r="DD153" s="9">
        <v>65</v>
      </c>
      <c r="DE153" s="9">
        <v>9</v>
      </c>
      <c r="DF153" s="9">
        <v>89</v>
      </c>
      <c r="DG153" s="9">
        <v>33</v>
      </c>
      <c r="DH153" s="9">
        <v>24</v>
      </c>
      <c r="DI153" s="9">
        <v>0</v>
      </c>
      <c r="DJ153" s="9">
        <v>3</v>
      </c>
      <c r="DK153" s="9">
        <v>20</v>
      </c>
      <c r="DL153" s="9">
        <v>0</v>
      </c>
      <c r="DM153" s="9">
        <v>13</v>
      </c>
      <c r="DN153" s="9">
        <v>0</v>
      </c>
      <c r="DO153" s="9">
        <v>681.24</v>
      </c>
      <c r="DP153" s="9">
        <v>145.01</v>
      </c>
      <c r="DQ153" s="9">
        <v>71.59</v>
      </c>
      <c r="DR153" s="9">
        <v>73.42</v>
      </c>
      <c r="DS153" s="9">
        <v>47.72</v>
      </c>
      <c r="DT153" s="9">
        <v>3.93</v>
      </c>
      <c r="DU153" s="9">
        <v>349.64</v>
      </c>
      <c r="DV153" s="9">
        <v>217.92</v>
      </c>
      <c r="DW153" s="9">
        <v>92.54</v>
      </c>
      <c r="DX153" s="9">
        <v>138.62</v>
      </c>
      <c r="DY153" s="9">
        <v>85.76</v>
      </c>
      <c r="DZ153" s="9">
        <v>28.79</v>
      </c>
      <c r="EA153" s="9">
        <v>-625.35199999999998</v>
      </c>
      <c r="EB153" s="9">
        <v>-406.755</v>
      </c>
      <c r="EC153" s="9">
        <v>-130.19499999999999</v>
      </c>
      <c r="ED153" s="9">
        <v>-107.49</v>
      </c>
      <c r="EE153" s="9">
        <v>19.08813</v>
      </c>
      <c r="EF153" s="9">
        <v>9.3261620000000001</v>
      </c>
      <c r="EG153" s="9">
        <v>-464.24700000000001</v>
      </c>
      <c r="EH153" s="9">
        <v>-467.24799999999999</v>
      </c>
      <c r="EI153" s="9">
        <v>22.567450000000001</v>
      </c>
      <c r="EJ153" s="9">
        <v>0</v>
      </c>
      <c r="EK153" s="9">
        <v>-19.566700000000001</v>
      </c>
      <c r="EL153" s="9">
        <v>33.751829999999998</v>
      </c>
      <c r="EM153" s="9">
        <v>-118.027</v>
      </c>
      <c r="EN153" s="9">
        <v>2749.6</v>
      </c>
      <c r="EO153" s="9"/>
      <c r="EP153" s="9"/>
      <c r="EQ153" s="9"/>
      <c r="ER153" s="9"/>
      <c r="ES153" s="9"/>
      <c r="ET153" s="9"/>
      <c r="EU153">
        <v>1364.22</v>
      </c>
      <c r="EV153" s="9"/>
      <c r="EW153" s="9"/>
      <c r="EX153" s="9"/>
      <c r="EY153" s="9"/>
      <c r="EZ153" s="9"/>
      <c r="FA153" s="9"/>
      <c r="FB153" s="9">
        <v>93.456331168800006</v>
      </c>
      <c r="FC153" s="9">
        <v>113.34</v>
      </c>
      <c r="FD153" s="9">
        <v>7510.4318181817998</v>
      </c>
      <c r="FE153" s="9">
        <v>107.79545454549999</v>
      </c>
      <c r="FF153" s="9">
        <v>1626.0340909091001</v>
      </c>
      <c r="FG153">
        <v>6656528.1999999993</v>
      </c>
      <c r="FH153">
        <v>6627146.1799999997</v>
      </c>
      <c r="FI153">
        <v>29382.02</v>
      </c>
      <c r="FJ153" s="9">
        <v>7374605.4699999988</v>
      </c>
      <c r="FK153">
        <v>6203599.4500000011</v>
      </c>
      <c r="FL153" s="9">
        <v>1171006.02</v>
      </c>
      <c r="FM153" s="9">
        <v>10309071.26</v>
      </c>
      <c r="FN153" s="9">
        <v>882330.3</v>
      </c>
      <c r="FO153">
        <v>1381.99</v>
      </c>
      <c r="FP153">
        <v>211.51</v>
      </c>
      <c r="FQ153">
        <v>48.22</v>
      </c>
      <c r="FR153">
        <v>644.58000000000004</v>
      </c>
      <c r="FS153">
        <v>10.19</v>
      </c>
      <c r="FT153">
        <v>1060.1600000000001</v>
      </c>
      <c r="FU153">
        <v>343.95</v>
      </c>
      <c r="FV153">
        <v>0.43</v>
      </c>
      <c r="FW153">
        <v>29463.31</v>
      </c>
      <c r="FX153">
        <v>442.46</v>
      </c>
      <c r="HB153" s="6"/>
      <c r="HC153" s="6"/>
      <c r="HD153" s="6"/>
    </row>
    <row r="154" spans="1:212" x14ac:dyDescent="0.2">
      <c r="A154" s="8" t="s">
        <v>855</v>
      </c>
      <c r="B154" s="8" t="s">
        <v>371</v>
      </c>
      <c r="C154" s="8" t="s">
        <v>374</v>
      </c>
      <c r="D154" s="9">
        <v>4364304.47</v>
      </c>
      <c r="E154" s="9">
        <v>541247.97</v>
      </c>
      <c r="F154" s="9">
        <v>682813.81</v>
      </c>
      <c r="G154" s="9">
        <v>352627.49</v>
      </c>
      <c r="H154" s="9">
        <v>58011.64</v>
      </c>
      <c r="I154" s="9">
        <v>226671.84</v>
      </c>
      <c r="J154" s="9">
        <v>620163.34</v>
      </c>
      <c r="K154" s="9">
        <v>236724.25</v>
      </c>
      <c r="L154" s="9">
        <v>97753.21</v>
      </c>
      <c r="M154" s="9">
        <v>1072039.19</v>
      </c>
      <c r="N154" s="9">
        <v>476251.73</v>
      </c>
      <c r="O154" s="9">
        <v>4855180.791916389</v>
      </c>
      <c r="P154" s="9">
        <v>614402.62693483126</v>
      </c>
      <c r="Q154" s="9">
        <v>635384.25219726784</v>
      </c>
      <c r="R154" s="9">
        <v>381789.49443906278</v>
      </c>
      <c r="S154" s="9">
        <v>88763.699397098593</v>
      </c>
      <c r="T154" s="9">
        <v>239070.16422943471</v>
      </c>
      <c r="U154" s="9">
        <v>717298.09122862376</v>
      </c>
      <c r="V154" s="9">
        <v>265633.73509043438</v>
      </c>
      <c r="W154" s="9">
        <v>103911.5997028502</v>
      </c>
      <c r="X154" s="9">
        <v>1204883.20708903</v>
      </c>
      <c r="Y154" s="9">
        <v>604043.92160775571</v>
      </c>
      <c r="Z154" s="9">
        <v>4228449.8</v>
      </c>
      <c r="AA154" s="9">
        <v>2212328.1</v>
      </c>
      <c r="AB154" s="9">
        <v>461049.59999999998</v>
      </c>
      <c r="AC154" s="9">
        <v>2475092.7000000002</v>
      </c>
      <c r="AD154" s="9">
        <v>557174.1</v>
      </c>
      <c r="AE154" s="9">
        <v>1692941.4</v>
      </c>
      <c r="AF154" s="9">
        <v>3170136.2</v>
      </c>
      <c r="AG154" s="9">
        <v>4691597.8412183942</v>
      </c>
      <c r="AH154" s="9">
        <v>2448352.7977224649</v>
      </c>
      <c r="AI154" s="9">
        <v>514897.05433489778</v>
      </c>
      <c r="AJ154" s="9">
        <v>2496463.4107289459</v>
      </c>
      <c r="AK154" s="9">
        <v>683578.91186761286</v>
      </c>
      <c r="AL154" s="9">
        <v>1247831.505934129</v>
      </c>
      <c r="AM154" s="9">
        <v>2699525.839369657</v>
      </c>
      <c r="AN154" s="9">
        <v>1115236</v>
      </c>
      <c r="AO154" s="9">
        <v>589455</v>
      </c>
      <c r="AP154" s="9">
        <v>525781</v>
      </c>
      <c r="AQ154" s="9">
        <v>75309</v>
      </c>
      <c r="AR154" s="9">
        <v>38007</v>
      </c>
      <c r="AS154" s="9">
        <v>37302</v>
      </c>
      <c r="AT154" s="9">
        <v>659875</v>
      </c>
      <c r="AU154" s="9">
        <v>265703</v>
      </c>
      <c r="AV154" s="9">
        <v>394172</v>
      </c>
      <c r="AW154" s="9">
        <v>565.5</v>
      </c>
      <c r="AX154" s="9">
        <v>252.4</v>
      </c>
      <c r="AY154" s="9">
        <v>799.8</v>
      </c>
      <c r="AZ154" s="9">
        <v>507.1</v>
      </c>
      <c r="BA154" s="9">
        <v>543.79999999999995</v>
      </c>
      <c r="BB154" s="9"/>
      <c r="BC154" s="9">
        <v>583.1</v>
      </c>
      <c r="BD154" s="9">
        <v>365</v>
      </c>
      <c r="BE154" s="9">
        <v>517.29999999999995</v>
      </c>
      <c r="BF154" s="9">
        <v>390.1</v>
      </c>
      <c r="BG154" s="9"/>
      <c r="BH154" s="9">
        <v>1105</v>
      </c>
      <c r="BI154" s="9">
        <v>519.79999999999995</v>
      </c>
      <c r="BJ154" s="9">
        <v>453.8</v>
      </c>
      <c r="BK154" s="9">
        <v>579.70000000000005</v>
      </c>
      <c r="BL154" s="9"/>
      <c r="BM154" s="9">
        <v>450.8</v>
      </c>
      <c r="BN154" s="9">
        <v>386252.64</v>
      </c>
      <c r="BO154" s="9">
        <v>309285</v>
      </c>
      <c r="BP154" s="9">
        <v>51527.7</v>
      </c>
      <c r="BQ154" s="9">
        <v>22376</v>
      </c>
      <c r="BR154" s="9">
        <v>29151.599999999999</v>
      </c>
      <c r="BS154" s="9">
        <v>51583.6</v>
      </c>
      <c r="BT154" s="9">
        <v>108020.3</v>
      </c>
      <c r="BU154" s="9">
        <v>35660.400000000001</v>
      </c>
      <c r="BV154" s="9">
        <v>51928.380799999999</v>
      </c>
      <c r="BW154" s="9">
        <v>327372</v>
      </c>
      <c r="BX154" s="9">
        <v>3371.6</v>
      </c>
      <c r="BY154" s="9">
        <v>75404</v>
      </c>
      <c r="BZ154" s="9">
        <v>114367.5</v>
      </c>
      <c r="CA154" s="9">
        <v>28201.1</v>
      </c>
      <c r="CB154" s="9">
        <v>6217.7</v>
      </c>
      <c r="CC154" s="9">
        <v>103181.6</v>
      </c>
      <c r="CD154" s="9">
        <v>0</v>
      </c>
      <c r="CE154" s="9">
        <v>130325.2</v>
      </c>
      <c r="CF154" s="9">
        <v>1657899.7613452061</v>
      </c>
      <c r="CG154" s="9">
        <v>7110344.7335616415</v>
      </c>
      <c r="CH154" s="9"/>
      <c r="CI154" s="9"/>
      <c r="CJ154" s="9">
        <v>18.582851146700001</v>
      </c>
      <c r="CK154" s="9">
        <v>14.2462392879</v>
      </c>
      <c r="CL154" s="9">
        <v>13.25</v>
      </c>
      <c r="CM154" s="9">
        <v>77.427211968400002</v>
      </c>
      <c r="CN154" s="9">
        <v>23.840037277299999</v>
      </c>
      <c r="CO154" s="9">
        <v>3.0313755409000001</v>
      </c>
      <c r="CP154" s="9">
        <v>12.7482674008</v>
      </c>
      <c r="CQ154" s="9">
        <v>9.407976391</v>
      </c>
      <c r="CR154" s="9">
        <v>3.3961052908</v>
      </c>
      <c r="CS154" s="9">
        <v>2.4746720323</v>
      </c>
      <c r="CT154" s="9">
        <v>9.1249701673000008</v>
      </c>
      <c r="CU154" s="9">
        <v>2.7653632474999998</v>
      </c>
      <c r="CV154" s="9">
        <v>1.8481869391000001</v>
      </c>
      <c r="CW154" s="9">
        <v>3.7959604947000001</v>
      </c>
      <c r="CX154" s="9">
        <v>2.1094329184</v>
      </c>
      <c r="CY154" s="9">
        <v>2.8848642682999999</v>
      </c>
      <c r="CZ154" s="9">
        <v>351</v>
      </c>
      <c r="DA154" s="9">
        <v>325</v>
      </c>
      <c r="DB154" s="9">
        <v>10</v>
      </c>
      <c r="DC154" s="9">
        <v>69</v>
      </c>
      <c r="DD154" s="9">
        <v>25</v>
      </c>
      <c r="DE154" s="9">
        <v>13</v>
      </c>
      <c r="DF154" s="9">
        <v>165</v>
      </c>
      <c r="DG154" s="9">
        <v>29</v>
      </c>
      <c r="DH154" s="9">
        <v>16</v>
      </c>
      <c r="DI154" s="9">
        <v>1</v>
      </c>
      <c r="DJ154" s="9">
        <v>2</v>
      </c>
      <c r="DK154" s="9">
        <v>10</v>
      </c>
      <c r="DL154" s="9">
        <v>0</v>
      </c>
      <c r="DM154" s="9">
        <v>9</v>
      </c>
      <c r="DN154" s="9">
        <v>0</v>
      </c>
      <c r="DO154" s="9">
        <v>564.87</v>
      </c>
      <c r="DP154" s="9">
        <v>124.34</v>
      </c>
      <c r="DQ154" s="9">
        <v>62.43</v>
      </c>
      <c r="DR154" s="9">
        <v>61.91</v>
      </c>
      <c r="DS154" s="9">
        <v>45.51</v>
      </c>
      <c r="DT154" s="9">
        <v>2.37</v>
      </c>
      <c r="DU154" s="9">
        <v>279.74</v>
      </c>
      <c r="DV154" s="9">
        <v>165.28</v>
      </c>
      <c r="DW154" s="9">
        <v>88.23</v>
      </c>
      <c r="DX154" s="9">
        <v>107.45</v>
      </c>
      <c r="DY154" s="9">
        <v>71.849999999999994</v>
      </c>
      <c r="DZ154" s="9">
        <v>18.420000000000002</v>
      </c>
      <c r="EA154" s="9">
        <v>-440.13799999999998</v>
      </c>
      <c r="EB154" s="9">
        <v>-239.374</v>
      </c>
      <c r="EC154" s="9">
        <v>-106.303</v>
      </c>
      <c r="ED154" s="9">
        <v>-103.73699999999999</v>
      </c>
      <c r="EE154" s="9">
        <v>9.2770279999999996</v>
      </c>
      <c r="EF154" s="9">
        <v>10.16273</v>
      </c>
      <c r="EG154" s="9">
        <v>-731.18</v>
      </c>
      <c r="EH154" s="9">
        <v>-472.58699999999999</v>
      </c>
      <c r="EI154" s="9">
        <v>-275.97199999999998</v>
      </c>
      <c r="EJ154" s="9">
        <v>0</v>
      </c>
      <c r="EK154" s="9">
        <v>17.379570000000001</v>
      </c>
      <c r="EL154" s="9">
        <v>-161.501</v>
      </c>
      <c r="EM154" s="9">
        <v>139.70359999999999</v>
      </c>
      <c r="EN154" s="9">
        <v>2903.8</v>
      </c>
      <c r="EO154" s="9"/>
      <c r="EP154" s="9"/>
      <c r="EQ154" s="9"/>
      <c r="ER154" s="9"/>
      <c r="ES154" s="9"/>
      <c r="ET154" s="9"/>
      <c r="EU154">
        <v>1394.83</v>
      </c>
      <c r="EV154" s="9">
        <v>14842.37</v>
      </c>
      <c r="EW154" s="9">
        <v>2091.7600000000002</v>
      </c>
      <c r="EX154" s="9">
        <v>474.04</v>
      </c>
      <c r="EY154" s="9">
        <v>1052.51</v>
      </c>
      <c r="EZ154" s="9">
        <v>2683.35</v>
      </c>
      <c r="FA154" s="9">
        <v>8540.7099999999991</v>
      </c>
      <c r="FB154" s="9">
        <v>93.181607142900006</v>
      </c>
      <c r="FC154" s="9">
        <v>113.38249999999999</v>
      </c>
      <c r="FD154" s="9">
        <v>8087.7425000000003</v>
      </c>
      <c r="FE154" s="9">
        <v>99.47</v>
      </c>
      <c r="FF154" s="9">
        <v>1744.45</v>
      </c>
      <c r="FG154">
        <v>6848449.419999999</v>
      </c>
      <c r="FH154">
        <v>6819411.0799999991</v>
      </c>
      <c r="FI154">
        <v>29038.34</v>
      </c>
      <c r="FJ154" s="9">
        <v>7493760.1100000003</v>
      </c>
      <c r="FK154">
        <v>6194942.7699999996</v>
      </c>
      <c r="FL154" s="9">
        <v>1298817.3400000001</v>
      </c>
      <c r="FM154" s="9">
        <v>10968909.689999999</v>
      </c>
      <c r="FN154" s="9">
        <v>907472.53</v>
      </c>
      <c r="FO154">
        <v>1394.47</v>
      </c>
      <c r="FP154">
        <v>218.75</v>
      </c>
      <c r="FQ154">
        <v>49.33</v>
      </c>
      <c r="FR154">
        <v>304.93</v>
      </c>
      <c r="FS154">
        <v>15.38</v>
      </c>
      <c r="FT154">
        <v>1935.64</v>
      </c>
      <c r="FU154">
        <v>293.63</v>
      </c>
      <c r="FV154">
        <v>119.24</v>
      </c>
      <c r="FW154">
        <v>18092.580000000002</v>
      </c>
      <c r="FX154">
        <v>155.24</v>
      </c>
      <c r="HB154" s="6"/>
      <c r="HC154" s="6"/>
      <c r="HD154" s="6"/>
    </row>
    <row r="155" spans="1:212" x14ac:dyDescent="0.2">
      <c r="A155" s="8" t="s">
        <v>855</v>
      </c>
      <c r="B155" s="8" t="s">
        <v>375</v>
      </c>
      <c r="C155" s="8" t="s">
        <v>376</v>
      </c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>
        <v>456728.15</v>
      </c>
      <c r="BO155" s="9">
        <v>409164.9</v>
      </c>
      <c r="BP155" s="9">
        <v>118214.5</v>
      </c>
      <c r="BQ155" s="9">
        <v>83193.399999999994</v>
      </c>
      <c r="BR155" s="9">
        <v>35021.199999999997</v>
      </c>
      <c r="BS155" s="9">
        <v>61868.3</v>
      </c>
      <c r="BT155" s="9">
        <v>115888.2</v>
      </c>
      <c r="BU155" s="9">
        <v>28443.3</v>
      </c>
      <c r="BV155" s="9">
        <v>45955.070500000002</v>
      </c>
      <c r="BW155" s="9">
        <v>334703.7</v>
      </c>
      <c r="BX155" s="9">
        <v>-4011.1</v>
      </c>
      <c r="BY155" s="9">
        <v>82811</v>
      </c>
      <c r="BZ155" s="9">
        <v>110248.1</v>
      </c>
      <c r="CA155" s="9">
        <v>4074.7</v>
      </c>
      <c r="CB155" s="9">
        <v>5766.2</v>
      </c>
      <c r="CC155" s="9">
        <v>131803.79999999999</v>
      </c>
      <c r="CD155" s="9">
        <v>0</v>
      </c>
      <c r="CE155" s="9">
        <v>147113.20000000001</v>
      </c>
      <c r="CF155" s="9">
        <v>1578620.7916256953</v>
      </c>
      <c r="CG155" s="9">
        <v>7130805.3346479172</v>
      </c>
      <c r="CH155" s="9"/>
      <c r="CI155" s="9"/>
      <c r="CJ155" s="9">
        <v>18.744729742699999</v>
      </c>
      <c r="CK155" s="9">
        <v>14.397593453300001</v>
      </c>
      <c r="CL155" s="9">
        <v>13.25</v>
      </c>
      <c r="CM155" s="9">
        <v>77.877855621899997</v>
      </c>
      <c r="CN155" s="9">
        <v>23.305296072099999</v>
      </c>
      <c r="CO155" s="9">
        <v>3.1327708495</v>
      </c>
      <c r="CP155" s="9">
        <v>13.013323202800001</v>
      </c>
      <c r="CQ155" s="9">
        <v>9.8412951968000009</v>
      </c>
      <c r="CR155" s="9">
        <v>3.4279763179999998</v>
      </c>
      <c r="CS155" s="9">
        <v>2.5160192466</v>
      </c>
      <c r="CT155" s="9">
        <v>9.1988494337999995</v>
      </c>
      <c r="CU155" s="9">
        <v>2.7643411279999999</v>
      </c>
      <c r="CV155" s="9">
        <v>1.8568955833</v>
      </c>
      <c r="CW155" s="9">
        <v>3.7959604947000001</v>
      </c>
      <c r="CX155" s="9">
        <v>2.1173381441000001</v>
      </c>
      <c r="CY155" s="9">
        <v>2.9077899520999999</v>
      </c>
      <c r="CZ155" s="9">
        <v>435</v>
      </c>
      <c r="DA155" s="9">
        <v>404</v>
      </c>
      <c r="DB155" s="9">
        <v>15</v>
      </c>
      <c r="DC155" s="9">
        <v>71</v>
      </c>
      <c r="DD155" s="9">
        <v>54</v>
      </c>
      <c r="DE155" s="9">
        <v>17</v>
      </c>
      <c r="DF155" s="9">
        <v>193</v>
      </c>
      <c r="DG155" s="9">
        <v>36</v>
      </c>
      <c r="DH155" s="9">
        <v>14</v>
      </c>
      <c r="DI155" s="9">
        <v>3</v>
      </c>
      <c r="DJ155" s="9">
        <v>2</v>
      </c>
      <c r="DK155" s="9">
        <v>7</v>
      </c>
      <c r="DL155" s="9">
        <v>0</v>
      </c>
      <c r="DM155" s="9">
        <v>17</v>
      </c>
      <c r="DN155" s="9">
        <v>0</v>
      </c>
      <c r="DO155" s="9">
        <v>494.77</v>
      </c>
      <c r="DP155" s="9">
        <v>142.84</v>
      </c>
      <c r="DQ155" s="9">
        <v>78.010000000000005</v>
      </c>
      <c r="DR155" s="9">
        <v>64.83</v>
      </c>
      <c r="DS155" s="9">
        <v>46.09</v>
      </c>
      <c r="DT155" s="9">
        <v>2.12</v>
      </c>
      <c r="DU155" s="9">
        <v>240.48</v>
      </c>
      <c r="DV155" s="9">
        <v>160.13999999999999</v>
      </c>
      <c r="DW155" s="9">
        <v>59.76</v>
      </c>
      <c r="DX155" s="9">
        <v>65.099999999999994</v>
      </c>
      <c r="DY155" s="9">
        <v>13.74</v>
      </c>
      <c r="DZ155" s="9">
        <v>27.59</v>
      </c>
      <c r="EA155" s="9">
        <v>-284.87900000000002</v>
      </c>
      <c r="EB155" s="9">
        <v>-111.932</v>
      </c>
      <c r="EC155" s="9">
        <v>-85.193799999999996</v>
      </c>
      <c r="ED155" s="9">
        <v>-98.371700000000004</v>
      </c>
      <c r="EE155" s="9">
        <v>10.618740000000001</v>
      </c>
      <c r="EF155" s="9">
        <v>9.0273430000000001</v>
      </c>
      <c r="EG155" s="9">
        <v>-154.45400000000001</v>
      </c>
      <c r="EH155" s="9">
        <v>-135.82</v>
      </c>
      <c r="EI155" s="9">
        <v>-0.28025</v>
      </c>
      <c r="EJ155" s="9">
        <v>0</v>
      </c>
      <c r="EK155" s="9">
        <v>-18.353899999999999</v>
      </c>
      <c r="EL155" s="9">
        <v>-91.372100000000003</v>
      </c>
      <c r="EM155" s="9">
        <v>-212.76900000000001</v>
      </c>
      <c r="EN155" s="9">
        <v>2676.8</v>
      </c>
      <c r="EO155" s="9"/>
      <c r="EP155" s="9"/>
      <c r="EQ155" s="9"/>
      <c r="ER155" s="9"/>
      <c r="ES155" s="9"/>
      <c r="ET155" s="9"/>
      <c r="EU155">
        <v>1386.98</v>
      </c>
      <c r="EV155" s="9"/>
      <c r="EW155" s="9"/>
      <c r="EX155" s="9"/>
      <c r="EY155" s="9"/>
      <c r="EZ155" s="9"/>
      <c r="FA155" s="9"/>
      <c r="FB155" s="9">
        <v>86.885403726700005</v>
      </c>
      <c r="FC155" s="9">
        <v>111.9734782609</v>
      </c>
      <c r="FD155" s="9">
        <v>8062.0326086957002</v>
      </c>
      <c r="FE155" s="9">
        <v>113.947826087</v>
      </c>
      <c r="FF155" s="9">
        <v>1747.0108695652</v>
      </c>
      <c r="FG155">
        <v>6835235.4800000004</v>
      </c>
      <c r="FH155">
        <v>6807491.2000000002</v>
      </c>
      <c r="FI155">
        <v>27744.28</v>
      </c>
      <c r="FJ155" s="9">
        <v>7587679.9000000004</v>
      </c>
      <c r="FK155">
        <v>6174281.1699999999</v>
      </c>
      <c r="FL155" s="9">
        <v>1413398.73</v>
      </c>
      <c r="FM155" s="9">
        <v>10927102.710000001</v>
      </c>
      <c r="FN155" s="9">
        <v>922711.43</v>
      </c>
      <c r="FO155">
        <v>1397.28</v>
      </c>
      <c r="FP155">
        <v>332.47</v>
      </c>
      <c r="FQ155">
        <v>49.47</v>
      </c>
      <c r="FR155">
        <v>685.1</v>
      </c>
      <c r="FS155">
        <v>18.03</v>
      </c>
      <c r="FT155">
        <v>2218.2199999999998</v>
      </c>
      <c r="FU155">
        <v>394.74</v>
      </c>
      <c r="FV155">
        <v>671.7</v>
      </c>
      <c r="FW155">
        <v>22283.33</v>
      </c>
      <c r="FX155">
        <v>127.66</v>
      </c>
      <c r="HB155" s="6"/>
      <c r="HC155" s="6"/>
      <c r="HD155" s="6"/>
    </row>
    <row r="156" spans="1:212" x14ac:dyDescent="0.2">
      <c r="A156" s="8" t="s">
        <v>855</v>
      </c>
      <c r="B156" s="8" t="s">
        <v>375</v>
      </c>
      <c r="C156" s="8" t="s">
        <v>377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>
        <v>379540.03899999999</v>
      </c>
      <c r="BO156" s="9">
        <v>336915.8</v>
      </c>
      <c r="BP156" s="9">
        <v>60512.5</v>
      </c>
      <c r="BQ156" s="9">
        <v>23869.8</v>
      </c>
      <c r="BR156" s="9">
        <v>36642.699999999997</v>
      </c>
      <c r="BS156" s="9">
        <v>73634.2</v>
      </c>
      <c r="BT156" s="9">
        <v>105232.5</v>
      </c>
      <c r="BU156" s="9">
        <v>34321.199999999997</v>
      </c>
      <c r="BV156" s="9">
        <v>41701.176899999999</v>
      </c>
      <c r="BW156" s="9">
        <v>405708.9</v>
      </c>
      <c r="BX156" s="9">
        <v>3605.4</v>
      </c>
      <c r="BY156" s="9">
        <v>93406.6</v>
      </c>
      <c r="BZ156" s="9">
        <v>115603</v>
      </c>
      <c r="CA156" s="9">
        <v>14007.7</v>
      </c>
      <c r="CB156" s="9">
        <v>8348.7000000000007</v>
      </c>
      <c r="CC156" s="9">
        <v>174342.7</v>
      </c>
      <c r="CD156" s="9">
        <v>0</v>
      </c>
      <c r="CE156" s="9">
        <v>97947.8</v>
      </c>
      <c r="CF156" s="9">
        <v>1557020.283612449</v>
      </c>
      <c r="CG156" s="9">
        <v>7031390.8757635253</v>
      </c>
      <c r="CH156" s="9"/>
      <c r="CI156" s="9"/>
      <c r="CJ156" s="9">
        <v>18.581599727699999</v>
      </c>
      <c r="CK156" s="9">
        <v>13.337600464699999</v>
      </c>
      <c r="CL156" s="9">
        <v>13.25</v>
      </c>
      <c r="CM156" s="9">
        <v>78.020542410100006</v>
      </c>
      <c r="CN156" s="9">
        <v>23.285181871500001</v>
      </c>
      <c r="CO156" s="9">
        <v>3.1497621098000002</v>
      </c>
      <c r="CP156" s="9">
        <v>13.206461046999999</v>
      </c>
      <c r="CQ156" s="9">
        <v>9.7582263182000002</v>
      </c>
      <c r="CR156" s="9">
        <v>3.4506947851000001</v>
      </c>
      <c r="CS156" s="9">
        <v>2.5209550081000001</v>
      </c>
      <c r="CT156" s="9">
        <v>9.1795556377</v>
      </c>
      <c r="CU156" s="9">
        <v>2.7638387933000002</v>
      </c>
      <c r="CV156" s="9">
        <v>1.8706880183000001</v>
      </c>
      <c r="CW156" s="9">
        <v>3.7959604947000001</v>
      </c>
      <c r="CX156" s="9">
        <v>2.1247467534000002</v>
      </c>
      <c r="CY156" s="9">
        <v>2.9144715730000001</v>
      </c>
      <c r="CZ156" s="9">
        <v>362</v>
      </c>
      <c r="DA156" s="9">
        <v>332</v>
      </c>
      <c r="DB156" s="9">
        <v>17</v>
      </c>
      <c r="DC156" s="9">
        <v>70</v>
      </c>
      <c r="DD156" s="9">
        <v>34</v>
      </c>
      <c r="DE156" s="9">
        <v>14</v>
      </c>
      <c r="DF156" s="9">
        <v>148</v>
      </c>
      <c r="DG156" s="9">
        <v>35</v>
      </c>
      <c r="DH156" s="9">
        <v>18</v>
      </c>
      <c r="DI156" s="9">
        <v>3</v>
      </c>
      <c r="DJ156" s="9">
        <v>3</v>
      </c>
      <c r="DK156" s="9">
        <v>9</v>
      </c>
      <c r="DL156" s="9">
        <v>0</v>
      </c>
      <c r="DM156" s="9">
        <v>12</v>
      </c>
      <c r="DN156" s="9">
        <v>0</v>
      </c>
      <c r="DO156" s="9">
        <v>526.15</v>
      </c>
      <c r="DP156" s="9">
        <v>134.76</v>
      </c>
      <c r="DQ156" s="9">
        <v>73.89</v>
      </c>
      <c r="DR156" s="9">
        <v>60.87</v>
      </c>
      <c r="DS156" s="9">
        <v>38.69</v>
      </c>
      <c r="DT156" s="9">
        <v>0.4</v>
      </c>
      <c r="DU156" s="9">
        <v>216.15</v>
      </c>
      <c r="DV156" s="9">
        <v>155.49</v>
      </c>
      <c r="DW156" s="9">
        <v>37.880000000000003</v>
      </c>
      <c r="DX156" s="9">
        <v>136.47999999999999</v>
      </c>
      <c r="DY156" s="9">
        <v>75.459999999999994</v>
      </c>
      <c r="DZ156" s="9">
        <v>40.19</v>
      </c>
      <c r="EA156" s="9">
        <v>-337.04300000000001</v>
      </c>
      <c r="EB156" s="9">
        <v>-192.64599999999999</v>
      </c>
      <c r="EC156" s="9">
        <v>-62.644100000000002</v>
      </c>
      <c r="ED156" s="9">
        <v>-92.307299999999998</v>
      </c>
      <c r="EE156" s="9">
        <v>10.555149999999999</v>
      </c>
      <c r="EF156" s="9">
        <v>7.5813430000000004</v>
      </c>
      <c r="EG156" s="9">
        <v>-404.81700000000001</v>
      </c>
      <c r="EH156" s="9">
        <v>-62.034999999999997</v>
      </c>
      <c r="EI156" s="9">
        <v>13.65733</v>
      </c>
      <c r="EJ156" s="9">
        <v>0</v>
      </c>
      <c r="EK156" s="9">
        <v>-356.43900000000002</v>
      </c>
      <c r="EL156" s="9">
        <v>-75.914400000000001</v>
      </c>
      <c r="EM156" s="9">
        <v>-0.55913000000000002</v>
      </c>
      <c r="EN156" s="9">
        <v>2675.1</v>
      </c>
      <c r="EO156" s="9"/>
      <c r="EP156" s="9"/>
      <c r="EQ156" s="9"/>
      <c r="ER156" s="9"/>
      <c r="ES156" s="9"/>
      <c r="ET156" s="9"/>
      <c r="EU156">
        <v>1396.4</v>
      </c>
      <c r="EV156" s="9"/>
      <c r="EW156" s="9"/>
      <c r="EX156" s="9"/>
      <c r="EY156" s="9"/>
      <c r="EZ156" s="9"/>
      <c r="FA156" s="9"/>
      <c r="FB156" s="9">
        <v>87.219642857099998</v>
      </c>
      <c r="FC156" s="9">
        <v>109.7118181818</v>
      </c>
      <c r="FD156" s="9">
        <v>7711.2272727273003</v>
      </c>
      <c r="FE156" s="9">
        <v>120.3454545455</v>
      </c>
      <c r="FF156" s="9">
        <v>1721.1363636363999</v>
      </c>
      <c r="FG156">
        <v>6846212.46</v>
      </c>
      <c r="FH156">
        <v>6818470.7000000002</v>
      </c>
      <c r="FI156">
        <v>27741.759999999998</v>
      </c>
      <c r="FJ156" s="9">
        <v>7490212.1400000015</v>
      </c>
      <c r="FK156">
        <v>6121979.2300000004</v>
      </c>
      <c r="FL156" s="9">
        <v>1368232.91</v>
      </c>
      <c r="FM156" s="9">
        <v>10923125.6</v>
      </c>
      <c r="FN156" s="9">
        <v>959772.62</v>
      </c>
      <c r="FO156">
        <v>1397.28</v>
      </c>
      <c r="FP156">
        <v>367.16</v>
      </c>
      <c r="FQ156">
        <v>46.6</v>
      </c>
      <c r="FR156">
        <v>431.74</v>
      </c>
      <c r="FS156">
        <v>15.02</v>
      </c>
      <c r="FT156">
        <v>2267.85</v>
      </c>
      <c r="FU156">
        <v>395.85</v>
      </c>
      <c r="FV156">
        <v>730.89</v>
      </c>
      <c r="FW156">
        <v>29746.17</v>
      </c>
      <c r="FX156">
        <v>173.59</v>
      </c>
      <c r="HB156" s="6"/>
      <c r="HC156" s="6"/>
      <c r="HD156" s="6"/>
    </row>
    <row r="157" spans="1:212" x14ac:dyDescent="0.2">
      <c r="A157" s="8" t="s">
        <v>855</v>
      </c>
      <c r="B157" s="8" t="s">
        <v>375</v>
      </c>
      <c r="C157" s="8" t="s">
        <v>378</v>
      </c>
      <c r="D157" s="9">
        <v>4588303.2300000004</v>
      </c>
      <c r="E157" s="9">
        <v>491453.19</v>
      </c>
      <c r="F157" s="9">
        <v>731757.34</v>
      </c>
      <c r="G157" s="9">
        <v>371122.42</v>
      </c>
      <c r="H157" s="9">
        <v>91156.94</v>
      </c>
      <c r="I157" s="9">
        <v>444472.8</v>
      </c>
      <c r="J157" s="9">
        <v>496507.21</v>
      </c>
      <c r="K157" s="9">
        <v>198153.79</v>
      </c>
      <c r="L157" s="9">
        <v>100001.72</v>
      </c>
      <c r="M157" s="9">
        <v>1226568.46</v>
      </c>
      <c r="N157" s="9">
        <v>437109.35</v>
      </c>
      <c r="O157" s="9">
        <v>5104373.8728393363</v>
      </c>
      <c r="P157" s="9">
        <v>560028.27927172405</v>
      </c>
      <c r="Q157" s="9">
        <v>683553.0948132592</v>
      </c>
      <c r="R157" s="9">
        <v>403362.96013434691</v>
      </c>
      <c r="S157" s="9">
        <v>140017.0762947569</v>
      </c>
      <c r="T157" s="9">
        <v>470591.43099752162</v>
      </c>
      <c r="U157" s="9">
        <v>576487.8526446023</v>
      </c>
      <c r="V157" s="9">
        <v>223210.118976228</v>
      </c>
      <c r="W157" s="9">
        <v>106711.56494580919</v>
      </c>
      <c r="X157" s="9">
        <v>1383875.748182673</v>
      </c>
      <c r="Y157" s="9">
        <v>556535.74657841492</v>
      </c>
      <c r="Z157" s="9">
        <v>4788115</v>
      </c>
      <c r="AA157" s="9">
        <v>2263012.9</v>
      </c>
      <c r="AB157" s="9">
        <v>800724.2</v>
      </c>
      <c r="AC157" s="9">
        <v>1740219.7</v>
      </c>
      <c r="AD157" s="9">
        <v>490820.2</v>
      </c>
      <c r="AE157" s="9">
        <v>2067046.5</v>
      </c>
      <c r="AF157" s="9">
        <v>2573708.5</v>
      </c>
      <c r="AG157" s="9">
        <v>5312563.9560638554</v>
      </c>
      <c r="AH157" s="9">
        <v>2614959.0215687309</v>
      </c>
      <c r="AI157" s="9">
        <v>933703.75935421837</v>
      </c>
      <c r="AJ157" s="9">
        <v>1832699.292316837</v>
      </c>
      <c r="AK157" s="9">
        <v>628743.57445666753</v>
      </c>
      <c r="AL157" s="9">
        <v>1590807.622186359</v>
      </c>
      <c r="AM157" s="9">
        <v>2288349.3138189581</v>
      </c>
      <c r="AN157" s="9">
        <v>1018208</v>
      </c>
      <c r="AO157" s="9">
        <v>526496</v>
      </c>
      <c r="AP157" s="9">
        <v>491712</v>
      </c>
      <c r="AQ157" s="9">
        <v>87802</v>
      </c>
      <c r="AR157" s="9">
        <v>48817</v>
      </c>
      <c r="AS157" s="9">
        <v>38985</v>
      </c>
      <c r="AT157" s="9">
        <v>688859</v>
      </c>
      <c r="AU157" s="9">
        <v>279500</v>
      </c>
      <c r="AV157" s="9">
        <v>409359</v>
      </c>
      <c r="AW157" s="9">
        <v>598.5</v>
      </c>
      <c r="AX157" s="9">
        <v>269.2</v>
      </c>
      <c r="AY157" s="9">
        <v>732.9</v>
      </c>
      <c r="AZ157" s="9">
        <v>525.6</v>
      </c>
      <c r="BA157" s="9">
        <v>592.4</v>
      </c>
      <c r="BB157" s="9"/>
      <c r="BC157" s="9">
        <v>493.8</v>
      </c>
      <c r="BD157" s="9">
        <v>389.4</v>
      </c>
      <c r="BE157" s="9">
        <v>560</v>
      </c>
      <c r="BF157" s="9">
        <v>409.8</v>
      </c>
      <c r="BG157" s="9"/>
      <c r="BH157" s="9">
        <v>1092</v>
      </c>
      <c r="BI157" s="9">
        <v>538</v>
      </c>
      <c r="BJ157" s="9">
        <v>606</v>
      </c>
      <c r="BK157" s="9">
        <v>620.20000000000005</v>
      </c>
      <c r="BL157" s="9"/>
      <c r="BM157" s="9">
        <v>493.9</v>
      </c>
      <c r="BN157" s="9">
        <v>633205.91099999996</v>
      </c>
      <c r="BO157" s="9">
        <v>367730.8</v>
      </c>
      <c r="BP157" s="9">
        <v>96621.4</v>
      </c>
      <c r="BQ157" s="9">
        <v>52619.9</v>
      </c>
      <c r="BR157" s="9">
        <v>43995.5</v>
      </c>
      <c r="BS157" s="9">
        <v>68486.7</v>
      </c>
      <c r="BT157" s="9">
        <v>138555.79999999999</v>
      </c>
      <c r="BU157" s="9">
        <v>35079</v>
      </c>
      <c r="BV157" s="9">
        <v>193845.95259999999</v>
      </c>
      <c r="BW157" s="9">
        <v>599278.1</v>
      </c>
      <c r="BX157" s="9">
        <v>19716</v>
      </c>
      <c r="BY157" s="9">
        <v>128127.6</v>
      </c>
      <c r="BZ157" s="9">
        <v>135276</v>
      </c>
      <c r="CA157" s="9">
        <v>16339.9</v>
      </c>
      <c r="CB157" s="9">
        <v>28078.2</v>
      </c>
      <c r="CC157" s="9">
        <v>291456.5</v>
      </c>
      <c r="CD157" s="9">
        <v>0</v>
      </c>
      <c r="CE157" s="9">
        <v>370028.4</v>
      </c>
      <c r="CF157" s="9">
        <v>1834783.6169504661</v>
      </c>
      <c r="CG157" s="9">
        <v>7611876.9861408435</v>
      </c>
      <c r="CH157" s="9"/>
      <c r="CI157" s="9"/>
      <c r="CJ157" s="9">
        <v>18.150281278800001</v>
      </c>
      <c r="CK157" s="9">
        <v>13.469196071600001</v>
      </c>
      <c r="CL157" s="9">
        <v>13.25</v>
      </c>
      <c r="CM157" s="9">
        <v>78.661449620400006</v>
      </c>
      <c r="CN157" s="9">
        <v>23.6728371106</v>
      </c>
      <c r="CO157" s="9">
        <v>3.1722182847</v>
      </c>
      <c r="CP157" s="9">
        <v>13.3278444</v>
      </c>
      <c r="CQ157" s="9">
        <v>9.7319386495</v>
      </c>
      <c r="CR157" s="9">
        <v>3.4724210728</v>
      </c>
      <c r="CS157" s="9">
        <v>2.522893233</v>
      </c>
      <c r="CT157" s="9">
        <v>9.2807014689000003</v>
      </c>
      <c r="CU157" s="9">
        <v>2.7640814485999998</v>
      </c>
      <c r="CV157" s="9">
        <v>1.8709656633</v>
      </c>
      <c r="CW157" s="9">
        <v>3.7959604947000001</v>
      </c>
      <c r="CX157" s="9">
        <v>2.1293237093999999</v>
      </c>
      <c r="CY157" s="9">
        <v>2.9202640848999999</v>
      </c>
      <c r="CZ157" s="9">
        <v>356</v>
      </c>
      <c r="DA157" s="9">
        <v>332</v>
      </c>
      <c r="DB157" s="9">
        <v>20</v>
      </c>
      <c r="DC157" s="9">
        <v>70</v>
      </c>
      <c r="DD157" s="9">
        <v>63</v>
      </c>
      <c r="DE157" s="9">
        <v>14</v>
      </c>
      <c r="DF157" s="9">
        <v>122</v>
      </c>
      <c r="DG157" s="9">
        <v>30</v>
      </c>
      <c r="DH157" s="9">
        <v>11</v>
      </c>
      <c r="DI157" s="9">
        <v>3</v>
      </c>
      <c r="DJ157" s="9">
        <v>5</v>
      </c>
      <c r="DK157" s="9">
        <v>3</v>
      </c>
      <c r="DL157" s="9">
        <v>4</v>
      </c>
      <c r="DM157" s="9">
        <v>9</v>
      </c>
      <c r="DN157" s="9">
        <v>0</v>
      </c>
      <c r="DO157" s="9">
        <v>470.3</v>
      </c>
      <c r="DP157" s="9">
        <v>124.91</v>
      </c>
      <c r="DQ157" s="9">
        <v>66.319999999999993</v>
      </c>
      <c r="DR157" s="9">
        <v>58.59</v>
      </c>
      <c r="DS157" s="9">
        <v>37.020000000000003</v>
      </c>
      <c r="DT157" s="9">
        <v>4.62</v>
      </c>
      <c r="DU157" s="9">
        <v>171.91</v>
      </c>
      <c r="DV157" s="9">
        <v>118.19</v>
      </c>
      <c r="DW157" s="9">
        <v>31.93</v>
      </c>
      <c r="DX157" s="9">
        <v>136.07</v>
      </c>
      <c r="DY157" s="9">
        <v>83.19</v>
      </c>
      <c r="DZ157" s="9">
        <v>37.35</v>
      </c>
      <c r="EA157" s="9">
        <v>-461.51900000000001</v>
      </c>
      <c r="EB157" s="9">
        <v>-154.221</v>
      </c>
      <c r="EC157" s="9">
        <v>-117.077</v>
      </c>
      <c r="ED157" s="9">
        <v>-198.51400000000001</v>
      </c>
      <c r="EE157" s="9">
        <v>8.2938320000000001</v>
      </c>
      <c r="EF157" s="9">
        <v>11.7296</v>
      </c>
      <c r="EG157" s="9">
        <v>-1713.19</v>
      </c>
      <c r="EH157" s="9">
        <v>-137.226</v>
      </c>
      <c r="EI157" s="9">
        <v>-1482.4</v>
      </c>
      <c r="EJ157" s="9">
        <v>0</v>
      </c>
      <c r="EK157" s="9">
        <v>-93.556799999999996</v>
      </c>
      <c r="EL157" s="9">
        <v>198.0044</v>
      </c>
      <c r="EM157" s="9">
        <v>1461.4010000000001</v>
      </c>
      <c r="EN157" s="9">
        <v>4125.8</v>
      </c>
      <c r="EO157" s="9"/>
      <c r="EP157" s="9"/>
      <c r="EQ157" s="9"/>
      <c r="ER157" s="9"/>
      <c r="ES157" s="9"/>
      <c r="ET157" s="9"/>
      <c r="EU157">
        <v>1396.11</v>
      </c>
      <c r="EV157" s="9">
        <v>17210.53</v>
      </c>
      <c r="EW157" s="9">
        <v>3599.34</v>
      </c>
      <c r="EX157" s="9">
        <v>571.49</v>
      </c>
      <c r="EY157" s="9">
        <v>1176.05</v>
      </c>
      <c r="EZ157" s="9">
        <v>2836.1</v>
      </c>
      <c r="FA157" s="9">
        <v>9027.56</v>
      </c>
      <c r="FB157" s="9">
        <v>96.076127819500002</v>
      </c>
      <c r="FC157" s="9">
        <v>109.64</v>
      </c>
      <c r="FD157" s="9">
        <v>7966.4868421052997</v>
      </c>
      <c r="FE157" s="9">
        <v>128.87368421049999</v>
      </c>
      <c r="FF157" s="9">
        <v>1688.5294117646999</v>
      </c>
      <c r="FG157">
        <v>6961919.4199999999</v>
      </c>
      <c r="FH157">
        <v>6941135.2199999997</v>
      </c>
      <c r="FI157">
        <v>20784.2</v>
      </c>
      <c r="FJ157" s="9">
        <v>7975884.5999999996</v>
      </c>
      <c r="FK157">
        <v>6422118.5899999999</v>
      </c>
      <c r="FL157" s="9">
        <v>1553766.01</v>
      </c>
      <c r="FM157" s="9">
        <v>11992228.060000001</v>
      </c>
      <c r="FN157" s="9">
        <v>985719.45</v>
      </c>
      <c r="FO157">
        <v>1392.1</v>
      </c>
      <c r="FP157">
        <v>465.67</v>
      </c>
      <c r="FQ157">
        <v>47.29</v>
      </c>
      <c r="FR157">
        <v>672.61</v>
      </c>
      <c r="FS157">
        <v>15.02</v>
      </c>
      <c r="FT157">
        <v>1962.2</v>
      </c>
      <c r="FU157">
        <v>337.28</v>
      </c>
      <c r="FV157">
        <v>770.04</v>
      </c>
      <c r="FW157">
        <v>40216.089999999997</v>
      </c>
      <c r="FX157">
        <v>200.02</v>
      </c>
      <c r="HB157" s="6"/>
      <c r="HC157" s="6"/>
      <c r="HD157" s="6"/>
    </row>
    <row r="158" spans="1:212" x14ac:dyDescent="0.2">
      <c r="A158" s="8" t="s">
        <v>856</v>
      </c>
      <c r="B158" s="8" t="s">
        <v>379</v>
      </c>
      <c r="C158" s="8" t="s">
        <v>380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>
        <v>345694.6</v>
      </c>
      <c r="BO158" s="9">
        <v>295957.40000000002</v>
      </c>
      <c r="BP158" s="9">
        <v>67064.600000000006</v>
      </c>
      <c r="BQ158" s="9">
        <v>39411.599999999999</v>
      </c>
      <c r="BR158" s="9">
        <v>27653</v>
      </c>
      <c r="BS158" s="9">
        <v>52404.2</v>
      </c>
      <c r="BT158" s="9">
        <v>90029</v>
      </c>
      <c r="BU158" s="9">
        <v>28549.5</v>
      </c>
      <c r="BV158" s="9">
        <v>43120.7</v>
      </c>
      <c r="BW158" s="9">
        <v>266081.2</v>
      </c>
      <c r="BX158" s="9">
        <v>235</v>
      </c>
      <c r="BY158" s="9">
        <v>38788.800000000003</v>
      </c>
      <c r="BZ158" s="9">
        <v>101228.5</v>
      </c>
      <c r="CA158" s="9">
        <v>7203.3</v>
      </c>
      <c r="CB158" s="9">
        <v>4757.2</v>
      </c>
      <c r="CC158" s="9">
        <v>114103.5</v>
      </c>
      <c r="CD158" s="9">
        <v>0</v>
      </c>
      <c r="CE158" s="9">
        <v>875.9</v>
      </c>
      <c r="CF158" s="9">
        <v>1579287.1000079741</v>
      </c>
      <c r="CG158" s="9">
        <v>7338852.6205152748</v>
      </c>
      <c r="CH158" s="9"/>
      <c r="CI158" s="9"/>
      <c r="CJ158" s="9">
        <v>18.899999999999999</v>
      </c>
      <c r="CK158" s="9">
        <v>13.6</v>
      </c>
      <c r="CL158" s="9">
        <v>12.5</v>
      </c>
      <c r="CM158" s="9">
        <v>79.758654476700002</v>
      </c>
      <c r="CN158" s="9">
        <v>24.4351223219</v>
      </c>
      <c r="CO158" s="9">
        <v>3.1761172213000002</v>
      </c>
      <c r="CP158" s="9">
        <v>13.3995627994</v>
      </c>
      <c r="CQ158" s="9">
        <v>9.6785372951999999</v>
      </c>
      <c r="CR158" s="9">
        <v>3.5158476673000001</v>
      </c>
      <c r="CS158" s="9">
        <v>2.5397024606</v>
      </c>
      <c r="CT158" s="9">
        <v>9.4488951317000005</v>
      </c>
      <c r="CU158" s="9">
        <v>2.763135573</v>
      </c>
      <c r="CV158" s="9">
        <v>1.8740974985000001</v>
      </c>
      <c r="CW158" s="9">
        <v>3.7959604947000001</v>
      </c>
      <c r="CX158" s="9">
        <v>2.2040106086</v>
      </c>
      <c r="CY158" s="9">
        <v>2.9276654043999999</v>
      </c>
      <c r="CZ158" s="9">
        <v>282</v>
      </c>
      <c r="DA158" s="9">
        <v>261</v>
      </c>
      <c r="DB158" s="9">
        <v>14</v>
      </c>
      <c r="DC158" s="9">
        <v>71</v>
      </c>
      <c r="DD158" s="9">
        <v>32</v>
      </c>
      <c r="DE158" s="9">
        <v>15</v>
      </c>
      <c r="DF158" s="9">
        <v>88</v>
      </c>
      <c r="DG158" s="9">
        <v>34</v>
      </c>
      <c r="DH158" s="9">
        <v>12</v>
      </c>
      <c r="DI158" s="9">
        <v>1</v>
      </c>
      <c r="DJ158" s="9">
        <v>7</v>
      </c>
      <c r="DK158" s="9">
        <v>4</v>
      </c>
      <c r="DL158" s="9">
        <v>2</v>
      </c>
      <c r="DM158" s="9">
        <v>7</v>
      </c>
      <c r="DN158" s="9">
        <v>0</v>
      </c>
      <c r="DO158" s="9">
        <v>497.28</v>
      </c>
      <c r="DP158" s="9">
        <v>107.73</v>
      </c>
      <c r="DQ158" s="9">
        <v>53.58</v>
      </c>
      <c r="DR158" s="9">
        <v>54.15</v>
      </c>
      <c r="DS158" s="9">
        <v>32.1</v>
      </c>
      <c r="DT158" s="9">
        <v>0.57999999999999996</v>
      </c>
      <c r="DU158" s="9">
        <v>160.34</v>
      </c>
      <c r="DV158" s="9">
        <v>117.57</v>
      </c>
      <c r="DW158" s="9">
        <v>27.33</v>
      </c>
      <c r="DX158" s="9">
        <v>197.09</v>
      </c>
      <c r="DY158" s="9">
        <v>129.06</v>
      </c>
      <c r="DZ158" s="9">
        <v>44.44</v>
      </c>
      <c r="EA158" s="9">
        <v>-475.20100000000002</v>
      </c>
      <c r="EB158" s="9">
        <v>-246.96700000000001</v>
      </c>
      <c r="EC158" s="9">
        <v>-153.34100000000001</v>
      </c>
      <c r="ED158" s="9">
        <v>-81.826999999999998</v>
      </c>
      <c r="EE158" s="9">
        <v>6.9333229999999997</v>
      </c>
      <c r="EF158" s="9">
        <v>10.11708</v>
      </c>
      <c r="EG158" s="9">
        <v>-356.07</v>
      </c>
      <c r="EH158" s="9">
        <v>-280.52199999999999</v>
      </c>
      <c r="EI158" s="9">
        <v>-8.3256999999999994</v>
      </c>
      <c r="EJ158" s="9">
        <v>0</v>
      </c>
      <c r="EK158" s="9">
        <v>-67.222800000000007</v>
      </c>
      <c r="EL158" s="9">
        <v>37.243079999999999</v>
      </c>
      <c r="EM158" s="9">
        <v>-71.771000000000001</v>
      </c>
      <c r="EN158" s="9">
        <v>4080.9</v>
      </c>
      <c r="EO158" s="9"/>
      <c r="EP158" s="9"/>
      <c r="EQ158" s="9"/>
      <c r="ER158" s="9"/>
      <c r="ES158" s="9"/>
      <c r="ET158" s="9"/>
      <c r="EU158">
        <v>1392.76</v>
      </c>
      <c r="EV158" s="9"/>
      <c r="EW158" s="9"/>
      <c r="EX158" s="9"/>
      <c r="EY158" s="9"/>
      <c r="EZ158" s="9"/>
      <c r="FA158" s="9"/>
      <c r="FB158" s="9">
        <v>96.952110389599994</v>
      </c>
      <c r="FC158" s="9">
        <v>112.92869565220001</v>
      </c>
      <c r="FD158" s="9">
        <v>8053.7386363635997</v>
      </c>
      <c r="FE158" s="9">
        <v>150.4909090909</v>
      </c>
      <c r="FF158" s="9">
        <v>1670.9545454546001</v>
      </c>
      <c r="FG158">
        <v>7114179.1099999994</v>
      </c>
      <c r="FH158">
        <v>7092594.5099999998</v>
      </c>
      <c r="FI158">
        <v>21584.6</v>
      </c>
      <c r="FJ158" s="9">
        <v>7794783.9800000004</v>
      </c>
      <c r="FK158">
        <v>6313216.1899999995</v>
      </c>
      <c r="FL158" s="9">
        <v>1481567.79</v>
      </c>
      <c r="FM158" s="9">
        <v>12215208.51</v>
      </c>
      <c r="FN158" s="9">
        <v>1050788.4099999999</v>
      </c>
      <c r="FO158">
        <v>1392.56</v>
      </c>
      <c r="FP158">
        <v>319.10000000000002</v>
      </c>
      <c r="FQ158">
        <v>47.76</v>
      </c>
      <c r="FR158">
        <v>332.78</v>
      </c>
      <c r="FS158">
        <v>15.02</v>
      </c>
      <c r="FT158">
        <v>1284.2</v>
      </c>
      <c r="FU158">
        <v>350.23</v>
      </c>
      <c r="FV158">
        <v>566.92999999999995</v>
      </c>
      <c r="FW158">
        <v>58454.17</v>
      </c>
      <c r="FX158">
        <v>695.44</v>
      </c>
      <c r="HB158" s="6"/>
      <c r="HC158" s="6"/>
      <c r="HD158" s="6"/>
    </row>
    <row r="159" spans="1:212" x14ac:dyDescent="0.2">
      <c r="A159" s="8" t="s">
        <v>856</v>
      </c>
      <c r="B159" s="8" t="s">
        <v>379</v>
      </c>
      <c r="C159" s="8" t="s">
        <v>381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>
        <v>359481.4</v>
      </c>
      <c r="BO159" s="9">
        <v>330543.40000000002</v>
      </c>
      <c r="BP159" s="9">
        <v>118380.6</v>
      </c>
      <c r="BQ159" s="9">
        <v>78602.3</v>
      </c>
      <c r="BR159" s="9">
        <v>39778.300000000003</v>
      </c>
      <c r="BS159" s="9">
        <v>56276.3</v>
      </c>
      <c r="BT159" s="9">
        <v>92610.8</v>
      </c>
      <c r="BU159" s="9">
        <v>28700.9</v>
      </c>
      <c r="BV159" s="9">
        <v>28505.1</v>
      </c>
      <c r="BW159" s="9">
        <v>333847.09999999998</v>
      </c>
      <c r="BX159" s="9">
        <v>-7342</v>
      </c>
      <c r="BY159" s="9">
        <v>57754.3</v>
      </c>
      <c r="BZ159" s="9">
        <v>110187.3</v>
      </c>
      <c r="CA159" s="9">
        <v>2655.8</v>
      </c>
      <c r="CB159" s="9">
        <v>21214.9</v>
      </c>
      <c r="CC159" s="9">
        <v>142034.70000000001</v>
      </c>
      <c r="CD159" s="9">
        <v>0</v>
      </c>
      <c r="CE159" s="9">
        <v>21641.9</v>
      </c>
      <c r="CF159" s="9">
        <v>1480260.118565867</v>
      </c>
      <c r="CG159" s="9">
        <v>7236123.780088556</v>
      </c>
      <c r="CH159" s="9"/>
      <c r="CI159" s="9"/>
      <c r="CJ159" s="9">
        <v>19.100000000000001</v>
      </c>
      <c r="CK159" s="9">
        <v>13.1</v>
      </c>
      <c r="CL159" s="9">
        <v>12.5</v>
      </c>
      <c r="CM159" s="9">
        <v>80.562088907200007</v>
      </c>
      <c r="CN159" s="9">
        <v>25.2044674403</v>
      </c>
      <c r="CO159" s="9">
        <v>3.1901470407999999</v>
      </c>
      <c r="CP159" s="9">
        <v>13.4595812824</v>
      </c>
      <c r="CQ159" s="9">
        <v>9.5844528459999996</v>
      </c>
      <c r="CR159" s="9">
        <v>3.5338167957</v>
      </c>
      <c r="CS159" s="9">
        <v>2.5472073143</v>
      </c>
      <c r="CT159" s="9">
        <v>9.4707260324</v>
      </c>
      <c r="CU159" s="9">
        <v>2.7597957028</v>
      </c>
      <c r="CV159" s="9">
        <v>1.8727687105999999</v>
      </c>
      <c r="CW159" s="9">
        <v>3.7959604947000001</v>
      </c>
      <c r="CX159" s="9">
        <v>2.2095079686000001</v>
      </c>
      <c r="CY159" s="9">
        <v>2.9336572785000001</v>
      </c>
      <c r="CZ159" s="9">
        <v>225</v>
      </c>
      <c r="DA159" s="9">
        <v>211</v>
      </c>
      <c r="DB159" s="9">
        <v>15</v>
      </c>
      <c r="DC159" s="9">
        <v>65</v>
      </c>
      <c r="DD159" s="9">
        <v>53</v>
      </c>
      <c r="DE159" s="9">
        <v>12</v>
      </c>
      <c r="DF159" s="9">
        <v>35</v>
      </c>
      <c r="DG159" s="9">
        <v>25</v>
      </c>
      <c r="DH159" s="9">
        <v>8</v>
      </c>
      <c r="DI159" s="9">
        <v>0</v>
      </c>
      <c r="DJ159" s="9">
        <v>3</v>
      </c>
      <c r="DK159" s="9">
        <v>3</v>
      </c>
      <c r="DL159" s="9">
        <v>1</v>
      </c>
      <c r="DM159" s="9">
        <v>5</v>
      </c>
      <c r="DN159" s="9">
        <v>0</v>
      </c>
      <c r="DO159" s="9">
        <v>313.52</v>
      </c>
      <c r="DP159" s="9">
        <v>84.02</v>
      </c>
      <c r="DQ159" s="9">
        <v>41.92</v>
      </c>
      <c r="DR159" s="9">
        <v>42.1</v>
      </c>
      <c r="DS159" s="9">
        <v>23.24</v>
      </c>
      <c r="DT159" s="9">
        <v>3.61</v>
      </c>
      <c r="DU159" s="9">
        <v>116.69</v>
      </c>
      <c r="DV159" s="9">
        <v>88.9</v>
      </c>
      <c r="DW159" s="9">
        <v>17.97</v>
      </c>
      <c r="DX159" s="9">
        <v>89.48</v>
      </c>
      <c r="DY159" s="9">
        <v>62.28</v>
      </c>
      <c r="DZ159" s="9">
        <v>15.17</v>
      </c>
      <c r="EA159" s="9">
        <v>-294.48099999999999</v>
      </c>
      <c r="EB159" s="9">
        <v>-119.15</v>
      </c>
      <c r="EC159" s="9">
        <v>-107.453</v>
      </c>
      <c r="ED159" s="9">
        <v>-77.400899999999993</v>
      </c>
      <c r="EE159" s="9">
        <v>9.5225500000000007</v>
      </c>
      <c r="EF159" s="9">
        <v>9.6137060000000005</v>
      </c>
      <c r="EG159" s="9">
        <v>-226.148</v>
      </c>
      <c r="EH159" s="9">
        <v>-280.73599999999999</v>
      </c>
      <c r="EI159" s="9">
        <v>-6.0994400000000004</v>
      </c>
      <c r="EJ159" s="9">
        <v>0</v>
      </c>
      <c r="EK159" s="9">
        <v>60.688279999999999</v>
      </c>
      <c r="EL159" s="9">
        <v>-69.118799999999993</v>
      </c>
      <c r="EM159" s="9">
        <v>-127.83799999999999</v>
      </c>
      <c r="EN159" s="9">
        <v>4011.8</v>
      </c>
      <c r="EO159" s="9"/>
      <c r="EP159" s="9"/>
      <c r="EQ159" s="9"/>
      <c r="ER159" s="9"/>
      <c r="ES159" s="9"/>
      <c r="ET159" s="9"/>
      <c r="EU159">
        <v>1393.9</v>
      </c>
      <c r="EV159" s="9"/>
      <c r="EW159" s="9"/>
      <c r="EX159" s="9"/>
      <c r="EY159" s="9"/>
      <c r="EZ159" s="9"/>
      <c r="FA159" s="9"/>
      <c r="FB159" s="9">
        <v>100.3473214286</v>
      </c>
      <c r="FC159" s="9">
        <v>116.455</v>
      </c>
      <c r="FD159" s="9">
        <v>8060.9250000000002</v>
      </c>
      <c r="FE159" s="9">
        <v>154.6388888889</v>
      </c>
      <c r="FF159" s="9">
        <v>1627.5875000000001</v>
      </c>
      <c r="FG159">
        <v>7142836.54</v>
      </c>
      <c r="FH159">
        <v>7121233.9199999999</v>
      </c>
      <c r="FI159">
        <v>21602.62</v>
      </c>
      <c r="FJ159" s="9">
        <v>7752938.2199999997</v>
      </c>
      <c r="FK159">
        <v>6331355.9000000004</v>
      </c>
      <c r="FL159" s="9">
        <v>1421582.32</v>
      </c>
      <c r="FM159" s="9">
        <v>12560689.07</v>
      </c>
      <c r="FN159" s="9">
        <v>1018534.57</v>
      </c>
      <c r="FO159">
        <v>1402.15</v>
      </c>
      <c r="FP159">
        <v>357.75</v>
      </c>
      <c r="FQ159">
        <v>43.12</v>
      </c>
      <c r="FR159">
        <v>440.04</v>
      </c>
      <c r="FS159">
        <v>11.72</v>
      </c>
      <c r="FT159">
        <v>501.22</v>
      </c>
      <c r="FU159">
        <v>251.02</v>
      </c>
      <c r="FV159">
        <v>150.32</v>
      </c>
      <c r="FW159">
        <v>22574</v>
      </c>
      <c r="FX159">
        <v>285.63</v>
      </c>
      <c r="HB159" s="6"/>
      <c r="HC159" s="6"/>
      <c r="HD159" s="6"/>
    </row>
    <row r="160" spans="1:212" x14ac:dyDescent="0.2">
      <c r="A160" s="8" t="s">
        <v>856</v>
      </c>
      <c r="B160" s="8" t="s">
        <v>379</v>
      </c>
      <c r="C160" s="8" t="s">
        <v>382</v>
      </c>
      <c r="D160" s="9">
        <v>3508102.4</v>
      </c>
      <c r="E160" s="9">
        <v>107940.7</v>
      </c>
      <c r="F160" s="9">
        <v>681872.6</v>
      </c>
      <c r="G160" s="9">
        <v>301469.5</v>
      </c>
      <c r="H160" s="9">
        <v>98112.9</v>
      </c>
      <c r="I160" s="9">
        <v>34141.800000000003</v>
      </c>
      <c r="J160" s="9">
        <v>370417.7</v>
      </c>
      <c r="K160" s="9">
        <v>190602.2</v>
      </c>
      <c r="L160" s="9">
        <v>100674.7</v>
      </c>
      <c r="M160" s="9">
        <v>1176776.3999999999</v>
      </c>
      <c r="N160" s="9">
        <v>446093.7</v>
      </c>
      <c r="O160" s="9">
        <v>3792399.9510462792</v>
      </c>
      <c r="P160" s="9">
        <v>105428.2950994579</v>
      </c>
      <c r="Q160" s="9">
        <v>715331.74057623767</v>
      </c>
      <c r="R160" s="9">
        <v>265582.20804286242</v>
      </c>
      <c r="S160" s="9">
        <v>137718.16844005079</v>
      </c>
      <c r="T160" s="9">
        <v>32853.222053318197</v>
      </c>
      <c r="U160" s="9">
        <v>453613.72249392472</v>
      </c>
      <c r="V160" s="9">
        <v>220886.15307680721</v>
      </c>
      <c r="W160" s="9">
        <v>111422.92000378419</v>
      </c>
      <c r="X160" s="9">
        <v>1220516.202688501</v>
      </c>
      <c r="Y160" s="9">
        <v>529047.3185713347</v>
      </c>
      <c r="Z160" s="9">
        <v>3333854.5</v>
      </c>
      <c r="AA160" s="9">
        <v>2223543.2000000002</v>
      </c>
      <c r="AB160" s="9">
        <v>536407.80000000005</v>
      </c>
      <c r="AC160" s="9">
        <v>1131192</v>
      </c>
      <c r="AD160" s="9">
        <v>231767.1</v>
      </c>
      <c r="AE160" s="9">
        <v>1239271.2</v>
      </c>
      <c r="AF160" s="9">
        <v>2028326.9</v>
      </c>
      <c r="AG160" s="9">
        <v>3591969.2653785492</v>
      </c>
      <c r="AH160" s="9">
        <v>2378227.0378032168</v>
      </c>
      <c r="AI160" s="9">
        <v>614487.31642238656</v>
      </c>
      <c r="AJ160" s="9">
        <v>1072364.684722594</v>
      </c>
      <c r="AK160" s="9">
        <v>268744.78683274332</v>
      </c>
      <c r="AL160" s="9">
        <v>1017542.856839304</v>
      </c>
      <c r="AM160" s="9">
        <v>1759397.417241696</v>
      </c>
      <c r="AN160" s="9">
        <v>1032454</v>
      </c>
      <c r="AO160" s="9">
        <v>545712</v>
      </c>
      <c r="AP160" s="9">
        <v>486742</v>
      </c>
      <c r="AQ160" s="9">
        <v>106072</v>
      </c>
      <c r="AR160" s="9">
        <v>53700</v>
      </c>
      <c r="AS160" s="9">
        <v>52372</v>
      </c>
      <c r="AT160" s="9">
        <v>711394</v>
      </c>
      <c r="AU160" s="9">
        <v>279727</v>
      </c>
      <c r="AV160" s="9">
        <v>431667</v>
      </c>
      <c r="AW160" s="9">
        <v>692.3</v>
      </c>
      <c r="AX160" s="9">
        <v>302.60000000000002</v>
      </c>
      <c r="AY160" s="9">
        <v>1050.2</v>
      </c>
      <c r="AZ160" s="9">
        <v>591.6</v>
      </c>
      <c r="BA160" s="9">
        <v>774.5</v>
      </c>
      <c r="BB160" s="9">
        <v>517.5</v>
      </c>
      <c r="BC160" s="9">
        <v>581.29999999999995</v>
      </c>
      <c r="BD160" s="9">
        <v>703.1</v>
      </c>
      <c r="BE160" s="9">
        <v>794.3</v>
      </c>
      <c r="BF160" s="9">
        <v>489.1</v>
      </c>
      <c r="BG160" s="9">
        <v>752.5</v>
      </c>
      <c r="BH160" s="9">
        <v>1346</v>
      </c>
      <c r="BI160" s="9">
        <v>606.4</v>
      </c>
      <c r="BJ160" s="9">
        <v>641.79999999999995</v>
      </c>
      <c r="BK160" s="9">
        <v>653</v>
      </c>
      <c r="BL160" s="9">
        <v>529.4</v>
      </c>
      <c r="BM160" s="9">
        <v>423.9</v>
      </c>
      <c r="BN160" s="9">
        <v>412891.3</v>
      </c>
      <c r="BO160" s="9">
        <v>356565.5</v>
      </c>
      <c r="BP160" s="9">
        <v>68221.100000000006</v>
      </c>
      <c r="BQ160" s="9">
        <v>37604.400000000001</v>
      </c>
      <c r="BR160" s="9">
        <v>30616.7</v>
      </c>
      <c r="BS160" s="9">
        <v>67402.899999999994</v>
      </c>
      <c r="BT160" s="9">
        <v>109918.5</v>
      </c>
      <c r="BU160" s="9">
        <v>28374.1</v>
      </c>
      <c r="BV160" s="9">
        <v>48551.199999999997</v>
      </c>
      <c r="BW160" s="9">
        <v>386972.9</v>
      </c>
      <c r="BX160" s="9">
        <v>2706</v>
      </c>
      <c r="BY160" s="9">
        <v>67964.600000000006</v>
      </c>
      <c r="BZ160" s="9">
        <v>114809.8</v>
      </c>
      <c r="CA160" s="9">
        <v>10596.3</v>
      </c>
      <c r="CB160" s="9">
        <v>32162.799999999999</v>
      </c>
      <c r="CC160" s="9">
        <v>161439.5</v>
      </c>
      <c r="CD160" s="9">
        <v>0</v>
      </c>
      <c r="CE160" s="9">
        <v>14701</v>
      </c>
      <c r="CF160" s="9">
        <v>1589074.686737082</v>
      </c>
      <c r="CG160" s="9">
        <v>7298742.3656497011</v>
      </c>
      <c r="CH160" s="9"/>
      <c r="CI160" s="9"/>
      <c r="CJ160" s="9">
        <v>19.564002104299998</v>
      </c>
      <c r="CK160" s="9">
        <v>14.163243895000001</v>
      </c>
      <c r="CL160" s="9">
        <v>12.5</v>
      </c>
      <c r="CM160" s="9">
        <v>81.112180930700006</v>
      </c>
      <c r="CN160" s="9">
        <v>25.5399048423</v>
      </c>
      <c r="CO160" s="9">
        <v>3.1971310824999999</v>
      </c>
      <c r="CP160" s="9">
        <v>13.530551090599999</v>
      </c>
      <c r="CQ160" s="9">
        <v>9.5452147587000002</v>
      </c>
      <c r="CR160" s="9">
        <v>3.570128102</v>
      </c>
      <c r="CS160" s="9">
        <v>2.5952401123</v>
      </c>
      <c r="CT160" s="9">
        <v>9.4983922942000003</v>
      </c>
      <c r="CU160" s="9">
        <v>2.7592089605000001</v>
      </c>
      <c r="CV160" s="9">
        <v>1.8719138637999999</v>
      </c>
      <c r="CW160" s="9">
        <v>3.7959604947000001</v>
      </c>
      <c r="CX160" s="9">
        <v>2.2524646222000002</v>
      </c>
      <c r="CY160" s="9">
        <v>2.9560707069999999</v>
      </c>
      <c r="CZ160" s="9">
        <v>303</v>
      </c>
      <c r="DA160" s="9">
        <v>277</v>
      </c>
      <c r="DB160" s="9">
        <v>14</v>
      </c>
      <c r="DC160" s="9">
        <v>73</v>
      </c>
      <c r="DD160" s="9">
        <v>41</v>
      </c>
      <c r="DE160" s="9">
        <v>16</v>
      </c>
      <c r="DF160" s="9">
        <v>86</v>
      </c>
      <c r="DG160" s="9">
        <v>36</v>
      </c>
      <c r="DH160" s="9">
        <v>10</v>
      </c>
      <c r="DI160" s="9">
        <v>0</v>
      </c>
      <c r="DJ160" s="9">
        <v>5</v>
      </c>
      <c r="DK160" s="9">
        <v>2</v>
      </c>
      <c r="DL160" s="9">
        <v>1</v>
      </c>
      <c r="DM160" s="9">
        <v>16</v>
      </c>
      <c r="DN160" s="9">
        <v>0</v>
      </c>
      <c r="DO160" s="9">
        <v>394.74</v>
      </c>
      <c r="DP160" s="9">
        <v>110.34</v>
      </c>
      <c r="DQ160" s="9">
        <v>56.56</v>
      </c>
      <c r="DR160" s="9">
        <v>53.78</v>
      </c>
      <c r="DS160" s="9">
        <v>32.71</v>
      </c>
      <c r="DT160" s="9">
        <v>3.63</v>
      </c>
      <c r="DU160" s="9">
        <v>206.42</v>
      </c>
      <c r="DV160" s="9">
        <v>152.35</v>
      </c>
      <c r="DW160" s="9">
        <v>40.85</v>
      </c>
      <c r="DX160" s="9">
        <v>45.06</v>
      </c>
      <c r="DY160" s="9">
        <v>28.41</v>
      </c>
      <c r="DZ160" s="9">
        <v>6.82</v>
      </c>
      <c r="EA160" s="9">
        <v>-363.19499999999999</v>
      </c>
      <c r="EB160" s="9">
        <v>-128.71</v>
      </c>
      <c r="EC160" s="9">
        <v>-161.77500000000001</v>
      </c>
      <c r="ED160" s="9">
        <v>-85.355900000000005</v>
      </c>
      <c r="EE160" s="9">
        <v>12.645339999999999</v>
      </c>
      <c r="EF160" s="9">
        <v>9.1240679999999994</v>
      </c>
      <c r="EG160" s="9">
        <v>-37.762</v>
      </c>
      <c r="EH160" s="9">
        <v>-278.62200000000001</v>
      </c>
      <c r="EI160" s="9">
        <v>11.22706</v>
      </c>
      <c r="EJ160" s="9">
        <v>0</v>
      </c>
      <c r="EK160" s="9">
        <v>229.6327</v>
      </c>
      <c r="EL160" s="9">
        <v>118.15689999999999</v>
      </c>
      <c r="EM160" s="9">
        <v>-198.15199999999999</v>
      </c>
      <c r="EN160" s="9">
        <v>3796.6</v>
      </c>
      <c r="EO160" s="9"/>
      <c r="EP160" s="9"/>
      <c r="EQ160" s="9"/>
      <c r="ER160" s="9"/>
      <c r="ES160" s="9"/>
      <c r="ET160" s="9"/>
      <c r="EU160">
        <v>1404.39</v>
      </c>
      <c r="EV160" s="9">
        <v>17922.189999999999</v>
      </c>
      <c r="EW160" s="9">
        <v>3523.95</v>
      </c>
      <c r="EX160" s="9">
        <v>528.29</v>
      </c>
      <c r="EY160" s="9">
        <v>1213.55</v>
      </c>
      <c r="EZ160" s="9">
        <v>2926.16</v>
      </c>
      <c r="FA160" s="9">
        <v>9730.24</v>
      </c>
      <c r="FB160" s="9">
        <v>97.316785714299996</v>
      </c>
      <c r="FC160" s="9">
        <v>109.24</v>
      </c>
      <c r="FD160" s="9">
        <v>7652.375</v>
      </c>
      <c r="FE160" s="9">
        <v>139.87</v>
      </c>
      <c r="FF160" s="9">
        <v>1592.8625</v>
      </c>
      <c r="FG160">
        <v>7357191.0199999996</v>
      </c>
      <c r="FH160">
        <v>7336370.3799999999</v>
      </c>
      <c r="FI160">
        <v>20820.64</v>
      </c>
      <c r="FJ160" s="9">
        <v>7814600.1200000001</v>
      </c>
      <c r="FK160">
        <v>6408507.6600000001</v>
      </c>
      <c r="FL160" s="9">
        <v>1406092.46</v>
      </c>
      <c r="FM160" s="9">
        <v>13286021.869999999</v>
      </c>
      <c r="FN160" s="9">
        <v>1026459.96</v>
      </c>
      <c r="FO160">
        <v>1410.32</v>
      </c>
      <c r="FP160">
        <v>343.09</v>
      </c>
      <c r="FQ160">
        <v>49.09</v>
      </c>
      <c r="FR160">
        <v>348.78</v>
      </c>
      <c r="FS160">
        <v>15.32</v>
      </c>
      <c r="FT160">
        <v>1659.77</v>
      </c>
      <c r="FU160">
        <v>380.79</v>
      </c>
      <c r="FV160">
        <v>144.30000000000001</v>
      </c>
      <c r="FW160">
        <v>49407.31</v>
      </c>
      <c r="FX160">
        <v>338.76</v>
      </c>
      <c r="HB160" s="6"/>
      <c r="HC160" s="6"/>
      <c r="HD160" s="6"/>
    </row>
    <row r="161" spans="1:212" x14ac:dyDescent="0.2">
      <c r="A161" s="8" t="s">
        <v>856</v>
      </c>
      <c r="B161" s="8" t="s">
        <v>383</v>
      </c>
      <c r="C161" s="8" t="s">
        <v>384</v>
      </c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>
        <v>490701.3</v>
      </c>
      <c r="BO161" s="9">
        <v>439456.8</v>
      </c>
      <c r="BP161" s="9">
        <v>108242.8</v>
      </c>
      <c r="BQ161" s="9">
        <v>78121.399999999994</v>
      </c>
      <c r="BR161" s="9">
        <v>30121.4</v>
      </c>
      <c r="BS161" s="9">
        <v>83401.399999999994</v>
      </c>
      <c r="BT161" s="9">
        <v>105760</v>
      </c>
      <c r="BU161" s="9">
        <v>30125.4</v>
      </c>
      <c r="BV161" s="9">
        <v>46493.5</v>
      </c>
      <c r="BW161" s="9">
        <v>362240.9</v>
      </c>
      <c r="BX161" s="9">
        <v>4769</v>
      </c>
      <c r="BY161" s="9">
        <v>72678.600000000006</v>
      </c>
      <c r="BZ161" s="9">
        <v>113067.6</v>
      </c>
      <c r="CA161" s="9">
        <v>8243.7000000000007</v>
      </c>
      <c r="CB161" s="9">
        <v>5316.6</v>
      </c>
      <c r="CC161" s="9">
        <v>162934.20000000001</v>
      </c>
      <c r="CD161" s="9">
        <v>0</v>
      </c>
      <c r="CE161" s="9">
        <v>66633.2</v>
      </c>
      <c r="CF161" s="9">
        <v>1668191.383183552</v>
      </c>
      <c r="CG161" s="9">
        <v>7182082.0356264133</v>
      </c>
      <c r="CH161" s="9"/>
      <c r="CI161" s="9"/>
      <c r="CJ161" s="9">
        <v>19.100000000000001</v>
      </c>
      <c r="CK161" s="9">
        <v>13.2</v>
      </c>
      <c r="CL161" s="9">
        <v>11.5</v>
      </c>
      <c r="CM161" s="9">
        <v>82.045995530400006</v>
      </c>
      <c r="CN161" s="9">
        <v>26.273970188</v>
      </c>
      <c r="CO161" s="9">
        <v>3.2120747412999999</v>
      </c>
      <c r="CP161" s="9">
        <v>13.622675232100001</v>
      </c>
      <c r="CQ161" s="9">
        <v>9.5730066267999998</v>
      </c>
      <c r="CR161" s="9">
        <v>3.5872900326999999</v>
      </c>
      <c r="CS161" s="9">
        <v>2.6021224116999999</v>
      </c>
      <c r="CT161" s="9">
        <v>9.4958056746999997</v>
      </c>
      <c r="CU161" s="9">
        <v>2.7586179194999998</v>
      </c>
      <c r="CV161" s="9">
        <v>1.8779200907</v>
      </c>
      <c r="CW161" s="9">
        <v>3.7959604947000001</v>
      </c>
      <c r="CX161" s="9">
        <v>2.2715707710999999</v>
      </c>
      <c r="CY161" s="9">
        <v>2.9749813471</v>
      </c>
      <c r="CZ161" s="9">
        <v>407</v>
      </c>
      <c r="DA161" s="9">
        <v>359</v>
      </c>
      <c r="DB161" s="9">
        <v>12</v>
      </c>
      <c r="DC161" s="9">
        <v>67</v>
      </c>
      <c r="DD161" s="9">
        <v>97</v>
      </c>
      <c r="DE161" s="9">
        <v>5</v>
      </c>
      <c r="DF161" s="9">
        <v>130</v>
      </c>
      <c r="DG161" s="9">
        <v>41</v>
      </c>
      <c r="DH161" s="9">
        <v>36</v>
      </c>
      <c r="DI161" s="9">
        <v>0</v>
      </c>
      <c r="DJ161" s="9">
        <v>2</v>
      </c>
      <c r="DK161" s="9">
        <v>33</v>
      </c>
      <c r="DL161" s="9">
        <v>1</v>
      </c>
      <c r="DM161" s="9">
        <v>10</v>
      </c>
      <c r="DN161" s="9">
        <v>0</v>
      </c>
      <c r="DO161" s="9">
        <v>535.77</v>
      </c>
      <c r="DP161" s="9">
        <v>127.27</v>
      </c>
      <c r="DQ161" s="9">
        <v>60.03</v>
      </c>
      <c r="DR161" s="9">
        <v>67.239999999999995</v>
      </c>
      <c r="DS161" s="9">
        <v>37.24</v>
      </c>
      <c r="DT161" s="9">
        <v>1.71</v>
      </c>
      <c r="DU161" s="9">
        <v>291.79000000000002</v>
      </c>
      <c r="DV161" s="9">
        <v>208.22</v>
      </c>
      <c r="DW161" s="9">
        <v>65.239999999999995</v>
      </c>
      <c r="DX161" s="9">
        <v>79.069999999999993</v>
      </c>
      <c r="DY161" s="9">
        <v>39.11</v>
      </c>
      <c r="DZ161" s="9">
        <v>24.32</v>
      </c>
      <c r="EA161" s="9">
        <v>-387.21300000000002</v>
      </c>
      <c r="EB161" s="9">
        <v>-208.756</v>
      </c>
      <c r="EC161" s="9">
        <v>-115.517</v>
      </c>
      <c r="ED161" s="9">
        <v>-72.588899999999995</v>
      </c>
      <c r="EE161" s="9">
        <v>9.6490550000000006</v>
      </c>
      <c r="EF161" s="9">
        <v>10.541399999999999</v>
      </c>
      <c r="EG161" s="9">
        <v>-287.49</v>
      </c>
      <c r="EH161" s="9">
        <v>-152.01599999999999</v>
      </c>
      <c r="EI161" s="9">
        <v>-4.9172599999999997</v>
      </c>
      <c r="EJ161" s="9">
        <v>0</v>
      </c>
      <c r="EK161" s="9">
        <v>-130.55699999999999</v>
      </c>
      <c r="EL161" s="9">
        <v>-166.85400000000001</v>
      </c>
      <c r="EM161" s="9">
        <v>-256.036</v>
      </c>
      <c r="EN161" s="9">
        <v>3512.3</v>
      </c>
      <c r="EO161" s="9"/>
      <c r="EP161" s="9"/>
      <c r="EQ161" s="9"/>
      <c r="ER161" s="9"/>
      <c r="ES161" s="9"/>
      <c r="ET161" s="9"/>
      <c r="EU161">
        <v>1417.41</v>
      </c>
      <c r="EV161" s="9"/>
      <c r="EW161" s="9"/>
      <c r="EX161" s="9"/>
      <c r="EY161" s="9"/>
      <c r="EZ161" s="9"/>
      <c r="FA161" s="9"/>
      <c r="FB161" s="9">
        <v>93.233163265300007</v>
      </c>
      <c r="FC161" s="9">
        <v>102.87545454550001</v>
      </c>
      <c r="FD161" s="9">
        <v>7221.1619047618997</v>
      </c>
      <c r="FE161" s="9">
        <v>137.39090909090001</v>
      </c>
      <c r="FF161" s="9">
        <v>1485.0833333333001</v>
      </c>
      <c r="FG161">
        <v>7737669.2300000004</v>
      </c>
      <c r="FH161">
        <v>7716802.6100000003</v>
      </c>
      <c r="FI161">
        <v>20866.62</v>
      </c>
      <c r="FJ161" s="9">
        <v>7717490.2300000004</v>
      </c>
      <c r="FK161">
        <v>6268173.7899999991</v>
      </c>
      <c r="FL161" s="9">
        <v>1449316.44</v>
      </c>
      <c r="FM161" s="9">
        <v>13331684.5</v>
      </c>
      <c r="FN161" s="9">
        <v>1052979.02</v>
      </c>
      <c r="FO161">
        <v>1436.12</v>
      </c>
      <c r="FP161">
        <v>318.72000000000003</v>
      </c>
      <c r="FQ161">
        <v>46.58</v>
      </c>
      <c r="FR161">
        <v>811.54</v>
      </c>
      <c r="FS161">
        <v>5.41</v>
      </c>
      <c r="FT161">
        <v>1562.07</v>
      </c>
      <c r="FU161">
        <v>438.56</v>
      </c>
      <c r="FV161">
        <v>64.540000000000006</v>
      </c>
      <c r="FW161">
        <v>16920.71</v>
      </c>
      <c r="FX161">
        <v>621.83000000000004</v>
      </c>
      <c r="HB161" s="6"/>
      <c r="HC161" s="6"/>
      <c r="HD161" s="6"/>
    </row>
    <row r="162" spans="1:212" x14ac:dyDescent="0.2">
      <c r="A162" s="8" t="s">
        <v>856</v>
      </c>
      <c r="B162" s="8" t="s">
        <v>383</v>
      </c>
      <c r="C162" s="8" t="s">
        <v>385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>
        <v>428494.6</v>
      </c>
      <c r="BO162" s="9">
        <v>371103.5</v>
      </c>
      <c r="BP162" s="9">
        <v>65428.3</v>
      </c>
      <c r="BQ162" s="9">
        <v>32502.400000000001</v>
      </c>
      <c r="BR162" s="9">
        <v>32925.9</v>
      </c>
      <c r="BS162" s="9">
        <v>49469.3</v>
      </c>
      <c r="BT162" s="9">
        <v>115373</v>
      </c>
      <c r="BU162" s="9">
        <v>41949.4</v>
      </c>
      <c r="BV162" s="9">
        <v>50887.5</v>
      </c>
      <c r="BW162" s="9">
        <v>346143.4</v>
      </c>
      <c r="BX162" s="9">
        <v>2794.4</v>
      </c>
      <c r="BY162" s="9">
        <v>80076.100000000006</v>
      </c>
      <c r="BZ162" s="9">
        <v>117187.6</v>
      </c>
      <c r="CA162" s="9">
        <v>15911.7</v>
      </c>
      <c r="CB162" s="9">
        <v>-5316.6</v>
      </c>
      <c r="CC162" s="9">
        <v>-162934.20000000001</v>
      </c>
      <c r="CD162" s="9">
        <v>0</v>
      </c>
      <c r="CE162" s="9">
        <v>69785.399999999994</v>
      </c>
      <c r="CF162" s="9">
        <v>1779072.487795477</v>
      </c>
      <c r="CG162" s="9">
        <v>7906682.829696482</v>
      </c>
      <c r="CH162" s="9"/>
      <c r="CI162" s="9"/>
      <c r="CJ162" s="9">
        <v>18.476896765999999</v>
      </c>
      <c r="CK162" s="9">
        <v>13.241955514200001</v>
      </c>
      <c r="CL162" s="9">
        <v>11.5</v>
      </c>
      <c r="CM162" s="9">
        <v>82.235299334299995</v>
      </c>
      <c r="CN162" s="9">
        <v>26.528779239999999</v>
      </c>
      <c r="CO162" s="9">
        <v>3.2209330971000001</v>
      </c>
      <c r="CP162" s="9">
        <v>13.730580648</v>
      </c>
      <c r="CQ162" s="9">
        <v>9.3116402848999993</v>
      </c>
      <c r="CR162" s="9">
        <v>3.6034290667</v>
      </c>
      <c r="CS162" s="9">
        <v>2.6328700932000002</v>
      </c>
      <c r="CT162" s="9">
        <v>9.5088712481000002</v>
      </c>
      <c r="CU162" s="9">
        <v>2.7583915601000002</v>
      </c>
      <c r="CV162" s="9">
        <v>1.8712017632</v>
      </c>
      <c r="CW162" s="9">
        <v>3.7959604947000001</v>
      </c>
      <c r="CX162" s="9">
        <v>2.2878214041999998</v>
      </c>
      <c r="CY162" s="9">
        <v>2.9848204341</v>
      </c>
      <c r="CZ162" s="9">
        <v>428</v>
      </c>
      <c r="DA162" s="9">
        <v>345</v>
      </c>
      <c r="DB162" s="9">
        <v>62</v>
      </c>
      <c r="DC162" s="9">
        <v>66</v>
      </c>
      <c r="DD162" s="9">
        <v>41</v>
      </c>
      <c r="DE162" s="9">
        <v>19</v>
      </c>
      <c r="DF162" s="9">
        <v>113</v>
      </c>
      <c r="DG162" s="9">
        <v>35</v>
      </c>
      <c r="DH162" s="9">
        <v>72</v>
      </c>
      <c r="DI162" s="9">
        <v>0</v>
      </c>
      <c r="DJ162" s="9">
        <v>2</v>
      </c>
      <c r="DK162" s="9">
        <v>67</v>
      </c>
      <c r="DL162" s="9">
        <v>1</v>
      </c>
      <c r="DM162" s="9">
        <v>11</v>
      </c>
      <c r="DN162" s="9">
        <v>0</v>
      </c>
      <c r="DO162" s="9">
        <v>744.5</v>
      </c>
      <c r="DP162" s="9">
        <v>141.4</v>
      </c>
      <c r="DQ162" s="9">
        <v>68.7</v>
      </c>
      <c r="DR162" s="9">
        <v>72.7</v>
      </c>
      <c r="DS162" s="9">
        <v>63.98</v>
      </c>
      <c r="DT162" s="9">
        <v>16.420000000000002</v>
      </c>
      <c r="DU162" s="9">
        <v>418.43</v>
      </c>
      <c r="DV162" s="9">
        <v>305.14</v>
      </c>
      <c r="DW162" s="9">
        <v>75.89</v>
      </c>
      <c r="DX162" s="9">
        <v>120.32</v>
      </c>
      <c r="DY162" s="9">
        <v>73.17</v>
      </c>
      <c r="DZ162" s="9">
        <v>25.68</v>
      </c>
      <c r="EA162" s="9">
        <v>-519.87300000000005</v>
      </c>
      <c r="EB162" s="9">
        <v>-355.34899999999999</v>
      </c>
      <c r="EC162" s="9">
        <v>-112.85599999999999</v>
      </c>
      <c r="ED162" s="9">
        <v>-66.556899999999999</v>
      </c>
      <c r="EE162" s="9">
        <v>14.88885</v>
      </c>
      <c r="EF162" s="9">
        <v>12.52985</v>
      </c>
      <c r="EG162" s="9">
        <v>-311.85199999999998</v>
      </c>
      <c r="EH162" s="9">
        <v>-113.91500000000001</v>
      </c>
      <c r="EI162" s="9">
        <v>-11.332599999999999</v>
      </c>
      <c r="EJ162" s="9">
        <v>0</v>
      </c>
      <c r="EK162" s="9">
        <v>-186.60400000000001</v>
      </c>
      <c r="EL162" s="9">
        <v>110.1707</v>
      </c>
      <c r="EM162" s="9">
        <v>-85.319900000000004</v>
      </c>
      <c r="EN162" s="9">
        <v>3387.7</v>
      </c>
      <c r="EO162" s="9"/>
      <c r="EP162" s="9"/>
      <c r="EQ162" s="9"/>
      <c r="ER162" s="9"/>
      <c r="ES162" s="9"/>
      <c r="ET162" s="9"/>
      <c r="EU162">
        <v>1438.27</v>
      </c>
      <c r="EV162" s="9"/>
      <c r="EW162" s="9"/>
      <c r="EX162" s="9"/>
      <c r="EY162" s="9"/>
      <c r="EZ162" s="9"/>
      <c r="FA162" s="9"/>
      <c r="FB162" s="9">
        <v>93.126020408200006</v>
      </c>
      <c r="FC162" s="9">
        <v>103.0269565217</v>
      </c>
      <c r="FD162" s="9">
        <v>7248.7142857142999</v>
      </c>
      <c r="FE162" s="9">
        <v>124.0095238095</v>
      </c>
      <c r="FF162" s="9">
        <v>1413.5</v>
      </c>
      <c r="FG162">
        <v>8193122.1799999997</v>
      </c>
      <c r="FH162">
        <v>8172160.29</v>
      </c>
      <c r="FI162">
        <v>20961.89</v>
      </c>
      <c r="FJ162" s="9">
        <v>8438129.790000001</v>
      </c>
      <c r="FK162">
        <v>6519622.9900000002</v>
      </c>
      <c r="FL162" s="9">
        <v>1918506.8</v>
      </c>
      <c r="FM162" s="9">
        <v>14660117.890000001</v>
      </c>
      <c r="FN162" s="9">
        <v>1076140.55</v>
      </c>
      <c r="FO162">
        <v>1442.2</v>
      </c>
      <c r="FP162">
        <v>1620.13</v>
      </c>
      <c r="FQ162">
        <v>48.46</v>
      </c>
      <c r="FR162">
        <v>407.37</v>
      </c>
      <c r="FS162">
        <v>21.03</v>
      </c>
      <c r="FT162">
        <v>1359.4</v>
      </c>
      <c r="FU162">
        <v>368.56</v>
      </c>
      <c r="FV162">
        <v>0.28000000000000003</v>
      </c>
      <c r="FW162">
        <v>7225.2</v>
      </c>
      <c r="FX162">
        <v>1475.8</v>
      </c>
      <c r="HB162" s="6"/>
      <c r="HC162" s="6"/>
      <c r="HD162" s="6"/>
    </row>
    <row r="163" spans="1:212" x14ac:dyDescent="0.2">
      <c r="A163" s="8" t="s">
        <v>856</v>
      </c>
      <c r="B163" s="8" t="s">
        <v>383</v>
      </c>
      <c r="C163" s="8" t="s">
        <v>386</v>
      </c>
      <c r="D163" s="9">
        <v>5077543.4000000004</v>
      </c>
      <c r="E163" s="9">
        <v>1075101.5</v>
      </c>
      <c r="F163" s="9">
        <v>692317.3</v>
      </c>
      <c r="G163" s="9">
        <v>400174.3</v>
      </c>
      <c r="H163" s="9">
        <v>76231</v>
      </c>
      <c r="I163" s="9">
        <v>247456.7</v>
      </c>
      <c r="J163" s="9">
        <v>410616.6</v>
      </c>
      <c r="K163" s="9">
        <v>212222</v>
      </c>
      <c r="L163" s="9">
        <v>100704.7</v>
      </c>
      <c r="M163" s="9">
        <v>1296717.2</v>
      </c>
      <c r="N163" s="9">
        <v>566002</v>
      </c>
      <c r="O163" s="9">
        <v>5489028.8668869408</v>
      </c>
      <c r="P163" s="9">
        <v>1077278.9564839569</v>
      </c>
      <c r="Q163" s="9">
        <v>745102.8009695129</v>
      </c>
      <c r="R163" s="9">
        <v>361669.21693899482</v>
      </c>
      <c r="S163" s="9">
        <v>109775.0131332343</v>
      </c>
      <c r="T163" s="9">
        <v>244285.40887936251</v>
      </c>
      <c r="U163" s="9">
        <v>515866.95759469602</v>
      </c>
      <c r="V163" s="9">
        <v>252311.9039893522</v>
      </c>
      <c r="W163" s="9">
        <v>114343.2907314671</v>
      </c>
      <c r="X163" s="9">
        <v>1379753.88570123</v>
      </c>
      <c r="Y163" s="9">
        <v>688641.43246513384</v>
      </c>
      <c r="Z163" s="9">
        <v>5075523.7</v>
      </c>
      <c r="AA163" s="9">
        <v>2930891.4</v>
      </c>
      <c r="AB163" s="9">
        <v>625060.9</v>
      </c>
      <c r="AC163" s="9">
        <v>2054756.2</v>
      </c>
      <c r="AD163" s="9">
        <v>626685.69999999995</v>
      </c>
      <c r="AE163" s="9">
        <v>1950935.7</v>
      </c>
      <c r="AF163" s="9">
        <v>3112806.3</v>
      </c>
      <c r="AG163" s="9">
        <v>5468482.5435844352</v>
      </c>
      <c r="AH163" s="9">
        <v>3158635.7110689259</v>
      </c>
      <c r="AI163" s="9">
        <v>721493.20534575661</v>
      </c>
      <c r="AJ163" s="9">
        <v>1962720.9206499821</v>
      </c>
      <c r="AK163" s="9">
        <v>732200.66761982115</v>
      </c>
      <c r="AL163" s="9">
        <v>1614066.346851673</v>
      </c>
      <c r="AM163" s="9">
        <v>2720634.3079517232</v>
      </c>
      <c r="AN163" s="9">
        <v>1135294</v>
      </c>
      <c r="AO163" s="9">
        <v>578722</v>
      </c>
      <c r="AP163" s="9">
        <v>556572</v>
      </c>
      <c r="AQ163" s="9">
        <v>88867</v>
      </c>
      <c r="AR163" s="9">
        <v>42935</v>
      </c>
      <c r="AS163" s="9">
        <v>45932</v>
      </c>
      <c r="AT163" s="9">
        <v>696532</v>
      </c>
      <c r="AU163" s="9">
        <v>285403</v>
      </c>
      <c r="AV163" s="9">
        <v>411129</v>
      </c>
      <c r="AW163" s="9">
        <v>741.25</v>
      </c>
      <c r="AX163" s="9">
        <v>308</v>
      </c>
      <c r="AY163" s="9">
        <v>1486.1</v>
      </c>
      <c r="AZ163" s="9">
        <v>646.79999999999995</v>
      </c>
      <c r="BA163" s="9">
        <v>1031.9000000000001</v>
      </c>
      <c r="BB163" s="9">
        <v>545.9</v>
      </c>
      <c r="BC163" s="9">
        <v>630.1</v>
      </c>
      <c r="BD163" s="9">
        <v>726.9</v>
      </c>
      <c r="BE163" s="9">
        <v>818.9</v>
      </c>
      <c r="BF163" s="9">
        <v>656.9</v>
      </c>
      <c r="BG163" s="9">
        <v>888.6</v>
      </c>
      <c r="BH163" s="9">
        <v>1150</v>
      </c>
      <c r="BI163" s="9">
        <v>558.4</v>
      </c>
      <c r="BJ163" s="9">
        <v>717.6</v>
      </c>
      <c r="BK163" s="9">
        <v>706.1</v>
      </c>
      <c r="BL163" s="9">
        <v>560</v>
      </c>
      <c r="BM163" s="9">
        <v>427.8</v>
      </c>
      <c r="BN163" s="9">
        <v>500404.3</v>
      </c>
      <c r="BO163" s="9">
        <v>378637.7</v>
      </c>
      <c r="BP163" s="9">
        <v>58970.3</v>
      </c>
      <c r="BQ163" s="9">
        <v>24574.2</v>
      </c>
      <c r="BR163" s="9">
        <v>34396.1</v>
      </c>
      <c r="BS163" s="9">
        <v>76850.899999999994</v>
      </c>
      <c r="BT163" s="9">
        <v>118820.6</v>
      </c>
      <c r="BU163" s="9">
        <v>36289.300000000003</v>
      </c>
      <c r="BV163" s="9">
        <v>114686.9</v>
      </c>
      <c r="BW163" s="9">
        <v>658530.19999999995</v>
      </c>
      <c r="BX163" s="9">
        <v>28027.7</v>
      </c>
      <c r="BY163" s="9">
        <v>254631.5</v>
      </c>
      <c r="BZ163" s="9">
        <v>154889.4</v>
      </c>
      <c r="CA163" s="9">
        <v>47692.5</v>
      </c>
      <c r="CB163" s="9">
        <v>36460.6</v>
      </c>
      <c r="CC163" s="9">
        <v>466075.1</v>
      </c>
      <c r="CD163" s="9">
        <v>0</v>
      </c>
      <c r="CE163" s="9">
        <v>79252.800000000003</v>
      </c>
      <c r="CF163" s="9">
        <v>2026397.694636727</v>
      </c>
      <c r="CG163" s="9">
        <v>8001585.6113694068</v>
      </c>
      <c r="CH163" s="9"/>
      <c r="CI163" s="9"/>
      <c r="CJ163" s="9">
        <v>17.9133745731</v>
      </c>
      <c r="CK163" s="9">
        <v>12.3369267932</v>
      </c>
      <c r="CL163" s="9">
        <v>10.5</v>
      </c>
      <c r="CM163" s="9">
        <v>81.957763418200003</v>
      </c>
      <c r="CN163" s="9">
        <v>26.2502168368</v>
      </c>
      <c r="CO163" s="9">
        <v>3.2417097256999998</v>
      </c>
      <c r="CP163" s="9">
        <v>13.7998097504</v>
      </c>
      <c r="CQ163" s="9">
        <v>9.2472791833999999</v>
      </c>
      <c r="CR163" s="9">
        <v>3.6287558018000001</v>
      </c>
      <c r="CS163" s="9">
        <v>2.6510794169</v>
      </c>
      <c r="CT163" s="9">
        <v>9.4269765179</v>
      </c>
      <c r="CU163" s="9">
        <v>2.7595865187999999</v>
      </c>
      <c r="CV163" s="9">
        <v>1.8583415409999999</v>
      </c>
      <c r="CW163" s="9">
        <v>3.7959604947000001</v>
      </c>
      <c r="CX163" s="9">
        <v>2.3079424778000002</v>
      </c>
      <c r="CY163" s="9">
        <v>2.9901051531</v>
      </c>
      <c r="CZ163" s="9">
        <v>371</v>
      </c>
      <c r="DA163" s="9">
        <v>303</v>
      </c>
      <c r="DB163" s="9">
        <v>9</v>
      </c>
      <c r="DC163" s="9">
        <v>62</v>
      </c>
      <c r="DD163" s="9">
        <v>87</v>
      </c>
      <c r="DE163" s="9">
        <v>8</v>
      </c>
      <c r="DF163" s="9">
        <v>91</v>
      </c>
      <c r="DG163" s="9">
        <v>33</v>
      </c>
      <c r="DH163" s="9">
        <v>57</v>
      </c>
      <c r="DI163" s="9">
        <v>0</v>
      </c>
      <c r="DJ163" s="9">
        <v>1</v>
      </c>
      <c r="DK163" s="9">
        <v>54</v>
      </c>
      <c r="DL163" s="9">
        <v>1</v>
      </c>
      <c r="DM163" s="9">
        <v>11</v>
      </c>
      <c r="DN163" s="9">
        <v>0</v>
      </c>
      <c r="DO163" s="9">
        <v>585.22</v>
      </c>
      <c r="DP163" s="9">
        <v>143.30000000000001</v>
      </c>
      <c r="DQ163" s="9">
        <v>68</v>
      </c>
      <c r="DR163" s="9">
        <v>75.3</v>
      </c>
      <c r="DS163" s="9">
        <v>51.05</v>
      </c>
      <c r="DT163" s="9">
        <v>7.88</v>
      </c>
      <c r="DU163" s="9">
        <v>272</v>
      </c>
      <c r="DV163" s="9">
        <v>165.07</v>
      </c>
      <c r="DW163" s="9">
        <v>82.57</v>
      </c>
      <c r="DX163" s="9">
        <v>118.78</v>
      </c>
      <c r="DY163" s="9">
        <v>62.75</v>
      </c>
      <c r="DZ163" s="9">
        <v>38.799999999999997</v>
      </c>
      <c r="EA163" s="9">
        <v>-412.06200000000001</v>
      </c>
      <c r="EB163" s="9">
        <v>-275.50700000000001</v>
      </c>
      <c r="EC163" s="9">
        <v>-91.031199999999998</v>
      </c>
      <c r="ED163" s="9">
        <v>-54.016100000000002</v>
      </c>
      <c r="EE163" s="9">
        <v>8.492801</v>
      </c>
      <c r="EF163" s="9">
        <v>9.4406239999999997</v>
      </c>
      <c r="EG163" s="9">
        <v>-183.43199999999999</v>
      </c>
      <c r="EH163" s="9">
        <v>-125.61499999999999</v>
      </c>
      <c r="EI163" s="9">
        <v>33.017919999999997</v>
      </c>
      <c r="EJ163" s="9">
        <v>0</v>
      </c>
      <c r="EK163" s="9">
        <v>-90.834400000000002</v>
      </c>
      <c r="EL163" s="9">
        <v>-24.8843</v>
      </c>
      <c r="EM163" s="9">
        <v>-244.07400000000001</v>
      </c>
      <c r="EN163" s="9">
        <v>3107.5</v>
      </c>
      <c r="EO163" s="9"/>
      <c r="EP163" s="9"/>
      <c r="EQ163" s="9"/>
      <c r="ER163" s="9"/>
      <c r="ES163" s="9"/>
      <c r="ET163" s="9"/>
      <c r="EU163">
        <v>1437.78</v>
      </c>
      <c r="EV163" s="9">
        <v>18443.650000000001</v>
      </c>
      <c r="EW163" s="9">
        <v>3542.55</v>
      </c>
      <c r="EX163" s="9">
        <v>590.75</v>
      </c>
      <c r="EY163" s="9">
        <v>1296.1600000000001</v>
      </c>
      <c r="EZ163" s="9">
        <v>2866.84</v>
      </c>
      <c r="FA163" s="9">
        <v>10147.35</v>
      </c>
      <c r="FB163" s="9">
        <v>89.642678571399998</v>
      </c>
      <c r="FC163" s="9">
        <v>103.11</v>
      </c>
      <c r="FD163" s="9">
        <v>7000.2375000000002</v>
      </c>
      <c r="FE163" s="9">
        <v>114.815</v>
      </c>
      <c r="FF163" s="9">
        <v>1342.3625</v>
      </c>
      <c r="FG163">
        <v>8574449.9699999988</v>
      </c>
      <c r="FH163">
        <v>8553473.8499999996</v>
      </c>
      <c r="FI163">
        <v>20976.12</v>
      </c>
      <c r="FJ163" s="9">
        <v>8561120.0499999989</v>
      </c>
      <c r="FK163">
        <v>6773923.54</v>
      </c>
      <c r="FL163" s="9">
        <v>1787196.51</v>
      </c>
      <c r="FM163" s="9">
        <v>15940911.130000001</v>
      </c>
      <c r="FN163" s="9">
        <v>1140178.3400000001</v>
      </c>
      <c r="FO163">
        <v>1446.17</v>
      </c>
      <c r="FP163">
        <v>251.66</v>
      </c>
      <c r="FQ163">
        <v>47.77</v>
      </c>
      <c r="FR163">
        <v>856.76</v>
      </c>
      <c r="FS163">
        <v>9.01</v>
      </c>
      <c r="FT163">
        <v>1117.27</v>
      </c>
      <c r="FU163">
        <v>349.24</v>
      </c>
      <c r="FV163">
        <v>0.95</v>
      </c>
      <c r="FW163">
        <v>6336.85</v>
      </c>
      <c r="FX163">
        <v>1179.03</v>
      </c>
      <c r="HB163" s="6"/>
      <c r="HC163" s="6"/>
      <c r="HD163" s="6"/>
    </row>
    <row r="164" spans="1:212" x14ac:dyDescent="0.2">
      <c r="A164" s="8" t="s">
        <v>856</v>
      </c>
      <c r="B164" s="8" t="s">
        <v>387</v>
      </c>
      <c r="C164" s="8" t="s">
        <v>388</v>
      </c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>
        <v>536077.19999999995</v>
      </c>
      <c r="BO164" s="9">
        <v>460961.2</v>
      </c>
      <c r="BP164" s="9">
        <v>105712.3</v>
      </c>
      <c r="BQ164" s="9">
        <v>64061.1</v>
      </c>
      <c r="BR164" s="9">
        <v>41651.199999999997</v>
      </c>
      <c r="BS164" s="9">
        <v>80184.600000000006</v>
      </c>
      <c r="BT164" s="9">
        <v>129106.2</v>
      </c>
      <c r="BU164" s="9">
        <v>44908</v>
      </c>
      <c r="BV164" s="9">
        <v>74019.100000000006</v>
      </c>
      <c r="BW164" s="9">
        <v>177444.8</v>
      </c>
      <c r="BX164" s="9">
        <v>37740</v>
      </c>
      <c r="BY164" s="9">
        <v>-89662.1</v>
      </c>
      <c r="BZ164" s="9">
        <v>98489</v>
      </c>
      <c r="CA164" s="9">
        <v>31371.4</v>
      </c>
      <c r="CB164" s="9">
        <v>9799.2999999999993</v>
      </c>
      <c r="CC164" s="9">
        <v>127447.3</v>
      </c>
      <c r="CD164" s="9">
        <v>0</v>
      </c>
      <c r="CE164" s="9">
        <v>332600.59999999998</v>
      </c>
      <c r="CF164" s="9">
        <v>1927089.833170841</v>
      </c>
      <c r="CG164" s="9">
        <v>8086233.6936807251</v>
      </c>
      <c r="CH164" s="9"/>
      <c r="CI164" s="9"/>
      <c r="CJ164" s="9">
        <v>17.3</v>
      </c>
      <c r="CK164" s="9">
        <v>12.8</v>
      </c>
      <c r="CL164" s="9">
        <v>10.5</v>
      </c>
      <c r="CM164" s="9">
        <v>82.109259908400006</v>
      </c>
      <c r="CN164" s="9">
        <v>26.1448471195</v>
      </c>
      <c r="CO164" s="9">
        <v>3.2499258429000002</v>
      </c>
      <c r="CP164" s="9">
        <v>13.867244681200001</v>
      </c>
      <c r="CQ164" s="9">
        <v>9.4152271622000008</v>
      </c>
      <c r="CR164" s="9">
        <v>3.6656380917</v>
      </c>
      <c r="CS164" s="9">
        <v>2.6822767398999998</v>
      </c>
      <c r="CT164" s="9">
        <v>9.3517902385999996</v>
      </c>
      <c r="CU164" s="9">
        <v>2.7582130978000001</v>
      </c>
      <c r="CV164" s="9">
        <v>1.8612588462999999</v>
      </c>
      <c r="CW164" s="9">
        <v>3.7959604947000001</v>
      </c>
      <c r="CX164" s="9">
        <v>2.3105052393999999</v>
      </c>
      <c r="CY164" s="9">
        <v>3.0063723540999998</v>
      </c>
      <c r="CZ164" s="9">
        <v>339</v>
      </c>
      <c r="DA164" s="9">
        <v>283</v>
      </c>
      <c r="DB164" s="9">
        <v>69</v>
      </c>
      <c r="DC164" s="9">
        <v>66</v>
      </c>
      <c r="DD164" s="9">
        <v>31</v>
      </c>
      <c r="DE164" s="9">
        <v>1</v>
      </c>
      <c r="DF164" s="9">
        <v>53</v>
      </c>
      <c r="DG164" s="9">
        <v>47</v>
      </c>
      <c r="DH164" s="9">
        <v>46</v>
      </c>
      <c r="DI164" s="9">
        <v>0</v>
      </c>
      <c r="DJ164" s="9">
        <v>1</v>
      </c>
      <c r="DK164" s="9">
        <v>43</v>
      </c>
      <c r="DL164" s="9">
        <v>1</v>
      </c>
      <c r="DM164" s="9">
        <v>10</v>
      </c>
      <c r="DN164" s="9">
        <v>0</v>
      </c>
      <c r="DO164" s="9">
        <v>616.09</v>
      </c>
      <c r="DP164" s="9">
        <v>156.69</v>
      </c>
      <c r="DQ164" s="9">
        <v>75.33</v>
      </c>
      <c r="DR164" s="9">
        <v>81.36</v>
      </c>
      <c r="DS164" s="9">
        <v>66.209999999999994</v>
      </c>
      <c r="DT164" s="9">
        <v>7.49</v>
      </c>
      <c r="DU164" s="9">
        <v>278.68</v>
      </c>
      <c r="DV164" s="9">
        <v>155.06</v>
      </c>
      <c r="DW164" s="9">
        <v>97.28</v>
      </c>
      <c r="DX164" s="9">
        <v>114.36</v>
      </c>
      <c r="DY164" s="9">
        <v>70.73</v>
      </c>
      <c r="DZ164" s="9">
        <v>24.13</v>
      </c>
      <c r="EA164" s="9">
        <v>-399.09500000000003</v>
      </c>
      <c r="EB164" s="9">
        <v>-310.01</v>
      </c>
      <c r="EC164" s="9">
        <v>-32.544899999999998</v>
      </c>
      <c r="ED164" s="9">
        <v>-72.969800000000006</v>
      </c>
      <c r="EE164" s="9">
        <v>16.429490000000001</v>
      </c>
      <c r="EF164" s="9">
        <v>11.67698</v>
      </c>
      <c r="EG164" s="9">
        <v>-294.04000000000002</v>
      </c>
      <c r="EH164" s="9">
        <v>-124.901</v>
      </c>
      <c r="EI164" s="9">
        <v>7.4792149999999999</v>
      </c>
      <c r="EJ164" s="9">
        <v>0</v>
      </c>
      <c r="EK164" s="9">
        <v>-176.61799999999999</v>
      </c>
      <c r="EL164" s="9">
        <v>-6.3598100000000004</v>
      </c>
      <c r="EM164" s="9">
        <v>-99.738200000000006</v>
      </c>
      <c r="EN164" s="9">
        <v>3012.7</v>
      </c>
      <c r="EO164" s="9"/>
      <c r="EP164" s="9"/>
      <c r="EQ164" s="9"/>
      <c r="ER164" s="9"/>
      <c r="ES164" s="9"/>
      <c r="ET164" s="9"/>
      <c r="EU164">
        <v>1474.07</v>
      </c>
      <c r="EV164" s="9"/>
      <c r="EW164" s="9"/>
      <c r="EX164" s="9"/>
      <c r="EY164" s="9"/>
      <c r="EZ164" s="9"/>
      <c r="FA164" s="9"/>
      <c r="FB164" s="9">
        <v>82.222360248399994</v>
      </c>
      <c r="FC164" s="9">
        <v>107.71608695650001</v>
      </c>
      <c r="FD164" s="9">
        <v>6906.6413043477996</v>
      </c>
      <c r="FE164" s="9">
        <v>127.1913043478</v>
      </c>
      <c r="FF164" s="9">
        <v>1286.7239130435</v>
      </c>
      <c r="FG164">
        <v>9083991.4800000004</v>
      </c>
      <c r="FH164">
        <v>9062907.5899999999</v>
      </c>
      <c r="FI164">
        <v>21083.89</v>
      </c>
      <c r="FJ164" s="9">
        <v>8702551.3699999992</v>
      </c>
      <c r="FK164">
        <v>6713382.8399999999</v>
      </c>
      <c r="FL164" s="9">
        <v>1989168.53</v>
      </c>
      <c r="FM164" s="9">
        <v>16097312.859999999</v>
      </c>
      <c r="FN164" s="9">
        <v>1036788.73</v>
      </c>
      <c r="FO164">
        <v>1499.6</v>
      </c>
      <c r="FP164">
        <v>1811.78</v>
      </c>
      <c r="FQ164">
        <v>49.4</v>
      </c>
      <c r="FR164">
        <v>384.66</v>
      </c>
      <c r="FS164">
        <v>2.46</v>
      </c>
      <c r="FT164">
        <v>774.69</v>
      </c>
      <c r="FU164">
        <v>456.88</v>
      </c>
      <c r="FV164">
        <v>2.33</v>
      </c>
      <c r="FW164">
        <v>11416.34</v>
      </c>
      <c r="FX164">
        <v>819.58</v>
      </c>
      <c r="HB164" s="6"/>
      <c r="HC164" s="6"/>
      <c r="HD164" s="6"/>
    </row>
    <row r="165" spans="1:212" x14ac:dyDescent="0.2">
      <c r="A165" s="8" t="s">
        <v>856</v>
      </c>
      <c r="B165" s="8" t="s">
        <v>387</v>
      </c>
      <c r="C165" s="8" t="s">
        <v>389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>
        <v>410713.5</v>
      </c>
      <c r="BO165" s="9">
        <v>397348</v>
      </c>
      <c r="BP165" s="9">
        <v>80014</v>
      </c>
      <c r="BQ165" s="9">
        <v>46896.2</v>
      </c>
      <c r="BR165" s="9">
        <v>33117.800000000003</v>
      </c>
      <c r="BS165" s="9">
        <v>62395.9</v>
      </c>
      <c r="BT165" s="9">
        <v>112023.6</v>
      </c>
      <c r="BU165" s="9">
        <v>41231.9</v>
      </c>
      <c r="BV165" s="9">
        <v>12663.5</v>
      </c>
      <c r="BW165" s="9">
        <v>284768.09999999998</v>
      </c>
      <c r="BX165" s="9">
        <v>-21582.7</v>
      </c>
      <c r="BY165" s="9">
        <v>60008.7</v>
      </c>
      <c r="BZ165" s="9">
        <v>88153.3</v>
      </c>
      <c r="CA165" s="9">
        <v>4802.3999999999996</v>
      </c>
      <c r="CB165" s="9">
        <v>10911</v>
      </c>
      <c r="CC165" s="9">
        <v>120892.6</v>
      </c>
      <c r="CD165" s="9">
        <v>0</v>
      </c>
      <c r="CE165" s="9">
        <v>132549</v>
      </c>
      <c r="CF165" s="9">
        <v>1949375.0261093327</v>
      </c>
      <c r="CG165" s="9">
        <v>8406731.7606165726</v>
      </c>
      <c r="CH165" s="9"/>
      <c r="CI165" s="9"/>
      <c r="CJ165" s="9">
        <v>18.899999999999999</v>
      </c>
      <c r="CK165" s="9">
        <v>12.5</v>
      </c>
      <c r="CL165" s="9">
        <v>10.5</v>
      </c>
      <c r="CM165" s="9">
        <v>83.383148829600003</v>
      </c>
      <c r="CN165" s="9">
        <v>25.367335727899999</v>
      </c>
      <c r="CO165" s="9">
        <v>3.2718487382000001</v>
      </c>
      <c r="CP165" s="9">
        <v>14.172425372699999</v>
      </c>
      <c r="CQ165" s="9">
        <v>9.8027638931999999</v>
      </c>
      <c r="CR165" s="9">
        <v>3.7325050970000002</v>
      </c>
      <c r="CS165" s="9">
        <v>2.6920579063000001</v>
      </c>
      <c r="CT165" s="9">
        <v>9.4386999702000001</v>
      </c>
      <c r="CU165" s="9">
        <v>2.7566416251999999</v>
      </c>
      <c r="CV165" s="9">
        <v>1.8652155864</v>
      </c>
      <c r="CW165" s="9">
        <v>4.8265478172999998</v>
      </c>
      <c r="CX165" s="9">
        <v>2.3779426439</v>
      </c>
      <c r="CY165" s="9">
        <v>3.0791644513</v>
      </c>
      <c r="CZ165" s="9">
        <v>349</v>
      </c>
      <c r="DA165" s="9">
        <v>315</v>
      </c>
      <c r="DB165" s="9">
        <v>0</v>
      </c>
      <c r="DC165" s="9">
        <v>92</v>
      </c>
      <c r="DD165" s="9">
        <v>60</v>
      </c>
      <c r="DE165" s="9">
        <v>4</v>
      </c>
      <c r="DF165" s="9">
        <v>98</v>
      </c>
      <c r="DG165" s="9">
        <v>48</v>
      </c>
      <c r="DH165" s="9">
        <v>13</v>
      </c>
      <c r="DI165" s="9">
        <v>0</v>
      </c>
      <c r="DJ165" s="9">
        <v>3</v>
      </c>
      <c r="DK165" s="9">
        <v>8</v>
      </c>
      <c r="DL165" s="9">
        <v>1</v>
      </c>
      <c r="DM165" s="9">
        <v>21</v>
      </c>
      <c r="DN165" s="9">
        <v>0</v>
      </c>
      <c r="DO165" s="9">
        <v>571.71</v>
      </c>
      <c r="DP165" s="9">
        <v>133.61000000000001</v>
      </c>
      <c r="DQ165" s="9">
        <v>66.38</v>
      </c>
      <c r="DR165" s="9">
        <v>67.23</v>
      </c>
      <c r="DS165" s="9">
        <v>68.77</v>
      </c>
      <c r="DT165" s="9">
        <v>15.01</v>
      </c>
      <c r="DU165" s="9">
        <v>278.97000000000003</v>
      </c>
      <c r="DV165" s="9">
        <v>154.82</v>
      </c>
      <c r="DW165" s="9">
        <v>100.44</v>
      </c>
      <c r="DX165" s="9">
        <v>89.11</v>
      </c>
      <c r="DY165" s="9">
        <v>60.66</v>
      </c>
      <c r="DZ165" s="9">
        <v>18.54</v>
      </c>
      <c r="EA165" s="9">
        <v>-440.79399999999998</v>
      </c>
      <c r="EB165" s="9">
        <v>-283.59399999999999</v>
      </c>
      <c r="EC165" s="9">
        <v>-104.526</v>
      </c>
      <c r="ED165" s="9">
        <v>-73.125900000000001</v>
      </c>
      <c r="EE165" s="9">
        <v>20.45224</v>
      </c>
      <c r="EF165" s="9">
        <v>14.471080000000001</v>
      </c>
      <c r="EG165" s="9">
        <v>-86.837400000000002</v>
      </c>
      <c r="EH165" s="9">
        <v>-137.39400000000001</v>
      </c>
      <c r="EI165" s="9">
        <v>-11.9742</v>
      </c>
      <c r="EJ165" s="9">
        <v>0</v>
      </c>
      <c r="EK165" s="9">
        <v>62.531210000000002</v>
      </c>
      <c r="EL165" s="9">
        <v>2.496855</v>
      </c>
      <c r="EM165" s="9">
        <v>-336.98899999999998</v>
      </c>
      <c r="EN165" s="9">
        <v>2725.5</v>
      </c>
      <c r="EO165" s="9"/>
      <c r="EP165" s="9"/>
      <c r="EQ165" s="9"/>
      <c r="ER165" s="9"/>
      <c r="ES165" s="9"/>
      <c r="ET165" s="9"/>
      <c r="EU165">
        <v>1570.43</v>
      </c>
      <c r="EV165" s="9"/>
      <c r="EW165" s="9"/>
      <c r="EX165" s="9"/>
      <c r="EY165" s="9"/>
      <c r="EZ165" s="9"/>
      <c r="FA165" s="9"/>
      <c r="FB165" s="9">
        <v>82.221428571399997</v>
      </c>
      <c r="FC165" s="9">
        <v>110.965</v>
      </c>
      <c r="FD165" s="9">
        <v>7186.25</v>
      </c>
      <c r="FE165" s="9">
        <v>137.05500000000001</v>
      </c>
      <c r="FF165" s="9">
        <v>1347.0952380952001</v>
      </c>
      <c r="FG165">
        <v>9749569.2000000011</v>
      </c>
      <c r="FH165">
        <v>9728320.2400000002</v>
      </c>
      <c r="FI165">
        <v>21248.959999999999</v>
      </c>
      <c r="FJ165" s="9">
        <v>8998470.7799999993</v>
      </c>
      <c r="FK165">
        <v>6942966.7199999997</v>
      </c>
      <c r="FL165" s="9">
        <v>2055504.06</v>
      </c>
      <c r="FM165" s="9">
        <v>16928419.960000001</v>
      </c>
      <c r="FN165" s="9">
        <v>1098100.2</v>
      </c>
      <c r="FO165">
        <v>1616.98</v>
      </c>
      <c r="FP165">
        <v>0</v>
      </c>
      <c r="FQ165">
        <v>63.29</v>
      </c>
      <c r="FR165">
        <v>744.68</v>
      </c>
      <c r="FS165">
        <v>6.01</v>
      </c>
      <c r="FT165">
        <v>1334.68</v>
      </c>
      <c r="FU165">
        <v>457</v>
      </c>
      <c r="FV165">
        <v>80.239999999999995</v>
      </c>
      <c r="FW165">
        <v>26157.82</v>
      </c>
      <c r="FX165">
        <v>165.7</v>
      </c>
      <c r="HB165" s="6"/>
      <c r="HC165" s="6"/>
      <c r="HD165" s="6"/>
    </row>
    <row r="166" spans="1:212" x14ac:dyDescent="0.2">
      <c r="A166" s="8" t="s">
        <v>856</v>
      </c>
      <c r="B166" s="8" t="s">
        <v>387</v>
      </c>
      <c r="C166" s="8" t="s">
        <v>390</v>
      </c>
      <c r="D166" s="9">
        <v>5281732.4000000004</v>
      </c>
      <c r="E166" s="9">
        <v>736581.6</v>
      </c>
      <c r="F166" s="9">
        <v>838033.2</v>
      </c>
      <c r="G166" s="9">
        <v>435077.4</v>
      </c>
      <c r="H166" s="9">
        <v>67479.199999999997</v>
      </c>
      <c r="I166" s="9">
        <v>497801.9</v>
      </c>
      <c r="J166" s="9">
        <v>605381.19999999995</v>
      </c>
      <c r="K166" s="9">
        <v>141000.5</v>
      </c>
      <c r="L166" s="9">
        <v>99705.8</v>
      </c>
      <c r="M166" s="9">
        <v>1209925</v>
      </c>
      <c r="N166" s="9">
        <v>650746.69999999995</v>
      </c>
      <c r="O166" s="9">
        <v>5709765.3977260031</v>
      </c>
      <c r="P166" s="9">
        <v>733883.71611138189</v>
      </c>
      <c r="Q166" s="9">
        <v>896808.90700247453</v>
      </c>
      <c r="R166" s="9">
        <v>390981.81051462208</v>
      </c>
      <c r="S166" s="9">
        <v>96620.545010687696</v>
      </c>
      <c r="T166" s="9">
        <v>488632.71119537798</v>
      </c>
      <c r="U166" s="9">
        <v>756236.81434910803</v>
      </c>
      <c r="V166" s="9">
        <v>166684.6730071721</v>
      </c>
      <c r="W166" s="9">
        <v>112566.469727024</v>
      </c>
      <c r="X166" s="9">
        <v>1280095.8264151949</v>
      </c>
      <c r="Y166" s="9">
        <v>787253.92439296003</v>
      </c>
      <c r="Z166" s="9">
        <v>4999228.7</v>
      </c>
      <c r="AA166" s="9">
        <v>2617459.4</v>
      </c>
      <c r="AB166" s="9">
        <v>611219.69999999995</v>
      </c>
      <c r="AC166" s="9">
        <v>2696721.2</v>
      </c>
      <c r="AD166" s="9">
        <v>542144.30000000005</v>
      </c>
      <c r="AE166" s="9">
        <v>2070386.5</v>
      </c>
      <c r="AF166" s="9">
        <v>3538702.4</v>
      </c>
      <c r="AG166" s="9">
        <v>5386280.6073265523</v>
      </c>
      <c r="AH166" s="9">
        <v>2836934.180307345</v>
      </c>
      <c r="AI166" s="9">
        <v>709539.77717720473</v>
      </c>
      <c r="AJ166" s="9">
        <v>2590620.4695144752</v>
      </c>
      <c r="AK166" s="9">
        <v>637037.09611315117</v>
      </c>
      <c r="AL166" s="9">
        <v>1722659.110007589</v>
      </c>
      <c r="AM166" s="9">
        <v>3110510.0257932129</v>
      </c>
      <c r="AN166" s="9">
        <v>1086455</v>
      </c>
      <c r="AO166" s="9">
        <v>575713</v>
      </c>
      <c r="AP166" s="9">
        <v>510742</v>
      </c>
      <c r="AQ166" s="9">
        <v>89545</v>
      </c>
      <c r="AR166" s="9">
        <v>42702</v>
      </c>
      <c r="AS166" s="9">
        <v>46843</v>
      </c>
      <c r="AT166" s="9">
        <v>718523</v>
      </c>
      <c r="AU166" s="9">
        <v>280171</v>
      </c>
      <c r="AV166" s="9">
        <v>438352</v>
      </c>
      <c r="AW166" s="9">
        <v>743.375</v>
      </c>
      <c r="AX166" s="9">
        <v>318.8</v>
      </c>
      <c r="AY166" s="9">
        <v>1516.3</v>
      </c>
      <c r="AZ166" s="9">
        <v>556.6</v>
      </c>
      <c r="BA166" s="9">
        <v>988.5</v>
      </c>
      <c r="BB166" s="9">
        <v>539.70000000000005</v>
      </c>
      <c r="BC166" s="9">
        <v>752</v>
      </c>
      <c r="BD166" s="9">
        <v>739.7</v>
      </c>
      <c r="BE166" s="9">
        <v>854.1</v>
      </c>
      <c r="BF166" s="9">
        <v>586.9</v>
      </c>
      <c r="BG166" s="9">
        <v>895</v>
      </c>
      <c r="BH166" s="9">
        <v>1176.7</v>
      </c>
      <c r="BI166" s="9">
        <v>609.79999999999995</v>
      </c>
      <c r="BJ166" s="9">
        <v>588.6</v>
      </c>
      <c r="BK166" s="9">
        <v>715.8</v>
      </c>
      <c r="BL166" s="9">
        <v>592.20000000000005</v>
      </c>
      <c r="BM166" s="9">
        <v>463.3</v>
      </c>
      <c r="BN166" s="9">
        <v>489894.40000000002</v>
      </c>
      <c r="BO166" s="9">
        <v>444709.2</v>
      </c>
      <c r="BP166" s="9">
        <v>63093.599999999999</v>
      </c>
      <c r="BQ166" s="9">
        <v>24781.599999999999</v>
      </c>
      <c r="BR166" s="9">
        <v>38312</v>
      </c>
      <c r="BS166" s="9">
        <v>78709.5</v>
      </c>
      <c r="BT166" s="9">
        <v>139318.39999999999</v>
      </c>
      <c r="BU166" s="9">
        <v>48041.2</v>
      </c>
      <c r="BV166" s="9">
        <v>41861.300000000003</v>
      </c>
      <c r="BW166" s="9">
        <v>350822.1</v>
      </c>
      <c r="BX166" s="9">
        <v>55360.7</v>
      </c>
      <c r="BY166" s="9">
        <v>79085.8</v>
      </c>
      <c r="BZ166" s="9">
        <v>120096.9</v>
      </c>
      <c r="CA166" s="9">
        <v>10462.799999999999</v>
      </c>
      <c r="CB166" s="9">
        <v>8950.7000000000007</v>
      </c>
      <c r="CC166" s="9">
        <v>132225.9</v>
      </c>
      <c r="CD166" s="9">
        <v>0</v>
      </c>
      <c r="CE166" s="9">
        <v>80034.7</v>
      </c>
      <c r="CF166" s="9">
        <v>2013511.227658808</v>
      </c>
      <c r="CG166" s="9">
        <v>8476620.0608781278</v>
      </c>
      <c r="CH166" s="9"/>
      <c r="CI166" s="9"/>
      <c r="CJ166" s="9">
        <v>19</v>
      </c>
      <c r="CK166" s="9">
        <v>12.1</v>
      </c>
      <c r="CL166" s="9">
        <v>10.5</v>
      </c>
      <c r="CM166" s="9">
        <v>84.479694144199996</v>
      </c>
      <c r="CN166" s="9">
        <v>25.397945181899999</v>
      </c>
      <c r="CO166" s="9">
        <v>3.4310831515000002</v>
      </c>
      <c r="CP166" s="9">
        <v>14.5224754686</v>
      </c>
      <c r="CQ166" s="9">
        <v>9.9772389806999993</v>
      </c>
      <c r="CR166" s="9">
        <v>3.8678038378999999</v>
      </c>
      <c r="CS166" s="9">
        <v>2.7653002099999999</v>
      </c>
      <c r="CT166" s="9">
        <v>9.5075543254999992</v>
      </c>
      <c r="CU166" s="9">
        <v>2.7543120527</v>
      </c>
      <c r="CV166" s="9">
        <v>1.8634520259</v>
      </c>
      <c r="CW166" s="9">
        <v>4.8265712222000001</v>
      </c>
      <c r="CX166" s="9">
        <v>2.3891523347999999</v>
      </c>
      <c r="CY166" s="9">
        <v>3.1768053525000002</v>
      </c>
      <c r="CZ166" s="9">
        <v>395</v>
      </c>
      <c r="DA166" s="9">
        <v>365</v>
      </c>
      <c r="DB166" s="9">
        <v>51</v>
      </c>
      <c r="DC166" s="9">
        <v>117</v>
      </c>
      <c r="DD166" s="9">
        <v>36</v>
      </c>
      <c r="DE166" s="9">
        <v>9</v>
      </c>
      <c r="DF166" s="9">
        <v>90</v>
      </c>
      <c r="DG166" s="9">
        <v>51</v>
      </c>
      <c r="DH166" s="9">
        <v>14</v>
      </c>
      <c r="DI166" s="9">
        <v>0</v>
      </c>
      <c r="DJ166" s="9">
        <v>3</v>
      </c>
      <c r="DK166" s="9">
        <v>9</v>
      </c>
      <c r="DL166" s="9">
        <v>1</v>
      </c>
      <c r="DM166" s="9">
        <v>15</v>
      </c>
      <c r="DN166" s="9">
        <v>0</v>
      </c>
      <c r="DO166" s="9">
        <v>567.24</v>
      </c>
      <c r="DP166" s="9">
        <v>122.13</v>
      </c>
      <c r="DQ166" s="9">
        <v>64.849999999999994</v>
      </c>
      <c r="DR166" s="9">
        <v>57.27</v>
      </c>
      <c r="DS166" s="9">
        <v>59.74</v>
      </c>
      <c r="DT166" s="9">
        <v>9.6</v>
      </c>
      <c r="DU166" s="9">
        <v>236.79</v>
      </c>
      <c r="DV166" s="9">
        <v>117.69</v>
      </c>
      <c r="DW166" s="9">
        <v>93.2</v>
      </c>
      <c r="DX166" s="9">
        <v>148.43</v>
      </c>
      <c r="DY166" s="9">
        <v>94.32</v>
      </c>
      <c r="DZ166" s="9">
        <v>27.07</v>
      </c>
      <c r="EA166" s="9">
        <v>-389.48</v>
      </c>
      <c r="EB166" s="9">
        <v>-233.821</v>
      </c>
      <c r="EC166" s="9">
        <v>-109.441</v>
      </c>
      <c r="ED166" s="9">
        <v>-59.188200000000002</v>
      </c>
      <c r="EE166" s="9">
        <v>12.97011</v>
      </c>
      <c r="EF166" s="9">
        <v>10.379619999999999</v>
      </c>
      <c r="EG166" s="9">
        <v>-266.25200000000001</v>
      </c>
      <c r="EH166" s="9">
        <v>-104.842</v>
      </c>
      <c r="EI166" s="9">
        <v>17.75404</v>
      </c>
      <c r="EJ166" s="9">
        <v>0</v>
      </c>
      <c r="EK166" s="9">
        <v>-179.16399999999999</v>
      </c>
      <c r="EL166" s="9">
        <v>113.74769999999999</v>
      </c>
      <c r="EM166" s="9">
        <v>0.89970899999999998</v>
      </c>
      <c r="EN166" s="9">
        <v>2679.6</v>
      </c>
      <c r="EO166" s="9"/>
      <c r="EP166" s="9"/>
      <c r="EQ166" s="9"/>
      <c r="ER166" s="9"/>
      <c r="ES166" s="9"/>
      <c r="ET166" s="9"/>
      <c r="EU166">
        <v>1662.45</v>
      </c>
      <c r="EV166" s="9">
        <v>19106.86</v>
      </c>
      <c r="EW166" s="9">
        <v>3541.02</v>
      </c>
      <c r="EX166" s="9">
        <v>979.93</v>
      </c>
      <c r="EY166" s="9">
        <v>1283.42</v>
      </c>
      <c r="EZ166" s="9">
        <v>3042.12</v>
      </c>
      <c r="FA166" s="9">
        <v>10260.370000000001</v>
      </c>
      <c r="FB166" s="9">
        <v>83.295918367300004</v>
      </c>
      <c r="FC166" s="9">
        <v>111.6214285714</v>
      </c>
      <c r="FD166" s="9">
        <v>7159.2690476191001</v>
      </c>
      <c r="FE166" s="9">
        <v>134.18571428569999</v>
      </c>
      <c r="FF166" s="9">
        <v>1348.7976190475999</v>
      </c>
      <c r="FG166">
        <v>10120652.389999999</v>
      </c>
      <c r="FH166">
        <v>10098616.779999999</v>
      </c>
      <c r="FI166">
        <v>22035.61</v>
      </c>
      <c r="FJ166" s="9">
        <v>9199639.7300000004</v>
      </c>
      <c r="FK166">
        <v>7129431.3600000003</v>
      </c>
      <c r="FL166" s="9">
        <v>2070208.37</v>
      </c>
      <c r="FM166" s="9">
        <v>18155548.699999999</v>
      </c>
      <c r="FN166" s="9">
        <v>1210609.17</v>
      </c>
      <c r="FO166">
        <v>1646.48</v>
      </c>
      <c r="FP166">
        <v>1232.8699999999999</v>
      </c>
      <c r="FQ166">
        <v>73.73</v>
      </c>
      <c r="FR166">
        <v>362.44</v>
      </c>
      <c r="FS166">
        <v>12.02</v>
      </c>
      <c r="FT166">
        <v>1763.36</v>
      </c>
      <c r="FU166">
        <v>482.33</v>
      </c>
      <c r="FV166">
        <v>160.44999999999999</v>
      </c>
      <c r="FW166">
        <v>26594.49</v>
      </c>
      <c r="FX166">
        <v>93.06</v>
      </c>
      <c r="HB166" s="6"/>
      <c r="HC166" s="6"/>
      <c r="HD166" s="6"/>
    </row>
    <row r="167" spans="1:212" x14ac:dyDescent="0.2">
      <c r="A167" s="8" t="s">
        <v>856</v>
      </c>
      <c r="B167" s="8" t="s">
        <v>391</v>
      </c>
      <c r="C167" s="8" t="s">
        <v>392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>
        <v>523437.1</v>
      </c>
      <c r="BO167" s="9">
        <v>462993.9</v>
      </c>
      <c r="BP167" s="9">
        <v>128189.7</v>
      </c>
      <c r="BQ167" s="9">
        <v>82844.399999999994</v>
      </c>
      <c r="BR167" s="9">
        <v>45345.3</v>
      </c>
      <c r="BS167" s="9">
        <v>72951.199999999997</v>
      </c>
      <c r="BT167" s="9">
        <v>114772.3</v>
      </c>
      <c r="BU167" s="9">
        <v>38919.599999999999</v>
      </c>
      <c r="BV167" s="9">
        <v>59003.7</v>
      </c>
      <c r="BW167" s="9">
        <v>372191.4</v>
      </c>
      <c r="BX167" s="9">
        <v>23148.3</v>
      </c>
      <c r="BY167" s="9">
        <v>98462.8</v>
      </c>
      <c r="BZ167" s="9">
        <v>116420.3</v>
      </c>
      <c r="CA167" s="9">
        <v>19299</v>
      </c>
      <c r="CB167" s="9">
        <v>9222.1</v>
      </c>
      <c r="CC167" s="9">
        <v>128787.2</v>
      </c>
      <c r="CD167" s="9">
        <v>0</v>
      </c>
      <c r="CE167" s="9">
        <v>178833.1</v>
      </c>
      <c r="CF167" s="9">
        <v>1936549.896318733</v>
      </c>
      <c r="CG167" s="9">
        <v>8712044.4912143946</v>
      </c>
      <c r="CH167" s="9"/>
      <c r="CI167" s="9"/>
      <c r="CJ167" s="9">
        <v>18.8203457549</v>
      </c>
      <c r="CK167" s="9">
        <v>12.021278281200001</v>
      </c>
      <c r="CL167" s="9">
        <v>10.5</v>
      </c>
      <c r="CM167" s="9">
        <v>85.810237530799995</v>
      </c>
      <c r="CN167" s="9">
        <v>25.488135519299998</v>
      </c>
      <c r="CO167" s="9">
        <v>3.4927625180000001</v>
      </c>
      <c r="CP167" s="9">
        <v>14.9894784295</v>
      </c>
      <c r="CQ167" s="9">
        <v>10.357024450500001</v>
      </c>
      <c r="CR167" s="9">
        <v>3.9600429497</v>
      </c>
      <c r="CS167" s="9">
        <v>2.8079414515000001</v>
      </c>
      <c r="CT167" s="9">
        <v>9.5326110194999991</v>
      </c>
      <c r="CU167" s="9">
        <v>2.7541580946000002</v>
      </c>
      <c r="CV167" s="9">
        <v>1.8681153291999999</v>
      </c>
      <c r="CW167" s="9">
        <v>4.8265712222000001</v>
      </c>
      <c r="CX167" s="9">
        <v>2.4566981871000002</v>
      </c>
      <c r="CY167" s="9">
        <v>3.2766983597000001</v>
      </c>
      <c r="CZ167" s="9">
        <v>400</v>
      </c>
      <c r="DA167" s="9">
        <v>368</v>
      </c>
      <c r="DB167" s="9">
        <v>50</v>
      </c>
      <c r="DC167" s="9">
        <v>71</v>
      </c>
      <c r="DD167" s="9">
        <v>70</v>
      </c>
      <c r="DE167" s="9">
        <v>13</v>
      </c>
      <c r="DF167" s="9">
        <v>100</v>
      </c>
      <c r="DG167" s="9">
        <v>51</v>
      </c>
      <c r="DH167" s="9">
        <v>12</v>
      </c>
      <c r="DI167" s="9">
        <v>0</v>
      </c>
      <c r="DJ167" s="9">
        <v>2</v>
      </c>
      <c r="DK167" s="9">
        <v>9</v>
      </c>
      <c r="DL167" s="9">
        <v>1</v>
      </c>
      <c r="DM167" s="9">
        <v>19</v>
      </c>
      <c r="DN167" s="9">
        <v>0</v>
      </c>
      <c r="DO167" s="9">
        <v>537.80999999999995</v>
      </c>
      <c r="DP167" s="9">
        <v>134.15</v>
      </c>
      <c r="DQ167" s="9">
        <v>74.12</v>
      </c>
      <c r="DR167" s="9">
        <v>60.03</v>
      </c>
      <c r="DS167" s="9">
        <v>56.5</v>
      </c>
      <c r="DT167" s="9">
        <v>15.13</v>
      </c>
      <c r="DU167" s="9">
        <v>227.67</v>
      </c>
      <c r="DV167" s="9">
        <v>132.46</v>
      </c>
      <c r="DW167" s="9">
        <v>68.17</v>
      </c>
      <c r="DX167" s="9">
        <v>119.24</v>
      </c>
      <c r="DY167" s="9">
        <v>82.27</v>
      </c>
      <c r="DZ167" s="9">
        <v>24.85</v>
      </c>
      <c r="EA167" s="9">
        <v>-377.26499999999999</v>
      </c>
      <c r="EB167" s="9">
        <v>-181.709</v>
      </c>
      <c r="EC167" s="9">
        <v>-102.602</v>
      </c>
      <c r="ED167" s="9">
        <v>-103.267</v>
      </c>
      <c r="EE167" s="9">
        <v>10.312620000000001</v>
      </c>
      <c r="EF167" s="9">
        <v>13.600210000000001</v>
      </c>
      <c r="EG167" s="9">
        <v>-118.068</v>
      </c>
      <c r="EH167" s="9">
        <v>-129.17099999999999</v>
      </c>
      <c r="EI167" s="9">
        <v>135.96</v>
      </c>
      <c r="EJ167" s="9">
        <v>0</v>
      </c>
      <c r="EK167" s="9">
        <v>-124.857</v>
      </c>
      <c r="EL167" s="9">
        <v>1.1089469999999999</v>
      </c>
      <c r="EM167" s="9">
        <v>-244.488</v>
      </c>
      <c r="EN167" s="9">
        <v>2389.1999999999998</v>
      </c>
      <c r="EO167" s="9"/>
      <c r="EP167" s="9"/>
      <c r="EQ167" s="9"/>
      <c r="ER167" s="9"/>
      <c r="ES167" s="9"/>
      <c r="ET167" s="9"/>
      <c r="EU167">
        <v>1687.62</v>
      </c>
      <c r="EV167" s="9"/>
      <c r="EW167" s="9"/>
      <c r="EX167" s="9"/>
      <c r="EY167" s="9"/>
      <c r="EZ167" s="9"/>
      <c r="FA167" s="9"/>
      <c r="FB167" s="9">
        <v>85.4436335404</v>
      </c>
      <c r="FC167" s="9">
        <v>109.4791304348</v>
      </c>
      <c r="FD167" s="9">
        <v>7203.0217391304004</v>
      </c>
      <c r="FE167" s="9">
        <v>132.57272727270001</v>
      </c>
      <c r="FF167" s="9">
        <v>1316.1847826087001</v>
      </c>
      <c r="FG167">
        <v>10439413.719999999</v>
      </c>
      <c r="FH167">
        <v>10435093.109999999</v>
      </c>
      <c r="FI167">
        <v>4320.6099999999997</v>
      </c>
      <c r="FJ167" s="9">
        <v>9509482.6500000004</v>
      </c>
      <c r="FK167">
        <v>7190951.8099999996</v>
      </c>
      <c r="FL167" s="9">
        <v>2318530.84</v>
      </c>
      <c r="FM167" s="9">
        <v>18635416.100000001</v>
      </c>
      <c r="FN167" s="9">
        <v>1241911.55</v>
      </c>
      <c r="FO167">
        <v>1716.28</v>
      </c>
      <c r="FP167">
        <v>1202.08</v>
      </c>
      <c r="FQ167">
        <v>52.35</v>
      </c>
      <c r="FR167">
        <v>825.96</v>
      </c>
      <c r="FS167">
        <v>14.27</v>
      </c>
      <c r="FT167">
        <v>2119.7800000000002</v>
      </c>
      <c r="FU167">
        <v>504.88</v>
      </c>
      <c r="FV167">
        <v>68.290000000000006</v>
      </c>
      <c r="FW167">
        <v>19915.55</v>
      </c>
      <c r="FX167">
        <v>102.86</v>
      </c>
      <c r="HB167" s="6"/>
      <c r="HC167" s="6"/>
      <c r="HD167" s="6"/>
    </row>
    <row r="168" spans="1:212" x14ac:dyDescent="0.2">
      <c r="A168" s="8" t="s">
        <v>856</v>
      </c>
      <c r="B168" s="8" t="s">
        <v>391</v>
      </c>
      <c r="C168" s="8" t="s">
        <v>393</v>
      </c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>
        <v>505427.63900000002</v>
      </c>
      <c r="BO168" s="9">
        <v>452645.61300000001</v>
      </c>
      <c r="BP168" s="9">
        <v>84305.234100000001</v>
      </c>
      <c r="BQ168" s="9">
        <v>47090.109600000003</v>
      </c>
      <c r="BR168" s="9">
        <v>37215.124499999998</v>
      </c>
      <c r="BS168" s="9">
        <v>74964.682700000005</v>
      </c>
      <c r="BT168" s="9">
        <v>128082.42600000001</v>
      </c>
      <c r="BU168" s="9">
        <v>42866.8678</v>
      </c>
      <c r="BV168" s="9">
        <v>49204.858800000002</v>
      </c>
      <c r="BW168" s="9">
        <v>371441.3</v>
      </c>
      <c r="BX168" s="9">
        <v>6756.2</v>
      </c>
      <c r="BY168" s="9">
        <v>97880.9</v>
      </c>
      <c r="BZ168" s="9">
        <v>118839.5</v>
      </c>
      <c r="CA168" s="9">
        <v>12545.9</v>
      </c>
      <c r="CB168" s="9">
        <v>7823.3</v>
      </c>
      <c r="CC168" s="9">
        <v>134351.79999999999</v>
      </c>
      <c r="CD168" s="9">
        <v>0</v>
      </c>
      <c r="CE168" s="9">
        <v>107556</v>
      </c>
      <c r="CF168" s="9">
        <v>1826732.2524461939</v>
      </c>
      <c r="CG168" s="9">
        <v>9099215.762733236</v>
      </c>
      <c r="CH168" s="9"/>
      <c r="CI168" s="9"/>
      <c r="CJ168" s="9">
        <v>17.329999999999998</v>
      </c>
      <c r="CK168" s="9">
        <v>12.287635481300001</v>
      </c>
      <c r="CL168" s="9">
        <v>10.5</v>
      </c>
      <c r="CM168" s="9">
        <v>86.931704445500003</v>
      </c>
      <c r="CN168" s="9">
        <v>25.868490276100001</v>
      </c>
      <c r="CO168" s="9">
        <v>3.5227549522000001</v>
      </c>
      <c r="CP168" s="9">
        <v>15.337291150900001</v>
      </c>
      <c r="CQ168" s="9">
        <v>10.4288911887</v>
      </c>
      <c r="CR168" s="9">
        <v>4.0400906124000002</v>
      </c>
      <c r="CS168" s="9">
        <v>2.8264122558999998</v>
      </c>
      <c r="CT168" s="9">
        <v>9.5608768482999995</v>
      </c>
      <c r="CU168" s="9">
        <v>2.7546909787999998</v>
      </c>
      <c r="CV168" s="9">
        <v>1.8758561740999999</v>
      </c>
      <c r="CW168" s="9">
        <v>4.8265712222000001</v>
      </c>
      <c r="CX168" s="9">
        <v>2.5056338852</v>
      </c>
      <c r="CY168" s="9">
        <v>3.3841449009</v>
      </c>
      <c r="CZ168" s="9">
        <v>364</v>
      </c>
      <c r="DA168" s="9">
        <v>339</v>
      </c>
      <c r="DB168" s="9">
        <v>8</v>
      </c>
      <c r="DC168" s="9">
        <v>100</v>
      </c>
      <c r="DD168" s="9">
        <v>44</v>
      </c>
      <c r="DE168" s="9">
        <v>8</v>
      </c>
      <c r="DF168" s="9">
        <v>119</v>
      </c>
      <c r="DG168" s="9">
        <v>47</v>
      </c>
      <c r="DH168" s="9">
        <v>12</v>
      </c>
      <c r="DI168" s="9">
        <v>2</v>
      </c>
      <c r="DJ168" s="9">
        <v>1</v>
      </c>
      <c r="DK168" s="9">
        <v>7</v>
      </c>
      <c r="DL168" s="9">
        <v>1</v>
      </c>
      <c r="DM168" s="9">
        <v>12</v>
      </c>
      <c r="DN168" s="9">
        <v>0</v>
      </c>
      <c r="DO168" s="9">
        <v>492.04</v>
      </c>
      <c r="DP168" s="9">
        <v>138.30000000000001</v>
      </c>
      <c r="DQ168" s="9">
        <v>79.31</v>
      </c>
      <c r="DR168" s="9">
        <v>58.99</v>
      </c>
      <c r="DS168" s="9">
        <v>46.25</v>
      </c>
      <c r="DT168" s="9">
        <v>11.04</v>
      </c>
      <c r="DU168" s="9">
        <v>169.24</v>
      </c>
      <c r="DV168" s="9">
        <v>96.62</v>
      </c>
      <c r="DW168" s="9">
        <v>49.69</v>
      </c>
      <c r="DX168" s="9">
        <v>138.13</v>
      </c>
      <c r="DY168" s="9">
        <v>81.88</v>
      </c>
      <c r="DZ168" s="9">
        <v>36.020000000000003</v>
      </c>
      <c r="EA168" s="9">
        <v>-314.30599999999998</v>
      </c>
      <c r="EB168" s="9">
        <v>-141.255</v>
      </c>
      <c r="EC168" s="9">
        <v>-89.206800000000001</v>
      </c>
      <c r="ED168" s="9">
        <v>-94.696299999999994</v>
      </c>
      <c r="EE168" s="9">
        <v>10.852679999999999</v>
      </c>
      <c r="EF168" s="9">
        <v>13.235340000000001</v>
      </c>
      <c r="EG168" s="9">
        <v>-331.59399999999999</v>
      </c>
      <c r="EH168" s="9">
        <v>-149.374</v>
      </c>
      <c r="EI168" s="9">
        <v>-6.7760899999999999</v>
      </c>
      <c r="EJ168" s="9">
        <v>0</v>
      </c>
      <c r="EK168" s="9">
        <v>-175.44399999999999</v>
      </c>
      <c r="EL168" s="9">
        <v>-141.322</v>
      </c>
      <c r="EM168" s="9">
        <v>-110.798</v>
      </c>
      <c r="EN168" s="9">
        <v>2309.6</v>
      </c>
      <c r="EO168" s="9"/>
      <c r="EP168" s="9"/>
      <c r="EQ168" s="9"/>
      <c r="ER168" s="9"/>
      <c r="ES168" s="9"/>
      <c r="ET168" s="9"/>
      <c r="EU168">
        <v>1733.47</v>
      </c>
      <c r="EV168" s="9"/>
      <c r="EW168" s="9"/>
      <c r="EX168" s="9"/>
      <c r="EY168" s="9"/>
      <c r="EZ168" s="9"/>
      <c r="FA168" s="9"/>
      <c r="FB168" s="9">
        <v>88.363265306100004</v>
      </c>
      <c r="FC168" s="9">
        <v>108.07666666670001</v>
      </c>
      <c r="FD168" s="9">
        <v>7070.6547619047997</v>
      </c>
      <c r="FE168" s="9">
        <v>136.32380952380001</v>
      </c>
      <c r="FF168" s="9">
        <v>1275.8214285714</v>
      </c>
      <c r="FG168">
        <v>10772029.950000001</v>
      </c>
      <c r="FH168">
        <v>10768736.99</v>
      </c>
      <c r="FI168">
        <v>3292.96</v>
      </c>
      <c r="FJ168" s="9">
        <v>9917619.0099999998</v>
      </c>
      <c r="FK168">
        <v>7160259.5799999991</v>
      </c>
      <c r="FL168" s="9">
        <v>2757359.43</v>
      </c>
      <c r="FM168" s="9">
        <v>19476917.73</v>
      </c>
      <c r="FN168" s="9">
        <v>1252855.72</v>
      </c>
      <c r="FO168">
        <v>1741.71</v>
      </c>
      <c r="FP168">
        <v>221.71</v>
      </c>
      <c r="FQ168">
        <v>64.430000000000007</v>
      </c>
      <c r="FR168">
        <v>472.56</v>
      </c>
      <c r="FS168">
        <v>9.01</v>
      </c>
      <c r="FT168">
        <v>2495.7600000000002</v>
      </c>
      <c r="FU168">
        <v>492.57</v>
      </c>
      <c r="FV168">
        <v>819.51</v>
      </c>
      <c r="FW168">
        <v>10988.29</v>
      </c>
      <c r="FX168">
        <v>78.47</v>
      </c>
      <c r="HB168" s="6"/>
      <c r="HC168" s="6"/>
      <c r="HD168" s="6"/>
    </row>
    <row r="169" spans="1:212" x14ac:dyDescent="0.2">
      <c r="A169" s="8" t="s">
        <v>856</v>
      </c>
      <c r="B169" s="8" t="s">
        <v>391</v>
      </c>
      <c r="C169" s="8" t="s">
        <v>394</v>
      </c>
      <c r="D169" s="9">
        <v>5306864.3</v>
      </c>
      <c r="E169" s="9">
        <v>652421</v>
      </c>
      <c r="F169" s="9">
        <v>637192.19999999995</v>
      </c>
      <c r="G169" s="9">
        <v>535591.9</v>
      </c>
      <c r="H169" s="9">
        <v>106225.1</v>
      </c>
      <c r="I169" s="9">
        <v>200288.5</v>
      </c>
      <c r="J169" s="9">
        <v>880815.6</v>
      </c>
      <c r="K169" s="9">
        <v>299792.7</v>
      </c>
      <c r="L169" s="9">
        <v>112861.2</v>
      </c>
      <c r="M169" s="9">
        <v>1365945.3</v>
      </c>
      <c r="N169" s="9">
        <v>515730.8</v>
      </c>
      <c r="O169" s="9">
        <v>5736933.9935827544</v>
      </c>
      <c r="P169" s="9">
        <v>641511.17260909651</v>
      </c>
      <c r="Q169" s="9">
        <v>672944.18857287895</v>
      </c>
      <c r="R169" s="9">
        <v>475000.35756018758</v>
      </c>
      <c r="S169" s="9">
        <v>150105.50284528409</v>
      </c>
      <c r="T169" s="9">
        <v>194022.41622934359</v>
      </c>
      <c r="U169" s="9">
        <v>1085884.891648957</v>
      </c>
      <c r="V169" s="9">
        <v>349756.64597124112</v>
      </c>
      <c r="W169" s="9">
        <v>125748.61042778489</v>
      </c>
      <c r="X169" s="9">
        <v>1426222.379024721</v>
      </c>
      <c r="Y169" s="9">
        <v>615737.82869325799</v>
      </c>
      <c r="Z169" s="9">
        <v>5765635.7000000002</v>
      </c>
      <c r="AA169" s="9">
        <v>2927080.4</v>
      </c>
      <c r="AB169" s="9">
        <v>807613.4</v>
      </c>
      <c r="AC169" s="9">
        <v>1645837.2</v>
      </c>
      <c r="AD169" s="9">
        <v>1286109.8999999999</v>
      </c>
      <c r="AE169" s="9">
        <v>2196315.2000000002</v>
      </c>
      <c r="AF169" s="9">
        <v>3097320.3</v>
      </c>
      <c r="AG169" s="9">
        <v>6212024.6188816391</v>
      </c>
      <c r="AH169" s="9">
        <v>3124620.5228731218</v>
      </c>
      <c r="AI169" s="9">
        <v>923371.02716933715</v>
      </c>
      <c r="AJ169" s="9">
        <v>1557212.7145509119</v>
      </c>
      <c r="AK169" s="9">
        <v>1488405.381746745</v>
      </c>
      <c r="AL169" s="9">
        <v>1799848.326648172</v>
      </c>
      <c r="AM169" s="9">
        <v>2681433.3541066488</v>
      </c>
      <c r="AN169" s="9">
        <v>1038232</v>
      </c>
      <c r="AO169" s="9">
        <v>551949</v>
      </c>
      <c r="AP169" s="9">
        <v>486283</v>
      </c>
      <c r="AQ169" s="9">
        <v>87246</v>
      </c>
      <c r="AR169" s="9">
        <v>46552</v>
      </c>
      <c r="AS169" s="9">
        <v>40694</v>
      </c>
      <c r="AT169" s="9">
        <v>721404</v>
      </c>
      <c r="AU169" s="9">
        <v>290118</v>
      </c>
      <c r="AV169" s="9">
        <v>431286</v>
      </c>
      <c r="AW169" s="9">
        <v>772.11249999999995</v>
      </c>
      <c r="AX169" s="9">
        <v>365.5</v>
      </c>
      <c r="AY169" s="9">
        <v>1521.4</v>
      </c>
      <c r="AZ169" s="9">
        <v>668.4</v>
      </c>
      <c r="BA169" s="9">
        <v>934.7</v>
      </c>
      <c r="BB169" s="9">
        <v>637.6</v>
      </c>
      <c r="BC169" s="9">
        <v>852.9</v>
      </c>
      <c r="BD169" s="9">
        <v>766.3</v>
      </c>
      <c r="BE169" s="9">
        <v>817.3</v>
      </c>
      <c r="BF169" s="9">
        <v>678.2</v>
      </c>
      <c r="BG169" s="9">
        <v>905.3</v>
      </c>
      <c r="BH169" s="9">
        <v>1151.8</v>
      </c>
      <c r="BI169" s="9">
        <v>603.4</v>
      </c>
      <c r="BJ169" s="9">
        <v>687.8</v>
      </c>
      <c r="BK169" s="9">
        <v>756.8</v>
      </c>
      <c r="BL169" s="9">
        <v>538.70000000000005</v>
      </c>
      <c r="BM169" s="9">
        <v>467.7</v>
      </c>
      <c r="BN169" s="9">
        <v>983707.86100000003</v>
      </c>
      <c r="BO169" s="9">
        <v>681871.08700000006</v>
      </c>
      <c r="BP169" s="9">
        <v>161582.3659</v>
      </c>
      <c r="BQ169" s="9">
        <v>103669.2904</v>
      </c>
      <c r="BR169" s="9">
        <v>57913.075499999999</v>
      </c>
      <c r="BS169" s="9">
        <v>119218.3173</v>
      </c>
      <c r="BT169" s="9">
        <v>179276.774</v>
      </c>
      <c r="BU169" s="9">
        <v>39454.1322</v>
      </c>
      <c r="BV169" s="9">
        <v>294882.24119999999</v>
      </c>
      <c r="BW169" s="9">
        <v>642123.30000000005</v>
      </c>
      <c r="BX169" s="9">
        <v>-11275.6</v>
      </c>
      <c r="BY169" s="9">
        <v>171973.4</v>
      </c>
      <c r="BZ169" s="9">
        <v>148161.70000000001</v>
      </c>
      <c r="CA169" s="9">
        <v>99657.3</v>
      </c>
      <c r="CB169" s="9">
        <v>34536.800000000003</v>
      </c>
      <c r="CC169" s="9">
        <v>187794</v>
      </c>
      <c r="CD169" s="9">
        <v>0</v>
      </c>
      <c r="CE169" s="9">
        <v>406278.1</v>
      </c>
      <c r="CF169" s="9">
        <v>2092734.915912813</v>
      </c>
      <c r="CG169" s="9">
        <v>9452551.8026870936</v>
      </c>
      <c r="CH169" s="9"/>
      <c r="CI169" s="9"/>
      <c r="CJ169" s="9">
        <v>17.399999999999999</v>
      </c>
      <c r="CK169" s="9">
        <v>12.7</v>
      </c>
      <c r="CL169" s="9">
        <v>10.5</v>
      </c>
      <c r="CM169" s="9">
        <v>88.041313025199997</v>
      </c>
      <c r="CN169" s="9">
        <v>26.369167728800001</v>
      </c>
      <c r="CO169" s="9">
        <v>3.5967671171000002</v>
      </c>
      <c r="CP169" s="9">
        <v>15.669875102000001</v>
      </c>
      <c r="CQ169" s="9">
        <v>10.494120135799999</v>
      </c>
      <c r="CR169" s="9">
        <v>4.1042056524000001</v>
      </c>
      <c r="CS169" s="9">
        <v>2.8556931248000001</v>
      </c>
      <c r="CT169" s="9">
        <v>9.5634888627999999</v>
      </c>
      <c r="CU169" s="9">
        <v>2.7546909787999998</v>
      </c>
      <c r="CV169" s="9">
        <v>1.8764556778999999</v>
      </c>
      <c r="CW169" s="9">
        <v>4.8265712222000001</v>
      </c>
      <c r="CX169" s="9">
        <v>2.5079237784999999</v>
      </c>
      <c r="CY169" s="9">
        <v>3.4223536442000002</v>
      </c>
      <c r="CZ169" s="9">
        <v>408</v>
      </c>
      <c r="DA169" s="9">
        <v>368</v>
      </c>
      <c r="DB169" s="9">
        <v>6</v>
      </c>
      <c r="DC169" s="9">
        <v>98</v>
      </c>
      <c r="DD169" s="9">
        <v>63</v>
      </c>
      <c r="DE169" s="9">
        <v>9</v>
      </c>
      <c r="DF169" s="9">
        <v>114</v>
      </c>
      <c r="DG169" s="9">
        <v>69</v>
      </c>
      <c r="DH169" s="9">
        <v>22</v>
      </c>
      <c r="DI169" s="9">
        <v>6</v>
      </c>
      <c r="DJ169" s="9">
        <v>5</v>
      </c>
      <c r="DK169" s="9">
        <v>9</v>
      </c>
      <c r="DL169" s="9">
        <v>4</v>
      </c>
      <c r="DM169" s="9">
        <v>12</v>
      </c>
      <c r="DN169" s="9">
        <v>0</v>
      </c>
      <c r="DO169" s="9">
        <v>501.89</v>
      </c>
      <c r="DP169" s="9">
        <v>127.05</v>
      </c>
      <c r="DQ169" s="9">
        <v>71.709999999999994</v>
      </c>
      <c r="DR169" s="9">
        <v>55.34</v>
      </c>
      <c r="DS169" s="9">
        <v>55.9</v>
      </c>
      <c r="DT169" s="9">
        <v>20.73</v>
      </c>
      <c r="DU169" s="9">
        <v>168.02</v>
      </c>
      <c r="DV169" s="9">
        <v>118.7</v>
      </c>
      <c r="DW169" s="9">
        <v>29.17</v>
      </c>
      <c r="DX169" s="9">
        <v>150.75</v>
      </c>
      <c r="DY169" s="9">
        <v>76.19</v>
      </c>
      <c r="DZ169" s="9">
        <v>39.630000000000003</v>
      </c>
      <c r="EA169" s="9">
        <v>-358.87799999999999</v>
      </c>
      <c r="EB169" s="9">
        <v>-123.274</v>
      </c>
      <c r="EC169" s="9">
        <v>-129.529</v>
      </c>
      <c r="ED169" s="9">
        <v>-121.851</v>
      </c>
      <c r="EE169" s="9">
        <v>15.77613</v>
      </c>
      <c r="EF169" s="9">
        <v>15.987360000000001</v>
      </c>
      <c r="EG169" s="9">
        <v>-308.38099999999997</v>
      </c>
      <c r="EH169" s="9">
        <v>-141.608</v>
      </c>
      <c r="EI169" s="9">
        <v>4.5904379999999998</v>
      </c>
      <c r="EJ169" s="9">
        <v>0</v>
      </c>
      <c r="EK169" s="9">
        <v>-171.364</v>
      </c>
      <c r="EL169" s="9">
        <v>-58.497999999999998</v>
      </c>
      <c r="EM169" s="9">
        <v>-93.007499999999993</v>
      </c>
      <c r="EN169" s="9">
        <v>2248</v>
      </c>
      <c r="EO169" s="9"/>
      <c r="EP169" s="9"/>
      <c r="EQ169" s="9"/>
      <c r="ER169" s="9"/>
      <c r="ES169" s="9"/>
      <c r="ET169" s="9"/>
      <c r="EU169">
        <v>1674.58</v>
      </c>
      <c r="EV169" s="9">
        <v>19829.66</v>
      </c>
      <c r="EW169" s="9">
        <v>3534.58</v>
      </c>
      <c r="EX169" s="9">
        <v>1130.46</v>
      </c>
      <c r="EY169" s="9">
        <v>1375.81</v>
      </c>
      <c r="EZ169" s="9">
        <v>3198.7</v>
      </c>
      <c r="FA169" s="9">
        <v>10590.12</v>
      </c>
      <c r="FB169" s="9">
        <v>89.444464285699993</v>
      </c>
      <c r="FC169" s="9">
        <v>110.6336363636</v>
      </c>
      <c r="FD169" s="9">
        <v>7214.9</v>
      </c>
      <c r="FE169" s="9">
        <v>135.79047619049999</v>
      </c>
      <c r="FF169" s="9">
        <v>1225.4027777778001</v>
      </c>
      <c r="FG169">
        <v>10718925.630000001</v>
      </c>
      <c r="FH169">
        <v>10715632.67</v>
      </c>
      <c r="FI169">
        <v>3292.96</v>
      </c>
      <c r="FJ169" s="9">
        <v>10148219.460000001</v>
      </c>
      <c r="FK169">
        <v>7506966.3399999999</v>
      </c>
      <c r="FL169" s="9">
        <v>2641253.12</v>
      </c>
      <c r="FM169" s="9">
        <v>20883711.140000001</v>
      </c>
      <c r="FN169" s="9">
        <v>1381214.72</v>
      </c>
      <c r="FO169">
        <v>1659.34</v>
      </c>
      <c r="FP169">
        <v>-120.39</v>
      </c>
      <c r="FQ169">
        <v>63.83</v>
      </c>
      <c r="FR169">
        <v>736.91</v>
      </c>
      <c r="FS169">
        <v>9.56</v>
      </c>
      <c r="FT169">
        <v>2221.66</v>
      </c>
      <c r="FU169">
        <v>711.77</v>
      </c>
      <c r="FV169">
        <v>1785.51</v>
      </c>
      <c r="FW169">
        <v>41769</v>
      </c>
      <c r="FX169">
        <v>135.78</v>
      </c>
      <c r="HB169" s="6"/>
      <c r="HC169" s="6"/>
      <c r="HD169" s="6"/>
    </row>
    <row r="170" spans="1:212" x14ac:dyDescent="0.2">
      <c r="A170" s="8" t="s">
        <v>857</v>
      </c>
      <c r="B170" s="8" t="s">
        <v>395</v>
      </c>
      <c r="C170" s="8" t="s">
        <v>396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>
        <v>353776.62910000002</v>
      </c>
      <c r="BO170" s="9">
        <v>300685.67019999999</v>
      </c>
      <c r="BP170" s="9">
        <v>53069.153720000002</v>
      </c>
      <c r="BQ170" s="9">
        <v>20154.54869</v>
      </c>
      <c r="BR170" s="9">
        <v>32489.960050000002</v>
      </c>
      <c r="BS170" s="9">
        <v>62134.542999999998</v>
      </c>
      <c r="BT170" s="9">
        <v>100195.8469</v>
      </c>
      <c r="BU170" s="9">
        <v>33138.630570000001</v>
      </c>
      <c r="BV170" s="9">
        <v>53090.958930000001</v>
      </c>
      <c r="BW170" s="9">
        <v>361958.2</v>
      </c>
      <c r="BX170" s="9">
        <v>-15229</v>
      </c>
      <c r="BY170" s="9">
        <v>20381.3</v>
      </c>
      <c r="BZ170" s="9">
        <v>108067.3</v>
      </c>
      <c r="CA170" s="9">
        <v>25272.799999999999</v>
      </c>
      <c r="CB170" s="9">
        <v>39011.199999999997</v>
      </c>
      <c r="CC170" s="9">
        <v>154473</v>
      </c>
      <c r="CD170" s="9">
        <v>58177.599999999999</v>
      </c>
      <c r="CE170" s="9">
        <v>66387.7</v>
      </c>
      <c r="CF170" s="9">
        <v>1962834.444973411</v>
      </c>
      <c r="CG170" s="9">
        <v>10019293.195640881</v>
      </c>
      <c r="CH170" s="9"/>
      <c r="CI170" s="9"/>
      <c r="CJ170" s="9">
        <v>18.899999999999999</v>
      </c>
      <c r="CK170" s="9">
        <v>12.4</v>
      </c>
      <c r="CL170" s="9">
        <v>10.5</v>
      </c>
      <c r="CM170" s="9">
        <v>89.570948780999998</v>
      </c>
      <c r="CN170" s="9">
        <v>27.277732226600001</v>
      </c>
      <c r="CO170" s="9">
        <v>3.6213432820999998</v>
      </c>
      <c r="CP170" s="9">
        <v>15.8252331381</v>
      </c>
      <c r="CQ170" s="9">
        <v>10.5746955173</v>
      </c>
      <c r="CR170" s="9">
        <v>4.1506219155000004</v>
      </c>
      <c r="CS170" s="9">
        <v>2.8754997265000002</v>
      </c>
      <c r="CT170" s="9">
        <v>9.8020504817000003</v>
      </c>
      <c r="CU170" s="9">
        <v>2.7551886601</v>
      </c>
      <c r="CV170" s="9">
        <v>1.8827604869000001</v>
      </c>
      <c r="CW170" s="9">
        <v>4.8265712222000001</v>
      </c>
      <c r="CX170" s="9">
        <v>2.5125931695000001</v>
      </c>
      <c r="CY170" s="9">
        <v>3.4666589545000002</v>
      </c>
      <c r="CZ170" s="9">
        <v>321</v>
      </c>
      <c r="DA170" s="9">
        <v>291</v>
      </c>
      <c r="DB170" s="9">
        <v>39</v>
      </c>
      <c r="DC170" s="9">
        <v>96</v>
      </c>
      <c r="DD170" s="9">
        <v>32</v>
      </c>
      <c r="DE170" s="9">
        <v>8</v>
      </c>
      <c r="DF170" s="9">
        <v>61</v>
      </c>
      <c r="DG170" s="9">
        <v>48</v>
      </c>
      <c r="DH170" s="9">
        <v>12</v>
      </c>
      <c r="DI170" s="9">
        <v>0</v>
      </c>
      <c r="DJ170" s="9">
        <v>6</v>
      </c>
      <c r="DK170" s="9">
        <v>5</v>
      </c>
      <c r="DL170" s="9">
        <v>7</v>
      </c>
      <c r="DM170" s="9">
        <v>10</v>
      </c>
      <c r="DN170" s="9">
        <v>0</v>
      </c>
      <c r="DO170" s="9">
        <v>331.84</v>
      </c>
      <c r="DP170" s="9">
        <v>109.18</v>
      </c>
      <c r="DQ170" s="9">
        <v>56.57</v>
      </c>
      <c r="DR170" s="9">
        <v>52.61</v>
      </c>
      <c r="DS170" s="9">
        <v>39.25</v>
      </c>
      <c r="DT170" s="9">
        <v>3.66</v>
      </c>
      <c r="DU170" s="9">
        <v>118.64</v>
      </c>
      <c r="DV170" s="9">
        <v>76.55</v>
      </c>
      <c r="DW170" s="9">
        <v>29.42</v>
      </c>
      <c r="DX170" s="9">
        <v>64.739999999999995</v>
      </c>
      <c r="DY170" s="9">
        <v>31.13</v>
      </c>
      <c r="DZ170" s="9">
        <v>22.21</v>
      </c>
      <c r="EA170" s="9">
        <v>-284.41199999999998</v>
      </c>
      <c r="EB170" s="9">
        <v>-46.584600000000002</v>
      </c>
      <c r="EC170" s="9">
        <v>-190.83699999999999</v>
      </c>
      <c r="ED170" s="9">
        <v>-54.9497</v>
      </c>
      <c r="EE170" s="9">
        <v>7.9590540000000001</v>
      </c>
      <c r="EF170" s="9">
        <v>14.94107</v>
      </c>
      <c r="EG170" s="9">
        <v>-526.22799999999995</v>
      </c>
      <c r="EH170" s="9">
        <v>-150.41900000000001</v>
      </c>
      <c r="EI170" s="9">
        <v>-403.90699999999998</v>
      </c>
      <c r="EJ170" s="9">
        <v>0.12549099999999999</v>
      </c>
      <c r="EK170" s="9">
        <v>27.972059999999999</v>
      </c>
      <c r="EL170" s="9">
        <v>-17.909099999999999</v>
      </c>
      <c r="EM170" s="9">
        <v>238.84819999999999</v>
      </c>
      <c r="EN170" s="9">
        <v>2446.3000000000002</v>
      </c>
      <c r="EO170" s="9"/>
      <c r="EP170" s="9"/>
      <c r="EQ170" s="9"/>
      <c r="ER170" s="9"/>
      <c r="ES170" s="9"/>
      <c r="ET170" s="9"/>
      <c r="EU170">
        <v>1714.26</v>
      </c>
      <c r="EV170" s="9"/>
      <c r="EW170" s="9"/>
      <c r="EX170" s="9"/>
      <c r="EY170" s="9"/>
      <c r="EZ170" s="9"/>
      <c r="FA170" s="9"/>
      <c r="FB170" s="9">
        <v>87.973538961000003</v>
      </c>
      <c r="FC170" s="9">
        <v>107.5704347826</v>
      </c>
      <c r="FD170" s="9">
        <v>7291.4659090908999</v>
      </c>
      <c r="FE170" s="9">
        <v>128.11904761900001</v>
      </c>
      <c r="FF170" s="9">
        <v>1244.7954545453999</v>
      </c>
      <c r="FG170">
        <v>10964519.840000002</v>
      </c>
      <c r="FH170">
        <v>10961226.880000001</v>
      </c>
      <c r="FI170">
        <v>3292.96</v>
      </c>
      <c r="FJ170" s="9">
        <v>10685808.99</v>
      </c>
      <c r="FK170">
        <v>7584184.6299999999</v>
      </c>
      <c r="FL170" s="9">
        <v>3101624.3600000003</v>
      </c>
      <c r="FM170" s="9">
        <v>20023630.690000001</v>
      </c>
      <c r="FN170" s="9">
        <v>1416430.41</v>
      </c>
      <c r="FO170">
        <v>1723.22</v>
      </c>
      <c r="FP170">
        <v>995.3</v>
      </c>
      <c r="FQ170">
        <v>63.3</v>
      </c>
      <c r="FR170">
        <v>302.22000000000003</v>
      </c>
      <c r="FS170">
        <v>9.01</v>
      </c>
      <c r="FT170">
        <v>1255.69</v>
      </c>
      <c r="FU170">
        <v>513.71</v>
      </c>
      <c r="FV170">
        <v>162.82</v>
      </c>
      <c r="FW170">
        <v>49178.26</v>
      </c>
      <c r="FX170">
        <v>806.11</v>
      </c>
      <c r="HB170" s="6"/>
      <c r="HC170" s="6"/>
      <c r="HD170" s="6"/>
    </row>
    <row r="171" spans="1:212" x14ac:dyDescent="0.2">
      <c r="A171" s="8" t="s">
        <v>857</v>
      </c>
      <c r="B171" s="8" t="s">
        <v>395</v>
      </c>
      <c r="C171" s="8" t="s">
        <v>397</v>
      </c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>
        <v>368265.2709</v>
      </c>
      <c r="BO171" s="9">
        <v>335897.92979999998</v>
      </c>
      <c r="BP171" s="9">
        <v>110583.5463</v>
      </c>
      <c r="BQ171" s="9">
        <v>71463.351309999998</v>
      </c>
      <c r="BR171" s="9">
        <v>39059.43995</v>
      </c>
      <c r="BS171" s="9">
        <v>53888.256999999998</v>
      </c>
      <c r="BT171" s="9">
        <v>79520.453099999999</v>
      </c>
      <c r="BU171" s="9">
        <v>29843.56943</v>
      </c>
      <c r="BV171" s="9">
        <v>19684.841069999999</v>
      </c>
      <c r="BW171" s="9">
        <v>350226.2</v>
      </c>
      <c r="BX171" s="9">
        <v>-910.4</v>
      </c>
      <c r="BY171" s="9">
        <v>23864.6</v>
      </c>
      <c r="BZ171" s="9">
        <v>114027.2</v>
      </c>
      <c r="CA171" s="9">
        <v>6321.3</v>
      </c>
      <c r="CB171" s="9">
        <v>13195.7</v>
      </c>
      <c r="CC171" s="9">
        <v>152061.20000000001</v>
      </c>
      <c r="CD171" s="9">
        <v>31057.5</v>
      </c>
      <c r="CE171" s="9">
        <v>39235.1</v>
      </c>
      <c r="CF171" s="9">
        <v>1755050.2867832831</v>
      </c>
      <c r="CG171" s="9">
        <v>9845623.626805082</v>
      </c>
      <c r="CH171" s="9"/>
      <c r="CI171" s="9"/>
      <c r="CJ171" s="9">
        <v>18.399999999999999</v>
      </c>
      <c r="CK171" s="9">
        <v>13.8</v>
      </c>
      <c r="CL171" s="9">
        <v>10.5</v>
      </c>
      <c r="CM171" s="9">
        <v>90.388896542500007</v>
      </c>
      <c r="CN171" s="9">
        <v>27.774860032199999</v>
      </c>
      <c r="CO171" s="9">
        <v>3.6387082631999998</v>
      </c>
      <c r="CP171" s="9">
        <v>15.959628820400001</v>
      </c>
      <c r="CQ171" s="9">
        <v>10.6003801097</v>
      </c>
      <c r="CR171" s="9">
        <v>4.1725360984000002</v>
      </c>
      <c r="CS171" s="9">
        <v>2.8850039140999999</v>
      </c>
      <c r="CT171" s="9">
        <v>9.8562644527999996</v>
      </c>
      <c r="CU171" s="9">
        <v>2.7550025606999999</v>
      </c>
      <c r="CV171" s="9">
        <v>1.8900735894</v>
      </c>
      <c r="CW171" s="9">
        <v>4.8265712222000001</v>
      </c>
      <c r="CX171" s="9">
        <v>2.5288103519999998</v>
      </c>
      <c r="CY171" s="9">
        <v>3.5010571272000002</v>
      </c>
      <c r="CZ171" s="9">
        <v>273</v>
      </c>
      <c r="DA171" s="9">
        <v>258</v>
      </c>
      <c r="DB171" s="9">
        <v>23</v>
      </c>
      <c r="DC171" s="9">
        <v>90</v>
      </c>
      <c r="DD171" s="9">
        <v>37</v>
      </c>
      <c r="DE171" s="9">
        <v>3</v>
      </c>
      <c r="DF171" s="9">
        <v>47</v>
      </c>
      <c r="DG171" s="9">
        <v>49</v>
      </c>
      <c r="DH171" s="9">
        <v>7</v>
      </c>
      <c r="DI171" s="9">
        <v>0</v>
      </c>
      <c r="DJ171" s="9">
        <v>3</v>
      </c>
      <c r="DK171" s="9">
        <v>1</v>
      </c>
      <c r="DL171" s="9">
        <v>3</v>
      </c>
      <c r="DM171" s="9">
        <v>5</v>
      </c>
      <c r="DN171" s="9">
        <v>0</v>
      </c>
      <c r="DO171" s="9">
        <v>281.88</v>
      </c>
      <c r="DP171" s="9">
        <v>83.79</v>
      </c>
      <c r="DQ171" s="9">
        <v>45.25</v>
      </c>
      <c r="DR171" s="9">
        <v>38.54</v>
      </c>
      <c r="DS171" s="9">
        <v>37.93</v>
      </c>
      <c r="DT171" s="9">
        <v>11.86</v>
      </c>
      <c r="DU171" s="9">
        <v>97</v>
      </c>
      <c r="DV171" s="9">
        <v>66.489999999999995</v>
      </c>
      <c r="DW171" s="9">
        <v>21.31</v>
      </c>
      <c r="DX171" s="9">
        <v>63.06</v>
      </c>
      <c r="DY171" s="9">
        <v>34.369999999999997</v>
      </c>
      <c r="DZ171" s="9">
        <v>18.829999999999998</v>
      </c>
      <c r="EA171" s="9">
        <v>-170.375</v>
      </c>
      <c r="EB171" s="9">
        <v>-25.1357</v>
      </c>
      <c r="EC171" s="9">
        <v>-114.705</v>
      </c>
      <c r="ED171" s="9">
        <v>-52.842399999999998</v>
      </c>
      <c r="EE171" s="9">
        <v>22.30847</v>
      </c>
      <c r="EF171" s="9">
        <v>9.4467219999999994</v>
      </c>
      <c r="EG171" s="9">
        <v>49.027990000000003</v>
      </c>
      <c r="EH171" s="9">
        <v>-67.4833</v>
      </c>
      <c r="EI171" s="9">
        <v>1.5024930000000001</v>
      </c>
      <c r="EJ171" s="9">
        <v>-0.1142</v>
      </c>
      <c r="EK171" s="9">
        <v>115.123</v>
      </c>
      <c r="EL171" s="9">
        <v>-23.319199999999999</v>
      </c>
      <c r="EM171" s="9">
        <v>-233.27500000000001</v>
      </c>
      <c r="EN171" s="9">
        <v>2195.3000000000002</v>
      </c>
      <c r="EO171" s="9"/>
      <c r="EP171" s="9"/>
      <c r="EQ171" s="9"/>
      <c r="ER171" s="9"/>
      <c r="ES171" s="9"/>
      <c r="ET171" s="9"/>
      <c r="EU171">
        <v>1752.1785</v>
      </c>
      <c r="EV171" s="9"/>
      <c r="EW171" s="9"/>
      <c r="EX171" s="9"/>
      <c r="EY171" s="9"/>
      <c r="EZ171" s="9"/>
      <c r="FA171" s="9"/>
      <c r="FB171" s="9">
        <v>83.027678571400003</v>
      </c>
      <c r="FC171" s="9">
        <v>108.812</v>
      </c>
      <c r="FD171" s="9">
        <v>7149.2124999999996</v>
      </c>
      <c r="FE171" s="9">
        <v>121.37</v>
      </c>
      <c r="FF171" s="9">
        <v>1300.9749999999999</v>
      </c>
      <c r="FG171">
        <v>11108720.01</v>
      </c>
      <c r="FH171">
        <v>11105377.049999999</v>
      </c>
      <c r="FI171">
        <v>3342.96</v>
      </c>
      <c r="FJ171" s="9">
        <v>10925588.969999999</v>
      </c>
      <c r="FK171">
        <v>7587794.7400000002</v>
      </c>
      <c r="FL171" s="9">
        <v>3337794.2300000004</v>
      </c>
      <c r="FM171" s="9">
        <v>20583836.530000001</v>
      </c>
      <c r="FN171" s="9">
        <v>1436543.3</v>
      </c>
      <c r="FO171">
        <v>1752.38</v>
      </c>
      <c r="FP171">
        <v>553.92999999999995</v>
      </c>
      <c r="FQ171">
        <v>58.81</v>
      </c>
      <c r="FR171">
        <v>476.16</v>
      </c>
      <c r="FS171">
        <v>2.94</v>
      </c>
      <c r="FT171">
        <v>816.24</v>
      </c>
      <c r="FU171">
        <v>490.21</v>
      </c>
      <c r="FV171">
        <v>215.71</v>
      </c>
      <c r="FW171">
        <v>29923.26</v>
      </c>
      <c r="FX171">
        <v>299.43</v>
      </c>
      <c r="HB171" s="6"/>
      <c r="HC171" s="6"/>
      <c r="HD171" s="6"/>
    </row>
    <row r="172" spans="1:212" x14ac:dyDescent="0.2">
      <c r="A172" s="8" t="s">
        <v>857</v>
      </c>
      <c r="B172" s="8" t="s">
        <v>395</v>
      </c>
      <c r="C172" s="8" t="s">
        <v>398</v>
      </c>
      <c r="D172" s="9">
        <v>4222086.5</v>
      </c>
      <c r="E172" s="9">
        <v>168526.7</v>
      </c>
      <c r="F172" s="9">
        <v>859448.1</v>
      </c>
      <c r="G172" s="9">
        <v>370974.3</v>
      </c>
      <c r="H172" s="9">
        <v>105792.4</v>
      </c>
      <c r="I172" s="9">
        <v>38228.300000000003</v>
      </c>
      <c r="J172" s="9">
        <v>381551.7</v>
      </c>
      <c r="K172" s="9">
        <v>259088.3</v>
      </c>
      <c r="L172" s="9">
        <v>103711.8</v>
      </c>
      <c r="M172" s="9">
        <v>1466471.7</v>
      </c>
      <c r="N172" s="9">
        <v>468293.2</v>
      </c>
      <c r="O172" s="9">
        <v>4247831.4494869001</v>
      </c>
      <c r="P172" s="9">
        <v>164565.1474397562</v>
      </c>
      <c r="Q172" s="9">
        <v>849496.75978849828</v>
      </c>
      <c r="R172" s="9">
        <v>295928.65459537797</v>
      </c>
      <c r="S172" s="9">
        <v>137888.95537384169</v>
      </c>
      <c r="T172" s="9">
        <v>35371.190173224197</v>
      </c>
      <c r="U172" s="9">
        <v>432290.90405915899</v>
      </c>
      <c r="V172" s="9">
        <v>265795.42819702212</v>
      </c>
      <c r="W172" s="9">
        <v>102537.5189668557</v>
      </c>
      <c r="X172" s="9">
        <v>1420711.5666282061</v>
      </c>
      <c r="Y172" s="9">
        <v>543245.32426495873</v>
      </c>
      <c r="Z172" s="9">
        <v>4164086.5</v>
      </c>
      <c r="AA172" s="9">
        <v>2656644.1</v>
      </c>
      <c r="AB172" s="9">
        <v>577031.19999999995</v>
      </c>
      <c r="AC172" s="9">
        <v>1159348.5</v>
      </c>
      <c r="AD172" s="9">
        <v>273328</v>
      </c>
      <c r="AE172" s="9">
        <v>1931148.3</v>
      </c>
      <c r="AF172" s="9">
        <v>2433413.6</v>
      </c>
      <c r="AG172" s="9">
        <v>4183025.7410942721</v>
      </c>
      <c r="AH172" s="9">
        <v>2700502.8199179829</v>
      </c>
      <c r="AI172" s="9">
        <v>695755.83298736555</v>
      </c>
      <c r="AJ172" s="9">
        <v>1073441.2509175653</v>
      </c>
      <c r="AK172" s="9">
        <v>274630.94712529349</v>
      </c>
      <c r="AL172" s="9">
        <v>1640387.8306886733</v>
      </c>
      <c r="AM172" s="9">
        <v>2201692.940542608</v>
      </c>
      <c r="AN172" s="9">
        <v>1051593</v>
      </c>
      <c r="AO172" s="9">
        <v>545977</v>
      </c>
      <c r="AP172" s="9">
        <v>505616</v>
      </c>
      <c r="AQ172" s="9">
        <v>108706</v>
      </c>
      <c r="AR172" s="9">
        <v>62202</v>
      </c>
      <c r="AS172" s="9">
        <v>46504</v>
      </c>
      <c r="AT172" s="9">
        <v>719347</v>
      </c>
      <c r="AU172" s="9">
        <v>292010</v>
      </c>
      <c r="AV172" s="9">
        <v>427337</v>
      </c>
      <c r="AW172" s="9">
        <v>762.9</v>
      </c>
      <c r="AX172" s="9">
        <v>772.2</v>
      </c>
      <c r="AY172" s="9">
        <v>1696.8</v>
      </c>
      <c r="AZ172" s="9">
        <v>763.9</v>
      </c>
      <c r="BA172" s="9">
        <v>1296.9000000000001</v>
      </c>
      <c r="BB172" s="9">
        <v>567.79999999999995</v>
      </c>
      <c r="BC172" s="9">
        <v>706.8</v>
      </c>
      <c r="BD172" s="9">
        <v>706.4</v>
      </c>
      <c r="BE172" s="9">
        <v>914</v>
      </c>
      <c r="BF172" s="9">
        <v>482.4</v>
      </c>
      <c r="BG172" s="9">
        <v>708.5</v>
      </c>
      <c r="BH172" s="9">
        <v>1099.0999999999999</v>
      </c>
      <c r="BI172" s="9">
        <v>785.9</v>
      </c>
      <c r="BJ172" s="9">
        <v>623.29999999999995</v>
      </c>
      <c r="BK172" s="9">
        <v>638.1</v>
      </c>
      <c r="BL172" s="9">
        <v>533.5</v>
      </c>
      <c r="BM172" s="9">
        <v>557.79999999999995</v>
      </c>
      <c r="BN172" s="9">
        <v>440045.7</v>
      </c>
      <c r="BO172" s="9">
        <v>375073.1</v>
      </c>
      <c r="BP172" s="9">
        <v>74483.199999999997</v>
      </c>
      <c r="BQ172" s="9">
        <v>34735</v>
      </c>
      <c r="BR172" s="9">
        <v>42728</v>
      </c>
      <c r="BS172" s="9">
        <v>91832.7</v>
      </c>
      <c r="BT172" s="9">
        <v>102073</v>
      </c>
      <c r="BU172" s="9">
        <v>35670.9</v>
      </c>
      <c r="BV172" s="9">
        <v>64972.6</v>
      </c>
      <c r="BW172" s="9">
        <v>430090.1</v>
      </c>
      <c r="BX172" s="9">
        <v>24377.9</v>
      </c>
      <c r="BY172" s="9">
        <v>40367</v>
      </c>
      <c r="BZ172" s="9">
        <v>125376.7</v>
      </c>
      <c r="CA172" s="9">
        <v>38077.599999999999</v>
      </c>
      <c r="CB172" s="9">
        <v>14591.7</v>
      </c>
      <c r="CC172" s="9">
        <v>166437.9</v>
      </c>
      <c r="CD172" s="9">
        <v>45431.1</v>
      </c>
      <c r="CE172" s="9">
        <v>30869.9</v>
      </c>
      <c r="CF172" s="9">
        <v>1737203.934716176</v>
      </c>
      <c r="CG172" s="9">
        <v>9947306.9475547075</v>
      </c>
      <c r="CH172" s="9"/>
      <c r="CI172" s="9"/>
      <c r="CJ172" s="9">
        <v>19.7</v>
      </c>
      <c r="CK172" s="9">
        <v>12.7</v>
      </c>
      <c r="CL172" s="9">
        <v>10.5</v>
      </c>
      <c r="CM172" s="9">
        <v>91.1569972044</v>
      </c>
      <c r="CN172" s="9">
        <v>28.234869076599999</v>
      </c>
      <c r="CO172" s="9">
        <v>3.64703658</v>
      </c>
      <c r="CP172" s="9">
        <v>16.148849528100001</v>
      </c>
      <c r="CQ172" s="9">
        <v>10.602433143200001</v>
      </c>
      <c r="CR172" s="9">
        <v>4.1984916239999999</v>
      </c>
      <c r="CS172" s="9">
        <v>2.8883101999999998</v>
      </c>
      <c r="CT172" s="9">
        <v>9.8875840037000007</v>
      </c>
      <c r="CU172" s="9">
        <v>2.7545435947999999</v>
      </c>
      <c r="CV172" s="9">
        <v>1.8968803928</v>
      </c>
      <c r="CW172" s="9">
        <v>4.8265760442000003</v>
      </c>
      <c r="CX172" s="9">
        <v>2.5553612629</v>
      </c>
      <c r="CY172" s="9">
        <v>3.5160617541999999</v>
      </c>
      <c r="CZ172" s="9">
        <v>382</v>
      </c>
      <c r="DA172" s="9">
        <v>361</v>
      </c>
      <c r="DB172" s="9">
        <v>27</v>
      </c>
      <c r="DC172" s="9">
        <v>162</v>
      </c>
      <c r="DD172" s="9">
        <v>13</v>
      </c>
      <c r="DE172" s="9">
        <v>3</v>
      </c>
      <c r="DF172" s="9">
        <v>97</v>
      </c>
      <c r="DG172" s="9">
        <v>51</v>
      </c>
      <c r="DH172" s="9">
        <v>13</v>
      </c>
      <c r="DI172" s="9">
        <v>0</v>
      </c>
      <c r="DJ172" s="9">
        <v>7</v>
      </c>
      <c r="DK172" s="9">
        <v>3</v>
      </c>
      <c r="DL172" s="9">
        <v>2</v>
      </c>
      <c r="DM172" s="9">
        <v>7</v>
      </c>
      <c r="DN172" s="9">
        <v>0</v>
      </c>
      <c r="DO172" s="9">
        <v>383.15</v>
      </c>
      <c r="DP172" s="9">
        <v>105</v>
      </c>
      <c r="DQ172" s="9">
        <v>56.39</v>
      </c>
      <c r="DR172" s="9">
        <v>48.61</v>
      </c>
      <c r="DS172" s="9">
        <v>40.26</v>
      </c>
      <c r="DT172" s="9">
        <v>9.4600000000000009</v>
      </c>
      <c r="DU172" s="9">
        <v>133.51</v>
      </c>
      <c r="DV172" s="9">
        <v>66.47</v>
      </c>
      <c r="DW172" s="9">
        <v>54.48</v>
      </c>
      <c r="DX172" s="9">
        <v>104.18</v>
      </c>
      <c r="DY172" s="9">
        <v>53.51</v>
      </c>
      <c r="DZ172" s="9">
        <v>36.74</v>
      </c>
      <c r="EA172" s="9">
        <v>-216.70099999999999</v>
      </c>
      <c r="EB172" s="9">
        <v>-26.337299999999999</v>
      </c>
      <c r="EC172" s="9">
        <v>-132.28399999999999</v>
      </c>
      <c r="ED172" s="9">
        <v>-68.471900000000005</v>
      </c>
      <c r="EE172" s="9">
        <v>10.391870000000001</v>
      </c>
      <c r="EF172" s="9">
        <v>9.9326229999999995</v>
      </c>
      <c r="EG172" s="9">
        <v>-43.347200000000001</v>
      </c>
      <c r="EH172" s="9">
        <v>-54.487699999999997</v>
      </c>
      <c r="EI172" s="9">
        <v>19.390789999999999</v>
      </c>
      <c r="EJ172" s="9">
        <v>-0.26432</v>
      </c>
      <c r="EK172" s="9">
        <v>-7.9859299999999998</v>
      </c>
      <c r="EL172" s="9">
        <v>-149.98099999999999</v>
      </c>
      <c r="EM172" s="9">
        <v>-313.40300000000002</v>
      </c>
      <c r="EN172" s="9">
        <v>1943.3</v>
      </c>
      <c r="EO172" s="9"/>
      <c r="EP172" s="9"/>
      <c r="EQ172" s="9"/>
      <c r="ER172" s="9"/>
      <c r="ES172" s="9"/>
      <c r="ET172" s="9"/>
      <c r="EU172">
        <v>1772.3047619048</v>
      </c>
      <c r="EV172" s="9">
        <v>20799.72</v>
      </c>
      <c r="EW172" s="9">
        <v>3535.15</v>
      </c>
      <c r="EX172" s="9">
        <v>1083.43</v>
      </c>
      <c r="EY172" s="9">
        <v>1554.52</v>
      </c>
      <c r="EZ172" s="9">
        <v>3679.04</v>
      </c>
      <c r="FA172" s="9">
        <v>10947.58</v>
      </c>
      <c r="FB172" s="9">
        <v>79.753061224500001</v>
      </c>
      <c r="FC172" s="9">
        <v>107.4057142857</v>
      </c>
      <c r="FD172" s="9">
        <v>6650.0357142857001</v>
      </c>
      <c r="FE172" s="9">
        <v>111.8333333333</v>
      </c>
      <c r="FF172" s="9">
        <v>1336.0833333333001</v>
      </c>
      <c r="FG172">
        <v>11335680.280000001</v>
      </c>
      <c r="FH172">
        <v>11332387.32</v>
      </c>
      <c r="FI172">
        <v>3292.96</v>
      </c>
      <c r="FJ172" s="9">
        <v>11008783.770000001</v>
      </c>
      <c r="FK172">
        <v>7375987.6699999999</v>
      </c>
      <c r="FL172" s="9">
        <v>3632796.1</v>
      </c>
      <c r="FM172" s="9">
        <v>20708468.469999999</v>
      </c>
      <c r="FN172" s="9">
        <v>1536510.23</v>
      </c>
      <c r="FO172">
        <v>1782.01</v>
      </c>
      <c r="FP172">
        <v>622.35</v>
      </c>
      <c r="FQ172">
        <v>91.54</v>
      </c>
      <c r="FR172">
        <v>134.21</v>
      </c>
      <c r="FS172">
        <v>3</v>
      </c>
      <c r="FT172">
        <v>1665.17</v>
      </c>
      <c r="FU172">
        <v>513.30999999999995</v>
      </c>
      <c r="FV172">
        <v>80.39</v>
      </c>
      <c r="FW172">
        <v>60121</v>
      </c>
      <c r="FX172">
        <v>419.53</v>
      </c>
      <c r="HB172" s="6"/>
      <c r="HC172" s="6"/>
      <c r="HD172" s="6"/>
    </row>
    <row r="173" spans="1:212" x14ac:dyDescent="0.2">
      <c r="A173" s="8" t="s">
        <v>857</v>
      </c>
      <c r="B173" s="8" t="s">
        <v>399</v>
      </c>
      <c r="C173" s="8" t="s">
        <v>400</v>
      </c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>
        <v>527546.80000000005</v>
      </c>
      <c r="BO173" s="9">
        <v>428202.8</v>
      </c>
      <c r="BP173" s="9">
        <v>96631.1</v>
      </c>
      <c r="BQ173" s="9">
        <v>65116.1</v>
      </c>
      <c r="BR173" s="9">
        <v>40235.5</v>
      </c>
      <c r="BS173" s="9">
        <v>76604.399999999994</v>
      </c>
      <c r="BT173" s="9">
        <v>134544.70000000001</v>
      </c>
      <c r="BU173" s="9">
        <v>36728.400000000001</v>
      </c>
      <c r="BV173" s="9">
        <v>98236</v>
      </c>
      <c r="BW173" s="9">
        <v>457032.6</v>
      </c>
      <c r="BX173" s="9">
        <v>-2307.6</v>
      </c>
      <c r="BY173" s="9">
        <v>47254.1</v>
      </c>
      <c r="BZ173" s="9">
        <v>133224.5</v>
      </c>
      <c r="CA173" s="9">
        <v>39436.5</v>
      </c>
      <c r="CB173" s="9">
        <v>10046</v>
      </c>
      <c r="CC173" s="9">
        <v>179769</v>
      </c>
      <c r="CD173" s="9">
        <v>-3602.8</v>
      </c>
      <c r="CE173" s="9">
        <v>39760</v>
      </c>
      <c r="CF173" s="9">
        <v>1845641.2717099821</v>
      </c>
      <c r="CG173" s="9">
        <v>10201155.047521479</v>
      </c>
      <c r="CH173" s="9"/>
      <c r="CI173" s="9"/>
      <c r="CJ173" s="9">
        <v>19.399999999999999</v>
      </c>
      <c r="CK173" s="9">
        <v>12.1</v>
      </c>
      <c r="CL173" s="9">
        <v>10.5</v>
      </c>
      <c r="CM173" s="9">
        <v>92.100297375500006</v>
      </c>
      <c r="CN173" s="9">
        <v>28.8392997262</v>
      </c>
      <c r="CO173" s="9">
        <v>3.7177472696999998</v>
      </c>
      <c r="CP173" s="9">
        <v>16.257901677500001</v>
      </c>
      <c r="CQ173" s="9">
        <v>10.5741094966</v>
      </c>
      <c r="CR173" s="9">
        <v>4.2334184043</v>
      </c>
      <c r="CS173" s="9">
        <v>2.8933641981</v>
      </c>
      <c r="CT173" s="9">
        <v>9.9166190175000004</v>
      </c>
      <c r="CU173" s="9">
        <v>2.7537499849999998</v>
      </c>
      <c r="CV173" s="9">
        <v>1.8921699823</v>
      </c>
      <c r="CW173" s="9">
        <v>4.8265760442000003</v>
      </c>
      <c r="CX173" s="9">
        <v>2.6039892490000001</v>
      </c>
      <c r="CY173" s="9">
        <v>3.5913523249999999</v>
      </c>
      <c r="CZ173" s="9">
        <v>456</v>
      </c>
      <c r="DA173" s="9">
        <v>375</v>
      </c>
      <c r="DB173" s="9">
        <v>0</v>
      </c>
      <c r="DC173" s="9">
        <v>182</v>
      </c>
      <c r="DD173" s="9">
        <v>44</v>
      </c>
      <c r="DE173" s="9">
        <v>13</v>
      </c>
      <c r="DF173" s="9">
        <v>67</v>
      </c>
      <c r="DG173" s="9">
        <v>59</v>
      </c>
      <c r="DH173" s="9">
        <v>68</v>
      </c>
      <c r="DI173" s="9">
        <v>0</v>
      </c>
      <c r="DJ173" s="9">
        <v>4</v>
      </c>
      <c r="DK173" s="9">
        <v>62</v>
      </c>
      <c r="DL173" s="9">
        <v>1</v>
      </c>
      <c r="DM173" s="9">
        <v>12</v>
      </c>
      <c r="DN173" s="9">
        <v>0</v>
      </c>
      <c r="DO173" s="9">
        <v>528.14</v>
      </c>
      <c r="DP173" s="9">
        <v>129.11000000000001</v>
      </c>
      <c r="DQ173" s="9">
        <v>64.400000000000006</v>
      </c>
      <c r="DR173" s="9">
        <v>64.709999999999994</v>
      </c>
      <c r="DS173" s="9">
        <v>57.97</v>
      </c>
      <c r="DT173" s="9">
        <v>8.64</v>
      </c>
      <c r="DU173" s="9">
        <v>208.7</v>
      </c>
      <c r="DV173" s="9">
        <v>103.34</v>
      </c>
      <c r="DW173" s="9">
        <v>78.37</v>
      </c>
      <c r="DX173" s="9">
        <v>123.26</v>
      </c>
      <c r="DY173" s="9">
        <v>66.48</v>
      </c>
      <c r="DZ173" s="9">
        <v>38.89</v>
      </c>
      <c r="EA173" s="9">
        <v>-276.97399999999999</v>
      </c>
      <c r="EB173" s="9">
        <v>-106.431</v>
      </c>
      <c r="EC173" s="9">
        <v>-114.596</v>
      </c>
      <c r="ED173" s="9">
        <v>-84.456000000000003</v>
      </c>
      <c r="EE173" s="9">
        <v>28.5093</v>
      </c>
      <c r="EF173" s="9">
        <v>11.770289999999999</v>
      </c>
      <c r="EG173" s="9">
        <v>-41.642499999999998</v>
      </c>
      <c r="EH173" s="9">
        <v>-39.237000000000002</v>
      </c>
      <c r="EI173" s="9">
        <v>-17.997</v>
      </c>
      <c r="EJ173" s="9">
        <v>9.0600000000000003E-3</v>
      </c>
      <c r="EK173" s="9">
        <v>15.58243</v>
      </c>
      <c r="EL173" s="9">
        <v>111.98860000000001</v>
      </c>
      <c r="EM173" s="9">
        <v>-111.57299999999999</v>
      </c>
      <c r="EN173" s="9">
        <v>1821.7</v>
      </c>
      <c r="EO173" s="9"/>
      <c r="EP173" s="9"/>
      <c r="EQ173" s="9"/>
      <c r="ER173" s="9"/>
      <c r="ES173" s="9"/>
      <c r="ET173" s="9"/>
      <c r="EU173">
        <v>1784.1127272727001</v>
      </c>
      <c r="EV173" s="9"/>
      <c r="EW173" s="9"/>
      <c r="EX173" s="9"/>
      <c r="EY173" s="9"/>
      <c r="EZ173" s="9"/>
      <c r="FA173" s="9"/>
      <c r="FB173" s="9">
        <v>78.520714285699995</v>
      </c>
      <c r="FC173" s="9">
        <v>107.87545454550001</v>
      </c>
      <c r="FD173" s="9">
        <v>6673.5625</v>
      </c>
      <c r="FE173" s="9">
        <v>114.580952381</v>
      </c>
      <c r="FF173" s="9">
        <v>1299</v>
      </c>
      <c r="FG173">
        <v>11692502.27</v>
      </c>
      <c r="FH173">
        <v>11689209.309999999</v>
      </c>
      <c r="FI173">
        <v>3292.96</v>
      </c>
      <c r="FJ173" s="9">
        <v>11345326.539999997</v>
      </c>
      <c r="FK173">
        <v>7560863.5300000003</v>
      </c>
      <c r="FL173" s="9">
        <v>3784463.01</v>
      </c>
      <c r="FM173" s="9">
        <v>21213291.149999999</v>
      </c>
      <c r="FN173" s="9">
        <v>1600981.97</v>
      </c>
      <c r="FO173">
        <v>1796.19</v>
      </c>
      <c r="FP173">
        <v>0.01</v>
      </c>
      <c r="FQ173">
        <v>102.43</v>
      </c>
      <c r="FR173">
        <v>671.54</v>
      </c>
      <c r="FS173">
        <v>12.02</v>
      </c>
      <c r="FT173">
        <v>1616.75</v>
      </c>
      <c r="FU173">
        <v>577.4</v>
      </c>
      <c r="FV173">
        <v>54.05</v>
      </c>
      <c r="FW173">
        <v>33161.040000000001</v>
      </c>
      <c r="FX173">
        <v>1155.45</v>
      </c>
      <c r="HB173" s="6"/>
      <c r="HC173" s="6"/>
      <c r="HD173" s="6"/>
    </row>
    <row r="174" spans="1:212" x14ac:dyDescent="0.2">
      <c r="A174" s="8" t="s">
        <v>857</v>
      </c>
      <c r="B174" s="8" t="s">
        <v>399</v>
      </c>
      <c r="C174" s="8" t="s">
        <v>401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>
        <v>504368.6</v>
      </c>
      <c r="BO174" s="9">
        <v>437019.8</v>
      </c>
      <c r="BP174" s="9">
        <v>78862.2</v>
      </c>
      <c r="BQ174" s="9">
        <v>49448.6</v>
      </c>
      <c r="BR174" s="9">
        <v>38015.800000000003</v>
      </c>
      <c r="BS174" s="9">
        <v>75461.2</v>
      </c>
      <c r="BT174" s="9">
        <v>102793.2</v>
      </c>
      <c r="BU174" s="9">
        <v>41236.800000000003</v>
      </c>
      <c r="BV174" s="9">
        <v>64665.3</v>
      </c>
      <c r="BW174" s="9">
        <v>412951.7</v>
      </c>
      <c r="BX174" s="9">
        <v>362.9</v>
      </c>
      <c r="BY174" s="9">
        <v>53492.2</v>
      </c>
      <c r="BZ174" s="9">
        <v>127126.2</v>
      </c>
      <c r="CA174" s="9">
        <v>11639.6</v>
      </c>
      <c r="CB174" s="9">
        <v>-10046</v>
      </c>
      <c r="CC174" s="9">
        <v>162229.6</v>
      </c>
      <c r="CD174" s="9">
        <v>30303.7</v>
      </c>
      <c r="CE174" s="9">
        <v>89649.600000000006</v>
      </c>
      <c r="CF174" s="9">
        <v>1826301.2650926027</v>
      </c>
      <c r="CG174" s="9">
        <v>10238368.343794361</v>
      </c>
      <c r="CH174" s="9"/>
      <c r="CI174" s="9"/>
      <c r="CJ174" s="9">
        <v>19.100000000000001</v>
      </c>
      <c r="CK174" s="9">
        <v>12.1</v>
      </c>
      <c r="CL174" s="9">
        <v>10.5</v>
      </c>
      <c r="CM174" s="9">
        <v>93.477069457799999</v>
      </c>
      <c r="CN174" s="9">
        <v>29.632679785499999</v>
      </c>
      <c r="CO174" s="9">
        <v>3.7660164188</v>
      </c>
      <c r="CP174" s="9">
        <v>16.510736224799999</v>
      </c>
      <c r="CQ174" s="9">
        <v>10.536239485899999</v>
      </c>
      <c r="CR174" s="9">
        <v>4.2897139415999996</v>
      </c>
      <c r="CS174" s="9">
        <v>2.9330482930000001</v>
      </c>
      <c r="CT174" s="9">
        <v>10.004333171100001</v>
      </c>
      <c r="CU174" s="9">
        <v>2.7563108627999999</v>
      </c>
      <c r="CV174" s="9">
        <v>1.906585534</v>
      </c>
      <c r="CW174" s="9">
        <v>4.8265760442000003</v>
      </c>
      <c r="CX174" s="9">
        <v>2.6707351963999999</v>
      </c>
      <c r="CY174" s="9">
        <v>3.6440944998</v>
      </c>
      <c r="CZ174" s="9">
        <v>507</v>
      </c>
      <c r="DA174" s="9">
        <v>388</v>
      </c>
      <c r="DB174" s="9">
        <v>0</v>
      </c>
      <c r="DC174" s="9">
        <v>198</v>
      </c>
      <c r="DD174" s="9">
        <v>29</v>
      </c>
      <c r="DE174" s="9">
        <v>9</v>
      </c>
      <c r="DF174" s="9">
        <v>88</v>
      </c>
      <c r="DG174" s="9">
        <v>54</v>
      </c>
      <c r="DH174" s="9">
        <v>84</v>
      </c>
      <c r="DI174" s="9">
        <v>0</v>
      </c>
      <c r="DJ174" s="9">
        <v>1</v>
      </c>
      <c r="DK174" s="9">
        <v>81</v>
      </c>
      <c r="DL174" s="9">
        <v>1</v>
      </c>
      <c r="DM174" s="9">
        <v>34</v>
      </c>
      <c r="DN174" s="9">
        <v>0</v>
      </c>
      <c r="DO174" s="9">
        <v>576.42999999999995</v>
      </c>
      <c r="DP174" s="9">
        <v>130.03</v>
      </c>
      <c r="DQ174" s="9">
        <v>69.48</v>
      </c>
      <c r="DR174" s="9">
        <v>60.55</v>
      </c>
      <c r="DS174" s="9">
        <v>58.1</v>
      </c>
      <c r="DT174" s="9">
        <v>13.39</v>
      </c>
      <c r="DU174" s="9">
        <v>302.14999999999998</v>
      </c>
      <c r="DV174" s="9">
        <v>198.28</v>
      </c>
      <c r="DW174" s="9">
        <v>78.48</v>
      </c>
      <c r="DX174" s="9">
        <v>85.9</v>
      </c>
      <c r="DY174" s="9">
        <v>51.55</v>
      </c>
      <c r="DZ174" s="9">
        <v>17.059999999999999</v>
      </c>
      <c r="EA174" s="9">
        <v>-279.07799999999997</v>
      </c>
      <c r="EB174" s="9">
        <v>-98.559100000000001</v>
      </c>
      <c r="EC174" s="9">
        <v>-115.61</v>
      </c>
      <c r="ED174" s="9">
        <v>-78.786299999999997</v>
      </c>
      <c r="EE174" s="9">
        <v>13.87693</v>
      </c>
      <c r="EF174" s="9">
        <v>13.452120000000001</v>
      </c>
      <c r="EG174" s="9">
        <v>98.106269999999995</v>
      </c>
      <c r="EH174" s="9">
        <v>0.68862599999999996</v>
      </c>
      <c r="EI174" s="9">
        <v>-2.7313999999999998</v>
      </c>
      <c r="EJ174" s="9">
        <v>4.9630000000000004E-3</v>
      </c>
      <c r="EK174" s="9">
        <v>100.14409999999999</v>
      </c>
      <c r="EL174" s="9">
        <v>137.14959999999999</v>
      </c>
      <c r="EM174" s="9">
        <v>-226.583</v>
      </c>
      <c r="EN174" s="9">
        <v>1604.5</v>
      </c>
      <c r="EO174" s="9"/>
      <c r="EP174" s="9"/>
      <c r="EQ174" s="9"/>
      <c r="ER174" s="9"/>
      <c r="ES174" s="9"/>
      <c r="ET174" s="9"/>
      <c r="EU174">
        <v>1813.0822727273001</v>
      </c>
      <c r="EV174" s="9"/>
      <c r="EW174" s="9"/>
      <c r="EX174" s="9"/>
      <c r="EY174" s="9"/>
      <c r="EZ174" s="9"/>
      <c r="FA174" s="9"/>
      <c r="FB174" s="9">
        <v>78.834642857099993</v>
      </c>
      <c r="FC174" s="9">
        <v>109.67590909090001</v>
      </c>
      <c r="FD174" s="9">
        <v>6891.125</v>
      </c>
      <c r="FE174" s="9">
        <v>100.56</v>
      </c>
      <c r="FF174" s="9">
        <v>1287.5250000000001</v>
      </c>
      <c r="FG174">
        <v>12008113.390000001</v>
      </c>
      <c r="FH174">
        <v>12004820.43</v>
      </c>
      <c r="FI174">
        <v>3292.96</v>
      </c>
      <c r="FJ174" s="9">
        <v>11384415.34</v>
      </c>
      <c r="FK174">
        <v>7680175.9400000004</v>
      </c>
      <c r="FL174" s="9">
        <v>3704239.4</v>
      </c>
      <c r="FM174" s="9">
        <v>21159590.77</v>
      </c>
      <c r="FN174" s="9">
        <v>1621469.49</v>
      </c>
      <c r="FO174">
        <v>1818.65</v>
      </c>
      <c r="FP174">
        <v>0</v>
      </c>
      <c r="FQ174">
        <v>123.08</v>
      </c>
      <c r="FR174">
        <v>359.05</v>
      </c>
      <c r="FS174">
        <v>9.01</v>
      </c>
      <c r="FT174">
        <v>2038.49</v>
      </c>
      <c r="FU174">
        <v>529.96</v>
      </c>
      <c r="FV174">
        <v>32</v>
      </c>
      <c r="FW174">
        <v>10571.79</v>
      </c>
      <c r="FX174">
        <v>1455.56</v>
      </c>
      <c r="HB174" s="6"/>
      <c r="HC174" s="6"/>
      <c r="HD174" s="6"/>
    </row>
    <row r="175" spans="1:212" x14ac:dyDescent="0.2">
      <c r="A175" s="8" t="s">
        <v>857</v>
      </c>
      <c r="B175" s="8" t="s">
        <v>399</v>
      </c>
      <c r="C175" s="8" t="s">
        <v>402</v>
      </c>
      <c r="D175" s="9">
        <v>5970325.2999999998</v>
      </c>
      <c r="E175" s="9">
        <v>1343042.9</v>
      </c>
      <c r="F175" s="9">
        <v>809090.2</v>
      </c>
      <c r="G175" s="9">
        <v>457749</v>
      </c>
      <c r="H175" s="9">
        <v>79461.3</v>
      </c>
      <c r="I175" s="9">
        <v>244737.1</v>
      </c>
      <c r="J175" s="9">
        <v>470434.3</v>
      </c>
      <c r="K175" s="9">
        <v>299202.40000000002</v>
      </c>
      <c r="L175" s="9">
        <v>107018.4</v>
      </c>
      <c r="M175" s="9">
        <v>1577312.7</v>
      </c>
      <c r="N175" s="9">
        <v>582276.9</v>
      </c>
      <c r="O175" s="9">
        <v>6006730.4573241957</v>
      </c>
      <c r="P175" s="9">
        <v>1322715.2058799581</v>
      </c>
      <c r="Q175" s="9">
        <v>806577.91466097103</v>
      </c>
      <c r="R175" s="9">
        <v>368279.81329506001</v>
      </c>
      <c r="S175" s="9">
        <v>104457.1066533416</v>
      </c>
      <c r="T175" s="9">
        <v>228387.2271385949</v>
      </c>
      <c r="U175" s="9">
        <v>537562.54121137212</v>
      </c>
      <c r="V175" s="9">
        <v>309579.42728288512</v>
      </c>
      <c r="W175" s="9">
        <v>106713.75480713219</v>
      </c>
      <c r="X175" s="9">
        <v>1541194.123687776</v>
      </c>
      <c r="Y175" s="9">
        <v>681263.34270710556</v>
      </c>
      <c r="Z175" s="9">
        <v>5843536.0999999996</v>
      </c>
      <c r="AA175" s="9">
        <v>3641702.7</v>
      </c>
      <c r="AB175" s="9">
        <v>765939.6</v>
      </c>
      <c r="AC175" s="9">
        <v>1565151.5</v>
      </c>
      <c r="AD175" s="9">
        <v>600944.6</v>
      </c>
      <c r="AE175" s="9">
        <v>2956004.1</v>
      </c>
      <c r="AF175" s="9">
        <v>3686206.4</v>
      </c>
      <c r="AG175" s="9">
        <v>5870113.8713889904</v>
      </c>
      <c r="AH175" s="9">
        <v>3711957.493694765</v>
      </c>
      <c r="AI175" s="9">
        <v>926060.44047684758</v>
      </c>
      <c r="AJ175" s="9">
        <v>1453141.502741165</v>
      </c>
      <c r="AK175" s="9">
        <v>605462.20319142938</v>
      </c>
      <c r="AL175" s="9">
        <v>2517811.3878971911</v>
      </c>
      <c r="AM175" s="9">
        <v>3344319.1566124079</v>
      </c>
      <c r="AN175" s="9">
        <v>1102786</v>
      </c>
      <c r="AO175" s="9">
        <v>583427</v>
      </c>
      <c r="AP175" s="9">
        <v>519359</v>
      </c>
      <c r="AQ175" s="9">
        <v>101434</v>
      </c>
      <c r="AR175" s="9">
        <v>57968</v>
      </c>
      <c r="AS175" s="9">
        <v>43466</v>
      </c>
      <c r="AT175" s="9">
        <v>704475</v>
      </c>
      <c r="AU175" s="9">
        <v>285789</v>
      </c>
      <c r="AV175" s="9">
        <v>418686</v>
      </c>
      <c r="AW175" s="9">
        <v>786.7</v>
      </c>
      <c r="AX175" s="9">
        <v>749.8</v>
      </c>
      <c r="AY175" s="9">
        <v>1544</v>
      </c>
      <c r="AZ175" s="9">
        <v>733.6</v>
      </c>
      <c r="BA175" s="9">
        <v>1028.0999999999999</v>
      </c>
      <c r="BB175" s="9">
        <v>580.70000000000005</v>
      </c>
      <c r="BC175" s="9">
        <v>615.9</v>
      </c>
      <c r="BD175" s="9">
        <v>699.4</v>
      </c>
      <c r="BE175" s="9">
        <v>930.9</v>
      </c>
      <c r="BF175" s="9">
        <v>532.5</v>
      </c>
      <c r="BG175" s="9">
        <v>765.8</v>
      </c>
      <c r="BH175" s="9">
        <v>1007</v>
      </c>
      <c r="BI175" s="9">
        <v>692.4</v>
      </c>
      <c r="BJ175" s="9">
        <v>796.5</v>
      </c>
      <c r="BK175" s="9">
        <v>713.5</v>
      </c>
      <c r="BL175" s="9">
        <v>554.29999999999995</v>
      </c>
      <c r="BM175" s="9">
        <v>575.4</v>
      </c>
      <c r="BN175" s="9">
        <v>555759.6</v>
      </c>
      <c r="BO175" s="9">
        <v>445498.5</v>
      </c>
      <c r="BP175" s="9">
        <v>71961.3</v>
      </c>
      <c r="BQ175" s="9">
        <v>26427.9</v>
      </c>
      <c r="BR175" s="9">
        <v>46799.3</v>
      </c>
      <c r="BS175" s="9">
        <v>93718.3</v>
      </c>
      <c r="BT175" s="9">
        <v>117440.9</v>
      </c>
      <c r="BU175" s="9">
        <v>43338.6</v>
      </c>
      <c r="BV175" s="9">
        <v>106339.7</v>
      </c>
      <c r="BW175" s="9">
        <v>561729.4</v>
      </c>
      <c r="BX175" s="9">
        <v>3619.8</v>
      </c>
      <c r="BY175" s="9">
        <v>53257.5</v>
      </c>
      <c r="BZ175" s="9">
        <v>179971.7</v>
      </c>
      <c r="CA175" s="9">
        <v>84276.7</v>
      </c>
      <c r="CB175" s="9">
        <v>35984.699999999997</v>
      </c>
      <c r="CC175" s="9">
        <v>194362.5</v>
      </c>
      <c r="CD175" s="9">
        <v>60460.5</v>
      </c>
      <c r="CE175" s="9">
        <v>120179.6</v>
      </c>
      <c r="CF175" s="9">
        <v>1862125.694781804</v>
      </c>
      <c r="CG175" s="9">
        <v>10104895.525706699</v>
      </c>
      <c r="CH175" s="9"/>
      <c r="CI175" s="9"/>
      <c r="CJ175" s="9">
        <v>18.8</v>
      </c>
      <c r="CK175" s="9">
        <v>12.4</v>
      </c>
      <c r="CL175" s="9">
        <v>10.5</v>
      </c>
      <c r="CM175" s="9">
        <v>93.963568900599995</v>
      </c>
      <c r="CN175" s="9">
        <v>29.844291769800002</v>
      </c>
      <c r="CO175" s="9">
        <v>3.7716630014999999</v>
      </c>
      <c r="CP175" s="9">
        <v>16.681118983299999</v>
      </c>
      <c r="CQ175" s="9">
        <v>10.407682014200001</v>
      </c>
      <c r="CR175" s="9">
        <v>4.3182571891999997</v>
      </c>
      <c r="CS175" s="9">
        <v>3.0146927392</v>
      </c>
      <c r="CT175" s="9">
        <v>10.0634666381</v>
      </c>
      <c r="CU175" s="9">
        <v>2.7585354363999999</v>
      </c>
      <c r="CV175" s="9">
        <v>1.9151424953</v>
      </c>
      <c r="CW175" s="9">
        <v>4.8265760442000003</v>
      </c>
      <c r="CX175" s="9">
        <v>2.6748714082</v>
      </c>
      <c r="CY175" s="9">
        <v>3.6872711812999999</v>
      </c>
      <c r="CZ175" s="9">
        <v>545</v>
      </c>
      <c r="DA175" s="9">
        <v>480</v>
      </c>
      <c r="DB175" s="9">
        <v>0</v>
      </c>
      <c r="DC175" s="9">
        <v>258</v>
      </c>
      <c r="DD175" s="9">
        <v>53</v>
      </c>
      <c r="DE175" s="9">
        <v>12</v>
      </c>
      <c r="DF175" s="9">
        <v>90</v>
      </c>
      <c r="DG175" s="9">
        <v>59</v>
      </c>
      <c r="DH175" s="9">
        <v>57</v>
      </c>
      <c r="DI175" s="9">
        <v>0</v>
      </c>
      <c r="DJ175" s="9">
        <v>0</v>
      </c>
      <c r="DK175" s="9">
        <v>55</v>
      </c>
      <c r="DL175" s="9">
        <v>1</v>
      </c>
      <c r="DM175" s="9">
        <v>7</v>
      </c>
      <c r="DN175" s="9">
        <v>0</v>
      </c>
      <c r="DO175" s="9">
        <v>498.07</v>
      </c>
      <c r="DP175" s="9">
        <v>134.79</v>
      </c>
      <c r="DQ175" s="9">
        <v>70.41</v>
      </c>
      <c r="DR175" s="9">
        <v>64.38</v>
      </c>
      <c r="DS175" s="9">
        <v>56.7</v>
      </c>
      <c r="DT175" s="9">
        <v>9.6300000000000008</v>
      </c>
      <c r="DU175" s="9">
        <v>209.38</v>
      </c>
      <c r="DV175" s="9">
        <v>99.18</v>
      </c>
      <c r="DW175" s="9">
        <v>91.95</v>
      </c>
      <c r="DX175" s="9">
        <v>97.02</v>
      </c>
      <c r="DY175" s="9">
        <v>63.82</v>
      </c>
      <c r="DZ175" s="9">
        <v>19.920000000000002</v>
      </c>
      <c r="EA175" s="9">
        <v>-163.30699999999999</v>
      </c>
      <c r="EB175" s="9">
        <v>11.869160000000001</v>
      </c>
      <c r="EC175" s="9">
        <v>-93.567300000000003</v>
      </c>
      <c r="ED175" s="9">
        <v>-90.690100000000001</v>
      </c>
      <c r="EE175" s="9">
        <v>9.0809099999999994</v>
      </c>
      <c r="EF175" s="9">
        <v>7.5340129999999998</v>
      </c>
      <c r="EG175" s="9">
        <v>108.753</v>
      </c>
      <c r="EH175" s="9">
        <v>-12.738799999999999</v>
      </c>
      <c r="EI175" s="9">
        <v>11.114470000000001</v>
      </c>
      <c r="EJ175" s="9">
        <v>0.14049400000000001</v>
      </c>
      <c r="EK175" s="9">
        <v>110.2368</v>
      </c>
      <c r="EL175" s="9">
        <v>-4.6369300000000004</v>
      </c>
      <c r="EM175" s="9">
        <v>-269.16300000000001</v>
      </c>
      <c r="EN175" s="9">
        <v>1317.5</v>
      </c>
      <c r="EO175" s="9"/>
      <c r="EP175" s="9"/>
      <c r="EQ175" s="9"/>
      <c r="ER175" s="9"/>
      <c r="ES175" s="9"/>
      <c r="ET175" s="9"/>
      <c r="EU175">
        <v>1824.6352380952001</v>
      </c>
      <c r="EV175" s="9">
        <v>20914.37</v>
      </c>
      <c r="EW175" s="9">
        <v>3611.88</v>
      </c>
      <c r="EX175" s="9">
        <v>1058.07</v>
      </c>
      <c r="EY175" s="9">
        <v>1551.38</v>
      </c>
      <c r="EZ175" s="9">
        <v>3682.67</v>
      </c>
      <c r="FA175" s="9">
        <v>11010.37</v>
      </c>
      <c r="FB175" s="9">
        <v>77.348469387799994</v>
      </c>
      <c r="FC175" s="9">
        <v>111.86857142860001</v>
      </c>
      <c r="FD175" s="9">
        <v>6821.1428571428996</v>
      </c>
      <c r="FE175" s="9">
        <v>92.852380952399997</v>
      </c>
      <c r="FF175" s="9">
        <v>1279.0952380952001</v>
      </c>
      <c r="FG175">
        <v>12249417.360000001</v>
      </c>
      <c r="FH175">
        <v>12241976.4</v>
      </c>
      <c r="FI175">
        <v>7440.96</v>
      </c>
      <c r="FJ175" s="9">
        <v>11289385.310000001</v>
      </c>
      <c r="FK175">
        <v>7616338.6399999997</v>
      </c>
      <c r="FL175" s="9">
        <v>3673046.67</v>
      </c>
      <c r="FM175" s="9">
        <v>21419492.41</v>
      </c>
      <c r="FN175" s="9">
        <v>1793894.73</v>
      </c>
      <c r="FO175">
        <v>1825.74</v>
      </c>
      <c r="FP175">
        <v>0</v>
      </c>
      <c r="FQ175">
        <v>143.85</v>
      </c>
      <c r="FR175">
        <v>654.87</v>
      </c>
      <c r="FS175">
        <v>9.43</v>
      </c>
      <c r="FT175">
        <v>1955.93</v>
      </c>
      <c r="FU175">
        <v>568.69000000000005</v>
      </c>
      <c r="FV175">
        <v>0.5</v>
      </c>
      <c r="FW175">
        <v>3039.4</v>
      </c>
      <c r="FX175">
        <v>912.85</v>
      </c>
      <c r="HB175" s="6"/>
      <c r="HC175" s="6"/>
      <c r="HD175" s="6"/>
    </row>
    <row r="176" spans="1:212" x14ac:dyDescent="0.2">
      <c r="A176" s="8" t="s">
        <v>857</v>
      </c>
      <c r="B176" s="8" t="s">
        <v>403</v>
      </c>
      <c r="C176" s="8" t="s">
        <v>404</v>
      </c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>
        <v>578420.80000000005</v>
      </c>
      <c r="BO176" s="9">
        <v>495155.5</v>
      </c>
      <c r="BP176" s="9">
        <v>96092</v>
      </c>
      <c r="BQ176" s="9">
        <v>61594.7</v>
      </c>
      <c r="BR176" s="9">
        <v>39820.1</v>
      </c>
      <c r="BS176" s="9">
        <v>72117.100000000006</v>
      </c>
      <c r="BT176" s="9">
        <v>136365.20000000001</v>
      </c>
      <c r="BU176" s="9">
        <v>43480.5</v>
      </c>
      <c r="BV176" s="9">
        <v>80677.8</v>
      </c>
      <c r="BW176" s="9">
        <v>347858.9</v>
      </c>
      <c r="BX176" s="9">
        <v>-2330</v>
      </c>
      <c r="BY176" s="9">
        <v>46358.3</v>
      </c>
      <c r="BZ176" s="9">
        <v>102406.5</v>
      </c>
      <c r="CA176" s="9">
        <v>29860.3</v>
      </c>
      <c r="CB176" s="9">
        <v>6952.8</v>
      </c>
      <c r="CC176" s="9">
        <v>139560.29999999999</v>
      </c>
      <c r="CD176" s="9">
        <v>16111.9</v>
      </c>
      <c r="CE176" s="9">
        <v>150607.5</v>
      </c>
      <c r="CF176" s="9">
        <v>1698457.1835208987</v>
      </c>
      <c r="CG176" s="9">
        <v>10076029.27987165</v>
      </c>
      <c r="CH176" s="9"/>
      <c r="CI176" s="9"/>
      <c r="CJ176" s="9">
        <v>19.2</v>
      </c>
      <c r="CK176" s="9">
        <v>13.3</v>
      </c>
      <c r="CL176" s="9">
        <v>12</v>
      </c>
      <c r="CM176" s="9">
        <v>94.381862391400006</v>
      </c>
      <c r="CN176" s="9">
        <v>29.569619337399999</v>
      </c>
      <c r="CO176" s="9">
        <v>3.8048828534000001</v>
      </c>
      <c r="CP176" s="9">
        <v>16.7574486834</v>
      </c>
      <c r="CQ176" s="9">
        <v>10.6711427942</v>
      </c>
      <c r="CR176" s="9">
        <v>4.3674022196999998</v>
      </c>
      <c r="CS176" s="9">
        <v>3.0411237576999999</v>
      </c>
      <c r="CT176" s="9">
        <v>10.264976649899999</v>
      </c>
      <c r="CU176" s="9">
        <v>2.7551833791</v>
      </c>
      <c r="CV176" s="9">
        <v>1.9163340203000001</v>
      </c>
      <c r="CW176" s="9">
        <v>4.8265760442000003</v>
      </c>
      <c r="CX176" s="9">
        <v>2.6884057703000002</v>
      </c>
      <c r="CY176" s="9">
        <v>3.7187668817000001</v>
      </c>
      <c r="CZ176" s="9">
        <v>461</v>
      </c>
      <c r="DA176" s="9">
        <v>412</v>
      </c>
      <c r="DB176" s="9">
        <v>42</v>
      </c>
      <c r="DC176" s="9">
        <v>200</v>
      </c>
      <c r="DD176" s="9">
        <v>31</v>
      </c>
      <c r="DE176" s="9">
        <v>9</v>
      </c>
      <c r="DF176" s="9">
        <v>52</v>
      </c>
      <c r="DG176" s="9">
        <v>60</v>
      </c>
      <c r="DH176" s="9">
        <v>32</v>
      </c>
      <c r="DI176" s="9">
        <v>0</v>
      </c>
      <c r="DJ176" s="9">
        <v>1</v>
      </c>
      <c r="DK176" s="9">
        <v>30</v>
      </c>
      <c r="DL176" s="9">
        <v>1</v>
      </c>
      <c r="DM176" s="9">
        <v>15</v>
      </c>
      <c r="DN176" s="9">
        <v>0</v>
      </c>
      <c r="DO176" s="9">
        <v>525.04</v>
      </c>
      <c r="DP176" s="9">
        <v>130.31</v>
      </c>
      <c r="DQ176" s="9">
        <v>68.709999999999994</v>
      </c>
      <c r="DR176" s="9">
        <v>61.6</v>
      </c>
      <c r="DS176" s="9">
        <v>57.11</v>
      </c>
      <c r="DT176" s="9">
        <v>12.21</v>
      </c>
      <c r="DU176" s="9">
        <v>224.36</v>
      </c>
      <c r="DV176" s="9">
        <v>93.96</v>
      </c>
      <c r="DW176" s="9">
        <v>95.46</v>
      </c>
      <c r="DX176" s="9">
        <v>112.69</v>
      </c>
      <c r="DY176" s="9">
        <v>66.83</v>
      </c>
      <c r="DZ176" s="9">
        <v>25.28</v>
      </c>
      <c r="EA176" s="9">
        <v>-239.273</v>
      </c>
      <c r="EB176" s="9">
        <v>-83.998099999999994</v>
      </c>
      <c r="EC176" s="9">
        <v>-69.4636</v>
      </c>
      <c r="ED176" s="9">
        <v>-89.692300000000003</v>
      </c>
      <c r="EE176" s="9">
        <v>3.8812509999999998</v>
      </c>
      <c r="EF176" s="9">
        <v>15.671099999999999</v>
      </c>
      <c r="EG176" s="9">
        <v>-278.67700000000002</v>
      </c>
      <c r="EH176" s="9">
        <v>-55.483899999999998</v>
      </c>
      <c r="EI176" s="9">
        <v>6.6057740000000003</v>
      </c>
      <c r="EJ176" s="9">
        <v>-0.13058</v>
      </c>
      <c r="EK176" s="9">
        <v>-229.66800000000001</v>
      </c>
      <c r="EL176" s="9">
        <v>-75.130099999999999</v>
      </c>
      <c r="EM176" s="9">
        <v>-20.0548</v>
      </c>
      <c r="EN176" s="9">
        <v>1349.3</v>
      </c>
      <c r="EO176" s="9"/>
      <c r="EP176" s="9"/>
      <c r="EQ176" s="9"/>
      <c r="ER176" s="9"/>
      <c r="ES176" s="9"/>
      <c r="ET176" s="9"/>
      <c r="EU176">
        <v>1844.066</v>
      </c>
      <c r="EV176" s="9"/>
      <c r="EW176" s="9"/>
      <c r="EX176" s="9"/>
      <c r="EY176" s="9"/>
      <c r="EZ176" s="9"/>
      <c r="FA176" s="9"/>
      <c r="FB176" s="9">
        <v>74.038043478299997</v>
      </c>
      <c r="FC176" s="9">
        <v>106.9830434783</v>
      </c>
      <c r="FD176" s="9">
        <v>7113.3804347825999</v>
      </c>
      <c r="FE176" s="9">
        <v>96.260869565199997</v>
      </c>
      <c r="FF176" s="9">
        <v>1310.9673913044001</v>
      </c>
      <c r="FG176">
        <v>12172777.329999998</v>
      </c>
      <c r="FH176">
        <v>12165328.309999999</v>
      </c>
      <c r="FI176">
        <v>7449.02</v>
      </c>
      <c r="FJ176" s="9">
        <v>11367479.359999999</v>
      </c>
      <c r="FK176">
        <v>7748382.21</v>
      </c>
      <c r="FL176" s="9">
        <v>3619097.15</v>
      </c>
      <c r="FM176" s="9">
        <v>20969192.030000001</v>
      </c>
      <c r="FN176" s="9">
        <v>1858608.61</v>
      </c>
      <c r="FO176">
        <v>1870.92</v>
      </c>
      <c r="FP176">
        <v>995.3</v>
      </c>
      <c r="FQ176">
        <v>120.47</v>
      </c>
      <c r="FR176">
        <v>474.15</v>
      </c>
      <c r="FS176">
        <v>7.81</v>
      </c>
      <c r="FT176">
        <v>1032.33</v>
      </c>
      <c r="FU176">
        <v>587.22</v>
      </c>
      <c r="FV176">
        <v>0.3</v>
      </c>
      <c r="FW176">
        <v>10644.95</v>
      </c>
      <c r="FX176">
        <v>481.85</v>
      </c>
      <c r="HB176" s="6"/>
      <c r="HC176" s="6"/>
      <c r="HD176" s="6"/>
    </row>
    <row r="177" spans="1:212" x14ac:dyDescent="0.2">
      <c r="A177" s="8" t="s">
        <v>857</v>
      </c>
      <c r="B177" s="8" t="s">
        <v>403</v>
      </c>
      <c r="C177" s="8" t="s">
        <v>405</v>
      </c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>
        <v>513860.8</v>
      </c>
      <c r="BO177" s="9">
        <v>416028.4</v>
      </c>
      <c r="BP177" s="9">
        <v>52292.1</v>
      </c>
      <c r="BQ177" s="9">
        <v>19201.599999999999</v>
      </c>
      <c r="BR177" s="9">
        <v>33872.400000000001</v>
      </c>
      <c r="BS177" s="9">
        <v>74160.399999999994</v>
      </c>
      <c r="BT177" s="9">
        <v>110888.5</v>
      </c>
      <c r="BU177" s="9">
        <v>36234.699999999997</v>
      </c>
      <c r="BV177" s="9">
        <v>76776.2</v>
      </c>
      <c r="BW177" s="9">
        <v>317030.59999999998</v>
      </c>
      <c r="BX177" s="9">
        <v>-4176.3999999999996</v>
      </c>
      <c r="BY177" s="9">
        <v>38456.6</v>
      </c>
      <c r="BZ177" s="9">
        <v>96600.2</v>
      </c>
      <c r="CA177" s="9">
        <v>9792.9</v>
      </c>
      <c r="CB177" s="9">
        <v>8704.4</v>
      </c>
      <c r="CC177" s="9">
        <v>138278.39999999999</v>
      </c>
      <c r="CD177" s="9">
        <v>9338.9</v>
      </c>
      <c r="CE177" s="9">
        <v>172039.1</v>
      </c>
      <c r="CF177" s="9">
        <v>1874665.4754646311</v>
      </c>
      <c r="CG177" s="9">
        <v>10133834.491924159</v>
      </c>
      <c r="CH177" s="9"/>
      <c r="CI177" s="9"/>
      <c r="CJ177" s="9">
        <v>19.5585278221</v>
      </c>
      <c r="CK177" s="9">
        <v>13.5</v>
      </c>
      <c r="CL177" s="9">
        <v>12</v>
      </c>
      <c r="CM177" s="9">
        <v>94.779871528499996</v>
      </c>
      <c r="CN177" s="9">
        <v>28.5123430748</v>
      </c>
      <c r="CO177" s="9">
        <v>3.8194939975</v>
      </c>
      <c r="CP177" s="9">
        <v>17.021390007099999</v>
      </c>
      <c r="CQ177" s="9">
        <v>10.834860019900001</v>
      </c>
      <c r="CR177" s="9">
        <v>4.4219158046000002</v>
      </c>
      <c r="CS177" s="9">
        <v>3.0477149763</v>
      </c>
      <c r="CT177" s="9">
        <v>10.2831550373</v>
      </c>
      <c r="CU177" s="9">
        <v>2.7555858677999998</v>
      </c>
      <c r="CV177" s="9">
        <v>1.9973017903000001</v>
      </c>
      <c r="CW177" s="9">
        <v>5.6362653512999996</v>
      </c>
      <c r="CX177" s="9">
        <v>2.6946900829999998</v>
      </c>
      <c r="CY177" s="9">
        <v>3.7551555186000001</v>
      </c>
      <c r="CZ177" s="9">
        <v>632</v>
      </c>
      <c r="DA177" s="9">
        <v>592</v>
      </c>
      <c r="DB177" s="9">
        <v>82</v>
      </c>
      <c r="DC177" s="9">
        <v>264</v>
      </c>
      <c r="DD177" s="9">
        <v>50</v>
      </c>
      <c r="DE177" s="9">
        <v>19</v>
      </c>
      <c r="DF177" s="9">
        <v>85</v>
      </c>
      <c r="DG177" s="9">
        <v>63</v>
      </c>
      <c r="DH177" s="9">
        <v>18</v>
      </c>
      <c r="DI177" s="9">
        <v>0</v>
      </c>
      <c r="DJ177" s="9">
        <v>1</v>
      </c>
      <c r="DK177" s="9">
        <v>15</v>
      </c>
      <c r="DL177" s="9">
        <v>1</v>
      </c>
      <c r="DM177" s="9">
        <v>20</v>
      </c>
      <c r="DN177" s="9">
        <v>0</v>
      </c>
      <c r="DO177" s="9">
        <v>450.44</v>
      </c>
      <c r="DP177" s="9">
        <v>97.02</v>
      </c>
      <c r="DQ177" s="9">
        <v>55.55</v>
      </c>
      <c r="DR177" s="9">
        <v>41.47</v>
      </c>
      <c r="DS177" s="9">
        <v>48.52</v>
      </c>
      <c r="DT177" s="9">
        <v>11.86</v>
      </c>
      <c r="DU177" s="9">
        <v>203.47</v>
      </c>
      <c r="DV177" s="9">
        <v>88.56</v>
      </c>
      <c r="DW177" s="9">
        <v>96.75</v>
      </c>
      <c r="DX177" s="9">
        <v>100.84</v>
      </c>
      <c r="DY177" s="9">
        <v>53</v>
      </c>
      <c r="DZ177" s="9">
        <v>34.78</v>
      </c>
      <c r="EA177" s="9">
        <v>4.63537</v>
      </c>
      <c r="EB177" s="9">
        <v>140.56469999999999</v>
      </c>
      <c r="EC177" s="9">
        <v>-71.585800000000006</v>
      </c>
      <c r="ED177" s="9">
        <v>-82.969099999999997</v>
      </c>
      <c r="EE177" s="9">
        <v>18.625599999999999</v>
      </c>
      <c r="EF177" s="9">
        <v>11.288180000000001</v>
      </c>
      <c r="EG177" s="9">
        <v>-126.547</v>
      </c>
      <c r="EH177" s="9">
        <v>-52.438899999999997</v>
      </c>
      <c r="EI177" s="9">
        <v>-24.182500000000001</v>
      </c>
      <c r="EJ177" s="9">
        <v>2.0480000000000002E-2</v>
      </c>
      <c r="EK177" s="9">
        <v>-49.945999999999998</v>
      </c>
      <c r="EL177" s="9">
        <v>-127.575</v>
      </c>
      <c r="EM177" s="9">
        <v>14.895350000000001</v>
      </c>
      <c r="EN177" s="9">
        <v>1360.7</v>
      </c>
      <c r="EO177" s="9"/>
      <c r="EP177" s="9"/>
      <c r="EQ177" s="9"/>
      <c r="ER177" s="9"/>
      <c r="ES177" s="9"/>
      <c r="ET177" s="9"/>
      <c r="EU177">
        <v>1862.17</v>
      </c>
      <c r="EV177" s="9"/>
      <c r="EW177" s="9"/>
      <c r="EX177" s="9"/>
      <c r="EY177" s="9"/>
      <c r="EZ177" s="9"/>
      <c r="FA177" s="9"/>
      <c r="FB177" s="9">
        <v>74.248392857100001</v>
      </c>
      <c r="FC177" s="9">
        <v>101.9223809524</v>
      </c>
      <c r="FD177" s="9">
        <v>7001.8374999999996</v>
      </c>
      <c r="FE177" s="9">
        <v>94.142857142899999</v>
      </c>
      <c r="FF177" s="9">
        <v>1295.9875</v>
      </c>
      <c r="FG177">
        <v>12361733.510000002</v>
      </c>
      <c r="FH177">
        <v>12278012.460000001</v>
      </c>
      <c r="FI177">
        <v>83721.05</v>
      </c>
      <c r="FJ177" s="9">
        <v>11318413.520000001</v>
      </c>
      <c r="FK177">
        <v>7742161.1600000001</v>
      </c>
      <c r="FL177" s="9">
        <v>3576252.36</v>
      </c>
      <c r="FM177" s="9">
        <v>20752401.649999999</v>
      </c>
      <c r="FN177" s="9">
        <v>1856568.14</v>
      </c>
      <c r="FO177">
        <v>1811.03</v>
      </c>
      <c r="FP177">
        <v>1959.49</v>
      </c>
      <c r="FQ177">
        <v>140.33000000000001</v>
      </c>
      <c r="FR177">
        <v>689.15</v>
      </c>
      <c r="FS177">
        <v>15.42</v>
      </c>
      <c r="FT177">
        <v>1844.75</v>
      </c>
      <c r="FU177">
        <v>660.67</v>
      </c>
      <c r="FV177">
        <v>31.31</v>
      </c>
      <c r="FW177">
        <v>10564.34</v>
      </c>
      <c r="FX177">
        <v>231.82</v>
      </c>
      <c r="HB177" s="6"/>
      <c r="HC177" s="6"/>
      <c r="HD177" s="6"/>
    </row>
    <row r="178" spans="1:212" x14ac:dyDescent="0.2">
      <c r="A178" s="8" t="s">
        <v>857</v>
      </c>
      <c r="B178" s="8" t="s">
        <v>403</v>
      </c>
      <c r="C178" s="8" t="s">
        <v>406</v>
      </c>
      <c r="D178" s="9">
        <v>6366832.2999999998</v>
      </c>
      <c r="E178" s="9">
        <v>899316</v>
      </c>
      <c r="F178" s="9">
        <v>1144153.3</v>
      </c>
      <c r="G178" s="9">
        <v>605932</v>
      </c>
      <c r="H178" s="9">
        <v>77136.2</v>
      </c>
      <c r="I178" s="9">
        <v>430739.5</v>
      </c>
      <c r="J178" s="9">
        <v>675528.9</v>
      </c>
      <c r="K178" s="9">
        <v>291216.7</v>
      </c>
      <c r="L178" s="9">
        <v>160979.6</v>
      </c>
      <c r="M178" s="9">
        <v>1455251.9</v>
      </c>
      <c r="N178" s="9">
        <v>626578.30000000005</v>
      </c>
      <c r="O178" s="9">
        <v>6405655.2317317547</v>
      </c>
      <c r="P178" s="9">
        <v>885663.01029747596</v>
      </c>
      <c r="Q178" s="9">
        <v>1140547.373008427</v>
      </c>
      <c r="R178" s="9">
        <v>487476.99410454958</v>
      </c>
      <c r="S178" s="9">
        <v>101395.8761281741</v>
      </c>
      <c r="T178" s="9">
        <v>401944.81197182642</v>
      </c>
      <c r="U178" s="9">
        <v>771886.91387862468</v>
      </c>
      <c r="V178" s="9">
        <v>301302.69870742608</v>
      </c>
      <c r="W178" s="9">
        <v>160513.85202684329</v>
      </c>
      <c r="X178" s="9">
        <v>1421861.991401281</v>
      </c>
      <c r="Y178" s="9">
        <v>733061.71020712575</v>
      </c>
      <c r="Z178" s="9">
        <v>6164711.7999999998</v>
      </c>
      <c r="AA178" s="9">
        <v>3499946.7</v>
      </c>
      <c r="AB178" s="9">
        <v>598054.80000000005</v>
      </c>
      <c r="AC178" s="9">
        <v>1831284.3</v>
      </c>
      <c r="AD178" s="9">
        <v>408821.6</v>
      </c>
      <c r="AE178" s="9">
        <v>3251993.8</v>
      </c>
      <c r="AF178" s="9">
        <v>3425389.2</v>
      </c>
      <c r="AG178" s="9">
        <v>6192750.3537276667</v>
      </c>
      <c r="AH178" s="9">
        <v>3642669.5641362439</v>
      </c>
      <c r="AI178" s="9">
        <v>738321.69379367598</v>
      </c>
      <c r="AJ178" s="9">
        <v>1736069.6197755069</v>
      </c>
      <c r="AK178" s="9">
        <v>420577.73097825801</v>
      </c>
      <c r="AL178" s="9">
        <v>2828314.5683086561</v>
      </c>
      <c r="AM178" s="9">
        <v>3173202.8232646771</v>
      </c>
      <c r="AN178" s="9">
        <v>1148825</v>
      </c>
      <c r="AO178" s="9">
        <v>600852</v>
      </c>
      <c r="AP178" s="9">
        <v>547973</v>
      </c>
      <c r="AQ178" s="9">
        <v>78148</v>
      </c>
      <c r="AR178" s="9">
        <v>43534</v>
      </c>
      <c r="AS178" s="9">
        <v>34614</v>
      </c>
      <c r="AT178" s="9">
        <v>698317</v>
      </c>
      <c r="AU178" s="9">
        <v>277831</v>
      </c>
      <c r="AV178" s="9">
        <v>420486</v>
      </c>
      <c r="AW178" s="9">
        <v>792.8</v>
      </c>
      <c r="AX178" s="9">
        <v>760.7</v>
      </c>
      <c r="AY178" s="9">
        <v>1483</v>
      </c>
      <c r="AZ178" s="9">
        <v>770.3</v>
      </c>
      <c r="BA178" s="9">
        <v>1105.2</v>
      </c>
      <c r="BB178" s="9">
        <v>603.29999999999995</v>
      </c>
      <c r="BC178" s="9">
        <v>677</v>
      </c>
      <c r="BD178" s="9">
        <v>736.4</v>
      </c>
      <c r="BE178" s="9">
        <v>952.7</v>
      </c>
      <c r="BF178" s="9">
        <v>553</v>
      </c>
      <c r="BG178" s="9">
        <v>780.9</v>
      </c>
      <c r="BH178" s="9">
        <v>1076.5999999999999</v>
      </c>
      <c r="BI178" s="9">
        <v>782.3</v>
      </c>
      <c r="BJ178" s="9">
        <v>635.6</v>
      </c>
      <c r="BK178" s="9">
        <v>746.6</v>
      </c>
      <c r="BL178" s="9">
        <v>608.6</v>
      </c>
      <c r="BM178" s="9">
        <v>618.9</v>
      </c>
      <c r="BN178" s="9">
        <v>513697.3</v>
      </c>
      <c r="BO178" s="9">
        <v>432225.9</v>
      </c>
      <c r="BP178" s="9">
        <v>71170.3</v>
      </c>
      <c r="BQ178" s="9">
        <v>27826.1</v>
      </c>
      <c r="BR178" s="9">
        <v>42570.2</v>
      </c>
      <c r="BS178" s="9">
        <v>93195.6</v>
      </c>
      <c r="BT178" s="9">
        <v>128265.5</v>
      </c>
      <c r="BU178" s="9">
        <v>46210.400000000001</v>
      </c>
      <c r="BV178" s="9">
        <v>81471.3</v>
      </c>
      <c r="BW178" s="9">
        <v>408417.1</v>
      </c>
      <c r="BX178" s="9">
        <v>4020.5</v>
      </c>
      <c r="BY178" s="9">
        <v>53550.1</v>
      </c>
      <c r="BZ178" s="9">
        <v>131596.29999999999</v>
      </c>
      <c r="CA178" s="9">
        <v>15781.7</v>
      </c>
      <c r="CB178" s="9">
        <v>8431.6</v>
      </c>
      <c r="CC178" s="9">
        <v>153976</v>
      </c>
      <c r="CD178" s="9">
        <v>24713.3</v>
      </c>
      <c r="CE178" s="9">
        <v>140714.29999999999</v>
      </c>
      <c r="CF178" s="9">
        <v>1836348.3303803101</v>
      </c>
      <c r="CG178" s="9">
        <v>10072141.27133444</v>
      </c>
      <c r="CH178" s="9"/>
      <c r="CI178" s="9"/>
      <c r="CJ178" s="9">
        <v>18.2603107266</v>
      </c>
      <c r="CK178" s="9">
        <v>13.7506311501</v>
      </c>
      <c r="CL178" s="9">
        <v>12</v>
      </c>
      <c r="CM178" s="9">
        <v>95.487548816200004</v>
      </c>
      <c r="CN178" s="9">
        <v>28.375546158399999</v>
      </c>
      <c r="CO178" s="9">
        <v>3.8500719377000001</v>
      </c>
      <c r="CP178" s="9">
        <v>17.2313312528</v>
      </c>
      <c r="CQ178" s="9">
        <v>11.2891448123</v>
      </c>
      <c r="CR178" s="9">
        <v>4.4855743002999997</v>
      </c>
      <c r="CS178" s="9">
        <v>3.0579388233999998</v>
      </c>
      <c r="CT178" s="9">
        <v>10.3160043124</v>
      </c>
      <c r="CU178" s="9">
        <v>2.7572803309</v>
      </c>
      <c r="CV178" s="9">
        <v>2.0066814858000002</v>
      </c>
      <c r="CW178" s="9">
        <v>5.6362653601000003</v>
      </c>
      <c r="CX178" s="9">
        <v>2.7019098983999998</v>
      </c>
      <c r="CY178" s="9">
        <v>3.7798001437000002</v>
      </c>
      <c r="CZ178" s="9">
        <v>446</v>
      </c>
      <c r="DA178" s="9">
        <v>398</v>
      </c>
      <c r="DB178" s="9">
        <v>0</v>
      </c>
      <c r="DC178" s="9">
        <v>234</v>
      </c>
      <c r="DD178" s="9">
        <v>25</v>
      </c>
      <c r="DE178" s="9">
        <v>14</v>
      </c>
      <c r="DF178" s="9">
        <v>45</v>
      </c>
      <c r="DG178" s="9">
        <v>56</v>
      </c>
      <c r="DH178" s="9">
        <v>16</v>
      </c>
      <c r="DI178" s="9">
        <v>1</v>
      </c>
      <c r="DJ178" s="9">
        <v>2</v>
      </c>
      <c r="DK178" s="9">
        <v>10</v>
      </c>
      <c r="DL178" s="9">
        <v>1</v>
      </c>
      <c r="DM178" s="9">
        <v>30</v>
      </c>
      <c r="DN178" s="9">
        <v>0</v>
      </c>
      <c r="DO178" s="9">
        <v>470.53</v>
      </c>
      <c r="DP178" s="9">
        <v>102.88</v>
      </c>
      <c r="DQ178" s="9">
        <v>59.79</v>
      </c>
      <c r="DR178" s="9">
        <v>43.09</v>
      </c>
      <c r="DS178" s="9">
        <v>58.33</v>
      </c>
      <c r="DT178" s="9">
        <v>12.1</v>
      </c>
      <c r="DU178" s="9">
        <v>196.03</v>
      </c>
      <c r="DV178" s="9">
        <v>85.72</v>
      </c>
      <c r="DW178" s="9">
        <v>89.13</v>
      </c>
      <c r="DX178" s="9">
        <v>112.73</v>
      </c>
      <c r="DY178" s="9">
        <v>60.05</v>
      </c>
      <c r="DZ178" s="9">
        <v>33.11</v>
      </c>
      <c r="EA178" s="9">
        <v>-227.56399999999999</v>
      </c>
      <c r="EB178" s="9">
        <v>-46.181600000000003</v>
      </c>
      <c r="EC178" s="9">
        <v>-106.733</v>
      </c>
      <c r="ED178" s="9">
        <v>-90.893500000000003</v>
      </c>
      <c r="EE178" s="9">
        <v>16.244050000000001</v>
      </c>
      <c r="EF178" s="9">
        <v>20.645579999999999</v>
      </c>
      <c r="EG178" s="9">
        <v>-418.25599999999997</v>
      </c>
      <c r="EH178" s="9">
        <v>-44.264499999999998</v>
      </c>
      <c r="EI178" s="9">
        <v>26.34036</v>
      </c>
      <c r="EJ178" s="9">
        <v>-0.97697000000000001</v>
      </c>
      <c r="EK178" s="9">
        <v>-399.35500000000002</v>
      </c>
      <c r="EL178" s="9">
        <v>-34.136400000000002</v>
      </c>
      <c r="EM178" s="9">
        <v>177.20099999999999</v>
      </c>
      <c r="EN178" s="9">
        <v>1542.7</v>
      </c>
      <c r="EO178" s="9"/>
      <c r="EP178" s="9"/>
      <c r="EQ178" s="9"/>
      <c r="ER178" s="9"/>
      <c r="ES178" s="9"/>
      <c r="ET178" s="9"/>
      <c r="EU178">
        <v>1835.7449999999999</v>
      </c>
      <c r="EV178" s="9">
        <v>22010.3</v>
      </c>
      <c r="EW178" s="9">
        <v>3618.1</v>
      </c>
      <c r="EX178" s="9">
        <v>1443.41</v>
      </c>
      <c r="EY178" s="9">
        <v>1652.97</v>
      </c>
      <c r="EZ178" s="9">
        <v>4118.46</v>
      </c>
      <c r="FA178" s="9">
        <v>11177.35</v>
      </c>
      <c r="FB178" s="9">
        <v>71.525649350600006</v>
      </c>
      <c r="FC178" s="9">
        <v>97.336363636399994</v>
      </c>
      <c r="FD178" s="9">
        <v>6872.2159090908999</v>
      </c>
      <c r="FE178" s="9">
        <v>84.522727272699996</v>
      </c>
      <c r="FF178" s="9">
        <v>1238.8181818181999</v>
      </c>
      <c r="FG178">
        <v>12636426.5</v>
      </c>
      <c r="FH178">
        <v>12551158.66</v>
      </c>
      <c r="FI178">
        <v>85267.839999999997</v>
      </c>
      <c r="FJ178" s="9">
        <v>11388429.039999999</v>
      </c>
      <c r="FK178">
        <v>7792654</v>
      </c>
      <c r="FL178" s="9">
        <v>3595775.04</v>
      </c>
      <c r="FM178" s="9">
        <v>20937808.34</v>
      </c>
      <c r="FN178" s="9">
        <v>1907198.36</v>
      </c>
      <c r="FO178">
        <v>1840.91</v>
      </c>
      <c r="FP178">
        <v>0</v>
      </c>
      <c r="FQ178">
        <v>121.93</v>
      </c>
      <c r="FR178">
        <v>396.08</v>
      </c>
      <c r="FS178">
        <v>11.78</v>
      </c>
      <c r="FT178">
        <v>1248.05</v>
      </c>
      <c r="FU178">
        <v>609.9</v>
      </c>
      <c r="FV178">
        <v>461.69</v>
      </c>
      <c r="FW178">
        <v>23258.1</v>
      </c>
      <c r="FX178">
        <v>126.54</v>
      </c>
      <c r="HB178" s="6"/>
      <c r="HC178" s="6"/>
      <c r="HD178" s="6"/>
    </row>
    <row r="179" spans="1:212" x14ac:dyDescent="0.2">
      <c r="A179" s="8" t="s">
        <v>857</v>
      </c>
      <c r="B179" s="8" t="s">
        <v>407</v>
      </c>
      <c r="C179" s="8" t="s">
        <v>408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>
        <v>542166.30000000005</v>
      </c>
      <c r="BO179" s="9">
        <v>485337.4</v>
      </c>
      <c r="BP179" s="9">
        <v>134864.20000000001</v>
      </c>
      <c r="BQ179" s="9">
        <v>88368.5</v>
      </c>
      <c r="BR179" s="9">
        <v>45996.7</v>
      </c>
      <c r="BS179" s="9">
        <v>90177.3</v>
      </c>
      <c r="BT179" s="9">
        <v>118945.5</v>
      </c>
      <c r="BU179" s="9">
        <v>34670.9</v>
      </c>
      <c r="BV179" s="9">
        <v>53131.4</v>
      </c>
      <c r="BW179" s="9">
        <v>475363.9</v>
      </c>
      <c r="BX179" s="9">
        <v>18134.5</v>
      </c>
      <c r="BY179" s="9">
        <v>40533.300000000003</v>
      </c>
      <c r="BZ179" s="9">
        <v>139308.79999999999</v>
      </c>
      <c r="CA179" s="9">
        <v>81429.5</v>
      </c>
      <c r="CB179" s="9">
        <v>18879.900000000001</v>
      </c>
      <c r="CC179" s="9">
        <v>159861.5</v>
      </c>
      <c r="CD179" s="9">
        <v>25863.4</v>
      </c>
      <c r="CE179" s="9">
        <v>130984.9</v>
      </c>
      <c r="CF179" s="9">
        <v>1751742.1013698741</v>
      </c>
      <c r="CG179" s="9">
        <v>9972084.7395988815</v>
      </c>
      <c r="CH179" s="9"/>
      <c r="CI179" s="9"/>
      <c r="CJ179" s="9">
        <v>18.9157470317</v>
      </c>
      <c r="CK179" s="9">
        <v>12.4862960319</v>
      </c>
      <c r="CL179" s="9">
        <v>12</v>
      </c>
      <c r="CM179" s="9">
        <v>96.222406349500005</v>
      </c>
      <c r="CN179" s="9">
        <v>28.214546114600001</v>
      </c>
      <c r="CO179" s="9">
        <v>3.8740948234000001</v>
      </c>
      <c r="CP179" s="9">
        <v>17.4011333433</v>
      </c>
      <c r="CQ179" s="9">
        <v>11.891705358599999</v>
      </c>
      <c r="CR179" s="9">
        <v>4.5205538652000001</v>
      </c>
      <c r="CS179" s="9">
        <v>3.0658909087000001</v>
      </c>
      <c r="CT179" s="9">
        <v>10.340808188800001</v>
      </c>
      <c r="CU179" s="9">
        <v>2.7547769996000002</v>
      </c>
      <c r="CV179" s="9">
        <v>2.0228299815000002</v>
      </c>
      <c r="CW179" s="9">
        <v>5.6362653601000003</v>
      </c>
      <c r="CX179" s="9">
        <v>2.7036627226999999</v>
      </c>
      <c r="CY179" s="9">
        <v>3.7961386831000001</v>
      </c>
      <c r="CZ179" s="9">
        <v>581</v>
      </c>
      <c r="DA179" s="9">
        <v>540</v>
      </c>
      <c r="DB179" s="9">
        <v>110</v>
      </c>
      <c r="DC179" s="9">
        <v>248</v>
      </c>
      <c r="DD179" s="9">
        <v>53</v>
      </c>
      <c r="DE179" s="9">
        <v>8</v>
      </c>
      <c r="DF179" s="9">
        <v>50</v>
      </c>
      <c r="DG179" s="9">
        <v>55</v>
      </c>
      <c r="DH179" s="9">
        <v>20</v>
      </c>
      <c r="DI179" s="9">
        <v>3</v>
      </c>
      <c r="DJ179" s="9">
        <v>3</v>
      </c>
      <c r="DK179" s="9">
        <v>13</v>
      </c>
      <c r="DL179" s="9">
        <v>1</v>
      </c>
      <c r="DM179" s="9">
        <v>19</v>
      </c>
      <c r="DN179" s="9">
        <v>0</v>
      </c>
      <c r="DO179" s="9">
        <v>427.6</v>
      </c>
      <c r="DP179" s="9">
        <v>113.56</v>
      </c>
      <c r="DQ179" s="9">
        <v>69.55</v>
      </c>
      <c r="DR179" s="9">
        <v>44</v>
      </c>
      <c r="DS179" s="9">
        <v>48.79</v>
      </c>
      <c r="DT179" s="9">
        <v>10.71</v>
      </c>
      <c r="DU179" s="9">
        <v>164.99</v>
      </c>
      <c r="DV179" s="9">
        <v>88.27</v>
      </c>
      <c r="DW179" s="9">
        <v>61.22</v>
      </c>
      <c r="DX179" s="9">
        <v>99.57</v>
      </c>
      <c r="DY179" s="9">
        <v>55.75</v>
      </c>
      <c r="DZ179" s="9">
        <v>25.54</v>
      </c>
      <c r="EA179" s="9">
        <v>-42.159100000000002</v>
      </c>
      <c r="EB179" s="9">
        <v>120.79179999999999</v>
      </c>
      <c r="EC179" s="9">
        <v>-82.539400000000001</v>
      </c>
      <c r="ED179" s="9">
        <v>-86.946200000000005</v>
      </c>
      <c r="EE179" s="9">
        <v>6.5347840000000001</v>
      </c>
      <c r="EF179" s="9">
        <v>8.1898579999999992</v>
      </c>
      <c r="EG179" s="9">
        <v>211.94499999999999</v>
      </c>
      <c r="EH179" s="9">
        <v>114.4016</v>
      </c>
      <c r="EI179" s="9">
        <v>101.7186</v>
      </c>
      <c r="EJ179" s="9">
        <v>0.177819</v>
      </c>
      <c r="EK179" s="9">
        <v>-4.35304</v>
      </c>
      <c r="EL179" s="9">
        <v>171.4579</v>
      </c>
      <c r="EM179" s="9">
        <v>-74.456299999999999</v>
      </c>
      <c r="EN179" s="9">
        <v>1398.1</v>
      </c>
      <c r="EO179" s="9"/>
      <c r="EP179" s="9"/>
      <c r="EQ179" s="9"/>
      <c r="ER179" s="9"/>
      <c r="ES179" s="9"/>
      <c r="ET179" s="9"/>
      <c r="EU179">
        <v>1849.94</v>
      </c>
      <c r="EV179" s="9"/>
      <c r="EW179" s="9"/>
      <c r="EX179" s="9"/>
      <c r="EY179" s="9"/>
      <c r="EZ179" s="9"/>
      <c r="FA179" s="9"/>
      <c r="FB179" s="9">
        <v>68.984627329199995</v>
      </c>
      <c r="FC179" s="9">
        <v>87.2695652174</v>
      </c>
      <c r="FD179" s="9">
        <v>6737.4782608695996</v>
      </c>
      <c r="FE179" s="9">
        <v>81.304347826099999</v>
      </c>
      <c r="FF179" s="9">
        <v>1222.4891304348</v>
      </c>
      <c r="FG179">
        <v>12858295.23</v>
      </c>
      <c r="FH179">
        <v>12771857.92</v>
      </c>
      <c r="FI179">
        <v>86437.31</v>
      </c>
      <c r="FJ179" s="9">
        <v>11326726.699999999</v>
      </c>
      <c r="FK179">
        <v>7959841.9699999988</v>
      </c>
      <c r="FL179" s="9">
        <v>3366884.73</v>
      </c>
      <c r="FM179" s="9">
        <v>20976823.109999999</v>
      </c>
      <c r="FN179" s="9">
        <v>1915298.09</v>
      </c>
      <c r="FO179">
        <v>1862.36</v>
      </c>
      <c r="FP179">
        <v>2799.27</v>
      </c>
      <c r="FQ179">
        <v>128.94999999999999</v>
      </c>
      <c r="FR179">
        <v>840.03</v>
      </c>
      <c r="FS179">
        <v>6.89</v>
      </c>
      <c r="FT179">
        <v>1365.32</v>
      </c>
      <c r="FU179">
        <v>658.55</v>
      </c>
      <c r="FV179">
        <v>960.45</v>
      </c>
      <c r="FW179">
        <v>21297.360000000001</v>
      </c>
      <c r="FX179">
        <v>189.72</v>
      </c>
      <c r="HB179" s="6"/>
      <c r="HC179" s="6"/>
      <c r="HD179" s="6"/>
    </row>
    <row r="180" spans="1:212" x14ac:dyDescent="0.2">
      <c r="A180" s="8" t="s">
        <v>857</v>
      </c>
      <c r="B180" s="8" t="s">
        <v>407</v>
      </c>
      <c r="C180" s="8" t="s">
        <v>409</v>
      </c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>
        <v>417595.5</v>
      </c>
      <c r="BO180" s="9">
        <v>371565.1</v>
      </c>
      <c r="BP180" s="9">
        <v>96058.6</v>
      </c>
      <c r="BQ180" s="9">
        <v>58793.5</v>
      </c>
      <c r="BR180" s="9">
        <v>37325.199999999997</v>
      </c>
      <c r="BS180" s="9">
        <v>74259</v>
      </c>
      <c r="BT180" s="9">
        <v>100622.5</v>
      </c>
      <c r="BU180" s="9">
        <v>32661.1</v>
      </c>
      <c r="BV180" s="9">
        <v>46030.3</v>
      </c>
      <c r="BW180" s="9">
        <v>388566.8</v>
      </c>
      <c r="BX180" s="9">
        <v>3392</v>
      </c>
      <c r="BY180" s="9">
        <v>34266.800000000003</v>
      </c>
      <c r="BZ180" s="9">
        <v>139067.70000000001</v>
      </c>
      <c r="CA180" s="9">
        <v>10013.6</v>
      </c>
      <c r="CB180" s="9">
        <v>6157.7</v>
      </c>
      <c r="CC180" s="9">
        <v>152274.20000000001</v>
      </c>
      <c r="CD180" s="9">
        <v>13902.5</v>
      </c>
      <c r="CE180" s="9">
        <v>187691.4</v>
      </c>
      <c r="CF180" s="9">
        <v>1689726.21588591</v>
      </c>
      <c r="CG180" s="9">
        <v>9926954.8534210697</v>
      </c>
      <c r="CH180" s="9"/>
      <c r="CI180" s="9"/>
      <c r="CJ180" s="9">
        <v>18.6307439112</v>
      </c>
      <c r="CK180" s="9">
        <v>12.689517396099999</v>
      </c>
      <c r="CL180" s="9">
        <v>12</v>
      </c>
      <c r="CM180" s="9">
        <v>96.918027687199995</v>
      </c>
      <c r="CN180" s="9">
        <v>28.279378214299999</v>
      </c>
      <c r="CO180" s="9">
        <v>3.8952990755000001</v>
      </c>
      <c r="CP180" s="9">
        <v>17.636927865000001</v>
      </c>
      <c r="CQ180" s="9">
        <v>12.141087798099999</v>
      </c>
      <c r="CR180" s="9">
        <v>4.5582822768</v>
      </c>
      <c r="CS180" s="9">
        <v>3.0987122649000001</v>
      </c>
      <c r="CT180" s="9">
        <v>10.3728614479</v>
      </c>
      <c r="CU180" s="9">
        <v>2.7545415754000002</v>
      </c>
      <c r="CV180" s="9">
        <v>2.0241299636000001</v>
      </c>
      <c r="CW180" s="9">
        <v>5.6362653601000003</v>
      </c>
      <c r="CX180" s="9">
        <v>2.7143983838999999</v>
      </c>
      <c r="CY180" s="9">
        <v>3.8061434618000001</v>
      </c>
      <c r="CZ180" s="9">
        <v>587</v>
      </c>
      <c r="DA180" s="9">
        <v>553</v>
      </c>
      <c r="DB180" s="9">
        <v>19</v>
      </c>
      <c r="DC180" s="9">
        <v>356</v>
      </c>
      <c r="DD180" s="9">
        <v>34</v>
      </c>
      <c r="DE180" s="9">
        <v>7</v>
      </c>
      <c r="DF180" s="9">
        <v>76</v>
      </c>
      <c r="DG180" s="9">
        <v>47</v>
      </c>
      <c r="DH180" s="9">
        <v>13</v>
      </c>
      <c r="DI180" s="9">
        <v>0</v>
      </c>
      <c r="DJ180" s="9">
        <v>3</v>
      </c>
      <c r="DK180" s="9">
        <v>9</v>
      </c>
      <c r="DL180" s="9">
        <v>4</v>
      </c>
      <c r="DM180" s="9">
        <v>17</v>
      </c>
      <c r="DN180" s="9">
        <v>0</v>
      </c>
      <c r="DO180" s="9">
        <v>365.92</v>
      </c>
      <c r="DP180" s="9">
        <v>116.6</v>
      </c>
      <c r="DQ180" s="9">
        <v>69.45</v>
      </c>
      <c r="DR180" s="9">
        <v>47.15</v>
      </c>
      <c r="DS180" s="9">
        <v>33.26</v>
      </c>
      <c r="DT180" s="9">
        <v>2.4300000000000002</v>
      </c>
      <c r="DU180" s="9">
        <v>127.89</v>
      </c>
      <c r="DV180" s="9">
        <v>77.650000000000006</v>
      </c>
      <c r="DW180" s="9">
        <v>34.82</v>
      </c>
      <c r="DX180" s="9">
        <v>87.72</v>
      </c>
      <c r="DY180" s="9">
        <v>55.15</v>
      </c>
      <c r="DZ180" s="9">
        <v>21.87</v>
      </c>
      <c r="EA180" s="9">
        <v>3.9195139999999999</v>
      </c>
      <c r="EB180" s="9">
        <v>185.03550000000001</v>
      </c>
      <c r="EC180" s="9">
        <v>-105.06</v>
      </c>
      <c r="ED180" s="9">
        <v>-84.557400000000001</v>
      </c>
      <c r="EE180" s="9">
        <v>8.5011019999999995</v>
      </c>
      <c r="EF180" s="9">
        <v>6.1164589999999999</v>
      </c>
      <c r="EG180" s="9">
        <v>-203.119</v>
      </c>
      <c r="EH180" s="9">
        <v>126.69970000000001</v>
      </c>
      <c r="EI180" s="9">
        <v>-18.579499999999999</v>
      </c>
      <c r="EJ180" s="9">
        <v>-5.1130000000000002E-2</v>
      </c>
      <c r="EK180" s="9">
        <v>-311.18799999999999</v>
      </c>
      <c r="EL180" s="9">
        <v>-216.09200000000001</v>
      </c>
      <c r="EM180" s="9">
        <v>-2.93641</v>
      </c>
      <c r="EN180" s="9">
        <v>1352.1</v>
      </c>
      <c r="EO180" s="9"/>
      <c r="EP180" s="9"/>
      <c r="EQ180" s="9"/>
      <c r="ER180" s="9"/>
      <c r="ES180" s="9"/>
      <c r="ET180" s="9"/>
      <c r="EU180">
        <v>1879.77</v>
      </c>
      <c r="EV180" s="9"/>
      <c r="EW180" s="9"/>
      <c r="EX180" s="9"/>
      <c r="EY180" s="9"/>
      <c r="EZ180" s="9"/>
      <c r="FA180" s="9"/>
      <c r="FB180" s="9">
        <v>67.330714285699997</v>
      </c>
      <c r="FC180" s="9">
        <v>78.438000000000002</v>
      </c>
      <c r="FD180" s="9">
        <v>6712.85</v>
      </c>
      <c r="FE180" s="9">
        <v>74.424999999999997</v>
      </c>
      <c r="FF180" s="9">
        <v>1176.3</v>
      </c>
      <c r="FG180">
        <v>12674943.17</v>
      </c>
      <c r="FH180">
        <v>12586772.09</v>
      </c>
      <c r="FI180">
        <v>88171.08</v>
      </c>
      <c r="FJ180" s="9">
        <v>11290403.4</v>
      </c>
      <c r="FK180">
        <v>8051095.8399999999</v>
      </c>
      <c r="FL180" s="9">
        <v>3239307.56</v>
      </c>
      <c r="FM180" s="9">
        <v>20603801.07</v>
      </c>
      <c r="FN180" s="9">
        <v>1930372.75</v>
      </c>
      <c r="FO180">
        <v>1895.17</v>
      </c>
      <c r="FP180">
        <v>497.65</v>
      </c>
      <c r="FQ180">
        <v>157.94999999999999</v>
      </c>
      <c r="FR180">
        <v>557.26</v>
      </c>
      <c r="FS180">
        <v>6.01</v>
      </c>
      <c r="FT180">
        <v>2070.1799999999998</v>
      </c>
      <c r="FU180">
        <v>620.6</v>
      </c>
      <c r="FV180">
        <v>130.38999999999999</v>
      </c>
      <c r="FW180">
        <v>18181.57</v>
      </c>
      <c r="FX180">
        <v>221.89</v>
      </c>
      <c r="HB180" s="6"/>
      <c r="HC180" s="6"/>
      <c r="HD180" s="6"/>
    </row>
    <row r="181" spans="1:212" x14ac:dyDescent="0.2">
      <c r="A181" s="8" t="s">
        <v>857</v>
      </c>
      <c r="B181" s="8" t="s">
        <v>407</v>
      </c>
      <c r="C181" s="8" t="s">
        <v>410</v>
      </c>
      <c r="D181" s="9">
        <v>5667810.2000000002</v>
      </c>
      <c r="E181" s="9">
        <v>554474.80000000005</v>
      </c>
      <c r="F181" s="9">
        <v>848339.5</v>
      </c>
      <c r="G181" s="9">
        <v>516278.5</v>
      </c>
      <c r="H181" s="9">
        <v>137678.29999999999</v>
      </c>
      <c r="I181" s="9">
        <v>275255.8</v>
      </c>
      <c r="J181" s="9">
        <v>1017246.5</v>
      </c>
      <c r="K181" s="9">
        <v>259647.1</v>
      </c>
      <c r="L181" s="9">
        <v>120414.5</v>
      </c>
      <c r="M181" s="9">
        <v>1540296.8</v>
      </c>
      <c r="N181" s="9">
        <v>398178.3</v>
      </c>
      <c r="O181" s="9">
        <v>5702370.7158256089</v>
      </c>
      <c r="P181" s="9">
        <v>539959.78547838004</v>
      </c>
      <c r="Q181" s="9">
        <v>836223.20796035381</v>
      </c>
      <c r="R181" s="9">
        <v>410712.28360736358</v>
      </c>
      <c r="S181" s="9">
        <v>178957.9364934176</v>
      </c>
      <c r="T181" s="9">
        <v>253987.07892948951</v>
      </c>
      <c r="U181" s="9">
        <v>1149368.698748281</v>
      </c>
      <c r="V181" s="9">
        <v>265640.10194842541</v>
      </c>
      <c r="W181" s="9">
        <v>118725.4642422429</v>
      </c>
      <c r="X181" s="9">
        <v>1488151.340058557</v>
      </c>
      <c r="Y181" s="9">
        <v>460644.8183590984</v>
      </c>
      <c r="Z181" s="9">
        <v>6054719.7999999998</v>
      </c>
      <c r="AA181" s="9">
        <v>2789333.3</v>
      </c>
      <c r="AB181" s="9">
        <v>952272.4</v>
      </c>
      <c r="AC181" s="9">
        <v>1795320.6</v>
      </c>
      <c r="AD181" s="9">
        <v>184233.5</v>
      </c>
      <c r="AE181" s="9">
        <v>3474267.2</v>
      </c>
      <c r="AF181" s="9">
        <v>3140707.1</v>
      </c>
      <c r="AG181" s="9">
        <v>6082258.0843393048</v>
      </c>
      <c r="AH181" s="9">
        <v>2903033.426316103</v>
      </c>
      <c r="AI181" s="9">
        <v>1175598.774080347</v>
      </c>
      <c r="AJ181" s="9">
        <v>1701949.453035882</v>
      </c>
      <c r="AK181" s="9">
        <v>189528.41086165831</v>
      </c>
      <c r="AL181" s="9">
        <v>3021582.776135358</v>
      </c>
      <c r="AM181" s="9">
        <v>2909434.756090045</v>
      </c>
      <c r="AN181" s="9">
        <v>1040711</v>
      </c>
      <c r="AO181" s="9">
        <v>555058</v>
      </c>
      <c r="AP181" s="9">
        <v>485653</v>
      </c>
      <c r="AQ181" s="9">
        <v>87028</v>
      </c>
      <c r="AR181" s="9">
        <v>49149</v>
      </c>
      <c r="AS181" s="9">
        <v>37879</v>
      </c>
      <c r="AT181" s="9">
        <v>742467</v>
      </c>
      <c r="AU181" s="9">
        <v>285100</v>
      </c>
      <c r="AV181" s="9">
        <v>457367</v>
      </c>
      <c r="AW181" s="9">
        <v>844</v>
      </c>
      <c r="AX181" s="9">
        <v>729</v>
      </c>
      <c r="AY181" s="9">
        <v>1479.2</v>
      </c>
      <c r="AZ181" s="9">
        <v>793.1</v>
      </c>
      <c r="BA181" s="9">
        <v>1101.9000000000001</v>
      </c>
      <c r="BB181" s="9">
        <v>684.6</v>
      </c>
      <c r="BC181" s="9">
        <v>715.2</v>
      </c>
      <c r="BD181" s="9">
        <v>752.5</v>
      </c>
      <c r="BE181" s="9">
        <v>900.3</v>
      </c>
      <c r="BF181" s="9">
        <v>563</v>
      </c>
      <c r="BG181" s="9">
        <v>844.3</v>
      </c>
      <c r="BH181" s="9">
        <v>1087.5</v>
      </c>
      <c r="BI181" s="9">
        <v>818.9</v>
      </c>
      <c r="BJ181" s="9">
        <v>765.6</v>
      </c>
      <c r="BK181" s="9">
        <v>801.8</v>
      </c>
      <c r="BL181" s="9">
        <v>691.1</v>
      </c>
      <c r="BM181" s="9">
        <v>652.6</v>
      </c>
      <c r="BN181" s="9">
        <v>1001019.3</v>
      </c>
      <c r="BO181" s="9">
        <v>634334.4</v>
      </c>
      <c r="BP181" s="9">
        <v>164962.5</v>
      </c>
      <c r="BQ181" s="9">
        <v>98107.1</v>
      </c>
      <c r="BR181" s="9">
        <v>68952</v>
      </c>
      <c r="BS181" s="9">
        <v>60041</v>
      </c>
      <c r="BT181" s="9">
        <v>140070.1</v>
      </c>
      <c r="BU181" s="9">
        <v>41175.800000000003</v>
      </c>
      <c r="BV181" s="9">
        <v>374507.9</v>
      </c>
      <c r="BW181" s="9">
        <v>782136.1</v>
      </c>
      <c r="BX181" s="9">
        <v>51182.9</v>
      </c>
      <c r="BY181" s="9">
        <v>-105853.4</v>
      </c>
      <c r="BZ181" s="9">
        <v>189646.4</v>
      </c>
      <c r="CA181" s="9">
        <v>148448.70000000001</v>
      </c>
      <c r="CB181" s="9">
        <v>26105.200000000001</v>
      </c>
      <c r="CC181" s="9">
        <v>257372.2</v>
      </c>
      <c r="CD181" s="9">
        <v>103627.8</v>
      </c>
      <c r="CE181" s="9">
        <v>602950.1</v>
      </c>
      <c r="CF181" s="9">
        <v>1816387.05282907</v>
      </c>
      <c r="CG181" s="9">
        <v>10634330.6949705</v>
      </c>
      <c r="CH181" s="9"/>
      <c r="CI181" s="9"/>
      <c r="CJ181" s="9">
        <v>19.5401486791</v>
      </c>
      <c r="CK181" s="9">
        <v>12.944418657</v>
      </c>
      <c r="CL181" s="9">
        <v>12</v>
      </c>
      <c r="CM181" s="9">
        <v>97.703550816299995</v>
      </c>
      <c r="CN181" s="9">
        <v>28.576819687299999</v>
      </c>
      <c r="CO181" s="9">
        <v>3.9665849699</v>
      </c>
      <c r="CP181" s="9">
        <v>17.903403143599999</v>
      </c>
      <c r="CQ181" s="9">
        <v>12.209797062</v>
      </c>
      <c r="CR181" s="9">
        <v>4.5748816179</v>
      </c>
      <c r="CS181" s="9">
        <v>3.1160434125999998</v>
      </c>
      <c r="CT181" s="9">
        <v>10.3880242162</v>
      </c>
      <c r="CU181" s="9">
        <v>2.7542689792999999</v>
      </c>
      <c r="CV181" s="9">
        <v>2.0287343960999999</v>
      </c>
      <c r="CW181" s="9">
        <v>5.6362653601000003</v>
      </c>
      <c r="CX181" s="9">
        <v>2.7235368227999999</v>
      </c>
      <c r="CY181" s="9">
        <v>3.8251911486000001</v>
      </c>
      <c r="CZ181" s="9">
        <v>585</v>
      </c>
      <c r="DA181" s="9">
        <v>536</v>
      </c>
      <c r="DB181" s="9">
        <v>63</v>
      </c>
      <c r="DC181" s="9">
        <v>287</v>
      </c>
      <c r="DD181" s="9">
        <v>46</v>
      </c>
      <c r="DE181" s="9">
        <v>8</v>
      </c>
      <c r="DF181" s="9">
        <v>89</v>
      </c>
      <c r="DG181" s="9">
        <v>33</v>
      </c>
      <c r="DH181" s="9">
        <v>19</v>
      </c>
      <c r="DI181" s="9">
        <v>1</v>
      </c>
      <c r="DJ181" s="9">
        <v>4</v>
      </c>
      <c r="DK181" s="9">
        <v>12</v>
      </c>
      <c r="DL181" s="9">
        <v>7</v>
      </c>
      <c r="DM181" s="9">
        <v>22</v>
      </c>
      <c r="DN181" s="9">
        <v>0</v>
      </c>
      <c r="DO181" s="9">
        <v>397.65</v>
      </c>
      <c r="DP181" s="9">
        <v>126.88</v>
      </c>
      <c r="DQ181" s="9">
        <v>78.319999999999993</v>
      </c>
      <c r="DR181" s="9">
        <v>48.56</v>
      </c>
      <c r="DS181" s="9">
        <v>55.23</v>
      </c>
      <c r="DT181" s="9">
        <v>24.09</v>
      </c>
      <c r="DU181" s="9">
        <v>111.74</v>
      </c>
      <c r="DV181" s="9">
        <v>69.27</v>
      </c>
      <c r="DW181" s="9">
        <v>24.8</v>
      </c>
      <c r="DX181" s="9">
        <v>102.91</v>
      </c>
      <c r="DY181" s="9">
        <v>64.5</v>
      </c>
      <c r="DZ181" s="9">
        <v>25.86</v>
      </c>
      <c r="EA181" s="9">
        <v>-43.053800000000003</v>
      </c>
      <c r="EB181" s="9">
        <v>152.67750000000001</v>
      </c>
      <c r="EC181" s="9">
        <v>-92.228200000000001</v>
      </c>
      <c r="ED181" s="9">
        <v>-107.271</v>
      </c>
      <c r="EE181" s="9">
        <v>3.7679170000000002</v>
      </c>
      <c r="EF181" s="9">
        <v>6.592238</v>
      </c>
      <c r="EG181" s="9">
        <v>-333.815</v>
      </c>
      <c r="EH181" s="9">
        <v>4.0765859999999998</v>
      </c>
      <c r="EI181" s="9">
        <v>30.760300000000001</v>
      </c>
      <c r="EJ181" s="9">
        <v>-5.5100000000000003E-2</v>
      </c>
      <c r="EK181" s="9">
        <v>-368.59699999999998</v>
      </c>
      <c r="EL181" s="9">
        <v>52.067790000000002</v>
      </c>
      <c r="EM181" s="9">
        <v>349.42149999999998</v>
      </c>
      <c r="EN181" s="9">
        <v>1649.9</v>
      </c>
      <c r="EO181" s="9"/>
      <c r="EP181" s="9"/>
      <c r="EQ181" s="9"/>
      <c r="ER181" s="9"/>
      <c r="ES181" s="9"/>
      <c r="ET181" s="9"/>
      <c r="EU181">
        <v>1883</v>
      </c>
      <c r="EV181" s="9">
        <v>21850.52</v>
      </c>
      <c r="EW181" s="9">
        <v>3500.79</v>
      </c>
      <c r="EX181" s="9">
        <v>1570.36</v>
      </c>
      <c r="EY181" s="9">
        <v>1762.18</v>
      </c>
      <c r="EZ181" s="9">
        <v>3976.58</v>
      </c>
      <c r="FA181" s="9">
        <v>11040.61</v>
      </c>
      <c r="FB181" s="9">
        <v>67.162244897999997</v>
      </c>
      <c r="FC181" s="9">
        <v>62.163043478299997</v>
      </c>
      <c r="FD181" s="9">
        <v>6446.4523809523998</v>
      </c>
      <c r="FE181" s="9">
        <v>68.673913043499994</v>
      </c>
      <c r="FF181" s="9">
        <v>1202.2894736841999</v>
      </c>
      <c r="FG181">
        <v>12528833.65</v>
      </c>
      <c r="FH181">
        <v>12440925.890000001</v>
      </c>
      <c r="FI181">
        <v>87907.76</v>
      </c>
      <c r="FJ181" s="9">
        <v>11663322.15</v>
      </c>
      <c r="FK181">
        <v>8502678.3200000003</v>
      </c>
      <c r="FL181" s="9">
        <v>3160643.83</v>
      </c>
      <c r="FM181" s="9">
        <v>22582386.780000001</v>
      </c>
      <c r="FN181" s="9">
        <v>2134268.1800000002</v>
      </c>
      <c r="FO181">
        <v>1888.44</v>
      </c>
      <c r="FP181">
        <v>1617.47</v>
      </c>
      <c r="FQ181">
        <v>126.33</v>
      </c>
      <c r="FR181">
        <v>769.97</v>
      </c>
      <c r="FS181">
        <v>6.01</v>
      </c>
      <c r="FT181">
        <v>2572.4299999999998</v>
      </c>
      <c r="FU181">
        <v>554.87</v>
      </c>
      <c r="FV181">
        <v>492.05</v>
      </c>
      <c r="FW181">
        <v>27753.47</v>
      </c>
      <c r="FX181">
        <v>422.72</v>
      </c>
      <c r="HB181" s="6"/>
      <c r="HC181" s="6"/>
      <c r="HD181" s="6"/>
    </row>
    <row r="182" spans="1:212" x14ac:dyDescent="0.2">
      <c r="A182" s="8" t="s">
        <v>858</v>
      </c>
      <c r="B182" s="8" t="s">
        <v>411</v>
      </c>
      <c r="C182" s="8" t="s">
        <v>412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>
        <v>353562.1</v>
      </c>
      <c r="BO182" s="9">
        <v>317975.90000000002</v>
      </c>
      <c r="BP182" s="9">
        <v>49946.5</v>
      </c>
      <c r="BQ182" s="9">
        <v>25272.1</v>
      </c>
      <c r="BR182" s="9">
        <v>24567.9</v>
      </c>
      <c r="BS182" s="9">
        <v>70142.399999999994</v>
      </c>
      <c r="BT182" s="9">
        <v>63723.3</v>
      </c>
      <c r="BU182" s="9">
        <v>29725.8</v>
      </c>
      <c r="BV182" s="9">
        <v>35586.199999999997</v>
      </c>
      <c r="BW182" s="9">
        <v>316126.59999999998</v>
      </c>
      <c r="BX182" s="9">
        <v>-20189.099999999999</v>
      </c>
      <c r="BY182" s="9">
        <v>4261.6000000000004</v>
      </c>
      <c r="BZ182" s="9">
        <v>117525.9</v>
      </c>
      <c r="CA182" s="9">
        <v>30718.6</v>
      </c>
      <c r="CB182" s="9">
        <v>1539.1</v>
      </c>
      <c r="CC182" s="9">
        <v>138964.9</v>
      </c>
      <c r="CD182" s="9">
        <v>537.70000000000005</v>
      </c>
      <c r="CE182" s="9">
        <v>70419</v>
      </c>
      <c r="CF182" s="9">
        <v>1578694.488178927</v>
      </c>
      <c r="CG182" s="9">
        <v>10313103.58290595</v>
      </c>
      <c r="CH182" s="9"/>
      <c r="CI182" s="9"/>
      <c r="CJ182" s="9">
        <v>20.0356717399</v>
      </c>
      <c r="CK182" s="9">
        <v>13.6335873239</v>
      </c>
      <c r="CL182" s="9">
        <v>13</v>
      </c>
      <c r="CM182" s="9">
        <v>98.348914358399995</v>
      </c>
      <c r="CN182" s="9">
        <v>28.820508345899999</v>
      </c>
      <c r="CO182" s="9">
        <v>3.9744416207</v>
      </c>
      <c r="CP182" s="9">
        <v>18.0381576425</v>
      </c>
      <c r="CQ182" s="9">
        <v>12.2879714703</v>
      </c>
      <c r="CR182" s="9">
        <v>4.5948553061000004</v>
      </c>
      <c r="CS182" s="9">
        <v>3.1373174421000001</v>
      </c>
      <c r="CT182" s="9">
        <v>10.5010468786</v>
      </c>
      <c r="CU182" s="9">
        <v>2.7511082180000002</v>
      </c>
      <c r="CV182" s="9">
        <v>2.0369758390000001</v>
      </c>
      <c r="CW182" s="9">
        <v>5.6362653829999996</v>
      </c>
      <c r="CX182" s="9">
        <v>2.7308488713000001</v>
      </c>
      <c r="CY182" s="9">
        <v>3.8394173410999999</v>
      </c>
      <c r="CZ182" s="9">
        <v>472</v>
      </c>
      <c r="DA182" s="9">
        <v>421</v>
      </c>
      <c r="DB182" s="9">
        <v>40</v>
      </c>
      <c r="DC182" s="9">
        <v>268</v>
      </c>
      <c r="DD182" s="9">
        <v>21</v>
      </c>
      <c r="DE182" s="9">
        <v>11</v>
      </c>
      <c r="DF182" s="9">
        <v>38</v>
      </c>
      <c r="DG182" s="9">
        <v>33</v>
      </c>
      <c r="DH182" s="9">
        <v>13</v>
      </c>
      <c r="DI182" s="9">
        <v>1</v>
      </c>
      <c r="DJ182" s="9">
        <v>5</v>
      </c>
      <c r="DK182" s="9">
        <v>6</v>
      </c>
      <c r="DL182" s="9">
        <v>11</v>
      </c>
      <c r="DM182" s="9">
        <v>27</v>
      </c>
      <c r="DN182" s="9">
        <v>0</v>
      </c>
      <c r="DO182" s="9">
        <v>247.29</v>
      </c>
      <c r="DP182" s="9">
        <v>83.95</v>
      </c>
      <c r="DQ182" s="9">
        <v>47.05</v>
      </c>
      <c r="DR182" s="9">
        <v>36.909999999999997</v>
      </c>
      <c r="DS182" s="9">
        <v>34.24</v>
      </c>
      <c r="DT182" s="9">
        <v>8.81</v>
      </c>
      <c r="DU182" s="9">
        <v>67.430000000000007</v>
      </c>
      <c r="DV182" s="9">
        <v>40.47</v>
      </c>
      <c r="DW182" s="9">
        <v>16.59</v>
      </c>
      <c r="DX182" s="9">
        <v>61.1</v>
      </c>
      <c r="DY182" s="9">
        <v>28.5</v>
      </c>
      <c r="DZ182" s="9">
        <v>26.27</v>
      </c>
      <c r="EA182" s="9">
        <v>-34.988900000000001</v>
      </c>
      <c r="EB182" s="9">
        <v>129.16210000000001</v>
      </c>
      <c r="EC182" s="9">
        <v>-111.66800000000001</v>
      </c>
      <c r="ED182" s="9">
        <v>-58.090200000000003</v>
      </c>
      <c r="EE182" s="9">
        <v>5.6071499999999999</v>
      </c>
      <c r="EF182" s="9">
        <v>9.6638800000000007</v>
      </c>
      <c r="EG182" s="9">
        <v>270.3125</v>
      </c>
      <c r="EH182" s="9">
        <v>49.425280000000001</v>
      </c>
      <c r="EI182" s="9">
        <v>4.4172039999999999</v>
      </c>
      <c r="EJ182" s="9">
        <v>8.5422999999999999E-2</v>
      </c>
      <c r="EK182" s="9">
        <v>216.38460000000001</v>
      </c>
      <c r="EL182" s="9">
        <v>10.15868</v>
      </c>
      <c r="EM182" s="9">
        <v>-285.47899999999998</v>
      </c>
      <c r="EN182" s="9">
        <v>1327.8</v>
      </c>
      <c r="EO182" s="9"/>
      <c r="EP182" s="9"/>
      <c r="EQ182" s="9"/>
      <c r="ER182" s="9"/>
      <c r="ES182" s="9"/>
      <c r="ET182" s="9"/>
      <c r="EU182">
        <v>1932.7</v>
      </c>
      <c r="EV182" s="9"/>
      <c r="EW182" s="9"/>
      <c r="EX182" s="9"/>
      <c r="EY182" s="9"/>
      <c r="EZ182" s="9"/>
      <c r="FA182" s="9"/>
      <c r="FB182" s="9">
        <v>64.7163265306</v>
      </c>
      <c r="FC182" s="9">
        <v>48.416818181799997</v>
      </c>
      <c r="FD182" s="9">
        <v>5830.5357142857001</v>
      </c>
      <c r="FE182" s="9">
        <v>69.068181818200003</v>
      </c>
      <c r="FF182" s="9">
        <v>1251.8452380952001</v>
      </c>
      <c r="FG182">
        <v>12117970.91</v>
      </c>
      <c r="FH182">
        <v>12027220.74</v>
      </c>
      <c r="FI182">
        <v>90750.17</v>
      </c>
      <c r="FJ182" s="9">
        <v>11340061.860000001</v>
      </c>
      <c r="FK182">
        <v>8229803.8499999996</v>
      </c>
      <c r="FL182" s="9">
        <v>3110258.01</v>
      </c>
      <c r="FM182" s="9">
        <v>20623003.859999999</v>
      </c>
      <c r="FN182" s="9">
        <v>2151839.0299999998</v>
      </c>
      <c r="FO182">
        <v>1944.78</v>
      </c>
      <c r="FP182">
        <v>1017.77</v>
      </c>
      <c r="FQ182">
        <v>132.85</v>
      </c>
      <c r="FR182">
        <v>343.28</v>
      </c>
      <c r="FS182">
        <v>9.01</v>
      </c>
      <c r="FT182">
        <v>1106.24</v>
      </c>
      <c r="FU182">
        <v>690.67</v>
      </c>
      <c r="FV182">
        <v>297.16000000000003</v>
      </c>
      <c r="FW182">
        <v>46265.84</v>
      </c>
      <c r="FX182">
        <v>551.47</v>
      </c>
      <c r="HB182" s="6"/>
      <c r="HC182" s="6"/>
      <c r="HD182" s="6"/>
    </row>
    <row r="183" spans="1:212" x14ac:dyDescent="0.2">
      <c r="A183" s="8" t="s">
        <v>858</v>
      </c>
      <c r="B183" s="8" t="s">
        <v>411</v>
      </c>
      <c r="C183" s="8" t="s">
        <v>413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>
        <v>394404.1</v>
      </c>
      <c r="BO183" s="9">
        <v>336807.4</v>
      </c>
      <c r="BP183" s="9">
        <v>97304.2</v>
      </c>
      <c r="BQ183" s="9">
        <v>54292.7</v>
      </c>
      <c r="BR183" s="9">
        <v>42815.4</v>
      </c>
      <c r="BS183" s="9">
        <v>73084.800000000003</v>
      </c>
      <c r="BT183" s="9">
        <v>78114.3</v>
      </c>
      <c r="BU183" s="9">
        <v>45216.5</v>
      </c>
      <c r="BV183" s="9">
        <v>55263</v>
      </c>
      <c r="BW183" s="9">
        <v>471474.5</v>
      </c>
      <c r="BX183" s="9">
        <v>1181.2</v>
      </c>
      <c r="BY183" s="9">
        <v>13998.9</v>
      </c>
      <c r="BZ183" s="9">
        <v>139700.20000000001</v>
      </c>
      <c r="CA183" s="9">
        <v>8543.1</v>
      </c>
      <c r="CB183" s="9">
        <v>47397</v>
      </c>
      <c r="CC183" s="9">
        <v>191306.4</v>
      </c>
      <c r="CD183" s="9">
        <v>1238.0999999999999</v>
      </c>
      <c r="CE183" s="9">
        <v>91893.1</v>
      </c>
      <c r="CF183" s="9">
        <v>1586543.9278075199</v>
      </c>
      <c r="CG183" s="9">
        <v>10228988.899720071</v>
      </c>
      <c r="CH183" s="9"/>
      <c r="CI183" s="9"/>
      <c r="CJ183" s="9">
        <v>19.0024665165</v>
      </c>
      <c r="CK183" s="9">
        <v>14.1728222572</v>
      </c>
      <c r="CL183" s="9">
        <v>13</v>
      </c>
      <c r="CM183" s="9">
        <v>98.776441205400005</v>
      </c>
      <c r="CN183" s="9">
        <v>29.092236417599999</v>
      </c>
      <c r="CO183" s="9">
        <v>3.9824670203000001</v>
      </c>
      <c r="CP183" s="9">
        <v>18.114484941499999</v>
      </c>
      <c r="CQ183" s="9">
        <v>12.314260991499999</v>
      </c>
      <c r="CR183" s="9">
        <v>4.6145981475999998</v>
      </c>
      <c r="CS183" s="9">
        <v>3.1427379499999999</v>
      </c>
      <c r="CT183" s="9">
        <v>10.501743016200001</v>
      </c>
      <c r="CU183" s="9">
        <v>2.7522891275000001</v>
      </c>
      <c r="CV183" s="9">
        <v>2.0396407029999999</v>
      </c>
      <c r="CW183" s="9">
        <v>5.6362653601000003</v>
      </c>
      <c r="CX183" s="9">
        <v>2.7353580502999999</v>
      </c>
      <c r="CY183" s="9">
        <v>3.8503594796999998</v>
      </c>
      <c r="CZ183" s="9">
        <v>281</v>
      </c>
      <c r="DA183" s="9">
        <v>255</v>
      </c>
      <c r="DB183" s="9">
        <v>58</v>
      </c>
      <c r="DC183" s="9">
        <v>96</v>
      </c>
      <c r="DD183" s="9">
        <v>26</v>
      </c>
      <c r="DE183" s="9">
        <v>11</v>
      </c>
      <c r="DF183" s="9">
        <v>27</v>
      </c>
      <c r="DG183" s="9">
        <v>26</v>
      </c>
      <c r="DH183" s="9">
        <v>12</v>
      </c>
      <c r="DI183" s="9">
        <v>1</v>
      </c>
      <c r="DJ183" s="9">
        <v>3</v>
      </c>
      <c r="DK183" s="9">
        <v>6</v>
      </c>
      <c r="DL183" s="9">
        <v>4</v>
      </c>
      <c r="DM183" s="9">
        <v>9</v>
      </c>
      <c r="DN183" s="9">
        <v>0</v>
      </c>
      <c r="DO183" s="9">
        <v>215.2</v>
      </c>
      <c r="DP183" s="9">
        <v>73.64</v>
      </c>
      <c r="DQ183" s="9">
        <v>43.68</v>
      </c>
      <c r="DR183" s="9">
        <v>29.96</v>
      </c>
      <c r="DS183" s="9">
        <v>35.47</v>
      </c>
      <c r="DT183" s="9">
        <v>11.64</v>
      </c>
      <c r="DU183" s="9">
        <v>60.99</v>
      </c>
      <c r="DV183" s="9">
        <v>39.03</v>
      </c>
      <c r="DW183" s="9">
        <v>15.25</v>
      </c>
      <c r="DX183" s="9">
        <v>44.48</v>
      </c>
      <c r="DY183" s="9">
        <v>22.98</v>
      </c>
      <c r="DZ183" s="9">
        <v>14.06</v>
      </c>
      <c r="EA183" s="9">
        <v>-1.3957200000000001</v>
      </c>
      <c r="EB183" s="9">
        <v>139.47239999999999</v>
      </c>
      <c r="EC183" s="9">
        <v>-71.204099999999997</v>
      </c>
      <c r="ED183" s="9">
        <v>-75.360900000000001</v>
      </c>
      <c r="EE183" s="9">
        <v>5.6969539999999999</v>
      </c>
      <c r="EF183" s="9">
        <v>6.7919830000000001</v>
      </c>
      <c r="EG183" s="9">
        <v>-105.319</v>
      </c>
      <c r="EH183" s="9">
        <v>28.55058</v>
      </c>
      <c r="EI183" s="9">
        <v>-10.321400000000001</v>
      </c>
      <c r="EJ183" s="9">
        <v>7.8437000000000007E-2</v>
      </c>
      <c r="EK183" s="9">
        <v>-123.626</v>
      </c>
      <c r="EL183" s="9">
        <v>-66.5625</v>
      </c>
      <c r="EM183" s="9">
        <v>44.152560000000001</v>
      </c>
      <c r="EN183" s="9">
        <v>1362.5</v>
      </c>
      <c r="EO183" s="9"/>
      <c r="EP183" s="9"/>
      <c r="EQ183" s="9"/>
      <c r="ER183" s="9"/>
      <c r="ES183" s="9"/>
      <c r="ET183" s="9"/>
      <c r="EU183">
        <v>1961.75</v>
      </c>
      <c r="EV183" s="9"/>
      <c r="EW183" s="9"/>
      <c r="EX183" s="9"/>
      <c r="EY183" s="9"/>
      <c r="EZ183" s="9"/>
      <c r="FA183" s="9"/>
      <c r="FB183" s="9">
        <v>70.659107142899998</v>
      </c>
      <c r="FC183" s="9">
        <v>57.930500000000002</v>
      </c>
      <c r="FD183" s="9">
        <v>5729.2749999999996</v>
      </c>
      <c r="FE183" s="9">
        <v>63.8</v>
      </c>
      <c r="FF183" s="9">
        <v>1227.1875</v>
      </c>
      <c r="FG183">
        <v>12205607.509999998</v>
      </c>
      <c r="FH183">
        <v>12113251.309999999</v>
      </c>
      <c r="FI183">
        <v>92356.2</v>
      </c>
      <c r="FJ183" s="9">
        <v>11267092.090000002</v>
      </c>
      <c r="FK183">
        <v>8232997.5999999996</v>
      </c>
      <c r="FL183" s="9">
        <v>3034094.49</v>
      </c>
      <c r="FM183" s="9">
        <v>20740445.609999999</v>
      </c>
      <c r="FN183" s="9">
        <v>2226861.54</v>
      </c>
      <c r="FO183">
        <v>1974.52</v>
      </c>
      <c r="FP183">
        <v>1438.46</v>
      </c>
      <c r="FQ183">
        <v>72.95</v>
      </c>
      <c r="FR183">
        <v>447.05</v>
      </c>
      <c r="FS183">
        <v>8.41</v>
      </c>
      <c r="FT183">
        <v>604.38</v>
      </c>
      <c r="FU183">
        <v>527.84</v>
      </c>
      <c r="FV183">
        <v>396.48</v>
      </c>
      <c r="FW183">
        <v>27830.32</v>
      </c>
      <c r="FX183">
        <v>323.14</v>
      </c>
      <c r="HB183" s="6"/>
      <c r="HC183" s="6"/>
      <c r="HD183" s="6"/>
    </row>
    <row r="184" spans="1:212" x14ac:dyDescent="0.2">
      <c r="A184" s="8" t="s">
        <v>858</v>
      </c>
      <c r="B184" s="8" t="s">
        <v>411</v>
      </c>
      <c r="C184" s="8" t="s">
        <v>414</v>
      </c>
      <c r="D184" s="9">
        <v>4643453.5999999996</v>
      </c>
      <c r="E184" s="9">
        <v>169189.7</v>
      </c>
      <c r="F184" s="9">
        <v>879992.5</v>
      </c>
      <c r="G184" s="9">
        <v>439440.1</v>
      </c>
      <c r="H184" s="9">
        <v>128807.2</v>
      </c>
      <c r="I184" s="9">
        <v>48247.8</v>
      </c>
      <c r="J184" s="9">
        <v>386662.7</v>
      </c>
      <c r="K184" s="9">
        <v>296626.09999999998</v>
      </c>
      <c r="L184" s="9">
        <v>103698.2</v>
      </c>
      <c r="M184" s="9">
        <v>1748677</v>
      </c>
      <c r="N184" s="9">
        <v>442112.4</v>
      </c>
      <c r="O184" s="9">
        <v>4193642.47</v>
      </c>
      <c r="P184" s="9">
        <v>182414.20699999999</v>
      </c>
      <c r="Q184" s="9">
        <v>741298.18599999999</v>
      </c>
      <c r="R184" s="9">
        <v>285414.85800000001</v>
      </c>
      <c r="S184" s="9">
        <v>165180.25200000001</v>
      </c>
      <c r="T184" s="9">
        <v>46407.881000000001</v>
      </c>
      <c r="U184" s="9">
        <v>412983.62300000002</v>
      </c>
      <c r="V184" s="9">
        <v>260813.147</v>
      </c>
      <c r="W184" s="9">
        <v>112414.03</v>
      </c>
      <c r="X184" s="9">
        <v>1574337.3370000001</v>
      </c>
      <c r="Y184" s="9">
        <v>412378.94900000002</v>
      </c>
      <c r="Z184" s="9">
        <v>4559755.8</v>
      </c>
      <c r="AA184" s="9">
        <v>3006874.1</v>
      </c>
      <c r="AB184" s="9">
        <v>670584.80000000005</v>
      </c>
      <c r="AC184" s="9">
        <v>584309.80000000005</v>
      </c>
      <c r="AD184" s="9">
        <v>-17026.3</v>
      </c>
      <c r="AE184" s="9">
        <v>2300161.2000000002</v>
      </c>
      <c r="AF184" s="9">
        <v>1985147.8</v>
      </c>
      <c r="AG184" s="9">
        <v>4357192.7</v>
      </c>
      <c r="AH184" s="9">
        <v>3083016.4</v>
      </c>
      <c r="AI184" s="9">
        <v>744351.6</v>
      </c>
      <c r="AJ184" s="9">
        <v>516549.2</v>
      </c>
      <c r="AK184" s="9">
        <v>-262029.7</v>
      </c>
      <c r="AL184" s="9">
        <v>2375404.7999999998</v>
      </c>
      <c r="AM184" s="9">
        <v>2100099.7000000002</v>
      </c>
      <c r="AN184" s="9">
        <v>1116860</v>
      </c>
      <c r="AO184" s="9">
        <v>578452</v>
      </c>
      <c r="AP184" s="9">
        <v>538408</v>
      </c>
      <c r="AQ184" s="9">
        <v>88636</v>
      </c>
      <c r="AR184" s="9">
        <v>53612</v>
      </c>
      <c r="AS184" s="9">
        <v>35024</v>
      </c>
      <c r="AT184" s="9">
        <v>753387</v>
      </c>
      <c r="AU184" s="9">
        <v>289312</v>
      </c>
      <c r="AV184" s="9">
        <v>464075</v>
      </c>
      <c r="AW184" s="9">
        <v>851.4</v>
      </c>
      <c r="AX184" s="9">
        <v>697.7</v>
      </c>
      <c r="AY184" s="9">
        <v>1785.7</v>
      </c>
      <c r="AZ184" s="9">
        <v>776.6</v>
      </c>
      <c r="BA184" s="9">
        <v>1408.5</v>
      </c>
      <c r="BB184" s="9">
        <v>644.4</v>
      </c>
      <c r="BC184" s="9">
        <v>749.7</v>
      </c>
      <c r="BD184" s="9">
        <v>738.7</v>
      </c>
      <c r="BE184" s="9">
        <v>928.2</v>
      </c>
      <c r="BF184" s="9">
        <v>569.20000000000005</v>
      </c>
      <c r="BG184" s="9">
        <v>801.7</v>
      </c>
      <c r="BH184" s="9">
        <v>1157.2</v>
      </c>
      <c r="BI184" s="9">
        <v>831.9</v>
      </c>
      <c r="BJ184" s="9">
        <v>732.2</v>
      </c>
      <c r="BK184" s="9">
        <v>758.1</v>
      </c>
      <c r="BL184" s="9">
        <v>618.79999999999995</v>
      </c>
      <c r="BM184" s="9">
        <v>797.9</v>
      </c>
      <c r="BN184" s="9">
        <v>482826.8</v>
      </c>
      <c r="BO184" s="9">
        <v>436675.3</v>
      </c>
      <c r="BP184" s="9">
        <v>102596.3</v>
      </c>
      <c r="BQ184" s="9">
        <v>60202.8</v>
      </c>
      <c r="BR184" s="9">
        <v>45335.9</v>
      </c>
      <c r="BS184" s="9">
        <v>87114</v>
      </c>
      <c r="BT184" s="9">
        <v>76152.800000000003</v>
      </c>
      <c r="BU184" s="9">
        <v>51531.9</v>
      </c>
      <c r="BV184" s="9">
        <v>46151.5</v>
      </c>
      <c r="BW184" s="9">
        <v>454843.3</v>
      </c>
      <c r="BX184" s="9">
        <v>14806.8</v>
      </c>
      <c r="BY184" s="9">
        <v>15254.3</v>
      </c>
      <c r="BZ184" s="9">
        <v>142508.20000000001</v>
      </c>
      <c r="CA184" s="9">
        <v>25069.599999999999</v>
      </c>
      <c r="CB184" s="9">
        <v>10998.3</v>
      </c>
      <c r="CC184" s="9">
        <v>184613</v>
      </c>
      <c r="CD184" s="9">
        <v>1926.5</v>
      </c>
      <c r="CE184" s="9">
        <v>-26555.5</v>
      </c>
      <c r="CF184" s="9">
        <v>1445928.4815481347</v>
      </c>
      <c r="CG184" s="9">
        <v>9902262.2340744063</v>
      </c>
      <c r="CH184" s="9"/>
      <c r="CI184" s="9"/>
      <c r="CJ184" s="9">
        <v>19.095220851699999</v>
      </c>
      <c r="CK184" s="9">
        <v>11.676559899100001</v>
      </c>
      <c r="CL184" s="9">
        <v>13</v>
      </c>
      <c r="CM184" s="9">
        <v>99.593518309999993</v>
      </c>
      <c r="CN184" s="9">
        <v>29.8249267574</v>
      </c>
      <c r="CO184" s="9">
        <v>3.9928330991999998</v>
      </c>
      <c r="CP184" s="9">
        <v>18.220693537999999</v>
      </c>
      <c r="CQ184" s="9">
        <v>12.179556186599999</v>
      </c>
      <c r="CR184" s="9">
        <v>4.6432852579999997</v>
      </c>
      <c r="CS184" s="9">
        <v>3.1448896917</v>
      </c>
      <c r="CT184" s="9">
        <v>10.508545764400001</v>
      </c>
      <c r="CU184" s="9">
        <v>2.7498202676000001</v>
      </c>
      <c r="CV184" s="9">
        <v>2.0466562631</v>
      </c>
      <c r="CW184" s="9">
        <v>5.6362653829999996</v>
      </c>
      <c r="CX184" s="9">
        <v>2.7673671685999999</v>
      </c>
      <c r="CY184" s="9">
        <v>3.8786789325000002</v>
      </c>
      <c r="CZ184" s="9">
        <v>322</v>
      </c>
      <c r="DA184" s="9">
        <v>291</v>
      </c>
      <c r="DB184" s="9">
        <v>0</v>
      </c>
      <c r="DC184" s="9">
        <v>149</v>
      </c>
      <c r="DD184" s="9">
        <v>11</v>
      </c>
      <c r="DE184" s="9">
        <v>13</v>
      </c>
      <c r="DF184" s="9">
        <v>76</v>
      </c>
      <c r="DG184" s="9">
        <v>33</v>
      </c>
      <c r="DH184" s="9">
        <v>8</v>
      </c>
      <c r="DI184" s="9">
        <v>1</v>
      </c>
      <c r="DJ184" s="9">
        <v>3</v>
      </c>
      <c r="DK184" s="9">
        <v>1</v>
      </c>
      <c r="DL184" s="9">
        <v>3</v>
      </c>
      <c r="DM184" s="9">
        <v>20</v>
      </c>
      <c r="DN184" s="9">
        <v>0</v>
      </c>
      <c r="DO184" s="9">
        <v>239.76</v>
      </c>
      <c r="DP184" s="9">
        <v>72.849999999999994</v>
      </c>
      <c r="DQ184" s="9">
        <v>42.09</v>
      </c>
      <c r="DR184" s="9">
        <v>30.76</v>
      </c>
      <c r="DS184" s="9">
        <v>36.4</v>
      </c>
      <c r="DT184" s="9">
        <v>11.62</v>
      </c>
      <c r="DU184" s="9">
        <v>78.41</v>
      </c>
      <c r="DV184" s="9">
        <v>43.56</v>
      </c>
      <c r="DW184" s="9">
        <v>26.16</v>
      </c>
      <c r="DX184" s="9">
        <v>51.69</v>
      </c>
      <c r="DY184" s="9">
        <v>25.93</v>
      </c>
      <c r="DZ184" s="9">
        <v>19.54</v>
      </c>
      <c r="EA184" s="9">
        <v>-23.7788</v>
      </c>
      <c r="EB184" s="9">
        <v>115.6091</v>
      </c>
      <c r="EC184" s="9">
        <v>-54.011800000000001</v>
      </c>
      <c r="ED184" s="9">
        <v>-88.828900000000004</v>
      </c>
      <c r="EE184" s="9">
        <v>3.4527359999999998</v>
      </c>
      <c r="EF184" s="9">
        <v>5.1950269999999996</v>
      </c>
      <c r="EG184" s="9">
        <v>-135.96</v>
      </c>
      <c r="EH184" s="9">
        <v>35.484229999999997</v>
      </c>
      <c r="EI184" s="9">
        <v>20.69163</v>
      </c>
      <c r="EJ184" s="9">
        <v>1.7448999999999999E-2</v>
      </c>
      <c r="EK184" s="9">
        <v>-192.154</v>
      </c>
      <c r="EL184" s="9">
        <v>-147.14699999999999</v>
      </c>
      <c r="EM184" s="9">
        <v>-29.7699</v>
      </c>
      <c r="EN184" s="9">
        <v>1323.9</v>
      </c>
      <c r="EO184" s="9"/>
      <c r="EP184" s="9"/>
      <c r="EQ184" s="9"/>
      <c r="ER184" s="9"/>
      <c r="ES184" s="9"/>
      <c r="ET184" s="9"/>
      <c r="EU184">
        <v>1986.22</v>
      </c>
      <c r="EV184" s="9">
        <v>21678.14</v>
      </c>
      <c r="EW184" s="9">
        <v>3421.62</v>
      </c>
      <c r="EX184" s="9">
        <v>1876.27</v>
      </c>
      <c r="EY184" s="9">
        <v>1719.77</v>
      </c>
      <c r="EZ184" s="9">
        <v>3729.99</v>
      </c>
      <c r="FA184" s="9">
        <v>10930.49</v>
      </c>
      <c r="FB184" s="9">
        <v>68.344967532499993</v>
      </c>
      <c r="FC184" s="9">
        <v>55.7913636364</v>
      </c>
      <c r="FD184" s="9">
        <v>5939.6704545455004</v>
      </c>
      <c r="FE184" s="9">
        <v>58.181818181799997</v>
      </c>
      <c r="FF184" s="9">
        <v>1178.6295454545</v>
      </c>
      <c r="FG184">
        <v>12305731.77</v>
      </c>
      <c r="FH184">
        <v>12211911.299999999</v>
      </c>
      <c r="FI184">
        <v>93820.47</v>
      </c>
      <c r="FJ184" s="9">
        <v>10998153.130000001</v>
      </c>
      <c r="FK184">
        <v>8010082.7400000002</v>
      </c>
      <c r="FL184" s="9">
        <v>2988070.39</v>
      </c>
      <c r="FM184" s="9">
        <v>20778313.359999999</v>
      </c>
      <c r="FN184" s="9">
        <v>2216805.9300000002</v>
      </c>
      <c r="FO184">
        <v>1984.69</v>
      </c>
      <c r="FP184">
        <v>0</v>
      </c>
      <c r="FQ184">
        <v>103.62</v>
      </c>
      <c r="FR184">
        <v>207.58</v>
      </c>
      <c r="FS184">
        <v>10.82</v>
      </c>
      <c r="FT184">
        <v>1533.95</v>
      </c>
      <c r="FU184">
        <v>702.67</v>
      </c>
      <c r="FV184">
        <v>618.59</v>
      </c>
      <c r="FW184">
        <v>24967.22</v>
      </c>
      <c r="FX184">
        <v>95.61</v>
      </c>
      <c r="HB184" s="6"/>
      <c r="HC184" s="6"/>
      <c r="HD184" s="6"/>
    </row>
    <row r="185" spans="1:212" x14ac:dyDescent="0.2">
      <c r="A185" s="8" t="s">
        <v>858</v>
      </c>
      <c r="B185" s="8" t="s">
        <v>415</v>
      </c>
      <c r="C185" s="8" t="s">
        <v>416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>
        <v>446553.9</v>
      </c>
      <c r="BO185" s="9">
        <v>386730.3</v>
      </c>
      <c r="BP185" s="9">
        <v>90968.5</v>
      </c>
      <c r="BQ185" s="9">
        <v>56333.5</v>
      </c>
      <c r="BR185" s="9">
        <v>46830.9</v>
      </c>
      <c r="BS185" s="9">
        <v>77420.899999999994</v>
      </c>
      <c r="BT185" s="9">
        <v>83301.899999999994</v>
      </c>
      <c r="BU185" s="9">
        <v>40363</v>
      </c>
      <c r="BV185" s="9">
        <v>59823.6</v>
      </c>
      <c r="BW185" s="9">
        <v>477418.3</v>
      </c>
      <c r="BX185" s="9">
        <v>13205.4</v>
      </c>
      <c r="BY185" s="9">
        <v>15572</v>
      </c>
      <c r="BZ185" s="9">
        <v>147238.5</v>
      </c>
      <c r="CA185" s="9">
        <v>57614.7</v>
      </c>
      <c r="CB185" s="9">
        <v>5974.8</v>
      </c>
      <c r="CC185" s="9">
        <v>168474.5</v>
      </c>
      <c r="CD185" s="9">
        <v>893.6</v>
      </c>
      <c r="CE185" s="9">
        <v>55193.3</v>
      </c>
      <c r="CF185" s="9">
        <v>1480863.4123918733</v>
      </c>
      <c r="CG185" s="9">
        <v>9703583.0765152033</v>
      </c>
      <c r="CH185" s="9"/>
      <c r="CI185" s="9"/>
      <c r="CJ185" s="9">
        <v>20.243330201300001</v>
      </c>
      <c r="CK185" s="9">
        <v>12.924731678600001</v>
      </c>
      <c r="CL185" s="9">
        <v>13</v>
      </c>
      <c r="CM185" s="9">
        <v>100.5353781685</v>
      </c>
      <c r="CN185" s="9">
        <v>30.629143541800001</v>
      </c>
      <c r="CO185" s="9">
        <v>4.0002432679000002</v>
      </c>
      <c r="CP185" s="9">
        <v>18.3570422198</v>
      </c>
      <c r="CQ185" s="9">
        <v>12.054305252800001</v>
      </c>
      <c r="CR185" s="9">
        <v>4.6848622662999997</v>
      </c>
      <c r="CS185" s="9">
        <v>3.1619615218999999</v>
      </c>
      <c r="CT185" s="9">
        <v>10.528295440400001</v>
      </c>
      <c r="CU185" s="9">
        <v>2.7532107535999999</v>
      </c>
      <c r="CV185" s="9">
        <v>2.0679195275</v>
      </c>
      <c r="CW185" s="9">
        <v>5.6362653829999996</v>
      </c>
      <c r="CX185" s="9">
        <v>2.7690950050000001</v>
      </c>
      <c r="CY185" s="9">
        <v>3.8930339886000001</v>
      </c>
      <c r="CZ185" s="9">
        <v>376</v>
      </c>
      <c r="DA185" s="9">
        <v>326</v>
      </c>
      <c r="DB185" s="9">
        <v>35</v>
      </c>
      <c r="DC185" s="9">
        <v>155</v>
      </c>
      <c r="DD185" s="9">
        <v>23</v>
      </c>
      <c r="DE185" s="9">
        <v>18</v>
      </c>
      <c r="DF185" s="9">
        <v>53</v>
      </c>
      <c r="DG185" s="9">
        <v>32</v>
      </c>
      <c r="DH185" s="9">
        <v>37</v>
      </c>
      <c r="DI185" s="9">
        <v>1</v>
      </c>
      <c r="DJ185" s="9">
        <v>4</v>
      </c>
      <c r="DK185" s="9">
        <v>31</v>
      </c>
      <c r="DL185" s="9">
        <v>2</v>
      </c>
      <c r="DM185" s="9">
        <v>10</v>
      </c>
      <c r="DN185" s="9">
        <v>0</v>
      </c>
      <c r="DO185" s="9">
        <v>332.2</v>
      </c>
      <c r="DP185" s="9">
        <v>97.07</v>
      </c>
      <c r="DQ185" s="9">
        <v>54.79</v>
      </c>
      <c r="DR185" s="9">
        <v>42.28</v>
      </c>
      <c r="DS185" s="9">
        <v>48.74</v>
      </c>
      <c r="DT185" s="9">
        <v>10.06</v>
      </c>
      <c r="DU185" s="9">
        <v>137.94999999999999</v>
      </c>
      <c r="DV185" s="9">
        <v>75.510000000000005</v>
      </c>
      <c r="DW185" s="9">
        <v>53.36</v>
      </c>
      <c r="DX185" s="9">
        <v>47.84</v>
      </c>
      <c r="DY185" s="9">
        <v>25.88</v>
      </c>
      <c r="DZ185" s="9">
        <v>14.74</v>
      </c>
      <c r="EA185" s="9">
        <v>-135.13900000000001</v>
      </c>
      <c r="EB185" s="9">
        <v>37.311390000000003</v>
      </c>
      <c r="EC185" s="9">
        <v>-99.299300000000002</v>
      </c>
      <c r="ED185" s="9">
        <v>-83.747200000000007</v>
      </c>
      <c r="EE185" s="9">
        <v>10.59625</v>
      </c>
      <c r="EF185" s="9">
        <v>8.6809019999999997</v>
      </c>
      <c r="EG185" s="9">
        <v>-26.531700000000001</v>
      </c>
      <c r="EH185" s="9">
        <v>10.3322</v>
      </c>
      <c r="EI185" s="9">
        <v>14.619899999999999</v>
      </c>
      <c r="EJ185" s="9">
        <v>0.17657999999999999</v>
      </c>
      <c r="EK185" s="9">
        <v>-51.660299999999999</v>
      </c>
      <c r="EL185" s="9">
        <v>50.542850000000001</v>
      </c>
      <c r="EM185" s="9">
        <v>-49.383400000000002</v>
      </c>
      <c r="EN185" s="9">
        <v>1267.3</v>
      </c>
      <c r="EO185" s="9"/>
      <c r="EP185" s="9"/>
      <c r="EQ185" s="9"/>
      <c r="ER185" s="9"/>
      <c r="ES185" s="9"/>
      <c r="ET185" s="9"/>
      <c r="EU185">
        <v>1975.83</v>
      </c>
      <c r="EV185" s="9"/>
      <c r="EW185" s="9"/>
      <c r="EX185" s="9"/>
      <c r="EY185" s="9"/>
      <c r="EZ185" s="9"/>
      <c r="FA185" s="9"/>
      <c r="FB185" s="9">
        <v>61.197857142899998</v>
      </c>
      <c r="FC185" s="9">
        <v>59.389545454500002</v>
      </c>
      <c r="FD185" s="9">
        <v>6042.0874999999996</v>
      </c>
      <c r="FE185" s="9">
        <v>52.113636363600001</v>
      </c>
      <c r="FF185" s="9">
        <v>1197.9100000000001</v>
      </c>
      <c r="FG185">
        <v>12330512.67</v>
      </c>
      <c r="FH185">
        <v>12237222.529999999</v>
      </c>
      <c r="FI185">
        <v>93290.14</v>
      </c>
      <c r="FJ185" s="9">
        <v>10763620.199999999</v>
      </c>
      <c r="FK185">
        <v>7819166.4000000004</v>
      </c>
      <c r="FL185" s="9">
        <v>2944453.8</v>
      </c>
      <c r="FM185" s="9">
        <v>20498826.760000002</v>
      </c>
      <c r="FN185" s="9">
        <v>2260055.84</v>
      </c>
      <c r="FO185">
        <v>1960.41</v>
      </c>
      <c r="FP185">
        <v>905.81</v>
      </c>
      <c r="FQ185">
        <v>105.33</v>
      </c>
      <c r="FR185">
        <v>502.42</v>
      </c>
      <c r="FS185">
        <v>14.42</v>
      </c>
      <c r="FT185">
        <v>1003.64</v>
      </c>
      <c r="FU185">
        <v>596.83000000000004</v>
      </c>
      <c r="FV185">
        <v>240.57</v>
      </c>
      <c r="FW185">
        <v>32477.37</v>
      </c>
      <c r="FX185">
        <v>720.4</v>
      </c>
      <c r="HB185" s="6"/>
      <c r="HC185" s="6"/>
      <c r="HD185" s="6"/>
    </row>
    <row r="186" spans="1:212" x14ac:dyDescent="0.2">
      <c r="A186" s="8" t="s">
        <v>858</v>
      </c>
      <c r="B186" s="8" t="s">
        <v>415</v>
      </c>
      <c r="C186" s="8" t="s">
        <v>417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>
        <v>422888</v>
      </c>
      <c r="BO186" s="9">
        <v>368150.6</v>
      </c>
      <c r="BP186" s="9">
        <v>44497.5</v>
      </c>
      <c r="BQ186" s="9">
        <v>22042.7</v>
      </c>
      <c r="BR186" s="9">
        <v>39065.699999999997</v>
      </c>
      <c r="BS186" s="9">
        <v>99054.1</v>
      </c>
      <c r="BT186" s="9">
        <v>99296</v>
      </c>
      <c r="BU186" s="9">
        <v>48801.9</v>
      </c>
      <c r="BV186" s="9">
        <v>54737.5</v>
      </c>
      <c r="BW186" s="9">
        <v>425860.4</v>
      </c>
      <c r="BX186" s="9">
        <v>3418.4</v>
      </c>
      <c r="BY186" s="9">
        <v>16542.599999999999</v>
      </c>
      <c r="BZ186" s="9">
        <v>136280</v>
      </c>
      <c r="CA186" s="9">
        <v>19010.7</v>
      </c>
      <c r="CB186" s="9">
        <v>4732.2</v>
      </c>
      <c r="CC186" s="9">
        <v>178584.4</v>
      </c>
      <c r="CD186" s="9">
        <v>1043.7</v>
      </c>
      <c r="CE186" s="9">
        <v>96461.1</v>
      </c>
      <c r="CF186" s="9">
        <v>1689542.771029114</v>
      </c>
      <c r="CG186" s="9">
        <v>9844468.5994521789</v>
      </c>
      <c r="CH186" s="9"/>
      <c r="CI186" s="9"/>
      <c r="CJ186" s="9">
        <v>19.7522789436</v>
      </c>
      <c r="CK186" s="9">
        <v>12.868173065400001</v>
      </c>
      <c r="CL186" s="9">
        <v>13</v>
      </c>
      <c r="CM186" s="9">
        <v>100.9282750246</v>
      </c>
      <c r="CN186" s="9">
        <v>30.8819311972</v>
      </c>
      <c r="CO186" s="9">
        <v>4.0119871969999998</v>
      </c>
      <c r="CP186" s="9">
        <v>18.441726274600001</v>
      </c>
      <c r="CQ186" s="9">
        <v>12.013155620899999</v>
      </c>
      <c r="CR186" s="9">
        <v>4.7086428671</v>
      </c>
      <c r="CS186" s="9">
        <v>3.1758848811</v>
      </c>
      <c r="CT186" s="9">
        <v>10.504136383600001</v>
      </c>
      <c r="CU186" s="9">
        <v>2.7533683881000002</v>
      </c>
      <c r="CV186" s="9">
        <v>2.0761730297000001</v>
      </c>
      <c r="CW186" s="9">
        <v>5.6362653829999996</v>
      </c>
      <c r="CX186" s="9">
        <v>2.7998721578999999</v>
      </c>
      <c r="CY186" s="9">
        <v>3.9251316442999999</v>
      </c>
      <c r="CZ186" s="9">
        <v>417</v>
      </c>
      <c r="DA186" s="9">
        <v>337</v>
      </c>
      <c r="DB186" s="9">
        <v>0</v>
      </c>
      <c r="DC186" s="9">
        <v>220</v>
      </c>
      <c r="DD186" s="9">
        <v>15</v>
      </c>
      <c r="DE186" s="9">
        <v>10</v>
      </c>
      <c r="DF186" s="9">
        <v>44</v>
      </c>
      <c r="DG186" s="9">
        <v>38</v>
      </c>
      <c r="DH186" s="9">
        <v>61</v>
      </c>
      <c r="DI186" s="9">
        <v>0</v>
      </c>
      <c r="DJ186" s="9">
        <v>2</v>
      </c>
      <c r="DK186" s="9">
        <v>56</v>
      </c>
      <c r="DL186" s="9">
        <v>1</v>
      </c>
      <c r="DM186" s="9">
        <v>18</v>
      </c>
      <c r="DN186" s="9">
        <v>0</v>
      </c>
      <c r="DO186" s="9">
        <v>412.56</v>
      </c>
      <c r="DP186" s="9">
        <v>110.93</v>
      </c>
      <c r="DQ186" s="9">
        <v>59.29</v>
      </c>
      <c r="DR186" s="9">
        <v>51.64</v>
      </c>
      <c r="DS186" s="9">
        <v>54.6</v>
      </c>
      <c r="DT186" s="9">
        <v>10.99</v>
      </c>
      <c r="DU186" s="9">
        <v>169.35</v>
      </c>
      <c r="DV186" s="9">
        <v>71.45</v>
      </c>
      <c r="DW186" s="9">
        <v>71.239999999999995</v>
      </c>
      <c r="DX186" s="9">
        <v>64.489999999999995</v>
      </c>
      <c r="DY186" s="9">
        <v>36.380000000000003</v>
      </c>
      <c r="DZ186" s="9">
        <v>18.21</v>
      </c>
      <c r="EA186" s="9">
        <v>-226.63399999999999</v>
      </c>
      <c r="EB186" s="9">
        <v>-93.766599999999997</v>
      </c>
      <c r="EC186" s="9">
        <v>-57.021099999999997</v>
      </c>
      <c r="ED186" s="9">
        <v>-105.03</v>
      </c>
      <c r="EE186" s="9">
        <v>29.183769999999999</v>
      </c>
      <c r="EF186" s="9">
        <v>9.5889260000000007</v>
      </c>
      <c r="EG186" s="9">
        <v>-353.17899999999997</v>
      </c>
      <c r="EH186" s="9">
        <v>-39.163600000000002</v>
      </c>
      <c r="EI186" s="9">
        <v>-486.08600000000001</v>
      </c>
      <c r="EJ186" s="9">
        <v>-0.1106</v>
      </c>
      <c r="EK186" s="9">
        <v>172.1816</v>
      </c>
      <c r="EL186" s="9">
        <v>202.59100000000001</v>
      </c>
      <c r="EM186" s="9">
        <v>338.7244</v>
      </c>
      <c r="EN186" s="9">
        <v>1591</v>
      </c>
      <c r="EO186" s="9"/>
      <c r="EP186" s="9"/>
      <c r="EQ186" s="9"/>
      <c r="ER186" s="9"/>
      <c r="ES186" s="9"/>
      <c r="ET186" s="9"/>
      <c r="EU186">
        <v>1939.28</v>
      </c>
      <c r="EV186" s="9"/>
      <c r="EW186" s="9"/>
      <c r="EX186" s="9"/>
      <c r="EY186" s="9"/>
      <c r="EZ186" s="9"/>
      <c r="FA186" s="9"/>
      <c r="FB186" s="9">
        <v>65.671240601500003</v>
      </c>
      <c r="FC186" s="9">
        <v>64.5614285714</v>
      </c>
      <c r="FD186" s="9">
        <v>6294.7763157894997</v>
      </c>
      <c r="FE186" s="9">
        <v>60.428571428600002</v>
      </c>
      <c r="FF186" s="9">
        <v>1199.052631579</v>
      </c>
      <c r="FG186">
        <v>12201750.680000002</v>
      </c>
      <c r="FH186">
        <v>12110369.220000001</v>
      </c>
      <c r="FI186">
        <v>91381.46</v>
      </c>
      <c r="FJ186" s="9">
        <v>10785612.390000001</v>
      </c>
      <c r="FK186">
        <v>7795822.9699999997</v>
      </c>
      <c r="FL186" s="9">
        <v>2989789.42</v>
      </c>
      <c r="FM186" s="9">
        <v>21462990.760000002</v>
      </c>
      <c r="FN186" s="9">
        <v>2337068.21</v>
      </c>
      <c r="FO186">
        <v>1907.32</v>
      </c>
      <c r="FP186">
        <v>0</v>
      </c>
      <c r="FQ186">
        <v>121.03</v>
      </c>
      <c r="FR186">
        <v>366.89</v>
      </c>
      <c r="FS186">
        <v>7.81</v>
      </c>
      <c r="FT186">
        <v>925.4</v>
      </c>
      <c r="FU186">
        <v>645.52</v>
      </c>
      <c r="FV186">
        <v>120.52</v>
      </c>
      <c r="FW186">
        <v>18041.28</v>
      </c>
      <c r="FX186">
        <v>1376.2</v>
      </c>
      <c r="HB186" s="6"/>
      <c r="HC186" s="6"/>
      <c r="HD186" s="6"/>
    </row>
    <row r="187" spans="1:212" x14ac:dyDescent="0.2">
      <c r="A187" s="8" t="s">
        <v>858</v>
      </c>
      <c r="B187" s="8" t="s">
        <v>415</v>
      </c>
      <c r="C187" s="8" t="s">
        <v>418</v>
      </c>
      <c r="D187" s="9">
        <v>6041806.5999999996</v>
      </c>
      <c r="E187" s="9">
        <v>1387507</v>
      </c>
      <c r="F187" s="9">
        <v>776807.5</v>
      </c>
      <c r="G187" s="9">
        <v>359163.9</v>
      </c>
      <c r="H187" s="9">
        <v>98878.6</v>
      </c>
      <c r="I187" s="9">
        <v>248033.2</v>
      </c>
      <c r="J187" s="9">
        <v>455972.5</v>
      </c>
      <c r="K187" s="9">
        <v>291051.3</v>
      </c>
      <c r="L187" s="9">
        <v>115946.3</v>
      </c>
      <c r="M187" s="9">
        <v>1776057</v>
      </c>
      <c r="N187" s="9">
        <v>532389.19999999995</v>
      </c>
      <c r="O187" s="9">
        <v>6296040.4380000001</v>
      </c>
      <c r="P187" s="9">
        <v>1462816.1240000001</v>
      </c>
      <c r="Q187" s="9">
        <v>884857.58900000004</v>
      </c>
      <c r="R187" s="9">
        <v>403655.17499999999</v>
      </c>
      <c r="S187" s="9">
        <v>109852.614</v>
      </c>
      <c r="T187" s="9">
        <v>249750.62100000001</v>
      </c>
      <c r="U187" s="9">
        <v>552690.005</v>
      </c>
      <c r="V187" s="9">
        <v>230347.242</v>
      </c>
      <c r="W187" s="9">
        <v>112802.292</v>
      </c>
      <c r="X187" s="9">
        <v>1609954.8489999999</v>
      </c>
      <c r="Y187" s="9">
        <v>679313.92700000003</v>
      </c>
      <c r="Z187" s="9">
        <v>6089978</v>
      </c>
      <c r="AA187" s="9">
        <v>3849706.1</v>
      </c>
      <c r="AB187" s="9">
        <v>843536.5</v>
      </c>
      <c r="AC187" s="9">
        <v>1140303.3</v>
      </c>
      <c r="AD187" s="9">
        <v>381022.9</v>
      </c>
      <c r="AE187" s="9">
        <v>2868306.9</v>
      </c>
      <c r="AF187" s="9">
        <v>2992897.7</v>
      </c>
      <c r="AG187" s="9">
        <v>5982719.9000000004</v>
      </c>
      <c r="AH187" s="9">
        <v>3943573.4</v>
      </c>
      <c r="AI187" s="9">
        <v>911334.5</v>
      </c>
      <c r="AJ187" s="9">
        <v>1032295.3</v>
      </c>
      <c r="AK187" s="9">
        <v>508975.2</v>
      </c>
      <c r="AL187" s="9">
        <v>2582393.9</v>
      </c>
      <c r="AM187" s="9">
        <v>2995852.5</v>
      </c>
      <c r="AN187" s="9">
        <v>1145341</v>
      </c>
      <c r="AO187" s="9">
        <v>599987</v>
      </c>
      <c r="AP187" s="9">
        <v>545354</v>
      </c>
      <c r="AQ187" s="9">
        <v>97290</v>
      </c>
      <c r="AR187" s="9">
        <v>58200</v>
      </c>
      <c r="AS187" s="9">
        <v>39090</v>
      </c>
      <c r="AT187" s="9">
        <v>735299</v>
      </c>
      <c r="AU187" s="9">
        <v>295458</v>
      </c>
      <c r="AV187" s="9">
        <v>439841</v>
      </c>
      <c r="AW187" s="9">
        <v>853.9</v>
      </c>
      <c r="AX187" s="9">
        <v>679.8</v>
      </c>
      <c r="AY187" s="9">
        <v>2008.8</v>
      </c>
      <c r="AZ187" s="9">
        <v>793.9</v>
      </c>
      <c r="BA187" s="9">
        <v>1121.4000000000001</v>
      </c>
      <c r="BB187" s="9">
        <v>670</v>
      </c>
      <c r="BC187" s="9">
        <v>699.4</v>
      </c>
      <c r="BD187" s="9">
        <v>730.3</v>
      </c>
      <c r="BE187" s="9">
        <v>929.3</v>
      </c>
      <c r="BF187" s="9">
        <v>556.9</v>
      </c>
      <c r="BG187" s="9">
        <v>887.2</v>
      </c>
      <c r="BH187" s="9">
        <v>1084.2</v>
      </c>
      <c r="BI187" s="9">
        <v>811.9</v>
      </c>
      <c r="BJ187" s="9">
        <v>858.5</v>
      </c>
      <c r="BK187" s="9">
        <v>799.3</v>
      </c>
      <c r="BL187" s="9">
        <v>630.6</v>
      </c>
      <c r="BM187" s="9">
        <v>796.2</v>
      </c>
      <c r="BN187" s="9">
        <v>542258.19999999995</v>
      </c>
      <c r="BO187" s="9">
        <v>495978.8</v>
      </c>
      <c r="BP187" s="9">
        <v>104889.8</v>
      </c>
      <c r="BQ187" s="9">
        <v>56534.1</v>
      </c>
      <c r="BR187" s="9">
        <v>49454.6</v>
      </c>
      <c r="BS187" s="9">
        <v>119102</v>
      </c>
      <c r="BT187" s="9">
        <v>109969.8</v>
      </c>
      <c r="BU187" s="9">
        <v>48536</v>
      </c>
      <c r="BV187" s="9">
        <v>46279.3</v>
      </c>
      <c r="BW187" s="9">
        <v>621175.69999999995</v>
      </c>
      <c r="BX187" s="9">
        <v>6077.9</v>
      </c>
      <c r="BY187" s="9">
        <v>15243.1</v>
      </c>
      <c r="BZ187" s="9">
        <v>198877</v>
      </c>
      <c r="CA187" s="9">
        <v>105449.60000000001</v>
      </c>
      <c r="CB187" s="9">
        <v>11781.7</v>
      </c>
      <c r="CC187" s="9">
        <v>215227.7</v>
      </c>
      <c r="CD187" s="9">
        <v>956.4</v>
      </c>
      <c r="CE187" s="9">
        <v>102211.6</v>
      </c>
      <c r="CF187" s="9">
        <v>1664079.8614780791</v>
      </c>
      <c r="CG187" s="9">
        <v>10039918.160648551</v>
      </c>
      <c r="CH187" s="9"/>
      <c r="CI187" s="9"/>
      <c r="CJ187" s="9">
        <v>19.817912575899999</v>
      </c>
      <c r="CK187" s="9">
        <v>11.797954079</v>
      </c>
      <c r="CL187" s="9">
        <v>13</v>
      </c>
      <c r="CM187" s="9">
        <v>100.8645563586</v>
      </c>
      <c r="CN187" s="9">
        <v>30.7462709526</v>
      </c>
      <c r="CO187" s="9">
        <v>4.0258238658999996</v>
      </c>
      <c r="CP187" s="9">
        <v>18.488357922999999</v>
      </c>
      <c r="CQ187" s="9">
        <v>11.982727200799999</v>
      </c>
      <c r="CR187" s="9">
        <v>4.7275154789</v>
      </c>
      <c r="CS187" s="9">
        <v>3.1736632303999999</v>
      </c>
      <c r="CT187" s="9">
        <v>10.517966900599999</v>
      </c>
      <c r="CU187" s="9">
        <v>2.7431392435999999</v>
      </c>
      <c r="CV187" s="9">
        <v>2.0602060442000001</v>
      </c>
      <c r="CW187" s="9">
        <v>5.6362653829999996</v>
      </c>
      <c r="CX187" s="9">
        <v>2.8136001875000001</v>
      </c>
      <c r="CY187" s="9">
        <v>3.9490199483000001</v>
      </c>
      <c r="CZ187" s="9">
        <v>501</v>
      </c>
      <c r="DA187" s="9">
        <v>429</v>
      </c>
      <c r="DB187" s="9">
        <v>25</v>
      </c>
      <c r="DC187" s="9">
        <v>260</v>
      </c>
      <c r="DD187" s="9">
        <v>18</v>
      </c>
      <c r="DE187" s="9">
        <v>8</v>
      </c>
      <c r="DF187" s="9">
        <v>70</v>
      </c>
      <c r="DG187" s="9">
        <v>36</v>
      </c>
      <c r="DH187" s="9">
        <v>55</v>
      </c>
      <c r="DI187" s="9">
        <v>2</v>
      </c>
      <c r="DJ187" s="9">
        <v>0</v>
      </c>
      <c r="DK187" s="9">
        <v>51</v>
      </c>
      <c r="DL187" s="9">
        <v>1</v>
      </c>
      <c r="DM187" s="9">
        <v>16</v>
      </c>
      <c r="DN187" s="9">
        <v>0</v>
      </c>
      <c r="DO187" s="9">
        <v>392.03</v>
      </c>
      <c r="DP187" s="9">
        <v>109.05</v>
      </c>
      <c r="DQ187" s="9">
        <v>56.85</v>
      </c>
      <c r="DR187" s="9">
        <v>52.2</v>
      </c>
      <c r="DS187" s="9">
        <v>49.77</v>
      </c>
      <c r="DT187" s="9">
        <v>11.76</v>
      </c>
      <c r="DU187" s="9">
        <v>171.06</v>
      </c>
      <c r="DV187" s="9">
        <v>90.65</v>
      </c>
      <c r="DW187" s="9">
        <v>57.66</v>
      </c>
      <c r="DX187" s="9">
        <v>61.56</v>
      </c>
      <c r="DY187" s="9">
        <v>36.17</v>
      </c>
      <c r="DZ187" s="9">
        <v>17.02</v>
      </c>
      <c r="EA187" s="9">
        <v>-96.566500000000005</v>
      </c>
      <c r="EB187" s="9">
        <v>71.522580000000005</v>
      </c>
      <c r="EC187" s="9">
        <v>-63.671100000000003</v>
      </c>
      <c r="ED187" s="9">
        <v>-126.732</v>
      </c>
      <c r="EE187" s="9">
        <v>22.313510000000001</v>
      </c>
      <c r="EF187" s="9">
        <v>11.23668</v>
      </c>
      <c r="EG187" s="9">
        <v>-131.92099999999999</v>
      </c>
      <c r="EH187" s="9">
        <v>-28.0762</v>
      </c>
      <c r="EI187" s="9">
        <v>-159.739</v>
      </c>
      <c r="EJ187" s="9">
        <v>-2.8459999999999999E-2</v>
      </c>
      <c r="EK187" s="9">
        <v>55.92351</v>
      </c>
      <c r="EL187" s="9">
        <v>18.381350000000001</v>
      </c>
      <c r="EM187" s="9">
        <v>64.971990000000005</v>
      </c>
      <c r="EN187" s="9">
        <v>1685.6</v>
      </c>
      <c r="EO187" s="9"/>
      <c r="EP187" s="9"/>
      <c r="EQ187" s="9"/>
      <c r="ER187" s="9"/>
      <c r="ES187" s="9"/>
      <c r="ET187" s="9"/>
      <c r="EU187">
        <v>1903.29</v>
      </c>
      <c r="EV187" s="9">
        <v>22428.560000000001</v>
      </c>
      <c r="EW187" s="9">
        <v>3673.69</v>
      </c>
      <c r="EX187" s="9">
        <v>1851.34</v>
      </c>
      <c r="EY187" s="9">
        <v>2241.11</v>
      </c>
      <c r="EZ187" s="9">
        <v>3798.42</v>
      </c>
      <c r="FA187" s="9">
        <v>10863.99</v>
      </c>
      <c r="FB187" s="9">
        <v>63.104707792200003</v>
      </c>
      <c r="FC187" s="9">
        <v>62.345909090900001</v>
      </c>
      <c r="FD187" s="9">
        <v>5833.0113636364003</v>
      </c>
      <c r="FE187" s="9">
        <v>61.840909090899999</v>
      </c>
      <c r="FF187" s="9">
        <v>1181.5045454545</v>
      </c>
      <c r="FG187">
        <v>11975572.51</v>
      </c>
      <c r="FH187">
        <v>11881967.27</v>
      </c>
      <c r="FI187">
        <v>93605.24</v>
      </c>
      <c r="FJ187" s="9">
        <v>11055452.880000001</v>
      </c>
      <c r="FK187">
        <v>8113221.7599999998</v>
      </c>
      <c r="FL187" s="9">
        <v>2942231.12</v>
      </c>
      <c r="FM187" s="9">
        <v>21861631.640000001</v>
      </c>
      <c r="FN187" s="9">
        <v>2325888.11</v>
      </c>
      <c r="FO187">
        <v>1963.56</v>
      </c>
      <c r="FP187">
        <v>651.66999999999996</v>
      </c>
      <c r="FQ187">
        <v>127.99</v>
      </c>
      <c r="FR187">
        <v>404.75</v>
      </c>
      <c r="FS187">
        <v>6.01</v>
      </c>
      <c r="FT187">
        <v>1682.26</v>
      </c>
      <c r="FU187">
        <v>607.67999999999995</v>
      </c>
      <c r="FV187">
        <v>501.78</v>
      </c>
      <c r="FW187">
        <v>4553.3</v>
      </c>
      <c r="FX187">
        <v>1231.3800000000001</v>
      </c>
      <c r="HB187" s="6"/>
      <c r="HC187" s="6"/>
      <c r="HD187" s="6"/>
    </row>
    <row r="188" spans="1:212" x14ac:dyDescent="0.2">
      <c r="A188" s="8" t="s">
        <v>858</v>
      </c>
      <c r="B188" s="8" t="s">
        <v>419</v>
      </c>
      <c r="C188" s="8" t="s">
        <v>420</v>
      </c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>
        <v>502727.9</v>
      </c>
      <c r="BO188" s="9">
        <v>404552.8</v>
      </c>
      <c r="BP188" s="9">
        <v>85294.7</v>
      </c>
      <c r="BQ188" s="9">
        <v>44874.8</v>
      </c>
      <c r="BR188" s="9">
        <v>39660.199999999997</v>
      </c>
      <c r="BS188" s="9">
        <v>71748.3</v>
      </c>
      <c r="BT188" s="9">
        <v>83527.399999999994</v>
      </c>
      <c r="BU188" s="9">
        <v>59708.4</v>
      </c>
      <c r="BV188" s="9">
        <v>98175.1</v>
      </c>
      <c r="BW188" s="9">
        <v>408613.1</v>
      </c>
      <c r="BX188" s="9">
        <v>5260.7</v>
      </c>
      <c r="BY188" s="9">
        <v>20817.400000000001</v>
      </c>
      <c r="BZ188" s="9">
        <v>115502.8</v>
      </c>
      <c r="CA188" s="9">
        <v>38369.5</v>
      </c>
      <c r="CB188" s="9">
        <v>7685.7</v>
      </c>
      <c r="CC188" s="9">
        <v>163589.5</v>
      </c>
      <c r="CD188" s="9">
        <v>1875.7</v>
      </c>
      <c r="CE188" s="9">
        <v>191818.7</v>
      </c>
      <c r="CF188" s="9">
        <v>1654159.846595241</v>
      </c>
      <c r="CG188" s="9">
        <v>9860650.2046720032</v>
      </c>
      <c r="CH188" s="9"/>
      <c r="CI188" s="9"/>
      <c r="CJ188" s="9">
        <v>19.412835985299999</v>
      </c>
      <c r="CK188" s="9">
        <v>12.569463665900001</v>
      </c>
      <c r="CL188" s="9">
        <v>13</v>
      </c>
      <c r="CM188" s="9">
        <v>100.8888349497</v>
      </c>
      <c r="CN188" s="9">
        <v>30.722213232200001</v>
      </c>
      <c r="CO188" s="9">
        <v>4.0284844406999998</v>
      </c>
      <c r="CP188" s="9">
        <v>18.4974774051</v>
      </c>
      <c r="CQ188" s="9">
        <v>11.949031852799999</v>
      </c>
      <c r="CR188" s="9">
        <v>4.7406863513999999</v>
      </c>
      <c r="CS188" s="9">
        <v>3.1893727166999999</v>
      </c>
      <c r="CT188" s="9">
        <v>10.522042919800001</v>
      </c>
      <c r="CU188" s="9">
        <v>2.7369015282000002</v>
      </c>
      <c r="CV188" s="9">
        <v>2.0634070478000002</v>
      </c>
      <c r="CW188" s="9">
        <v>5.6362653829999996</v>
      </c>
      <c r="CX188" s="9">
        <v>2.8160363899999998</v>
      </c>
      <c r="CY188" s="9">
        <v>3.9869156818999998</v>
      </c>
      <c r="CZ188" s="9">
        <v>443</v>
      </c>
      <c r="DA188" s="9">
        <v>352</v>
      </c>
      <c r="DB188" s="9">
        <v>22</v>
      </c>
      <c r="DC188" s="9">
        <v>206</v>
      </c>
      <c r="DD188" s="9">
        <v>20</v>
      </c>
      <c r="DE188" s="9">
        <v>10</v>
      </c>
      <c r="DF188" s="9">
        <v>44</v>
      </c>
      <c r="DG188" s="9">
        <v>38</v>
      </c>
      <c r="DH188" s="9">
        <v>60</v>
      </c>
      <c r="DI188" s="9">
        <v>0</v>
      </c>
      <c r="DJ188" s="9">
        <v>1</v>
      </c>
      <c r="DK188" s="9">
        <v>58</v>
      </c>
      <c r="DL188" s="9">
        <v>0</v>
      </c>
      <c r="DM188" s="9">
        <v>30</v>
      </c>
      <c r="DN188" s="9">
        <v>0</v>
      </c>
      <c r="DO188" s="9">
        <v>369.73</v>
      </c>
      <c r="DP188" s="9">
        <v>99.01</v>
      </c>
      <c r="DQ188" s="9">
        <v>55.71</v>
      </c>
      <c r="DR188" s="9">
        <v>43.31</v>
      </c>
      <c r="DS188" s="9">
        <v>49.48</v>
      </c>
      <c r="DT188" s="9">
        <v>11.37</v>
      </c>
      <c r="DU188" s="9">
        <v>136.35</v>
      </c>
      <c r="DV188" s="9">
        <v>58.12</v>
      </c>
      <c r="DW188" s="9">
        <v>56.79</v>
      </c>
      <c r="DX188" s="9">
        <v>84.18</v>
      </c>
      <c r="DY188" s="9">
        <v>48.57</v>
      </c>
      <c r="DZ188" s="9">
        <v>24.74</v>
      </c>
      <c r="EA188" s="9">
        <v>-118.89</v>
      </c>
      <c r="EB188" s="9">
        <v>21.889559999999999</v>
      </c>
      <c r="EC188" s="9">
        <v>-50.748899999999999</v>
      </c>
      <c r="ED188" s="9">
        <v>-104.752</v>
      </c>
      <c r="EE188" s="9">
        <v>14.721970000000001</v>
      </c>
      <c r="EF188" s="9">
        <v>13.647019999999999</v>
      </c>
      <c r="EG188" s="9">
        <v>-185.071</v>
      </c>
      <c r="EH188" s="9">
        <v>6.4477549999999999</v>
      </c>
      <c r="EI188" s="9">
        <v>8.6892560000000003</v>
      </c>
      <c r="EJ188" s="9">
        <v>7.7980000000000002E-3</v>
      </c>
      <c r="EK188" s="9">
        <v>-200.21600000000001</v>
      </c>
      <c r="EL188" s="9">
        <v>-80.748400000000004</v>
      </c>
      <c r="EM188" s="9">
        <v>-0.91993999999999998</v>
      </c>
      <c r="EN188" s="9">
        <v>1707.2</v>
      </c>
      <c r="EO188" s="9"/>
      <c r="EP188" s="9"/>
      <c r="EQ188" s="9"/>
      <c r="ER188" s="9"/>
      <c r="ES188" s="9"/>
      <c r="ET188" s="9"/>
      <c r="EU188">
        <v>1978.28</v>
      </c>
      <c r="EV188" s="9"/>
      <c r="EW188" s="9"/>
      <c r="EX188" s="9"/>
      <c r="EY188" s="9"/>
      <c r="EZ188" s="9"/>
      <c r="FA188" s="9"/>
      <c r="FB188" s="9">
        <v>64.483229813700007</v>
      </c>
      <c r="FC188" s="9">
        <v>55.865652173900003</v>
      </c>
      <c r="FD188" s="9">
        <v>5456.75</v>
      </c>
      <c r="FE188" s="9">
        <v>52.173913043500001</v>
      </c>
      <c r="FF188" s="9">
        <v>1130.0369565216999</v>
      </c>
      <c r="FG188">
        <v>12022461.550000001</v>
      </c>
      <c r="FH188">
        <v>11927125.08</v>
      </c>
      <c r="FI188">
        <v>95336.47</v>
      </c>
      <c r="FJ188" s="9">
        <v>10808887.690000001</v>
      </c>
      <c r="FK188">
        <v>8076758.3499999996</v>
      </c>
      <c r="FL188" s="9">
        <v>2732129.34</v>
      </c>
      <c r="FM188" s="9">
        <v>21459233.949999999</v>
      </c>
      <c r="FN188" s="9">
        <v>2347535.9300000002</v>
      </c>
      <c r="FO188">
        <v>1985.06</v>
      </c>
      <c r="FP188">
        <v>622.07000000000005</v>
      </c>
      <c r="FQ188">
        <v>119.91</v>
      </c>
      <c r="FR188">
        <v>403.65</v>
      </c>
      <c r="FS188">
        <v>8.41</v>
      </c>
      <c r="FT188">
        <v>1258.4100000000001</v>
      </c>
      <c r="FU188">
        <v>733.18</v>
      </c>
      <c r="FV188">
        <v>0.44</v>
      </c>
      <c r="FW188">
        <v>7375.5</v>
      </c>
      <c r="FX188">
        <v>1443.31</v>
      </c>
      <c r="HB188" s="6"/>
      <c r="HC188" s="6"/>
      <c r="HD188" s="6"/>
    </row>
    <row r="189" spans="1:212" x14ac:dyDescent="0.2">
      <c r="A189" s="8" t="s">
        <v>858</v>
      </c>
      <c r="B189" s="8" t="s">
        <v>419</v>
      </c>
      <c r="C189" s="8" t="s">
        <v>421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>
        <v>433863.3</v>
      </c>
      <c r="BO189" s="9">
        <v>321479.7</v>
      </c>
      <c r="BP189" s="9">
        <v>64582</v>
      </c>
      <c r="BQ189" s="9">
        <v>33407.9</v>
      </c>
      <c r="BR189" s="9">
        <v>31796.6</v>
      </c>
      <c r="BS189" s="9">
        <v>72501.3</v>
      </c>
      <c r="BT189" s="9">
        <v>73632.7</v>
      </c>
      <c r="BU189" s="9">
        <v>39572.6</v>
      </c>
      <c r="BV189" s="9">
        <v>112383.6</v>
      </c>
      <c r="BW189" s="9">
        <v>434044.1</v>
      </c>
      <c r="BX189" s="9">
        <v>-917.8</v>
      </c>
      <c r="BY189" s="9">
        <v>12963.8</v>
      </c>
      <c r="BZ189" s="9">
        <v>105484.2</v>
      </c>
      <c r="CA189" s="9">
        <v>88195.5</v>
      </c>
      <c r="CB189" s="9">
        <v>6021.9</v>
      </c>
      <c r="CC189" s="9">
        <v>162871.29999999999</v>
      </c>
      <c r="CD189" s="9">
        <v>1652.6</v>
      </c>
      <c r="CE189" s="9">
        <v>132086.20000000001</v>
      </c>
      <c r="CF189" s="9">
        <v>1681847.4936949031</v>
      </c>
      <c r="CG189" s="9">
        <v>9963096.562649684</v>
      </c>
      <c r="CH189" s="9"/>
      <c r="CI189" s="9"/>
      <c r="CJ189" s="9">
        <v>20.054014079400002</v>
      </c>
      <c r="CK189" s="9">
        <v>12.2478530752</v>
      </c>
      <c r="CL189" s="9">
        <v>13</v>
      </c>
      <c r="CM189" s="9">
        <v>101.0000928171</v>
      </c>
      <c r="CN189" s="9">
        <v>29.401351322299998</v>
      </c>
      <c r="CO189" s="9">
        <v>4.0313203599999996</v>
      </c>
      <c r="CP189" s="9">
        <v>18.531752581300001</v>
      </c>
      <c r="CQ189" s="9">
        <v>12.0094031224</v>
      </c>
      <c r="CR189" s="9">
        <v>4.7542076747999999</v>
      </c>
      <c r="CS189" s="9">
        <v>3.1927357752000001</v>
      </c>
      <c r="CT189" s="9">
        <v>10.5176289824</v>
      </c>
      <c r="CU189" s="9">
        <v>2.737153357</v>
      </c>
      <c r="CV189" s="9">
        <v>2.0682836664000002</v>
      </c>
      <c r="CW189" s="9">
        <v>6.9377690183</v>
      </c>
      <c r="CX189" s="9">
        <v>2.8199829399</v>
      </c>
      <c r="CY189" s="9">
        <v>3.9985040171000001</v>
      </c>
      <c r="CZ189" s="9">
        <v>439</v>
      </c>
      <c r="DA189" s="9">
        <v>407</v>
      </c>
      <c r="DB189" s="9">
        <v>83</v>
      </c>
      <c r="DC189" s="9">
        <v>214</v>
      </c>
      <c r="DD189" s="9">
        <v>16</v>
      </c>
      <c r="DE189" s="9">
        <v>8</v>
      </c>
      <c r="DF189" s="9">
        <v>48</v>
      </c>
      <c r="DG189" s="9">
        <v>29</v>
      </c>
      <c r="DH189" s="9">
        <v>16</v>
      </c>
      <c r="DI189" s="9">
        <v>0</v>
      </c>
      <c r="DJ189" s="9">
        <v>1</v>
      </c>
      <c r="DK189" s="9">
        <v>12</v>
      </c>
      <c r="DL189" s="9">
        <v>0</v>
      </c>
      <c r="DM189" s="9">
        <v>16</v>
      </c>
      <c r="DN189" s="9">
        <v>0</v>
      </c>
      <c r="DO189" s="9">
        <v>337.85</v>
      </c>
      <c r="DP189" s="9">
        <v>85.48</v>
      </c>
      <c r="DQ189" s="9">
        <v>50.87</v>
      </c>
      <c r="DR189" s="9">
        <v>34.61</v>
      </c>
      <c r="DS189" s="9">
        <v>39.97</v>
      </c>
      <c r="DT189" s="9">
        <v>8.36</v>
      </c>
      <c r="DU189" s="9">
        <v>145.38</v>
      </c>
      <c r="DV189" s="9">
        <v>73.180000000000007</v>
      </c>
      <c r="DW189" s="9">
        <v>54.41</v>
      </c>
      <c r="DX189" s="9">
        <v>66.37</v>
      </c>
      <c r="DY189" s="9">
        <v>35.15</v>
      </c>
      <c r="DZ189" s="9">
        <v>20.78</v>
      </c>
      <c r="EA189" s="9">
        <v>26.645679999999999</v>
      </c>
      <c r="EB189" s="9">
        <v>83.083690000000004</v>
      </c>
      <c r="EC189" s="9">
        <v>0.42662899999999998</v>
      </c>
      <c r="ED189" s="9">
        <v>-69.557199999999995</v>
      </c>
      <c r="EE189" s="9">
        <v>12.692589999999999</v>
      </c>
      <c r="EF189" s="9">
        <v>8.5753550000000001</v>
      </c>
      <c r="EG189" s="9">
        <v>-91.482699999999994</v>
      </c>
      <c r="EH189" s="9">
        <v>-18.156099999999999</v>
      </c>
      <c r="EI189" s="9">
        <v>-18.241800000000001</v>
      </c>
      <c r="EJ189" s="9">
        <v>4.2640999999999998E-2</v>
      </c>
      <c r="EK189" s="9">
        <v>-55.127400000000002</v>
      </c>
      <c r="EL189" s="9">
        <v>-83.634299999999996</v>
      </c>
      <c r="EM189" s="9">
        <v>43.069400000000002</v>
      </c>
      <c r="EN189" s="9">
        <v>1728.7</v>
      </c>
      <c r="EO189" s="9"/>
      <c r="EP189" s="9"/>
      <c r="EQ189" s="9"/>
      <c r="ER189" s="9"/>
      <c r="ES189" s="9"/>
      <c r="ET189" s="9"/>
      <c r="EU189">
        <v>1990.48</v>
      </c>
      <c r="EV189" s="9"/>
      <c r="EW189" s="9"/>
      <c r="EX189" s="9"/>
      <c r="EY189" s="9"/>
      <c r="EZ189" s="9"/>
      <c r="FA189" s="9"/>
      <c r="FB189" s="9">
        <v>63.393214285699997</v>
      </c>
      <c r="FC189" s="9">
        <v>46.994285714299998</v>
      </c>
      <c r="FD189" s="9">
        <v>5127.3</v>
      </c>
      <c r="FE189" s="9">
        <v>57.333333333299997</v>
      </c>
      <c r="FF189" s="9">
        <v>1117.4749999999999</v>
      </c>
      <c r="FG189">
        <v>11871439.880000001</v>
      </c>
      <c r="FH189">
        <v>11775464.550000001</v>
      </c>
      <c r="FI189">
        <v>95975.33</v>
      </c>
      <c r="FJ189" s="9">
        <v>10890058.970000003</v>
      </c>
      <c r="FK189">
        <v>8214799.6399999997</v>
      </c>
      <c r="FL189" s="9">
        <v>2675259.33</v>
      </c>
      <c r="FM189" s="9">
        <v>21597132.149999999</v>
      </c>
      <c r="FN189" s="9">
        <v>2304444.7200000002</v>
      </c>
      <c r="FO189">
        <v>1991.49</v>
      </c>
      <c r="FP189">
        <v>2323.56</v>
      </c>
      <c r="FQ189">
        <v>146.33000000000001</v>
      </c>
      <c r="FR189">
        <v>379.55</v>
      </c>
      <c r="FS189">
        <v>7.21</v>
      </c>
      <c r="FT189">
        <v>1456.47</v>
      </c>
      <c r="FU189">
        <v>688.73</v>
      </c>
      <c r="FV189">
        <v>53.65</v>
      </c>
      <c r="FW189">
        <v>15696.5</v>
      </c>
      <c r="FX189">
        <v>260.32</v>
      </c>
      <c r="HB189" s="6"/>
      <c r="HC189" s="6"/>
      <c r="HD189" s="6"/>
    </row>
    <row r="190" spans="1:212" x14ac:dyDescent="0.2">
      <c r="A190" s="8" t="s">
        <v>858</v>
      </c>
      <c r="B190" s="8" t="s">
        <v>419</v>
      </c>
      <c r="C190" s="8" t="s">
        <v>422</v>
      </c>
      <c r="D190" s="9">
        <v>6463642.5999999996</v>
      </c>
      <c r="E190" s="9">
        <v>1013397.6</v>
      </c>
      <c r="F190" s="9">
        <v>1030331.3</v>
      </c>
      <c r="G190" s="9">
        <v>512592.4</v>
      </c>
      <c r="H190" s="9">
        <v>90390.2</v>
      </c>
      <c r="I190" s="9">
        <v>333686.40000000002</v>
      </c>
      <c r="J190" s="9">
        <v>651188.1</v>
      </c>
      <c r="K190" s="9">
        <v>375061.4</v>
      </c>
      <c r="L190" s="9">
        <v>157413.6</v>
      </c>
      <c r="M190" s="9">
        <v>1774573.1</v>
      </c>
      <c r="N190" s="9">
        <v>525008.5</v>
      </c>
      <c r="O190" s="9">
        <v>6303713.7089999998</v>
      </c>
      <c r="P190" s="9">
        <v>968459.72699999996</v>
      </c>
      <c r="Q190" s="9">
        <v>1192659.8419999999</v>
      </c>
      <c r="R190" s="9">
        <v>443425.65</v>
      </c>
      <c r="S190" s="9">
        <v>96209.413</v>
      </c>
      <c r="T190" s="9">
        <v>299362.141</v>
      </c>
      <c r="U190" s="9">
        <v>827594.45900000003</v>
      </c>
      <c r="V190" s="9">
        <v>266213.98</v>
      </c>
      <c r="W190" s="9">
        <v>127726.704</v>
      </c>
      <c r="X190" s="9">
        <v>1599944.9920000001</v>
      </c>
      <c r="Y190" s="9">
        <v>482116.80099999998</v>
      </c>
      <c r="Z190" s="9">
        <v>6564962.7999999998</v>
      </c>
      <c r="AA190" s="9">
        <v>3691564.6</v>
      </c>
      <c r="AB190" s="9">
        <v>677131.1</v>
      </c>
      <c r="AC190" s="9">
        <v>1618671.6</v>
      </c>
      <c r="AD190" s="9">
        <v>480536.2</v>
      </c>
      <c r="AE190" s="9">
        <v>2827316.1</v>
      </c>
      <c r="AF190" s="9">
        <v>2730256.7</v>
      </c>
      <c r="AG190" s="9">
        <v>6413404.2999999998</v>
      </c>
      <c r="AH190" s="9">
        <v>3790249.6</v>
      </c>
      <c r="AI190" s="9">
        <v>753181.7</v>
      </c>
      <c r="AJ190" s="9">
        <v>1405337.1</v>
      </c>
      <c r="AK190" s="9">
        <v>389158.3</v>
      </c>
      <c r="AL190" s="9">
        <v>2748541.5</v>
      </c>
      <c r="AM190" s="9">
        <v>2673063.9</v>
      </c>
      <c r="AN190" s="9">
        <v>1119703</v>
      </c>
      <c r="AO190" s="9">
        <v>589319</v>
      </c>
      <c r="AP190" s="9">
        <v>530384</v>
      </c>
      <c r="AQ190" s="9">
        <v>75701</v>
      </c>
      <c r="AR190" s="9">
        <v>39366</v>
      </c>
      <c r="AS190" s="9">
        <v>36335</v>
      </c>
      <c r="AT190" s="9">
        <v>750772</v>
      </c>
      <c r="AU190" s="9">
        <v>296199</v>
      </c>
      <c r="AV190" s="9">
        <v>454573</v>
      </c>
      <c r="AW190" s="9">
        <v>836.9</v>
      </c>
      <c r="AX190" s="9">
        <v>671.9</v>
      </c>
      <c r="AY190" s="9">
        <v>2088.8000000000002</v>
      </c>
      <c r="AZ190" s="9">
        <v>803.3</v>
      </c>
      <c r="BA190" s="9">
        <v>1154.8</v>
      </c>
      <c r="BB190" s="9">
        <v>678.3</v>
      </c>
      <c r="BC190" s="9">
        <v>711.2</v>
      </c>
      <c r="BD190" s="9">
        <v>734.4</v>
      </c>
      <c r="BE190" s="9">
        <v>961</v>
      </c>
      <c r="BF190" s="9">
        <v>573.9</v>
      </c>
      <c r="BG190" s="9">
        <v>833.1</v>
      </c>
      <c r="BH190" s="9">
        <v>1103</v>
      </c>
      <c r="BI190" s="9">
        <v>835.3</v>
      </c>
      <c r="BJ190" s="9">
        <v>685.9</v>
      </c>
      <c r="BK190" s="9">
        <v>793.8</v>
      </c>
      <c r="BL190" s="9">
        <v>635.9</v>
      </c>
      <c r="BM190" s="9">
        <v>782.3</v>
      </c>
      <c r="BN190" s="9">
        <v>469156.6</v>
      </c>
      <c r="BO190" s="9">
        <v>431567.4</v>
      </c>
      <c r="BP190" s="9">
        <v>70114.3</v>
      </c>
      <c r="BQ190" s="9">
        <v>24030.6</v>
      </c>
      <c r="BR190" s="9">
        <v>45911.1</v>
      </c>
      <c r="BS190" s="9">
        <v>89126.399999999994</v>
      </c>
      <c r="BT190" s="9">
        <v>92075.6</v>
      </c>
      <c r="BU190" s="9">
        <v>47475</v>
      </c>
      <c r="BV190" s="9">
        <v>37589.300000000003</v>
      </c>
      <c r="BW190" s="9">
        <v>421694.2</v>
      </c>
      <c r="BX190" s="9">
        <v>-1702.9</v>
      </c>
      <c r="BY190" s="9">
        <v>14485.6</v>
      </c>
      <c r="BZ190" s="9">
        <v>143056.6</v>
      </c>
      <c r="CA190" s="9">
        <v>24468.7</v>
      </c>
      <c r="CB190" s="9">
        <v>7227.7</v>
      </c>
      <c r="CC190" s="9">
        <v>159977.4</v>
      </c>
      <c r="CD190" s="9">
        <v>1847.9</v>
      </c>
      <c r="CE190" s="9">
        <v>147327.6</v>
      </c>
      <c r="CF190" s="9">
        <v>1613591.596344976</v>
      </c>
      <c r="CG190" s="9">
        <v>9933224.0449243281</v>
      </c>
      <c r="CH190" s="9"/>
      <c r="CI190" s="9"/>
      <c r="CJ190" s="9">
        <v>18.702669156799999</v>
      </c>
      <c r="CK190" s="9">
        <v>10.480780002099999</v>
      </c>
      <c r="CL190" s="9">
        <v>13</v>
      </c>
      <c r="CM190" s="9">
        <v>100.1960230318</v>
      </c>
      <c r="CN190" s="9">
        <v>28.355068304100001</v>
      </c>
      <c r="CO190" s="9">
        <v>4.0309429777999997</v>
      </c>
      <c r="CP190" s="9">
        <v>18.580863002899999</v>
      </c>
      <c r="CQ190" s="9">
        <v>12.1222519785</v>
      </c>
      <c r="CR190" s="9">
        <v>4.7781312720000004</v>
      </c>
      <c r="CS190" s="9">
        <v>3.2196665922999999</v>
      </c>
      <c r="CT190" s="9">
        <v>10.5210088083</v>
      </c>
      <c r="CU190" s="9">
        <v>2.7372733417999999</v>
      </c>
      <c r="CV190" s="9">
        <v>2.0703294470000002</v>
      </c>
      <c r="CW190" s="9">
        <v>6.9377690200000002</v>
      </c>
      <c r="CX190" s="9">
        <v>2.8361182588</v>
      </c>
      <c r="CY190" s="9">
        <v>4.0066000283000003</v>
      </c>
      <c r="CZ190" s="9">
        <v>289</v>
      </c>
      <c r="DA190" s="9">
        <v>261</v>
      </c>
      <c r="DB190" s="9">
        <v>23</v>
      </c>
      <c r="DC190" s="9">
        <v>148</v>
      </c>
      <c r="DD190" s="9">
        <v>14</v>
      </c>
      <c r="DE190" s="9">
        <v>6</v>
      </c>
      <c r="DF190" s="9">
        <v>31</v>
      </c>
      <c r="DG190" s="9">
        <v>29</v>
      </c>
      <c r="DH190" s="9">
        <v>16</v>
      </c>
      <c r="DI190" s="9">
        <v>1</v>
      </c>
      <c r="DJ190" s="9">
        <v>4</v>
      </c>
      <c r="DK190" s="9">
        <v>7</v>
      </c>
      <c r="DL190" s="9">
        <v>0</v>
      </c>
      <c r="DM190" s="9">
        <v>12</v>
      </c>
      <c r="DN190" s="9">
        <v>0</v>
      </c>
      <c r="DO190" s="9">
        <v>308.39999999999998</v>
      </c>
      <c r="DP190" s="9">
        <v>82.31</v>
      </c>
      <c r="DQ190" s="9">
        <v>54.34</v>
      </c>
      <c r="DR190" s="9">
        <v>27.97</v>
      </c>
      <c r="DS190" s="9">
        <v>41.94</v>
      </c>
      <c r="DT190" s="9">
        <v>10.6</v>
      </c>
      <c r="DU190" s="9">
        <v>128.12</v>
      </c>
      <c r="DV190" s="9">
        <v>71.97</v>
      </c>
      <c r="DW190" s="9">
        <v>44.31</v>
      </c>
      <c r="DX190" s="9">
        <v>55.45</v>
      </c>
      <c r="DY190" s="9">
        <v>28.83</v>
      </c>
      <c r="DZ190" s="9">
        <v>16.57</v>
      </c>
      <c r="EA190" s="9">
        <v>-81.248800000000003</v>
      </c>
      <c r="EB190" s="9">
        <v>-7.19468</v>
      </c>
      <c r="EC190" s="9">
        <v>-13.099399999999999</v>
      </c>
      <c r="ED190" s="9">
        <v>-76.037499999999994</v>
      </c>
      <c r="EE190" s="9">
        <v>15.08273</v>
      </c>
      <c r="EF190" s="9">
        <v>12.783950000000001</v>
      </c>
      <c r="EG190" s="9">
        <v>220.53829999999999</v>
      </c>
      <c r="EH190" s="9">
        <v>40.052340000000001</v>
      </c>
      <c r="EI190" s="9">
        <v>325.1096</v>
      </c>
      <c r="EJ190" s="9">
        <v>0.34532000000000002</v>
      </c>
      <c r="EK190" s="9">
        <v>-144.96899999999999</v>
      </c>
      <c r="EL190" s="9">
        <v>-8.7991799999999998</v>
      </c>
      <c r="EM190" s="9">
        <v>-297.80200000000002</v>
      </c>
      <c r="EN190" s="9">
        <v>1412.7</v>
      </c>
      <c r="EO190" s="9"/>
      <c r="EP190" s="9"/>
      <c r="EQ190" s="9"/>
      <c r="ER190" s="9"/>
      <c r="ES190" s="9"/>
      <c r="ET190" s="9"/>
      <c r="EU190">
        <v>1993.79</v>
      </c>
      <c r="EV190" s="9">
        <v>22376.68</v>
      </c>
      <c r="EW190" s="9">
        <v>3573.8</v>
      </c>
      <c r="EX190" s="9">
        <v>2211.21</v>
      </c>
      <c r="EY190" s="9">
        <v>1971.77</v>
      </c>
      <c r="EZ190" s="9">
        <v>3727.53</v>
      </c>
      <c r="FA190" s="9">
        <v>10892.38</v>
      </c>
      <c r="FB190" s="9">
        <v>61.765422077899998</v>
      </c>
      <c r="FC190" s="9">
        <v>47.234545454500001</v>
      </c>
      <c r="FD190" s="9">
        <v>5217.25</v>
      </c>
      <c r="FE190" s="9">
        <v>56.977272727299997</v>
      </c>
      <c r="FF190" s="9">
        <v>1124.5318181818</v>
      </c>
      <c r="FG190">
        <v>11969683.139999999</v>
      </c>
      <c r="FH190">
        <v>11873157.609999999</v>
      </c>
      <c r="FI190">
        <v>96525.53</v>
      </c>
      <c r="FJ190" s="9">
        <v>11104756.07</v>
      </c>
      <c r="FK190">
        <v>8293895.2699999996</v>
      </c>
      <c r="FL190" s="9">
        <v>2810860.8</v>
      </c>
      <c r="FM190" s="9">
        <v>21316424.739999998</v>
      </c>
      <c r="FN190" s="9">
        <v>2379278.89</v>
      </c>
      <c r="FO190">
        <v>1996.83</v>
      </c>
      <c r="FP190">
        <v>622.09</v>
      </c>
      <c r="FQ190">
        <v>129.81</v>
      </c>
      <c r="FR190">
        <v>368.74</v>
      </c>
      <c r="FS190">
        <v>6.01</v>
      </c>
      <c r="FT190">
        <v>887.73</v>
      </c>
      <c r="FU190">
        <v>663.61</v>
      </c>
      <c r="FV190">
        <v>252.88</v>
      </c>
      <c r="FW190">
        <v>42459.94</v>
      </c>
      <c r="FX190">
        <v>123.85</v>
      </c>
      <c r="HB190" s="6"/>
      <c r="HC190" s="6"/>
      <c r="HD190" s="6"/>
    </row>
    <row r="191" spans="1:212" x14ac:dyDescent="0.2">
      <c r="A191" s="8" t="s">
        <v>858</v>
      </c>
      <c r="B191" s="8" t="s">
        <v>423</v>
      </c>
      <c r="C191" s="8" t="s">
        <v>424</v>
      </c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>
        <v>523345.3</v>
      </c>
      <c r="BO191" s="9">
        <v>445168.4</v>
      </c>
      <c r="BP191" s="9">
        <v>88317.2</v>
      </c>
      <c r="BQ191" s="9">
        <v>47755.4</v>
      </c>
      <c r="BR191" s="9">
        <v>40723.9</v>
      </c>
      <c r="BS191" s="9">
        <v>80221</v>
      </c>
      <c r="BT191" s="9">
        <v>89255.6</v>
      </c>
      <c r="BU191" s="9">
        <v>64152.7</v>
      </c>
      <c r="BV191" s="9">
        <v>78176.800000000003</v>
      </c>
      <c r="BW191" s="9">
        <v>451566.8</v>
      </c>
      <c r="BX191" s="9">
        <v>19416</v>
      </c>
      <c r="BY191" s="9">
        <v>13201.7</v>
      </c>
      <c r="BZ191" s="9">
        <v>143869.1</v>
      </c>
      <c r="CA191" s="9">
        <v>58527.3</v>
      </c>
      <c r="CB191" s="9">
        <v>7021.5</v>
      </c>
      <c r="CC191" s="9">
        <v>160070.9</v>
      </c>
      <c r="CD191" s="9">
        <v>344.5</v>
      </c>
      <c r="CE191" s="9">
        <v>100339.9</v>
      </c>
      <c r="CF191" s="9">
        <v>1630726.8071556131</v>
      </c>
      <c r="CG191" s="9">
        <v>9899004.0282898713</v>
      </c>
      <c r="CH191" s="9"/>
      <c r="CI191" s="9"/>
      <c r="CJ191" s="9">
        <v>20.0243931999</v>
      </c>
      <c r="CK191" s="9">
        <v>11.403283500600001</v>
      </c>
      <c r="CL191" s="9">
        <v>13</v>
      </c>
      <c r="CM191" s="9">
        <v>99.538736302199993</v>
      </c>
      <c r="CN191" s="9">
        <v>27.414352902000001</v>
      </c>
      <c r="CO191" s="9">
        <v>4.0211695858000001</v>
      </c>
      <c r="CP191" s="9">
        <v>18.7113671657</v>
      </c>
      <c r="CQ191" s="9">
        <v>12.271562209900001</v>
      </c>
      <c r="CR191" s="9">
        <v>4.7864390862999997</v>
      </c>
      <c r="CS191" s="9">
        <v>3.2260056428000001</v>
      </c>
      <c r="CT191" s="9">
        <v>10.529672595999999</v>
      </c>
      <c r="CU191" s="9">
        <v>2.7346858833000001</v>
      </c>
      <c r="CV191" s="9">
        <v>2.0682444021999999</v>
      </c>
      <c r="CW191" s="9">
        <v>6.9377690578999998</v>
      </c>
      <c r="CX191" s="9">
        <v>2.8328165210999998</v>
      </c>
      <c r="CY191" s="9">
        <v>4.0046512492000002</v>
      </c>
      <c r="CZ191" s="9">
        <v>386</v>
      </c>
      <c r="DA191" s="9">
        <v>353</v>
      </c>
      <c r="DB191" s="9">
        <v>71</v>
      </c>
      <c r="DC191" s="9">
        <v>174</v>
      </c>
      <c r="DD191" s="9">
        <v>23</v>
      </c>
      <c r="DE191" s="9">
        <v>5</v>
      </c>
      <c r="DF191" s="9">
        <v>36</v>
      </c>
      <c r="DG191" s="9">
        <v>35</v>
      </c>
      <c r="DH191" s="9">
        <v>15</v>
      </c>
      <c r="DI191" s="9">
        <v>2</v>
      </c>
      <c r="DJ191" s="9">
        <v>3</v>
      </c>
      <c r="DK191" s="9">
        <v>7</v>
      </c>
      <c r="DL191" s="9">
        <v>0</v>
      </c>
      <c r="DM191" s="9">
        <v>17</v>
      </c>
      <c r="DN191" s="9">
        <v>0</v>
      </c>
      <c r="DO191" s="9">
        <v>301.45</v>
      </c>
      <c r="DP191" s="9">
        <v>92.91</v>
      </c>
      <c r="DQ191" s="9">
        <v>58.29</v>
      </c>
      <c r="DR191" s="9">
        <v>34.619999999999997</v>
      </c>
      <c r="DS191" s="9">
        <v>37.78</v>
      </c>
      <c r="DT191" s="9">
        <v>10.41</v>
      </c>
      <c r="DU191" s="9">
        <v>117.95</v>
      </c>
      <c r="DV191" s="9">
        <v>56.85</v>
      </c>
      <c r="DW191" s="9">
        <v>33.28</v>
      </c>
      <c r="DX191" s="9">
        <v>50.53</v>
      </c>
      <c r="DY191" s="9">
        <v>21.9</v>
      </c>
      <c r="DZ191" s="9">
        <v>19.87</v>
      </c>
      <c r="EA191" s="9">
        <v>-59.994799999999998</v>
      </c>
      <c r="EB191" s="9">
        <v>24.922979999999999</v>
      </c>
      <c r="EC191" s="9">
        <v>-47.061599999999999</v>
      </c>
      <c r="ED191" s="9">
        <v>-56.423400000000001</v>
      </c>
      <c r="EE191" s="9">
        <v>18.567240000000002</v>
      </c>
      <c r="EF191" s="9">
        <v>10.126139999999999</v>
      </c>
      <c r="EG191" s="9">
        <v>-111.773</v>
      </c>
      <c r="EH191" s="9">
        <v>-33.945500000000003</v>
      </c>
      <c r="EI191" s="9">
        <v>-17.745100000000001</v>
      </c>
      <c r="EJ191" s="9">
        <v>-0.39024999999999999</v>
      </c>
      <c r="EK191" s="9">
        <v>-59.691600000000001</v>
      </c>
      <c r="EL191" s="9">
        <v>-58.650199999999998</v>
      </c>
      <c r="EM191" s="9">
        <v>3.2536770000000002</v>
      </c>
      <c r="EN191" s="9">
        <v>1406.9</v>
      </c>
      <c r="EO191" s="9"/>
      <c r="EP191" s="9"/>
      <c r="EQ191" s="9"/>
      <c r="ER191" s="9"/>
      <c r="ES191" s="9"/>
      <c r="ET191" s="9"/>
      <c r="EU191">
        <v>1993.35</v>
      </c>
      <c r="EV191" s="9"/>
      <c r="EW191" s="9"/>
      <c r="EX191" s="9"/>
      <c r="EY191" s="9"/>
      <c r="EZ191" s="9"/>
      <c r="FA191" s="9"/>
      <c r="FB191" s="9">
        <v>57.330681818199999</v>
      </c>
      <c r="FC191" s="9">
        <v>48.124090909099998</v>
      </c>
      <c r="FD191" s="9">
        <v>5216.0909090908999</v>
      </c>
      <c r="FE191" s="9">
        <v>53.659090909100001</v>
      </c>
      <c r="FF191" s="9">
        <v>1159.2454545455</v>
      </c>
      <c r="FG191">
        <v>11944458.16</v>
      </c>
      <c r="FH191">
        <v>11847871.57</v>
      </c>
      <c r="FI191">
        <v>96586.59</v>
      </c>
      <c r="FJ191" s="9">
        <v>10974530.859999999</v>
      </c>
      <c r="FK191">
        <v>8218017.4100000001</v>
      </c>
      <c r="FL191" s="9">
        <v>2756513.4499999997</v>
      </c>
      <c r="FM191" s="9">
        <v>20736717.219999999</v>
      </c>
      <c r="FN191" s="9">
        <v>2409406.88</v>
      </c>
      <c r="FO191">
        <v>1991.67</v>
      </c>
      <c r="FP191">
        <v>1892.19</v>
      </c>
      <c r="FQ191">
        <v>144.69999999999999</v>
      </c>
      <c r="FR191">
        <v>550.84</v>
      </c>
      <c r="FS191">
        <v>4.8099999999999996</v>
      </c>
      <c r="FT191">
        <v>1083.8399999999999</v>
      </c>
      <c r="FU191">
        <v>761.69</v>
      </c>
      <c r="FV191">
        <v>688.07</v>
      </c>
      <c r="FW191">
        <v>42310.239999999998</v>
      </c>
      <c r="FX191">
        <v>93.76</v>
      </c>
      <c r="HB191" s="6"/>
      <c r="HC191" s="6"/>
      <c r="HD191" s="6"/>
    </row>
    <row r="192" spans="1:212" x14ac:dyDescent="0.2">
      <c r="A192" s="8" t="s">
        <v>858</v>
      </c>
      <c r="B192" s="8" t="s">
        <v>423</v>
      </c>
      <c r="C192" s="8" t="s">
        <v>425</v>
      </c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>
        <v>460969.1</v>
      </c>
      <c r="BO192" s="9">
        <v>394883.1</v>
      </c>
      <c r="BP192" s="9">
        <v>85653.2</v>
      </c>
      <c r="BQ192" s="9">
        <v>43213.8</v>
      </c>
      <c r="BR192" s="9">
        <v>41986.6</v>
      </c>
      <c r="BS192" s="9">
        <v>76026.3</v>
      </c>
      <c r="BT192" s="9">
        <v>64052.5</v>
      </c>
      <c r="BU192" s="9">
        <v>59874.8</v>
      </c>
      <c r="BV192" s="9">
        <v>66085.899999999994</v>
      </c>
      <c r="BW192" s="9">
        <v>471704.3</v>
      </c>
      <c r="BX192" s="9">
        <v>-2454.5</v>
      </c>
      <c r="BY192" s="9">
        <v>18591.599999999999</v>
      </c>
      <c r="BZ192" s="9">
        <v>143174.1</v>
      </c>
      <c r="CA192" s="9">
        <v>58121.2</v>
      </c>
      <c r="CB192" s="9">
        <v>7813.6</v>
      </c>
      <c r="CC192" s="9">
        <v>170871</v>
      </c>
      <c r="CD192" s="9">
        <v>-2516.5</v>
      </c>
      <c r="CE192" s="9">
        <v>178560.2</v>
      </c>
      <c r="CF192" s="9">
        <v>1562732.25382139</v>
      </c>
      <c r="CG192" s="9">
        <v>9808052.3245111722</v>
      </c>
      <c r="CH192" s="9"/>
      <c r="CI192" s="9"/>
      <c r="CJ192" s="9">
        <v>19.523747559</v>
      </c>
      <c r="CK192" s="9">
        <v>12.061619716299999</v>
      </c>
      <c r="CL192" s="9">
        <v>13</v>
      </c>
      <c r="CM192" s="9">
        <v>99.776398028200006</v>
      </c>
      <c r="CN192" s="9">
        <v>26.969993408200001</v>
      </c>
      <c r="CO192" s="9">
        <v>4.0215210116</v>
      </c>
      <c r="CP192" s="9">
        <v>18.841411255499999</v>
      </c>
      <c r="CQ192" s="9">
        <v>12.775193506500001</v>
      </c>
      <c r="CR192" s="9">
        <v>4.8027523559</v>
      </c>
      <c r="CS192" s="9">
        <v>3.2237342792999999</v>
      </c>
      <c r="CT192" s="9">
        <v>10.563329663499999</v>
      </c>
      <c r="CU192" s="9">
        <v>2.7327241546000001</v>
      </c>
      <c r="CV192" s="9">
        <v>2.0714894790999998</v>
      </c>
      <c r="CW192" s="9">
        <v>6.9377690578999998</v>
      </c>
      <c r="CX192" s="9">
        <v>2.8261740309999999</v>
      </c>
      <c r="CY192" s="9">
        <v>4.0103058251999997</v>
      </c>
      <c r="CZ192" s="9">
        <v>316</v>
      </c>
      <c r="DA192" s="9">
        <v>281</v>
      </c>
      <c r="DB192" s="9">
        <v>0</v>
      </c>
      <c r="DC192" s="9">
        <v>182</v>
      </c>
      <c r="DD192" s="9">
        <v>15</v>
      </c>
      <c r="DE192" s="9">
        <v>1</v>
      </c>
      <c r="DF192" s="9">
        <v>41</v>
      </c>
      <c r="DG192" s="9">
        <v>32</v>
      </c>
      <c r="DH192" s="9">
        <v>13</v>
      </c>
      <c r="DI192" s="9">
        <v>2</v>
      </c>
      <c r="DJ192" s="9">
        <v>2</v>
      </c>
      <c r="DK192" s="9">
        <v>5</v>
      </c>
      <c r="DL192" s="9">
        <v>3</v>
      </c>
      <c r="DM192" s="9">
        <v>19</v>
      </c>
      <c r="DN192" s="9">
        <v>0</v>
      </c>
      <c r="DO192" s="9">
        <v>329.34</v>
      </c>
      <c r="DP192" s="9">
        <v>95.06</v>
      </c>
      <c r="DQ192" s="9">
        <v>60.17</v>
      </c>
      <c r="DR192" s="9">
        <v>34.89</v>
      </c>
      <c r="DS192" s="9">
        <v>39.64</v>
      </c>
      <c r="DT192" s="9">
        <v>11.4</v>
      </c>
      <c r="DU192" s="9">
        <v>123.05</v>
      </c>
      <c r="DV192" s="9">
        <v>63.56</v>
      </c>
      <c r="DW192" s="9">
        <v>22.15</v>
      </c>
      <c r="DX192" s="9">
        <v>62.72</v>
      </c>
      <c r="DY192" s="9">
        <v>37.26</v>
      </c>
      <c r="DZ192" s="9">
        <v>16.850000000000001</v>
      </c>
      <c r="EA192" s="9">
        <v>-155.40199999999999</v>
      </c>
      <c r="EB192" s="9">
        <v>-78.848500000000001</v>
      </c>
      <c r="EC192" s="9">
        <v>-42.816899999999997</v>
      </c>
      <c r="ED192" s="9">
        <v>-60.812399999999997</v>
      </c>
      <c r="EE192" s="9">
        <v>27.075900000000001</v>
      </c>
      <c r="EF192" s="9">
        <v>7.2910469999999998</v>
      </c>
      <c r="EG192" s="9">
        <v>-148.047</v>
      </c>
      <c r="EH192" s="9">
        <v>-64.041300000000007</v>
      </c>
      <c r="EI192" s="9">
        <v>55.950780000000002</v>
      </c>
      <c r="EJ192" s="9">
        <v>-2.1211899999999999</v>
      </c>
      <c r="EK192" s="9">
        <v>-137.83500000000001</v>
      </c>
      <c r="EL192" s="9">
        <v>35.725479999999997</v>
      </c>
      <c r="EM192" s="9">
        <v>35.661569999999998</v>
      </c>
      <c r="EN192" s="9">
        <v>1458.7</v>
      </c>
      <c r="EO192" s="9"/>
      <c r="EP192" s="9"/>
      <c r="EQ192" s="9"/>
      <c r="ER192" s="9"/>
      <c r="ES192" s="9"/>
      <c r="ET192" s="9"/>
      <c r="EU192">
        <v>1992.9</v>
      </c>
      <c r="EV192" s="9"/>
      <c r="EW192" s="9"/>
      <c r="EX192" s="9"/>
      <c r="EY192" s="9"/>
      <c r="EZ192" s="9"/>
      <c r="FA192" s="9"/>
      <c r="FB192" s="9">
        <v>55.7780612245</v>
      </c>
      <c r="FC192" s="9">
        <v>44.417142857100004</v>
      </c>
      <c r="FD192" s="9">
        <v>4799.9047619047997</v>
      </c>
      <c r="FE192" s="9">
        <v>47.1904761905</v>
      </c>
      <c r="FF192" s="9">
        <v>1085.7023809524001</v>
      </c>
      <c r="FG192">
        <v>11924189.300000001</v>
      </c>
      <c r="FH192">
        <v>11827124.289999999</v>
      </c>
      <c r="FI192">
        <v>97065.01</v>
      </c>
      <c r="FJ192" s="9">
        <v>11004113.57</v>
      </c>
      <c r="FK192">
        <v>8199341.0899999999</v>
      </c>
      <c r="FL192" s="9">
        <v>2804772.48</v>
      </c>
      <c r="FM192" s="9">
        <v>20711461.829999998</v>
      </c>
      <c r="FN192" s="9">
        <v>2379718.94</v>
      </c>
      <c r="FO192">
        <v>1994.83</v>
      </c>
      <c r="FP192">
        <v>0</v>
      </c>
      <c r="FQ192">
        <v>130.53</v>
      </c>
      <c r="FR192">
        <v>371.37</v>
      </c>
      <c r="FS192">
        <v>1.2</v>
      </c>
      <c r="FT192">
        <v>1288.79</v>
      </c>
      <c r="FU192">
        <v>767.94</v>
      </c>
      <c r="FV192">
        <v>532.53</v>
      </c>
      <c r="FW192">
        <v>31039.38</v>
      </c>
      <c r="FX192">
        <v>171.25</v>
      </c>
      <c r="HB192" s="6"/>
      <c r="HC192" s="6"/>
      <c r="HD192" s="6"/>
    </row>
    <row r="193" spans="1:212" x14ac:dyDescent="0.2">
      <c r="A193" s="8" t="s">
        <v>858</v>
      </c>
      <c r="B193" s="8" t="s">
        <v>423</v>
      </c>
      <c r="C193" s="8" t="s">
        <v>426</v>
      </c>
      <c r="D193" s="9">
        <v>6001482.7999999998</v>
      </c>
      <c r="E193" s="9">
        <v>521904.8</v>
      </c>
      <c r="F193" s="9">
        <v>1268831.8</v>
      </c>
      <c r="G193" s="9">
        <v>457025.1</v>
      </c>
      <c r="H193" s="9">
        <v>165746.9</v>
      </c>
      <c r="I193" s="9">
        <v>348031.8</v>
      </c>
      <c r="J193" s="9">
        <v>1176431</v>
      </c>
      <c r="K193" s="9">
        <v>247856.1</v>
      </c>
      <c r="L193" s="9">
        <v>119551.2</v>
      </c>
      <c r="M193" s="9">
        <v>1309930.6000000001</v>
      </c>
      <c r="N193" s="9">
        <v>386173.6</v>
      </c>
      <c r="O193" s="9">
        <v>6101384.2750000004</v>
      </c>
      <c r="P193" s="9">
        <v>609712.66200000001</v>
      </c>
      <c r="Q193" s="9">
        <v>1331648.6710000001</v>
      </c>
      <c r="R193" s="9">
        <v>473689.00699999998</v>
      </c>
      <c r="S193" s="9">
        <v>169283.24299999999</v>
      </c>
      <c r="T193" s="9">
        <v>322795.97600000002</v>
      </c>
      <c r="U193" s="9">
        <v>871504.33100000001</v>
      </c>
      <c r="V193" s="9">
        <v>444984.72600000002</v>
      </c>
      <c r="W193" s="9">
        <v>123986.454</v>
      </c>
      <c r="X193" s="9">
        <v>1441905.2139999999</v>
      </c>
      <c r="Y193" s="9">
        <v>311873.99099999998</v>
      </c>
      <c r="Z193" s="9">
        <v>5935689.0999999996</v>
      </c>
      <c r="AA193" s="9">
        <v>3123023</v>
      </c>
      <c r="AB193" s="9">
        <v>940865.4</v>
      </c>
      <c r="AC193" s="9">
        <v>1382682.4</v>
      </c>
      <c r="AD193" s="9">
        <v>544129.6</v>
      </c>
      <c r="AE193" s="9">
        <v>2571347</v>
      </c>
      <c r="AF193" s="9">
        <v>2626358.2000000002</v>
      </c>
      <c r="AG193" s="9">
        <v>6141464.0999999996</v>
      </c>
      <c r="AH193" s="9">
        <v>3355016.2</v>
      </c>
      <c r="AI193" s="9">
        <v>995992.3</v>
      </c>
      <c r="AJ193" s="9">
        <v>1230274.8</v>
      </c>
      <c r="AK193" s="9">
        <v>791831.6</v>
      </c>
      <c r="AL193" s="9">
        <v>2409501.2999999998</v>
      </c>
      <c r="AM193" s="9">
        <v>2641152.2000000002</v>
      </c>
      <c r="AN193" s="9">
        <v>1067589</v>
      </c>
      <c r="AO193" s="9">
        <v>568166</v>
      </c>
      <c r="AP193" s="9">
        <v>499423</v>
      </c>
      <c r="AQ193" s="9">
        <v>96471</v>
      </c>
      <c r="AR193" s="9">
        <v>56399</v>
      </c>
      <c r="AS193" s="9">
        <v>40072</v>
      </c>
      <c r="AT193" s="9">
        <v>761533</v>
      </c>
      <c r="AU193" s="9">
        <v>306590</v>
      </c>
      <c r="AV193" s="9">
        <v>454943</v>
      </c>
      <c r="AW193" s="9">
        <v>868.5</v>
      </c>
      <c r="AX193" s="9">
        <v>682.8</v>
      </c>
      <c r="AY193" s="9">
        <v>2029.6</v>
      </c>
      <c r="AZ193" s="9">
        <v>823.6</v>
      </c>
      <c r="BA193" s="9">
        <v>1164.0999999999999</v>
      </c>
      <c r="BB193" s="9">
        <v>705.4</v>
      </c>
      <c r="BC193" s="9">
        <v>736.7</v>
      </c>
      <c r="BD193" s="9">
        <v>775</v>
      </c>
      <c r="BE193" s="9">
        <v>1014.2</v>
      </c>
      <c r="BF193" s="9">
        <v>566.4</v>
      </c>
      <c r="BG193" s="9">
        <v>937.4</v>
      </c>
      <c r="BH193" s="9">
        <v>1082.0999999999999</v>
      </c>
      <c r="BI193" s="9">
        <v>873.1</v>
      </c>
      <c r="BJ193" s="9">
        <v>786.7</v>
      </c>
      <c r="BK193" s="9">
        <v>822</v>
      </c>
      <c r="BL193" s="9">
        <v>673.9</v>
      </c>
      <c r="BM193" s="9">
        <v>774.6</v>
      </c>
      <c r="BN193" s="9">
        <v>950842.4</v>
      </c>
      <c r="BO193" s="9">
        <v>779009.7</v>
      </c>
      <c r="BP193" s="9">
        <v>286667.09999999998</v>
      </c>
      <c r="BQ193" s="9">
        <v>220536.4</v>
      </c>
      <c r="BR193" s="9">
        <v>71831</v>
      </c>
      <c r="BS193" s="9">
        <v>102611.4</v>
      </c>
      <c r="BT193" s="9">
        <v>136486.79999999999</v>
      </c>
      <c r="BU193" s="9">
        <v>57365</v>
      </c>
      <c r="BV193" s="9">
        <v>171832.9</v>
      </c>
      <c r="BW193" s="9">
        <v>763852.5</v>
      </c>
      <c r="BX193" s="9">
        <v>-15206.7</v>
      </c>
      <c r="BY193" s="9">
        <v>32648.1</v>
      </c>
      <c r="BZ193" s="9">
        <v>176556.3</v>
      </c>
      <c r="CA193" s="9">
        <v>216966.7</v>
      </c>
      <c r="CB193" s="9">
        <v>417631.5</v>
      </c>
      <c r="CC193" s="9">
        <v>-244730.4</v>
      </c>
      <c r="CD193" s="9">
        <v>-430293.9</v>
      </c>
      <c r="CE193" s="9">
        <v>256949.4</v>
      </c>
      <c r="CF193" s="9">
        <v>1685416.8876521939</v>
      </c>
      <c r="CG193" s="9">
        <v>10048995.826784659</v>
      </c>
      <c r="CH193" s="9"/>
      <c r="CI193" s="9"/>
      <c r="CJ193" s="9">
        <v>19.0881291645</v>
      </c>
      <c r="CK193" s="9">
        <v>11.9547938919</v>
      </c>
      <c r="CL193" s="9">
        <v>13</v>
      </c>
      <c r="CM193" s="9">
        <v>99.552831445400003</v>
      </c>
      <c r="CN193" s="9">
        <v>26.8451529845</v>
      </c>
      <c r="CO193" s="9">
        <v>4.0205966965000002</v>
      </c>
      <c r="CP193" s="9">
        <v>18.8811316687</v>
      </c>
      <c r="CQ193" s="9">
        <v>12.604057201</v>
      </c>
      <c r="CR193" s="9">
        <v>4.8075259830999997</v>
      </c>
      <c r="CS193" s="9">
        <v>3.242381097</v>
      </c>
      <c r="CT193" s="9">
        <v>10.53853466</v>
      </c>
      <c r="CU193" s="9">
        <v>2.7325719193000002</v>
      </c>
      <c r="CV193" s="9">
        <v>2.0769631284000001</v>
      </c>
      <c r="CW193" s="9">
        <v>6.9377690578999998</v>
      </c>
      <c r="CX193" s="9">
        <v>2.8444300562999998</v>
      </c>
      <c r="CY193" s="9">
        <v>4.0217169926</v>
      </c>
      <c r="CZ193" s="9">
        <v>428</v>
      </c>
      <c r="DA193" s="9">
        <v>379</v>
      </c>
      <c r="DB193" s="9">
        <v>64</v>
      </c>
      <c r="DC193" s="9">
        <v>208</v>
      </c>
      <c r="DD193" s="9">
        <v>25</v>
      </c>
      <c r="DE193" s="9">
        <v>0</v>
      </c>
      <c r="DF193" s="9">
        <v>47</v>
      </c>
      <c r="DG193" s="9">
        <v>27</v>
      </c>
      <c r="DH193" s="9">
        <v>23</v>
      </c>
      <c r="DI193" s="9">
        <v>3</v>
      </c>
      <c r="DJ193" s="9">
        <v>4</v>
      </c>
      <c r="DK193" s="9">
        <v>13</v>
      </c>
      <c r="DL193" s="9">
        <v>2</v>
      </c>
      <c r="DM193" s="9">
        <v>24</v>
      </c>
      <c r="DN193" s="9">
        <v>0</v>
      </c>
      <c r="DO193" s="9">
        <v>311.69</v>
      </c>
      <c r="DP193" s="9">
        <v>98.89</v>
      </c>
      <c r="DQ193" s="9">
        <v>59.55</v>
      </c>
      <c r="DR193" s="9">
        <v>39.340000000000003</v>
      </c>
      <c r="DS193" s="9">
        <v>44.13</v>
      </c>
      <c r="DT193" s="9">
        <v>12.17</v>
      </c>
      <c r="DU193" s="9">
        <v>111.13</v>
      </c>
      <c r="DV193" s="9">
        <v>72.260000000000005</v>
      </c>
      <c r="DW193" s="9">
        <v>21.3</v>
      </c>
      <c r="DX193" s="9">
        <v>57.22</v>
      </c>
      <c r="DY193" s="9">
        <v>29.14</v>
      </c>
      <c r="DZ193" s="9">
        <v>19.57</v>
      </c>
      <c r="EA193" s="9">
        <v>-41.062899999999999</v>
      </c>
      <c r="EB193" s="9">
        <v>119.4396</v>
      </c>
      <c r="EC193" s="9">
        <v>-105.292</v>
      </c>
      <c r="ED193" s="9">
        <v>-64.2821</v>
      </c>
      <c r="EE193" s="9">
        <v>9.071733</v>
      </c>
      <c r="EF193" s="9">
        <v>12.08719</v>
      </c>
      <c r="EG193" s="9">
        <v>10.413500000000001</v>
      </c>
      <c r="EH193" s="9">
        <v>-69.820999999999998</v>
      </c>
      <c r="EI193" s="9">
        <v>14.18158</v>
      </c>
      <c r="EJ193" s="9">
        <v>0.53123799999999999</v>
      </c>
      <c r="EK193" s="9">
        <v>65.521640000000005</v>
      </c>
      <c r="EL193" s="9">
        <v>-95.170299999999997</v>
      </c>
      <c r="EM193" s="9">
        <v>-134.56</v>
      </c>
      <c r="EN193" s="9">
        <v>1323.1</v>
      </c>
      <c r="EO193" s="9"/>
      <c r="EP193" s="9"/>
      <c r="EQ193" s="9"/>
      <c r="ER193" s="9"/>
      <c r="ES193" s="9"/>
      <c r="ET193" s="9"/>
      <c r="EU193">
        <v>1995.84</v>
      </c>
      <c r="EV193" s="9">
        <v>22717.82</v>
      </c>
      <c r="EW193" s="9">
        <v>3759.86</v>
      </c>
      <c r="EX193" s="9">
        <v>1959.64</v>
      </c>
      <c r="EY193" s="9">
        <v>2128.5</v>
      </c>
      <c r="EZ193" s="9">
        <v>3748.95</v>
      </c>
      <c r="FA193" s="9">
        <v>11120.86</v>
      </c>
      <c r="FB193" s="9">
        <v>55.865816326500003</v>
      </c>
      <c r="FC193" s="9">
        <v>37.721739130400003</v>
      </c>
      <c r="FD193" s="9">
        <v>4638.8333333333003</v>
      </c>
      <c r="FE193" s="9">
        <v>40.8826086957</v>
      </c>
      <c r="FF193" s="9">
        <v>1068.2526315790001</v>
      </c>
      <c r="FG193">
        <v>11730710.590000002</v>
      </c>
      <c r="FH193">
        <v>11633582.600000001</v>
      </c>
      <c r="FI193">
        <v>97127.99</v>
      </c>
      <c r="FJ193" s="9">
        <v>11182829.310000001</v>
      </c>
      <c r="FK193">
        <v>8391736.3399999999</v>
      </c>
      <c r="FL193" s="9">
        <v>2791092.9699999997</v>
      </c>
      <c r="FM193" s="9">
        <v>21521242.449999999</v>
      </c>
      <c r="FN193" s="9">
        <v>2426809.09</v>
      </c>
      <c r="FO193">
        <v>1995.51</v>
      </c>
      <c r="FP193">
        <v>1869.6</v>
      </c>
      <c r="FQ193">
        <v>142.72</v>
      </c>
      <c r="FR193">
        <v>718.98</v>
      </c>
      <c r="FS193">
        <v>0</v>
      </c>
      <c r="FT193">
        <v>1595.18</v>
      </c>
      <c r="FU193">
        <v>748.82</v>
      </c>
      <c r="FV193">
        <v>1200.3800000000001</v>
      </c>
      <c r="FW193">
        <v>46677.13</v>
      </c>
      <c r="FX193">
        <v>667.16</v>
      </c>
      <c r="HB193" s="6"/>
      <c r="HC193" s="6"/>
      <c r="HD193" s="6"/>
    </row>
    <row r="194" spans="1:212" x14ac:dyDescent="0.2">
      <c r="A194" s="8" t="s">
        <v>859</v>
      </c>
      <c r="B194" s="8" t="s">
        <v>427</v>
      </c>
      <c r="C194" s="8" t="s">
        <v>428</v>
      </c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>
        <v>335244.5</v>
      </c>
      <c r="BO194" s="9">
        <v>300451.09999999998</v>
      </c>
      <c r="BP194" s="9">
        <v>37375.9</v>
      </c>
      <c r="BQ194" s="9">
        <v>15182.6</v>
      </c>
      <c r="BR194" s="9">
        <v>22137.5</v>
      </c>
      <c r="BS194" s="9">
        <v>86698.2</v>
      </c>
      <c r="BT194" s="9">
        <v>76890.2</v>
      </c>
      <c r="BU194" s="9">
        <v>49092.800000000003</v>
      </c>
      <c r="BV194" s="9">
        <v>34793.300000000003</v>
      </c>
      <c r="BW194" s="9">
        <v>397683.4</v>
      </c>
      <c r="BX194" s="9">
        <v>0</v>
      </c>
      <c r="BY194" s="9">
        <v>8267.9</v>
      </c>
      <c r="BZ194" s="9">
        <v>131494.9</v>
      </c>
      <c r="CA194" s="9">
        <v>30981.9</v>
      </c>
      <c r="CB194" s="9">
        <v>1550.5</v>
      </c>
      <c r="CC194" s="9">
        <v>175859.4</v>
      </c>
      <c r="CD194" s="9">
        <v>2473.1</v>
      </c>
      <c r="CE194" s="9">
        <v>17321.2</v>
      </c>
      <c r="CF194" s="9">
        <v>1608085.899773594</v>
      </c>
      <c r="CG194" s="9">
        <v>9849543.9606698379</v>
      </c>
      <c r="CH194" s="9">
        <v>12.9</v>
      </c>
      <c r="CI194" s="9">
        <v>7.1</v>
      </c>
      <c r="CJ194" s="9">
        <v>19.673765726700001</v>
      </c>
      <c r="CK194" s="9">
        <v>12.263641827300001</v>
      </c>
      <c r="CL194" s="9">
        <v>12</v>
      </c>
      <c r="CM194" s="9">
        <v>99.657244570100005</v>
      </c>
      <c r="CN194" s="9">
        <v>24.879242018199999</v>
      </c>
      <c r="CO194" s="9">
        <v>4.4129252760000002</v>
      </c>
      <c r="CP194" s="9">
        <v>16.834169557399999</v>
      </c>
      <c r="CQ194" s="9">
        <v>9.4083727369000005</v>
      </c>
      <c r="CR194" s="9">
        <v>4.9945450120999997</v>
      </c>
      <c r="CS194" s="9">
        <v>3.6309565290000001</v>
      </c>
      <c r="CT194" s="9">
        <v>14.1515644016</v>
      </c>
      <c r="CU194" s="9">
        <v>4.3504659430999997</v>
      </c>
      <c r="CV194" s="9">
        <v>3.1379818299000002</v>
      </c>
      <c r="CW194" s="9">
        <v>5.3854785723000003</v>
      </c>
      <c r="CX194" s="9">
        <v>3.0148009626999999</v>
      </c>
      <c r="CY194" s="9">
        <v>5.4567417310000002</v>
      </c>
      <c r="CZ194" s="9">
        <v>328</v>
      </c>
      <c r="DA194" s="9">
        <v>285</v>
      </c>
      <c r="DB194" s="9">
        <v>25</v>
      </c>
      <c r="DC194" s="9">
        <v>178</v>
      </c>
      <c r="DD194" s="9">
        <v>13</v>
      </c>
      <c r="DE194" s="9">
        <v>3</v>
      </c>
      <c r="DF194" s="9">
        <v>34</v>
      </c>
      <c r="DG194" s="9">
        <v>25</v>
      </c>
      <c r="DH194" s="9">
        <v>20</v>
      </c>
      <c r="DI194" s="9">
        <v>1</v>
      </c>
      <c r="DJ194" s="9">
        <v>9</v>
      </c>
      <c r="DK194" s="9">
        <v>8</v>
      </c>
      <c r="DL194" s="9">
        <v>3</v>
      </c>
      <c r="DM194" s="9">
        <v>20</v>
      </c>
      <c r="DN194" s="9">
        <v>0</v>
      </c>
      <c r="DO194" s="9">
        <v>197.8</v>
      </c>
      <c r="DP194" s="9">
        <v>74.19</v>
      </c>
      <c r="DQ194" s="9">
        <v>42.57</v>
      </c>
      <c r="DR194" s="9">
        <v>31.62</v>
      </c>
      <c r="DS194" s="9">
        <v>35.869999999999997</v>
      </c>
      <c r="DT194" s="9">
        <v>10.78</v>
      </c>
      <c r="DU194" s="9">
        <v>57.88</v>
      </c>
      <c r="DV194" s="9">
        <v>36.42</v>
      </c>
      <c r="DW194" s="9">
        <v>14.1</v>
      </c>
      <c r="DX194" s="9">
        <v>29.7</v>
      </c>
      <c r="DY194" s="9">
        <v>13.82</v>
      </c>
      <c r="DZ194" s="9">
        <v>11.49</v>
      </c>
      <c r="EA194" s="9">
        <v>-105.221</v>
      </c>
      <c r="EB194" s="9">
        <v>87.426559999999995</v>
      </c>
      <c r="EC194" s="9">
        <v>-144.18899999999999</v>
      </c>
      <c r="ED194" s="9">
        <v>-60.957799999999999</v>
      </c>
      <c r="EE194" s="9">
        <v>12.49919</v>
      </c>
      <c r="EF194" s="9">
        <v>4.3733690000000003</v>
      </c>
      <c r="EG194" s="9">
        <v>-248.76599999999999</v>
      </c>
      <c r="EH194" s="9">
        <v>-103.508</v>
      </c>
      <c r="EI194" s="9">
        <v>0.39699099999999998</v>
      </c>
      <c r="EJ194" s="9">
        <v>-0.21331</v>
      </c>
      <c r="EK194" s="9">
        <v>-145.44200000000001</v>
      </c>
      <c r="EL194" s="9">
        <v>-126.256</v>
      </c>
      <c r="EM194" s="9">
        <v>21.661950000000001</v>
      </c>
      <c r="EN194" s="9">
        <v>1323.5</v>
      </c>
      <c r="EO194" s="9"/>
      <c r="EP194" s="9"/>
      <c r="EQ194" s="9"/>
      <c r="ER194" s="9"/>
      <c r="ES194" s="9"/>
      <c r="ET194" s="9"/>
      <c r="EU194">
        <v>2003.22</v>
      </c>
      <c r="EV194" s="9"/>
      <c r="EW194" s="9"/>
      <c r="EX194" s="9"/>
      <c r="EY194" s="9"/>
      <c r="EZ194" s="9"/>
      <c r="FA194" s="9"/>
      <c r="FB194" s="9">
        <v>53.4289285714</v>
      </c>
      <c r="FC194" s="9">
        <v>30.803333333299999</v>
      </c>
      <c r="FD194" s="9">
        <v>4471.7875000000004</v>
      </c>
      <c r="FE194" s="9">
        <v>42.204761904800002</v>
      </c>
      <c r="FF194" s="9">
        <v>1097.375</v>
      </c>
      <c r="FG194">
        <v>11818994.039999999</v>
      </c>
      <c r="FH194">
        <v>11716306.059999999</v>
      </c>
      <c r="FI194">
        <v>102687.98</v>
      </c>
      <c r="FJ194" s="9">
        <v>10999869.609999999</v>
      </c>
      <c r="FK194">
        <v>8291971.1399999997</v>
      </c>
      <c r="FL194" s="9">
        <v>2707898.4699999997</v>
      </c>
      <c r="FM194" s="9">
        <v>20858081.609999999</v>
      </c>
      <c r="FN194" s="9">
        <v>2326800.63</v>
      </c>
      <c r="FO194">
        <v>2011.38</v>
      </c>
      <c r="FP194">
        <v>715.38</v>
      </c>
      <c r="FQ194">
        <v>139.74</v>
      </c>
      <c r="FR194">
        <v>475.16</v>
      </c>
      <c r="FS194">
        <v>3</v>
      </c>
      <c r="FT194">
        <v>1156.42</v>
      </c>
      <c r="FU194">
        <v>778.89</v>
      </c>
      <c r="FV194">
        <v>358.42</v>
      </c>
      <c r="FW194">
        <v>37217.730000000003</v>
      </c>
      <c r="FX194">
        <v>586.65</v>
      </c>
      <c r="HB194" s="6"/>
      <c r="HC194" s="6"/>
      <c r="HD194" s="6"/>
    </row>
    <row r="195" spans="1:212" x14ac:dyDescent="0.2">
      <c r="A195" s="8" t="s">
        <v>859</v>
      </c>
      <c r="B195" s="8" t="s">
        <v>427</v>
      </c>
      <c r="C195" s="8" t="s">
        <v>429</v>
      </c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>
        <v>373564.6</v>
      </c>
      <c r="BO195" s="9">
        <v>326955.90000000002</v>
      </c>
      <c r="BP195" s="9">
        <v>70525.7</v>
      </c>
      <c r="BQ195" s="9">
        <v>26377.1</v>
      </c>
      <c r="BR195" s="9">
        <v>44080.3</v>
      </c>
      <c r="BS195" s="9">
        <v>88663.6</v>
      </c>
      <c r="BT195" s="9">
        <v>83745</v>
      </c>
      <c r="BU195" s="9">
        <v>37670.199999999997</v>
      </c>
      <c r="BV195" s="9">
        <v>46608.9</v>
      </c>
      <c r="BW195" s="9">
        <v>476428.3</v>
      </c>
      <c r="BX195" s="9">
        <v>0</v>
      </c>
      <c r="BY195" s="9">
        <v>13699.4</v>
      </c>
      <c r="BZ195" s="9">
        <v>137833.29999999999</v>
      </c>
      <c r="CA195" s="9">
        <v>53949.7</v>
      </c>
      <c r="CB195" s="9">
        <v>5609.7</v>
      </c>
      <c r="CC195" s="9">
        <v>174633.3</v>
      </c>
      <c r="CD195" s="9">
        <v>-2275.4</v>
      </c>
      <c r="CE195" s="9">
        <v>71773.3</v>
      </c>
      <c r="CF195" s="9">
        <v>1522926.0138469799</v>
      </c>
      <c r="CG195" s="9">
        <v>10011025.01303589</v>
      </c>
      <c r="CH195" s="9">
        <v>12.7</v>
      </c>
      <c r="CI195" s="9">
        <v>6.7</v>
      </c>
      <c r="CJ195" s="9">
        <v>20.1304055891</v>
      </c>
      <c r="CK195" s="9">
        <v>12.578475153099999</v>
      </c>
      <c r="CL195" s="9">
        <v>12</v>
      </c>
      <c r="CM195" s="9">
        <v>100.1410192485</v>
      </c>
      <c r="CN195" s="9">
        <v>25.487989793600001</v>
      </c>
      <c r="CO195" s="9">
        <v>4.4098262848000003</v>
      </c>
      <c r="CP195" s="9">
        <v>16.878734700799999</v>
      </c>
      <c r="CQ195" s="9">
        <v>9.3033604609000005</v>
      </c>
      <c r="CR195" s="9">
        <v>5.0030655491999996</v>
      </c>
      <c r="CS195" s="9">
        <v>3.6331735418000002</v>
      </c>
      <c r="CT195" s="9">
        <v>14.0670099167</v>
      </c>
      <c r="CU195" s="9">
        <v>4.3506777058999999</v>
      </c>
      <c r="CV195" s="9">
        <v>3.1395143414</v>
      </c>
      <c r="CW195" s="9">
        <v>5.3854785723000003</v>
      </c>
      <c r="CX195" s="9">
        <v>3.0149448758999999</v>
      </c>
      <c r="CY195" s="9">
        <v>5.4672435049999999</v>
      </c>
      <c r="CZ195" s="9">
        <v>284</v>
      </c>
      <c r="DA195" s="9">
        <v>240</v>
      </c>
      <c r="DB195" s="9">
        <v>38</v>
      </c>
      <c r="DC195" s="9">
        <v>156</v>
      </c>
      <c r="DD195" s="9">
        <v>3</v>
      </c>
      <c r="DE195" s="9">
        <v>7</v>
      </c>
      <c r="DF195" s="9">
        <v>10</v>
      </c>
      <c r="DG195" s="9">
        <v>19</v>
      </c>
      <c r="DH195" s="9">
        <v>3</v>
      </c>
      <c r="DI195" s="9">
        <v>0</v>
      </c>
      <c r="DJ195" s="9">
        <v>1</v>
      </c>
      <c r="DK195" s="9">
        <v>1</v>
      </c>
      <c r="DL195" s="9">
        <v>0</v>
      </c>
      <c r="DM195" s="9">
        <v>40</v>
      </c>
      <c r="DN195" s="9">
        <v>0</v>
      </c>
      <c r="DO195" s="9">
        <v>150.41999999999999</v>
      </c>
      <c r="DP195" s="9">
        <v>54.03</v>
      </c>
      <c r="DQ195" s="9">
        <v>31.24</v>
      </c>
      <c r="DR195" s="9">
        <v>22.79</v>
      </c>
      <c r="DS195" s="9">
        <v>27.81</v>
      </c>
      <c r="DT195" s="9">
        <v>1.86</v>
      </c>
      <c r="DU195" s="9">
        <v>43.49</v>
      </c>
      <c r="DV195" s="9">
        <v>22.67</v>
      </c>
      <c r="DW195" s="9">
        <v>8.69</v>
      </c>
      <c r="DX195" s="9">
        <v>24.8</v>
      </c>
      <c r="DY195" s="9">
        <v>9.66</v>
      </c>
      <c r="DZ195" s="9">
        <v>9.68</v>
      </c>
      <c r="EA195" s="9">
        <v>11.99912</v>
      </c>
      <c r="EB195" s="9">
        <v>152.00200000000001</v>
      </c>
      <c r="EC195" s="9">
        <v>-72.856700000000004</v>
      </c>
      <c r="ED195" s="9">
        <v>-78.805899999999994</v>
      </c>
      <c r="EE195" s="9">
        <v>11.65972</v>
      </c>
      <c r="EF195" s="9">
        <v>4.0775519999999998</v>
      </c>
      <c r="EG195" s="9">
        <v>98.186449999999994</v>
      </c>
      <c r="EH195" s="9">
        <v>-37.178699999999999</v>
      </c>
      <c r="EI195" s="9">
        <v>-14.9148</v>
      </c>
      <c r="EJ195" s="9">
        <v>0.172879</v>
      </c>
      <c r="EK195" s="9">
        <v>150.107</v>
      </c>
      <c r="EL195" s="9">
        <v>-64.590299999999999</v>
      </c>
      <c r="EM195" s="9">
        <v>-146.69999999999999</v>
      </c>
      <c r="EN195" s="9">
        <v>1197.3</v>
      </c>
      <c r="EO195" s="9"/>
      <c r="EP195" s="9"/>
      <c r="EQ195" s="9"/>
      <c r="ER195" s="9"/>
      <c r="ES195" s="9"/>
      <c r="ET195" s="9"/>
      <c r="EU195">
        <v>2024.2494444444001</v>
      </c>
      <c r="EV195" s="9"/>
      <c r="EW195" s="9"/>
      <c r="EX195" s="9"/>
      <c r="EY195" s="9"/>
      <c r="EZ195" s="9"/>
      <c r="FA195" s="9"/>
      <c r="FB195" s="9">
        <v>53.781632653099997</v>
      </c>
      <c r="FC195" s="9">
        <v>33.198095238100002</v>
      </c>
      <c r="FD195" s="9">
        <v>4598.6190476190995</v>
      </c>
      <c r="FE195" s="9">
        <v>46.485714285699999</v>
      </c>
      <c r="FF195" s="9">
        <v>1199.9119047618999</v>
      </c>
      <c r="FG195">
        <v>11688381.07</v>
      </c>
      <c r="FH195">
        <v>11560654.82</v>
      </c>
      <c r="FI195">
        <v>127726.25</v>
      </c>
      <c r="FJ195" s="9">
        <v>11257186.09</v>
      </c>
      <c r="FK195">
        <v>8462805.9899999984</v>
      </c>
      <c r="FL195" s="9">
        <v>2794380.0999999996</v>
      </c>
      <c r="FM195" s="9">
        <v>21844684.260000002</v>
      </c>
      <c r="FN195" s="9">
        <v>2334970.38</v>
      </c>
      <c r="FO195">
        <v>2032.47</v>
      </c>
      <c r="FP195">
        <v>981.28</v>
      </c>
      <c r="FQ195">
        <v>134.1</v>
      </c>
      <c r="FR195">
        <v>96.74</v>
      </c>
      <c r="FS195">
        <v>7.81</v>
      </c>
      <c r="FT195">
        <v>274.95999999999998</v>
      </c>
      <c r="FU195">
        <v>649.66999999999996</v>
      </c>
      <c r="FV195">
        <v>271.29000000000002</v>
      </c>
      <c r="FW195">
        <v>10354.370000000001</v>
      </c>
      <c r="FX195">
        <v>97.59</v>
      </c>
      <c r="HB195" s="6"/>
      <c r="HC195" s="6"/>
      <c r="HD195" s="6"/>
    </row>
    <row r="196" spans="1:212" x14ac:dyDescent="0.2">
      <c r="A196" s="8" t="s">
        <v>859</v>
      </c>
      <c r="B196" s="8" t="s">
        <v>427</v>
      </c>
      <c r="C196" s="8" t="s">
        <v>430</v>
      </c>
      <c r="D196" s="9">
        <v>4738100.2</v>
      </c>
      <c r="E196" s="9">
        <v>181091.3</v>
      </c>
      <c r="F196" s="9">
        <v>933037.7</v>
      </c>
      <c r="G196" s="9">
        <v>413901</v>
      </c>
      <c r="H196" s="9">
        <v>159949.5</v>
      </c>
      <c r="I196" s="9">
        <v>67494.600000000006</v>
      </c>
      <c r="J196" s="9">
        <v>373688.8</v>
      </c>
      <c r="K196" s="9">
        <v>289160.5</v>
      </c>
      <c r="L196" s="9">
        <v>96385.3</v>
      </c>
      <c r="M196" s="9">
        <v>1772870.7</v>
      </c>
      <c r="N196" s="9">
        <v>450520.9</v>
      </c>
      <c r="O196" s="9">
        <v>4302465.8080000002</v>
      </c>
      <c r="P196" s="9">
        <v>189605.77900000001</v>
      </c>
      <c r="Q196" s="9">
        <v>842815.31599999999</v>
      </c>
      <c r="R196" s="9">
        <v>237782.94500000001</v>
      </c>
      <c r="S196" s="9">
        <v>170872.83</v>
      </c>
      <c r="T196" s="9">
        <v>66340.077000000005</v>
      </c>
      <c r="U196" s="9">
        <v>404191.23200000002</v>
      </c>
      <c r="V196" s="9">
        <v>247138.36600000001</v>
      </c>
      <c r="W196" s="9">
        <v>120319.09600000001</v>
      </c>
      <c r="X196" s="9">
        <v>1614799.9580000001</v>
      </c>
      <c r="Y196" s="9">
        <v>408600.21</v>
      </c>
      <c r="Z196" s="9">
        <v>4748551.5999999996</v>
      </c>
      <c r="AA196" s="9">
        <v>3047005.6</v>
      </c>
      <c r="AB196" s="9">
        <v>775973.3</v>
      </c>
      <c r="AC196" s="9">
        <v>663915.80000000005</v>
      </c>
      <c r="AD196" s="9">
        <v>96638.8</v>
      </c>
      <c r="AE196" s="9">
        <v>2155884</v>
      </c>
      <c r="AF196" s="9">
        <v>1990865.9</v>
      </c>
      <c r="AG196" s="9">
        <v>4478782.8</v>
      </c>
      <c r="AH196" s="9">
        <v>3386364</v>
      </c>
      <c r="AI196" s="9">
        <v>871870.5</v>
      </c>
      <c r="AJ196" s="9">
        <v>647433.80000000005</v>
      </c>
      <c r="AK196" s="9">
        <v>-451027.9</v>
      </c>
      <c r="AL196" s="9">
        <v>2254743.7000000002</v>
      </c>
      <c r="AM196" s="9">
        <v>2230601.2999999998</v>
      </c>
      <c r="AN196" s="9">
        <v>1089303</v>
      </c>
      <c r="AO196" s="9">
        <v>576008</v>
      </c>
      <c r="AP196" s="9">
        <v>513295</v>
      </c>
      <c r="AQ196" s="9">
        <v>143548</v>
      </c>
      <c r="AR196" s="9">
        <v>89032</v>
      </c>
      <c r="AS196" s="9">
        <v>54516</v>
      </c>
      <c r="AT196" s="9">
        <v>821138</v>
      </c>
      <c r="AU196" s="9">
        <v>309205</v>
      </c>
      <c r="AV196" s="9">
        <v>511933</v>
      </c>
      <c r="AW196" s="9">
        <v>871.4</v>
      </c>
      <c r="AX196" s="9">
        <v>647.79999999999995</v>
      </c>
      <c r="AY196" s="9">
        <v>1961.9</v>
      </c>
      <c r="AZ196" s="9">
        <v>817.4</v>
      </c>
      <c r="BA196" s="9">
        <v>1478.7</v>
      </c>
      <c r="BB196" s="9">
        <v>686</v>
      </c>
      <c r="BC196" s="9">
        <v>792.8</v>
      </c>
      <c r="BD196" s="9">
        <v>739.2</v>
      </c>
      <c r="BE196" s="9">
        <v>1036.5999999999999</v>
      </c>
      <c r="BF196" s="9">
        <v>584.6</v>
      </c>
      <c r="BG196" s="9">
        <v>835.9</v>
      </c>
      <c r="BH196" s="9">
        <v>1177.5</v>
      </c>
      <c r="BI196" s="9">
        <v>858.1</v>
      </c>
      <c r="BJ196" s="9">
        <v>709.2</v>
      </c>
      <c r="BK196" s="9">
        <v>736.7</v>
      </c>
      <c r="BL196" s="9">
        <v>608</v>
      </c>
      <c r="BM196" s="9">
        <v>752.2</v>
      </c>
      <c r="BN196" s="9">
        <v>386375</v>
      </c>
      <c r="BO196" s="9">
        <v>345037.4</v>
      </c>
      <c r="BP196" s="9">
        <v>68891</v>
      </c>
      <c r="BQ196" s="9">
        <v>25736.6</v>
      </c>
      <c r="BR196" s="9">
        <v>44518.1</v>
      </c>
      <c r="BS196" s="9">
        <v>91956.1</v>
      </c>
      <c r="BT196" s="9">
        <v>67039.899999999994</v>
      </c>
      <c r="BU196" s="9">
        <v>42088.3</v>
      </c>
      <c r="BV196" s="9">
        <v>41337.5</v>
      </c>
      <c r="BW196" s="9">
        <v>555504.80000000005</v>
      </c>
      <c r="BX196" s="9">
        <v>0</v>
      </c>
      <c r="BY196" s="9">
        <v>45195.1</v>
      </c>
      <c r="BZ196" s="9">
        <v>143570.5</v>
      </c>
      <c r="CA196" s="9">
        <v>70036.100000000006</v>
      </c>
      <c r="CB196" s="9">
        <v>31448.6</v>
      </c>
      <c r="CC196" s="9">
        <v>213436</v>
      </c>
      <c r="CD196" s="9">
        <v>3781.3</v>
      </c>
      <c r="CE196" s="9">
        <v>180999.3</v>
      </c>
      <c r="CF196" s="9">
        <v>1583731.94791507</v>
      </c>
      <c r="CG196" s="9">
        <v>10112431.4191746</v>
      </c>
      <c r="CH196" s="9">
        <v>12.3490563312</v>
      </c>
      <c r="CI196" s="9">
        <v>6.4938568924000002</v>
      </c>
      <c r="CJ196" s="9">
        <v>19.7079152542</v>
      </c>
      <c r="CK196" s="9">
        <v>12.3553895707</v>
      </c>
      <c r="CL196" s="9">
        <v>12</v>
      </c>
      <c r="CM196" s="9">
        <v>100.60637506640001</v>
      </c>
      <c r="CN196" s="9">
        <v>25.9619207119</v>
      </c>
      <c r="CO196" s="9">
        <v>4.4091529514000003</v>
      </c>
      <c r="CP196" s="9">
        <v>16.913232961799999</v>
      </c>
      <c r="CQ196" s="9">
        <v>9.2456104311999994</v>
      </c>
      <c r="CR196" s="9">
        <v>5.0068522512999998</v>
      </c>
      <c r="CS196" s="9">
        <v>3.6336723767999999</v>
      </c>
      <c r="CT196" s="9">
        <v>14.069821918700001</v>
      </c>
      <c r="CU196" s="9">
        <v>4.3480799156999996</v>
      </c>
      <c r="CV196" s="9">
        <v>3.1419236082999999</v>
      </c>
      <c r="CW196" s="9">
        <v>5.3855797140000004</v>
      </c>
      <c r="CX196" s="9">
        <v>3.0164310672000001</v>
      </c>
      <c r="CY196" s="9">
        <v>5.4740971579000002</v>
      </c>
      <c r="CZ196" s="9">
        <v>346</v>
      </c>
      <c r="DA196" s="9">
        <v>318</v>
      </c>
      <c r="DB196" s="9">
        <v>48</v>
      </c>
      <c r="DC196" s="9">
        <v>148</v>
      </c>
      <c r="DD196" s="9">
        <v>13</v>
      </c>
      <c r="DE196" s="9">
        <v>13</v>
      </c>
      <c r="DF196" s="9">
        <v>55</v>
      </c>
      <c r="DG196" s="9">
        <v>29</v>
      </c>
      <c r="DH196" s="9">
        <v>12</v>
      </c>
      <c r="DI196" s="9">
        <v>1</v>
      </c>
      <c r="DJ196" s="9">
        <v>3</v>
      </c>
      <c r="DK196" s="9">
        <v>5</v>
      </c>
      <c r="DL196" s="9">
        <v>4</v>
      </c>
      <c r="DM196" s="9">
        <v>12</v>
      </c>
      <c r="DN196" s="9">
        <v>0</v>
      </c>
      <c r="DO196" s="9">
        <v>246.62</v>
      </c>
      <c r="DP196" s="9">
        <v>81.88</v>
      </c>
      <c r="DQ196" s="9">
        <v>44.78</v>
      </c>
      <c r="DR196" s="9">
        <v>37.1</v>
      </c>
      <c r="DS196" s="9">
        <v>49.76</v>
      </c>
      <c r="DT196" s="9">
        <v>19.440000000000001</v>
      </c>
      <c r="DU196" s="9">
        <v>81.22</v>
      </c>
      <c r="DV196" s="9">
        <v>47.12</v>
      </c>
      <c r="DW196" s="9">
        <v>15.51</v>
      </c>
      <c r="DX196" s="9">
        <v>33.5</v>
      </c>
      <c r="DY196" s="9">
        <v>11.75</v>
      </c>
      <c r="DZ196" s="9">
        <v>14.56</v>
      </c>
      <c r="EA196" s="9">
        <v>-72.017600000000002</v>
      </c>
      <c r="EB196" s="9">
        <v>134.00839999999999</v>
      </c>
      <c r="EC196" s="9">
        <v>-111.04300000000001</v>
      </c>
      <c r="ED196" s="9">
        <v>-115.22199999999999</v>
      </c>
      <c r="EE196" s="9">
        <v>20.238849999999999</v>
      </c>
      <c r="EF196" s="9">
        <v>5.9576060000000002</v>
      </c>
      <c r="EG196" s="9">
        <v>-133.13200000000001</v>
      </c>
      <c r="EH196" s="9">
        <v>-72.879099999999994</v>
      </c>
      <c r="EI196" s="9">
        <v>9.0685289999999998</v>
      </c>
      <c r="EJ196" s="9">
        <v>0.17783099999999999</v>
      </c>
      <c r="EK196" s="9">
        <v>-69.499200000000002</v>
      </c>
      <c r="EL196" s="9">
        <v>20.209620000000001</v>
      </c>
      <c r="EM196" s="9">
        <v>87.281530000000004</v>
      </c>
      <c r="EN196" s="9">
        <v>1265.3</v>
      </c>
      <c r="EO196" s="9"/>
      <c r="EP196" s="9"/>
      <c r="EQ196" s="9"/>
      <c r="ER196" s="9"/>
      <c r="ES196" s="9"/>
      <c r="ET196" s="9"/>
      <c r="EU196">
        <v>2046.3468181818</v>
      </c>
      <c r="EV196" s="9">
        <v>23459.02</v>
      </c>
      <c r="EW196" s="9">
        <v>4072.68</v>
      </c>
      <c r="EX196" s="9">
        <v>2084.48</v>
      </c>
      <c r="EY196" s="9">
        <v>2181.63</v>
      </c>
      <c r="EZ196" s="9">
        <v>3786.88</v>
      </c>
      <c r="FA196" s="9">
        <v>11333.35</v>
      </c>
      <c r="FB196" s="9">
        <v>55.435204081599998</v>
      </c>
      <c r="FC196" s="9">
        <v>39.071739130399997</v>
      </c>
      <c r="FD196" s="9">
        <v>4953.7976190476002</v>
      </c>
      <c r="FE196" s="9">
        <v>56.539130434800001</v>
      </c>
      <c r="FF196" s="9">
        <v>1246.3380952381001</v>
      </c>
      <c r="FG196">
        <v>11888888.119999999</v>
      </c>
      <c r="FH196">
        <v>11759942.34</v>
      </c>
      <c r="FI196">
        <v>128945.78</v>
      </c>
      <c r="FJ196" s="9">
        <v>12082933.529999997</v>
      </c>
      <c r="FK196">
        <v>8620773.709999999</v>
      </c>
      <c r="FL196" s="9">
        <v>3462159.8200000003</v>
      </c>
      <c r="FM196" s="9">
        <v>22042486.640000001</v>
      </c>
      <c r="FN196" s="9">
        <v>2394594.17</v>
      </c>
      <c r="FO196">
        <v>2048.9</v>
      </c>
      <c r="FP196">
        <v>1205.49</v>
      </c>
      <c r="FQ196">
        <v>138.96</v>
      </c>
      <c r="FR196">
        <v>416.42</v>
      </c>
      <c r="FS196">
        <v>12.02</v>
      </c>
      <c r="FT196">
        <v>1821.04</v>
      </c>
      <c r="FU196">
        <v>792.4</v>
      </c>
      <c r="FV196">
        <v>449.64</v>
      </c>
      <c r="FW196">
        <v>13480.2</v>
      </c>
      <c r="FX196">
        <v>367.08</v>
      </c>
      <c r="HB196" s="6"/>
      <c r="HC196" s="6"/>
      <c r="HD196" s="6"/>
    </row>
    <row r="197" spans="1:212" x14ac:dyDescent="0.2">
      <c r="A197" s="8" t="s">
        <v>859</v>
      </c>
      <c r="B197" s="8" t="s">
        <v>431</v>
      </c>
      <c r="C197" s="8" t="s">
        <v>432</v>
      </c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>
        <v>561119.1</v>
      </c>
      <c r="BO197" s="9">
        <v>493097.1</v>
      </c>
      <c r="BP197" s="9">
        <v>62202.7</v>
      </c>
      <c r="BQ197" s="9">
        <v>36249.5</v>
      </c>
      <c r="BR197" s="9">
        <v>41502.199999999997</v>
      </c>
      <c r="BS197" s="9">
        <v>223467.1</v>
      </c>
      <c r="BT197" s="9">
        <v>86167</v>
      </c>
      <c r="BU197" s="9">
        <v>35382.300000000003</v>
      </c>
      <c r="BV197" s="9">
        <v>68022</v>
      </c>
      <c r="BW197" s="9">
        <v>538789.5</v>
      </c>
      <c r="BX197" s="9">
        <v>22856</v>
      </c>
      <c r="BY197" s="9">
        <v>23908.6</v>
      </c>
      <c r="BZ197" s="9">
        <v>146465.29999999999</v>
      </c>
      <c r="CA197" s="9">
        <v>50843.3</v>
      </c>
      <c r="CB197" s="9">
        <v>30474.799999999999</v>
      </c>
      <c r="CC197" s="9">
        <v>201449.7</v>
      </c>
      <c r="CD197" s="9">
        <v>7500.1</v>
      </c>
      <c r="CE197" s="9">
        <v>58617.2</v>
      </c>
      <c r="CF197" s="9">
        <v>1683510.5700168801</v>
      </c>
      <c r="CG197" s="9">
        <v>10517391.651066091</v>
      </c>
      <c r="CH197" s="9">
        <v>12.0238971036</v>
      </c>
      <c r="CI197" s="9">
        <v>6.9427359389000003</v>
      </c>
      <c r="CJ197" s="9">
        <v>20.048386191599999</v>
      </c>
      <c r="CK197" s="9">
        <v>11.199670430099999</v>
      </c>
      <c r="CL197" s="9">
        <v>12</v>
      </c>
      <c r="CM197" s="9">
        <v>101.703288598</v>
      </c>
      <c r="CN197" s="9">
        <v>27.060166688799999</v>
      </c>
      <c r="CO197" s="9">
        <v>4.4084043433</v>
      </c>
      <c r="CP197" s="9">
        <v>16.943978007799998</v>
      </c>
      <c r="CQ197" s="9">
        <v>9.2403161886999996</v>
      </c>
      <c r="CR197" s="9">
        <v>5.0126083258999996</v>
      </c>
      <c r="CS197" s="9">
        <v>3.6347591221000002</v>
      </c>
      <c r="CT197" s="9">
        <v>14.0415685546</v>
      </c>
      <c r="CU197" s="9">
        <v>4.3447827103999996</v>
      </c>
      <c r="CV197" s="9">
        <v>3.1442704649</v>
      </c>
      <c r="CW197" s="9">
        <v>5.3855797140000004</v>
      </c>
      <c r="CX197" s="9">
        <v>3.0171781674</v>
      </c>
      <c r="CY197" s="9">
        <v>5.4696763100999997</v>
      </c>
      <c r="CZ197" s="9">
        <v>388</v>
      </c>
      <c r="DA197" s="9">
        <v>336</v>
      </c>
      <c r="DB197" s="9">
        <v>57</v>
      </c>
      <c r="DC197" s="9">
        <v>156</v>
      </c>
      <c r="DD197" s="9">
        <v>16</v>
      </c>
      <c r="DE197" s="9">
        <v>17</v>
      </c>
      <c r="DF197" s="9">
        <v>56</v>
      </c>
      <c r="DG197" s="9">
        <v>26</v>
      </c>
      <c r="DH197" s="9">
        <v>38</v>
      </c>
      <c r="DI197" s="9">
        <v>1</v>
      </c>
      <c r="DJ197" s="9">
        <v>2</v>
      </c>
      <c r="DK197" s="9">
        <v>33</v>
      </c>
      <c r="DL197" s="9">
        <v>3</v>
      </c>
      <c r="DM197" s="9">
        <v>11</v>
      </c>
      <c r="DN197" s="9">
        <v>0</v>
      </c>
      <c r="DO197" s="9">
        <v>263.52999999999997</v>
      </c>
      <c r="DP197" s="9">
        <v>97.35</v>
      </c>
      <c r="DQ197" s="9">
        <v>53.44</v>
      </c>
      <c r="DR197" s="9">
        <v>43.9</v>
      </c>
      <c r="DS197" s="9">
        <v>49.13</v>
      </c>
      <c r="DT197" s="9">
        <v>10.5</v>
      </c>
      <c r="DU197" s="9">
        <v>90.68</v>
      </c>
      <c r="DV197" s="9">
        <v>49.31</v>
      </c>
      <c r="DW197" s="9">
        <v>28.12</v>
      </c>
      <c r="DX197" s="9">
        <v>26.08</v>
      </c>
      <c r="DY197" s="9">
        <v>9.06</v>
      </c>
      <c r="DZ197" s="9">
        <v>11.3</v>
      </c>
      <c r="EA197" s="9">
        <v>-39.153799999999997</v>
      </c>
      <c r="EB197" s="9">
        <v>109.149</v>
      </c>
      <c r="EC197" s="9">
        <v>-107.565</v>
      </c>
      <c r="ED197" s="9">
        <v>-61.468699999999998</v>
      </c>
      <c r="EE197" s="9">
        <v>20.73094</v>
      </c>
      <c r="EF197" s="9">
        <v>7.7142030000000004</v>
      </c>
      <c r="EG197" s="9">
        <v>-307.47899999999998</v>
      </c>
      <c r="EH197" s="9">
        <v>-74.209699999999998</v>
      </c>
      <c r="EI197" s="9">
        <v>-518.23800000000006</v>
      </c>
      <c r="EJ197" s="9">
        <v>-1.1679999999999999E-2</v>
      </c>
      <c r="EK197" s="9">
        <v>284.9812</v>
      </c>
      <c r="EL197" s="9">
        <v>-35.969200000000001</v>
      </c>
      <c r="EM197" s="9">
        <v>240.06970000000001</v>
      </c>
      <c r="EN197" s="9">
        <v>1544.1</v>
      </c>
      <c r="EO197" s="9"/>
      <c r="EP197" s="9"/>
      <c r="EQ197" s="9"/>
      <c r="ER197" s="9"/>
      <c r="ES197" s="9"/>
      <c r="ET197" s="9"/>
      <c r="EU197">
        <v>2011.9880952381</v>
      </c>
      <c r="EV197" s="9"/>
      <c r="EW197" s="9"/>
      <c r="EX197" s="9"/>
      <c r="EY197" s="9"/>
      <c r="EZ197" s="9"/>
      <c r="FA197" s="9"/>
      <c r="FB197" s="9">
        <v>54.6586734694</v>
      </c>
      <c r="FC197" s="9">
        <v>42.247619047599997</v>
      </c>
      <c r="FD197" s="9">
        <v>4872.7380952381</v>
      </c>
      <c r="FE197" s="9">
        <v>60.9666666667</v>
      </c>
      <c r="FF197" s="9">
        <v>1242.2619047619</v>
      </c>
      <c r="FG197">
        <v>11688771.639999999</v>
      </c>
      <c r="FH197">
        <v>11561733.77</v>
      </c>
      <c r="FI197">
        <v>127037.87</v>
      </c>
      <c r="FJ197" s="9">
        <v>12499571.52</v>
      </c>
      <c r="FK197">
        <v>8867682.1600000001</v>
      </c>
      <c r="FL197" s="9">
        <v>3631889.36</v>
      </c>
      <c r="FM197" s="9">
        <v>22230919.390000001</v>
      </c>
      <c r="FN197" s="9">
        <v>2434236.87</v>
      </c>
      <c r="FO197">
        <v>2011.84</v>
      </c>
      <c r="FP197">
        <v>1402.2</v>
      </c>
      <c r="FQ197">
        <v>144.71</v>
      </c>
      <c r="FR197">
        <v>391.91</v>
      </c>
      <c r="FS197">
        <v>15.02</v>
      </c>
      <c r="FT197">
        <v>1755.7</v>
      </c>
      <c r="FU197">
        <v>654.57000000000005</v>
      </c>
      <c r="FV197">
        <v>739.47</v>
      </c>
      <c r="FW197">
        <v>18131.04</v>
      </c>
      <c r="FX197">
        <v>1035.3499999999999</v>
      </c>
      <c r="HB197" s="6"/>
      <c r="HC197" s="6"/>
      <c r="HD197" s="6"/>
    </row>
    <row r="198" spans="1:212" x14ac:dyDescent="0.2">
      <c r="A198" s="8" t="s">
        <v>859</v>
      </c>
      <c r="B198" s="8" t="s">
        <v>431</v>
      </c>
      <c r="C198" s="8" t="s">
        <v>433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>
        <v>428821.8</v>
      </c>
      <c r="BO198" s="9">
        <v>371697.4</v>
      </c>
      <c r="BP198" s="9">
        <v>185384.7</v>
      </c>
      <c r="BQ198" s="9">
        <v>154457.5</v>
      </c>
      <c r="BR198" s="9">
        <v>49439.6</v>
      </c>
      <c r="BS198" s="9">
        <v>-36824.9</v>
      </c>
      <c r="BT198" s="9">
        <v>85110.6</v>
      </c>
      <c r="BU198" s="9">
        <v>57474.2</v>
      </c>
      <c r="BV198" s="9">
        <v>57124.5</v>
      </c>
      <c r="BW198" s="9">
        <v>540272.30000000005</v>
      </c>
      <c r="BX198" s="9">
        <v>14072.1</v>
      </c>
      <c r="BY198" s="9">
        <v>15498.7</v>
      </c>
      <c r="BZ198" s="9">
        <v>141085.70000000001</v>
      </c>
      <c r="CA198" s="9">
        <v>60218.6</v>
      </c>
      <c r="CB198" s="9">
        <v>22754.7</v>
      </c>
      <c r="CC198" s="9">
        <v>197080.7</v>
      </c>
      <c r="CD198" s="9">
        <v>11297</v>
      </c>
      <c r="CE198" s="9">
        <v>87799.8</v>
      </c>
      <c r="CF198" s="9">
        <v>1743872.332565102</v>
      </c>
      <c r="CG198" s="9">
        <v>10657796.537759339</v>
      </c>
      <c r="CH198" s="9">
        <v>11.832354523299999</v>
      </c>
      <c r="CI198" s="9">
        <v>6.6636231037</v>
      </c>
      <c r="CJ198" s="9">
        <v>19.083203617599999</v>
      </c>
      <c r="CK198" s="9">
        <v>11.6734777678</v>
      </c>
      <c r="CL198" s="9">
        <v>10.5</v>
      </c>
      <c r="CM198" s="9">
        <v>101.8178666574</v>
      </c>
      <c r="CN198" s="9">
        <v>27.164033856700001</v>
      </c>
      <c r="CO198" s="9">
        <v>4.4082153848000001</v>
      </c>
      <c r="CP198" s="9">
        <v>16.944692659600001</v>
      </c>
      <c r="CQ198" s="9">
        <v>9.2166097348000005</v>
      </c>
      <c r="CR198" s="9">
        <v>5.0204731637000002</v>
      </c>
      <c r="CS198" s="9">
        <v>3.6378544443999998</v>
      </c>
      <c r="CT198" s="9">
        <v>14.0449258628</v>
      </c>
      <c r="CU198" s="9">
        <v>4.3415562899999998</v>
      </c>
      <c r="CV198" s="9">
        <v>3.1443054089000002</v>
      </c>
      <c r="CW198" s="9">
        <v>5.3855797140000004</v>
      </c>
      <c r="CX198" s="9">
        <v>3.0338822027000001</v>
      </c>
      <c r="CY198" s="9">
        <v>5.4757379349999997</v>
      </c>
      <c r="CZ198" s="9">
        <v>427</v>
      </c>
      <c r="DA198" s="9">
        <v>347</v>
      </c>
      <c r="DB198" s="9">
        <v>37</v>
      </c>
      <c r="DC198" s="9">
        <v>163</v>
      </c>
      <c r="DD198" s="9">
        <v>23</v>
      </c>
      <c r="DE198" s="9">
        <v>19</v>
      </c>
      <c r="DF198" s="9">
        <v>66</v>
      </c>
      <c r="DG198" s="9">
        <v>31</v>
      </c>
      <c r="DH198" s="9">
        <v>64</v>
      </c>
      <c r="DI198" s="9">
        <v>1</v>
      </c>
      <c r="DJ198" s="9">
        <v>1</v>
      </c>
      <c r="DK198" s="9">
        <v>60</v>
      </c>
      <c r="DL198" s="9">
        <v>1</v>
      </c>
      <c r="DM198" s="9">
        <v>15</v>
      </c>
      <c r="DN198" s="9">
        <v>0</v>
      </c>
      <c r="DO198" s="9">
        <v>308.45999999999998</v>
      </c>
      <c r="DP198" s="9">
        <v>119.5</v>
      </c>
      <c r="DQ198" s="9">
        <v>61.13</v>
      </c>
      <c r="DR198" s="9">
        <v>58.36</v>
      </c>
      <c r="DS198" s="9">
        <v>46.1</v>
      </c>
      <c r="DT198" s="9">
        <v>1.35</v>
      </c>
      <c r="DU198" s="9">
        <v>111.14</v>
      </c>
      <c r="DV198" s="9">
        <v>60.68</v>
      </c>
      <c r="DW198" s="9">
        <v>29.34</v>
      </c>
      <c r="DX198" s="9">
        <v>31.28</v>
      </c>
      <c r="DY198" s="9">
        <v>15</v>
      </c>
      <c r="DZ198" s="9">
        <v>10.71</v>
      </c>
      <c r="EA198" s="9">
        <v>-215.96700000000001</v>
      </c>
      <c r="EB198" s="9">
        <v>54.157600000000002</v>
      </c>
      <c r="EC198" s="9">
        <v>-201.24199999999999</v>
      </c>
      <c r="ED198" s="9">
        <v>-89.612099999999998</v>
      </c>
      <c r="EE198" s="9">
        <v>20.72972</v>
      </c>
      <c r="EF198" s="9">
        <v>6.4138909999999996</v>
      </c>
      <c r="EG198" s="9">
        <v>21.269380000000002</v>
      </c>
      <c r="EH198" s="9">
        <v>3862.9029999999998</v>
      </c>
      <c r="EI198" s="9">
        <v>3.0737809999999999</v>
      </c>
      <c r="EJ198" s="9">
        <v>3.9409E-2</v>
      </c>
      <c r="EK198" s="9">
        <v>-3844.75</v>
      </c>
      <c r="EL198" s="9">
        <v>133.3562</v>
      </c>
      <c r="EM198" s="9">
        <v>-97.466399999999993</v>
      </c>
      <c r="EN198" s="9">
        <v>1441.9</v>
      </c>
      <c r="EO198" s="9"/>
      <c r="EP198" s="9"/>
      <c r="EQ198" s="9"/>
      <c r="ER198" s="9"/>
      <c r="ES198" s="9"/>
      <c r="ET198" s="9"/>
      <c r="EU198">
        <v>2005.96</v>
      </c>
      <c r="EV198" s="9"/>
      <c r="EW198" s="9"/>
      <c r="EX198" s="9"/>
      <c r="EY198" s="9"/>
      <c r="EZ198" s="9"/>
      <c r="FA198" s="9"/>
      <c r="FB198" s="9">
        <v>54.527142857100003</v>
      </c>
      <c r="FC198" s="9">
        <v>47.132727272700002</v>
      </c>
      <c r="FD198" s="9">
        <v>4694.5375000000004</v>
      </c>
      <c r="FE198" s="9">
        <v>55.886363636399999</v>
      </c>
      <c r="FF198" s="9">
        <v>1259.3975</v>
      </c>
      <c r="FG198">
        <v>11491977.939999999</v>
      </c>
      <c r="FH198">
        <v>11369180.49</v>
      </c>
      <c r="FI198">
        <v>122797.45</v>
      </c>
      <c r="FJ198" s="9">
        <v>12857527.049999999</v>
      </c>
      <c r="FK198">
        <v>9041565.0599999987</v>
      </c>
      <c r="FL198" s="9">
        <v>3815961.9899999993</v>
      </c>
      <c r="FM198" s="9">
        <v>22226691.949999999</v>
      </c>
      <c r="FN198" s="9">
        <v>2445728.2599999998</v>
      </c>
      <c r="FO198">
        <v>1988.53</v>
      </c>
      <c r="FP198">
        <v>909.68</v>
      </c>
      <c r="FQ198">
        <v>140.18</v>
      </c>
      <c r="FR198">
        <v>517.53</v>
      </c>
      <c r="FS198">
        <v>18.03</v>
      </c>
      <c r="FT198">
        <v>2171.09</v>
      </c>
      <c r="FU198">
        <v>677.52</v>
      </c>
      <c r="FV198">
        <v>300.3</v>
      </c>
      <c r="FW198">
        <v>15030.68</v>
      </c>
      <c r="FX198">
        <v>1576.23</v>
      </c>
      <c r="HB198" s="6"/>
      <c r="HC198" s="6"/>
      <c r="HD198" s="6"/>
    </row>
    <row r="199" spans="1:212" x14ac:dyDescent="0.2">
      <c r="A199" s="8" t="s">
        <v>859</v>
      </c>
      <c r="B199" s="8" t="s">
        <v>431</v>
      </c>
      <c r="C199" s="8" t="s">
        <v>434</v>
      </c>
      <c r="D199" s="9">
        <v>6221958.2000000002</v>
      </c>
      <c r="E199" s="9">
        <v>1470218.2</v>
      </c>
      <c r="F199" s="9">
        <v>848129.5</v>
      </c>
      <c r="G199" s="9">
        <v>340174.5</v>
      </c>
      <c r="H199" s="9">
        <v>132795.70000000001</v>
      </c>
      <c r="I199" s="9">
        <v>266506.40000000002</v>
      </c>
      <c r="J199" s="9">
        <v>474922.7</v>
      </c>
      <c r="K199" s="9">
        <v>294267.59999999998</v>
      </c>
      <c r="L199" s="9">
        <v>112808.6</v>
      </c>
      <c r="M199" s="9">
        <v>1795330.9</v>
      </c>
      <c r="N199" s="9">
        <v>486804</v>
      </c>
      <c r="O199" s="9">
        <v>6353501.2869999995</v>
      </c>
      <c r="P199" s="9">
        <v>1525966.4720000001</v>
      </c>
      <c r="Q199" s="9">
        <v>888802.83900000004</v>
      </c>
      <c r="R199" s="9">
        <v>338954.96500000003</v>
      </c>
      <c r="S199" s="9">
        <v>113698.155</v>
      </c>
      <c r="T199" s="9">
        <v>281110.06300000002</v>
      </c>
      <c r="U199" s="9">
        <v>587806.03599999996</v>
      </c>
      <c r="V199" s="9">
        <v>230848.375</v>
      </c>
      <c r="W199" s="9">
        <v>123748.412</v>
      </c>
      <c r="X199" s="9">
        <v>1654217.243</v>
      </c>
      <c r="Y199" s="9">
        <v>608348.72699999996</v>
      </c>
      <c r="Z199" s="9">
        <v>6092509.5999999996</v>
      </c>
      <c r="AA199" s="9">
        <v>3387083.9</v>
      </c>
      <c r="AB199" s="9">
        <v>892762.1</v>
      </c>
      <c r="AC199" s="9">
        <v>1258058.3</v>
      </c>
      <c r="AD199" s="9">
        <v>375066.1</v>
      </c>
      <c r="AE199" s="9">
        <v>2821976.8</v>
      </c>
      <c r="AF199" s="9">
        <v>2642437.6</v>
      </c>
      <c r="AG199" s="9">
        <v>6013908.0999999996</v>
      </c>
      <c r="AH199" s="9">
        <v>3678425.7</v>
      </c>
      <c r="AI199" s="9">
        <v>984299.7</v>
      </c>
      <c r="AJ199" s="9">
        <v>1179124.3</v>
      </c>
      <c r="AK199" s="9">
        <v>695287.1</v>
      </c>
      <c r="AL199" s="9">
        <v>2757238.7</v>
      </c>
      <c r="AM199" s="9">
        <v>3280467.4</v>
      </c>
      <c r="AN199" s="9">
        <v>1131841</v>
      </c>
      <c r="AO199" s="9">
        <v>589325</v>
      </c>
      <c r="AP199" s="9">
        <v>542516</v>
      </c>
      <c r="AQ199" s="9">
        <v>131880</v>
      </c>
      <c r="AR199" s="9">
        <v>82407</v>
      </c>
      <c r="AS199" s="9">
        <v>49473</v>
      </c>
      <c r="AT199" s="9">
        <v>834322</v>
      </c>
      <c r="AU199" s="9">
        <v>341815</v>
      </c>
      <c r="AV199" s="9">
        <v>492507</v>
      </c>
      <c r="AW199" s="9">
        <v>888</v>
      </c>
      <c r="AX199" s="9">
        <v>661.6</v>
      </c>
      <c r="AY199" s="9">
        <v>2031.6</v>
      </c>
      <c r="AZ199" s="9">
        <v>849.5</v>
      </c>
      <c r="BA199" s="9">
        <v>1205.5</v>
      </c>
      <c r="BB199" s="9">
        <v>667.9</v>
      </c>
      <c r="BC199" s="9">
        <v>771.3</v>
      </c>
      <c r="BD199" s="9">
        <v>732.2</v>
      </c>
      <c r="BE199" s="9">
        <v>1029.8</v>
      </c>
      <c r="BF199" s="9">
        <v>585.6</v>
      </c>
      <c r="BG199" s="9">
        <v>867</v>
      </c>
      <c r="BH199" s="9">
        <v>1070.5999999999999</v>
      </c>
      <c r="BI199" s="9">
        <v>866</v>
      </c>
      <c r="BJ199" s="9">
        <v>802.5</v>
      </c>
      <c r="BK199" s="9">
        <v>771.3</v>
      </c>
      <c r="BL199" s="9">
        <v>617.20000000000005</v>
      </c>
      <c r="BM199" s="9">
        <v>742.4</v>
      </c>
      <c r="BN199" s="9">
        <v>456132.1</v>
      </c>
      <c r="BO199" s="9">
        <v>400378</v>
      </c>
      <c r="BP199" s="9">
        <v>68073.600000000006</v>
      </c>
      <c r="BQ199" s="9">
        <v>26301.3</v>
      </c>
      <c r="BR199" s="9">
        <v>44391.9</v>
      </c>
      <c r="BS199" s="9">
        <v>113750.9</v>
      </c>
      <c r="BT199" s="9">
        <v>80056.3</v>
      </c>
      <c r="BU199" s="9">
        <v>54457.1</v>
      </c>
      <c r="BV199" s="9">
        <v>55754</v>
      </c>
      <c r="BW199" s="9">
        <v>610657.5</v>
      </c>
      <c r="BX199" s="9">
        <v>-17789.3</v>
      </c>
      <c r="BY199" s="9">
        <v>14319</v>
      </c>
      <c r="BZ199" s="9">
        <v>189005</v>
      </c>
      <c r="CA199" s="9">
        <v>102923.4</v>
      </c>
      <c r="CB199" s="9">
        <v>15332.7</v>
      </c>
      <c r="CC199" s="9">
        <v>190431.8</v>
      </c>
      <c r="CD199" s="9">
        <v>11184.5</v>
      </c>
      <c r="CE199" s="9">
        <v>110158.3</v>
      </c>
      <c r="CF199" s="9">
        <v>1982204.9713919619</v>
      </c>
      <c r="CG199" s="9">
        <v>11186374.0168663</v>
      </c>
      <c r="CH199" s="9">
        <v>12.801627827100001</v>
      </c>
      <c r="CI199" s="9">
        <v>5.8360150705000002</v>
      </c>
      <c r="CJ199" s="9">
        <v>19.146014891</v>
      </c>
      <c r="CK199" s="9">
        <v>10.7087622408</v>
      </c>
      <c r="CL199" s="9">
        <v>10.5</v>
      </c>
      <c r="CM199" s="9">
        <v>101.52981590100001</v>
      </c>
      <c r="CN199" s="9">
        <v>26.934821016000001</v>
      </c>
      <c r="CO199" s="9">
        <v>4.4365647275000004</v>
      </c>
      <c r="CP199" s="9">
        <v>16.964658135299999</v>
      </c>
      <c r="CQ199" s="9">
        <v>9.1653812941999995</v>
      </c>
      <c r="CR199" s="9">
        <v>5.0251810073999996</v>
      </c>
      <c r="CS199" s="9">
        <v>3.6396631929000001</v>
      </c>
      <c r="CT199" s="9">
        <v>13.9894535219</v>
      </c>
      <c r="CU199" s="9">
        <v>4.3252655290000002</v>
      </c>
      <c r="CV199" s="9">
        <v>3.1465748586000002</v>
      </c>
      <c r="CW199" s="9">
        <v>5.3855797140000004</v>
      </c>
      <c r="CX199" s="9">
        <v>3.0330096576000001</v>
      </c>
      <c r="CY199" s="9">
        <v>5.4836632465999999</v>
      </c>
      <c r="CZ199" s="9">
        <v>425</v>
      </c>
      <c r="DA199" s="9">
        <v>353</v>
      </c>
      <c r="DB199" s="9">
        <v>75</v>
      </c>
      <c r="DC199" s="9">
        <v>120</v>
      </c>
      <c r="DD199" s="9">
        <v>31</v>
      </c>
      <c r="DE199" s="9">
        <v>14</v>
      </c>
      <c r="DF199" s="9">
        <v>74</v>
      </c>
      <c r="DG199" s="9">
        <v>30</v>
      </c>
      <c r="DH199" s="9">
        <v>53</v>
      </c>
      <c r="DI199" s="9">
        <v>0</v>
      </c>
      <c r="DJ199" s="9">
        <v>1</v>
      </c>
      <c r="DK199" s="9">
        <v>49</v>
      </c>
      <c r="DL199" s="9">
        <v>1</v>
      </c>
      <c r="DM199" s="9">
        <v>18</v>
      </c>
      <c r="DN199" s="9">
        <v>0</v>
      </c>
      <c r="DO199" s="9">
        <v>328.63</v>
      </c>
      <c r="DP199" s="9">
        <v>113.28</v>
      </c>
      <c r="DQ199" s="9">
        <v>46.43</v>
      </c>
      <c r="DR199" s="9">
        <v>66.849999999999994</v>
      </c>
      <c r="DS199" s="9">
        <v>52.13</v>
      </c>
      <c r="DT199" s="9">
        <v>17.22</v>
      </c>
      <c r="DU199" s="9">
        <v>114.71</v>
      </c>
      <c r="DV199" s="9">
        <v>63.58</v>
      </c>
      <c r="DW199" s="9">
        <v>35.29</v>
      </c>
      <c r="DX199" s="9">
        <v>48.15</v>
      </c>
      <c r="DY199" s="9">
        <v>26.47</v>
      </c>
      <c r="DZ199" s="9">
        <v>14.06</v>
      </c>
      <c r="EA199" s="9">
        <v>-92.584900000000005</v>
      </c>
      <c r="EB199" s="9">
        <v>85.015439999999998</v>
      </c>
      <c r="EC199" s="9">
        <v>-128.61000000000001</v>
      </c>
      <c r="ED199" s="9">
        <v>-70.449600000000004</v>
      </c>
      <c r="EE199" s="9">
        <v>21.459050000000001</v>
      </c>
      <c r="EF199" s="9">
        <v>8.4077149999999996</v>
      </c>
      <c r="EG199" s="9">
        <v>-20.2105</v>
      </c>
      <c r="EH199" s="9">
        <v>745.2432</v>
      </c>
      <c r="EI199" s="9">
        <v>11.16343</v>
      </c>
      <c r="EJ199" s="9">
        <v>0.240734</v>
      </c>
      <c r="EK199" s="9">
        <v>-776.85799999999995</v>
      </c>
      <c r="EL199" s="9">
        <v>-86.847999999999999</v>
      </c>
      <c r="EM199" s="9">
        <v>-150.815</v>
      </c>
      <c r="EN199" s="9">
        <v>1296.5999999999999</v>
      </c>
      <c r="EO199" s="9"/>
      <c r="EP199" s="9"/>
      <c r="EQ199" s="9"/>
      <c r="ER199" s="9"/>
      <c r="ES199" s="9"/>
      <c r="ET199" s="9"/>
      <c r="EU199">
        <v>1964.9290000000001</v>
      </c>
      <c r="EV199" s="9">
        <v>24259.58</v>
      </c>
      <c r="EW199" s="9">
        <v>4785.83</v>
      </c>
      <c r="EX199" s="9">
        <v>1758</v>
      </c>
      <c r="EY199" s="9">
        <v>2215.64</v>
      </c>
      <c r="EZ199" s="9">
        <v>8304.1299999999992</v>
      </c>
      <c r="FA199" s="9">
        <v>7195.98</v>
      </c>
      <c r="FB199" s="9">
        <v>56.228571428599999</v>
      </c>
      <c r="FC199" s="9">
        <v>48.478181818199999</v>
      </c>
      <c r="FD199" s="9">
        <v>4641.9659090908999</v>
      </c>
      <c r="FE199" s="9">
        <v>52.340909090899999</v>
      </c>
      <c r="FF199" s="9">
        <v>1276.4045454546001</v>
      </c>
      <c r="FG199">
        <v>12071185.119999999</v>
      </c>
      <c r="FH199">
        <v>11949799.539999999</v>
      </c>
      <c r="FI199">
        <v>121385.58</v>
      </c>
      <c r="FJ199" s="9">
        <v>13332125.5</v>
      </c>
      <c r="FK199">
        <v>9288927.1800000016</v>
      </c>
      <c r="FL199" s="9">
        <v>4043198.32</v>
      </c>
      <c r="FM199" s="9">
        <v>23310416.949999999</v>
      </c>
      <c r="FN199" s="9">
        <v>2569371.2400000002</v>
      </c>
      <c r="FO199">
        <v>1982.25</v>
      </c>
      <c r="FP199">
        <v>1860.23</v>
      </c>
      <c r="FQ199">
        <v>123.53</v>
      </c>
      <c r="FR199">
        <v>689.6</v>
      </c>
      <c r="FS199">
        <v>12.02</v>
      </c>
      <c r="FT199">
        <v>2499.0700000000002</v>
      </c>
      <c r="FU199">
        <v>625.94000000000005</v>
      </c>
      <c r="FV199">
        <v>229.92</v>
      </c>
      <c r="FW199">
        <v>8462</v>
      </c>
      <c r="FX199">
        <v>1302.05</v>
      </c>
      <c r="HB199" s="6"/>
      <c r="HC199" s="6"/>
      <c r="HD199" s="6"/>
    </row>
    <row r="200" spans="1:212" x14ac:dyDescent="0.2">
      <c r="A200" s="8" t="s">
        <v>859</v>
      </c>
      <c r="B200" s="8" t="s">
        <v>435</v>
      </c>
      <c r="C200" s="8" t="s">
        <v>436</v>
      </c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>
        <v>498958.7</v>
      </c>
      <c r="BO200" s="9">
        <v>423443</v>
      </c>
      <c r="BP200" s="9">
        <v>84255.3</v>
      </c>
      <c r="BQ200" s="9">
        <v>41699.199999999997</v>
      </c>
      <c r="BR200" s="9">
        <v>42701.9</v>
      </c>
      <c r="BS200" s="9">
        <v>77079.899999999994</v>
      </c>
      <c r="BT200" s="9">
        <v>116593.9</v>
      </c>
      <c r="BU200" s="9">
        <v>57660</v>
      </c>
      <c r="BV200" s="9">
        <v>75515.8</v>
      </c>
      <c r="BW200" s="9">
        <v>594502.40000000002</v>
      </c>
      <c r="BX200" s="9">
        <v>579506.80000000005</v>
      </c>
      <c r="BY200" s="9">
        <v>184171.4</v>
      </c>
      <c r="BZ200" s="9">
        <v>126265.5</v>
      </c>
      <c r="CA200" s="9">
        <v>34443.1</v>
      </c>
      <c r="CB200" s="9">
        <v>12973.8</v>
      </c>
      <c r="CC200" s="9">
        <v>180673.9</v>
      </c>
      <c r="CD200" s="9">
        <v>2332.1</v>
      </c>
      <c r="CE200" s="9">
        <v>175124.7</v>
      </c>
      <c r="CF200" s="9">
        <v>1941597.692164252</v>
      </c>
      <c r="CG200" s="9">
        <v>11308844.797126239</v>
      </c>
      <c r="CH200" s="9">
        <v>12.8495484262</v>
      </c>
      <c r="CI200" s="9">
        <v>6.5140855582999997</v>
      </c>
      <c r="CJ200" s="9">
        <v>19.155074244200001</v>
      </c>
      <c r="CK200" s="9">
        <v>13.1635667166</v>
      </c>
      <c r="CL200" s="9">
        <v>10.5</v>
      </c>
      <c r="CM200" s="9">
        <v>101.60866495960001</v>
      </c>
      <c r="CN200" s="9">
        <v>26.674573320299999</v>
      </c>
      <c r="CO200" s="9">
        <v>4.4413515302000004</v>
      </c>
      <c r="CP200" s="9">
        <v>17.1001337509</v>
      </c>
      <c r="CQ200" s="9">
        <v>9.2477906782999995</v>
      </c>
      <c r="CR200" s="9">
        <v>5.0500174639999997</v>
      </c>
      <c r="CS200" s="9">
        <v>3.6703966218000001</v>
      </c>
      <c r="CT200" s="9">
        <v>14.0103186859</v>
      </c>
      <c r="CU200" s="9">
        <v>4.3265185426999997</v>
      </c>
      <c r="CV200" s="9">
        <v>3.1551568493</v>
      </c>
      <c r="CW200" s="9">
        <v>5.3857184516999999</v>
      </c>
      <c r="CX200" s="9">
        <v>3.0517923096000001</v>
      </c>
      <c r="CY200" s="9">
        <v>5.4948967548000001</v>
      </c>
      <c r="CZ200" s="9">
        <v>351</v>
      </c>
      <c r="DA200" s="9">
        <v>301</v>
      </c>
      <c r="DB200" s="9">
        <v>61</v>
      </c>
      <c r="DC200" s="9">
        <v>117</v>
      </c>
      <c r="DD200" s="9">
        <v>34</v>
      </c>
      <c r="DE200" s="9">
        <v>10</v>
      </c>
      <c r="DF200" s="9">
        <v>41</v>
      </c>
      <c r="DG200" s="9">
        <v>26</v>
      </c>
      <c r="DH200" s="9">
        <v>18</v>
      </c>
      <c r="DI200" s="9">
        <v>1</v>
      </c>
      <c r="DJ200" s="9">
        <v>0</v>
      </c>
      <c r="DK200" s="9">
        <v>15</v>
      </c>
      <c r="DL200" s="9">
        <v>0</v>
      </c>
      <c r="DM200" s="9">
        <v>31</v>
      </c>
      <c r="DN200" s="9">
        <v>0</v>
      </c>
      <c r="DO200" s="9">
        <v>327.88</v>
      </c>
      <c r="DP200" s="9">
        <v>107.24</v>
      </c>
      <c r="DQ200" s="9">
        <v>54.22</v>
      </c>
      <c r="DR200" s="9">
        <v>53.02</v>
      </c>
      <c r="DS200" s="9">
        <v>42.63</v>
      </c>
      <c r="DT200" s="9">
        <v>10.220000000000001</v>
      </c>
      <c r="DU200" s="9">
        <v>118.16</v>
      </c>
      <c r="DV200" s="9">
        <v>76.36</v>
      </c>
      <c r="DW200" s="9">
        <v>30.07</v>
      </c>
      <c r="DX200" s="9">
        <v>58.9</v>
      </c>
      <c r="DY200" s="9">
        <v>27.78</v>
      </c>
      <c r="DZ200" s="9">
        <v>16.38</v>
      </c>
      <c r="EA200" s="9">
        <v>-112.29600000000001</v>
      </c>
      <c r="EB200" s="9">
        <v>-6.5432600000000001</v>
      </c>
      <c r="EC200" s="9">
        <v>-71.740099999999998</v>
      </c>
      <c r="ED200" s="9">
        <v>-57.1038</v>
      </c>
      <c r="EE200" s="9">
        <v>23.090910000000001</v>
      </c>
      <c r="EF200" s="9">
        <v>16.714079999999999</v>
      </c>
      <c r="EG200" s="9">
        <v>-55.218600000000002</v>
      </c>
      <c r="EH200" s="9">
        <v>-26.1981</v>
      </c>
      <c r="EI200" s="9">
        <v>-5.8217800000000004</v>
      </c>
      <c r="EJ200" s="9">
        <v>4.3779999999999999E-3</v>
      </c>
      <c r="EK200" s="9">
        <v>-23.202999999999999</v>
      </c>
      <c r="EL200" s="9">
        <v>45.038409999999999</v>
      </c>
      <c r="EM200" s="9">
        <v>4.6747860000000001</v>
      </c>
      <c r="EN200" s="9">
        <v>1275.3</v>
      </c>
      <c r="EO200" s="9"/>
      <c r="EP200" s="9"/>
      <c r="EQ200" s="9"/>
      <c r="ER200" s="9"/>
      <c r="ES200" s="9"/>
      <c r="ET200" s="9"/>
      <c r="EU200">
        <v>2031.9037499999999</v>
      </c>
      <c r="EV200" s="9"/>
      <c r="EW200" s="9"/>
      <c r="EX200" s="9"/>
      <c r="EY200" s="9"/>
      <c r="EZ200" s="9"/>
      <c r="FA200" s="9"/>
      <c r="FB200" s="9">
        <v>64.418367346899998</v>
      </c>
      <c r="FC200" s="9">
        <v>45.070952380999998</v>
      </c>
      <c r="FD200" s="9">
        <v>4864.9047619047997</v>
      </c>
      <c r="FE200" s="9">
        <v>57.3095238095</v>
      </c>
      <c r="FF200" s="9">
        <v>1337.3261904762001</v>
      </c>
      <c r="FG200">
        <v>12152956.130000001</v>
      </c>
      <c r="FH200">
        <v>12023962.82</v>
      </c>
      <c r="FI200">
        <v>128993.31</v>
      </c>
      <c r="FJ200" s="9">
        <v>13441199.82</v>
      </c>
      <c r="FK200">
        <v>9680533.7899999991</v>
      </c>
      <c r="FL200" s="9">
        <v>3760666.03</v>
      </c>
      <c r="FM200" s="9">
        <v>23959580.989999998</v>
      </c>
      <c r="FN200" s="9">
        <v>2640481.9900000002</v>
      </c>
      <c r="FO200">
        <v>2073.09</v>
      </c>
      <c r="FP200">
        <v>1437.05</v>
      </c>
      <c r="FQ200">
        <v>126.17</v>
      </c>
      <c r="FR200">
        <v>888.52</v>
      </c>
      <c r="FS200">
        <v>8.7799999999999994</v>
      </c>
      <c r="FT200">
        <v>1318.45</v>
      </c>
      <c r="FU200">
        <v>593.22</v>
      </c>
      <c r="FV200">
        <v>391.67</v>
      </c>
      <c r="FW200">
        <v>2939.8</v>
      </c>
      <c r="FX200">
        <v>345.64</v>
      </c>
      <c r="HB200" s="6"/>
      <c r="HC200" s="6"/>
      <c r="HD200" s="6"/>
    </row>
    <row r="201" spans="1:212" x14ac:dyDescent="0.2">
      <c r="A201" s="8" t="s">
        <v>859</v>
      </c>
      <c r="B201" s="8" t="s">
        <v>435</v>
      </c>
      <c r="C201" s="8" t="s">
        <v>437</v>
      </c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>
        <v>522213.2</v>
      </c>
      <c r="BO201" s="9">
        <v>458309.1</v>
      </c>
      <c r="BP201" s="9">
        <v>70265.100000000006</v>
      </c>
      <c r="BQ201" s="9">
        <v>28478.2</v>
      </c>
      <c r="BR201" s="9">
        <v>42114.5</v>
      </c>
      <c r="BS201" s="9">
        <v>116636.1</v>
      </c>
      <c r="BT201" s="9">
        <v>91599.1</v>
      </c>
      <c r="BU201" s="9">
        <v>92798.1</v>
      </c>
      <c r="BV201" s="9">
        <v>63904</v>
      </c>
      <c r="BW201" s="9">
        <v>417615.2</v>
      </c>
      <c r="BX201" s="9">
        <v>-110894.3</v>
      </c>
      <c r="BY201" s="9">
        <v>12421.5</v>
      </c>
      <c r="BZ201" s="9">
        <v>117868.1</v>
      </c>
      <c r="CA201" s="9">
        <v>62442.2</v>
      </c>
      <c r="CB201" s="9">
        <v>9030.5</v>
      </c>
      <c r="CC201" s="9">
        <v>160409.4</v>
      </c>
      <c r="CD201" s="9">
        <v>1506.5</v>
      </c>
      <c r="CE201" s="9">
        <v>50109.4</v>
      </c>
      <c r="CF201" s="9">
        <v>1987870.9917925559</v>
      </c>
      <c r="CG201" s="9">
        <v>11379760.86825205</v>
      </c>
      <c r="CH201" s="9">
        <v>12.3401426659</v>
      </c>
      <c r="CI201" s="9">
        <v>6.6880912047000001</v>
      </c>
      <c r="CJ201" s="9">
        <v>19.383461238100001</v>
      </c>
      <c r="CK201" s="9">
        <v>13.3337453991</v>
      </c>
      <c r="CL201" s="9">
        <v>15</v>
      </c>
      <c r="CM201" s="9">
        <v>100.8499862069</v>
      </c>
      <c r="CN201" s="9">
        <v>25.5922282039</v>
      </c>
      <c r="CO201" s="9">
        <v>4.4319620773999997</v>
      </c>
      <c r="CP201" s="9">
        <v>17.032176794800002</v>
      </c>
      <c r="CQ201" s="9">
        <v>9.2569263497000005</v>
      </c>
      <c r="CR201" s="9">
        <v>5.0632214121999999</v>
      </c>
      <c r="CS201" s="9">
        <v>3.6833105638000001</v>
      </c>
      <c r="CT201" s="9">
        <v>14.136902044699999</v>
      </c>
      <c r="CU201" s="9">
        <v>4.3123460853999998</v>
      </c>
      <c r="CV201" s="9">
        <v>3.1587874265</v>
      </c>
      <c r="CW201" s="9">
        <v>5.5798240073000001</v>
      </c>
      <c r="CX201" s="9">
        <v>3.0519670132000001</v>
      </c>
      <c r="CY201" s="9">
        <v>5.5503342279999996</v>
      </c>
      <c r="CZ201" s="9">
        <v>441</v>
      </c>
      <c r="DA201" s="9">
        <v>341</v>
      </c>
      <c r="DB201" s="9">
        <v>49</v>
      </c>
      <c r="DC201" s="9">
        <v>127</v>
      </c>
      <c r="DD201" s="9">
        <v>24</v>
      </c>
      <c r="DE201" s="9">
        <v>12</v>
      </c>
      <c r="DF201" s="9">
        <v>80</v>
      </c>
      <c r="DG201" s="9">
        <v>29</v>
      </c>
      <c r="DH201" s="9">
        <v>25</v>
      </c>
      <c r="DI201" s="9">
        <v>1</v>
      </c>
      <c r="DJ201" s="9">
        <v>0</v>
      </c>
      <c r="DK201" s="9">
        <v>20</v>
      </c>
      <c r="DL201" s="9">
        <v>1</v>
      </c>
      <c r="DM201" s="9">
        <v>75</v>
      </c>
      <c r="DN201" s="9">
        <v>0</v>
      </c>
      <c r="DO201" s="9">
        <v>340.47</v>
      </c>
      <c r="DP201" s="9">
        <v>116.76</v>
      </c>
      <c r="DQ201" s="9">
        <v>64.64</v>
      </c>
      <c r="DR201" s="9">
        <v>52.12</v>
      </c>
      <c r="DS201" s="9">
        <v>46.21</v>
      </c>
      <c r="DT201" s="9">
        <v>9.7899999999999991</v>
      </c>
      <c r="DU201" s="9">
        <v>121.75</v>
      </c>
      <c r="DV201" s="9">
        <v>68.69</v>
      </c>
      <c r="DW201" s="9">
        <v>37.17</v>
      </c>
      <c r="DX201" s="9">
        <v>55.27</v>
      </c>
      <c r="DY201" s="9">
        <v>28.66</v>
      </c>
      <c r="DZ201" s="9">
        <v>16.329999999999998</v>
      </c>
      <c r="EA201" s="9">
        <v>-25.014199999999999</v>
      </c>
      <c r="EB201" s="9">
        <v>53.279119999999999</v>
      </c>
      <c r="EC201" s="9">
        <v>-42.725200000000001</v>
      </c>
      <c r="ED201" s="9">
        <v>-52.4617</v>
      </c>
      <c r="EE201" s="9">
        <v>16.893599999999999</v>
      </c>
      <c r="EF201" s="9">
        <v>7.282832</v>
      </c>
      <c r="EG201" s="9">
        <v>2.1664479999999999</v>
      </c>
      <c r="EH201" s="9">
        <v>-5.6002599999999996</v>
      </c>
      <c r="EI201" s="9">
        <v>-14.3042</v>
      </c>
      <c r="EJ201" s="9">
        <v>-8.7999999999999998E-5</v>
      </c>
      <c r="EK201" s="9">
        <v>22.070959999999999</v>
      </c>
      <c r="EL201" s="9">
        <v>-128.04499999999999</v>
      </c>
      <c r="EM201" s="9">
        <v>-147.94300000000001</v>
      </c>
      <c r="EN201" s="9">
        <v>1141.9000000000001</v>
      </c>
      <c r="EO201" s="9"/>
      <c r="EP201" s="9"/>
      <c r="EQ201" s="9"/>
      <c r="ER201" s="9"/>
      <c r="ES201" s="9"/>
      <c r="ET201" s="9"/>
      <c r="EU201">
        <v>2189.0482608696002</v>
      </c>
      <c r="EV201" s="9"/>
      <c r="EW201" s="9"/>
      <c r="EX201" s="9"/>
      <c r="EY201" s="9"/>
      <c r="EZ201" s="9"/>
      <c r="FA201" s="9"/>
      <c r="FB201" s="9">
        <v>71.326948051900004</v>
      </c>
      <c r="FC201" s="9">
        <v>46.144347826100002</v>
      </c>
      <c r="FD201" s="9">
        <v>4751.6704545455004</v>
      </c>
      <c r="FE201" s="9">
        <v>60.869565217400002</v>
      </c>
      <c r="FF201" s="9">
        <v>1341.0886363636</v>
      </c>
      <c r="FG201">
        <v>12492869.449999999</v>
      </c>
      <c r="FH201">
        <v>12360525.1</v>
      </c>
      <c r="FI201">
        <v>132344.35</v>
      </c>
      <c r="FJ201" s="9">
        <v>13582277.250000002</v>
      </c>
      <c r="FK201">
        <v>9872783.4800000004</v>
      </c>
      <c r="FL201" s="9">
        <v>3709493.7700000009</v>
      </c>
      <c r="FM201" s="9">
        <v>24218891.789999999</v>
      </c>
      <c r="FN201" s="9">
        <v>2675512.77</v>
      </c>
      <c r="FO201">
        <v>2219.65</v>
      </c>
      <c r="FP201">
        <v>1119.72</v>
      </c>
      <c r="FQ201">
        <v>140.5</v>
      </c>
      <c r="FR201">
        <v>564.67999999999995</v>
      </c>
      <c r="FS201">
        <v>10.85</v>
      </c>
      <c r="FT201">
        <v>2531.0100000000002</v>
      </c>
      <c r="FU201">
        <v>665.62</v>
      </c>
      <c r="FV201">
        <v>329.14</v>
      </c>
      <c r="FW201">
        <v>4679</v>
      </c>
      <c r="FX201">
        <v>535.51</v>
      </c>
      <c r="HB201" s="6"/>
      <c r="HC201" s="6"/>
      <c r="HD201" s="6"/>
    </row>
    <row r="202" spans="1:212" x14ac:dyDescent="0.2">
      <c r="A202" s="8" t="s">
        <v>859</v>
      </c>
      <c r="B202" s="8" t="s">
        <v>435</v>
      </c>
      <c r="C202" s="8" t="s">
        <v>438</v>
      </c>
      <c r="D202" s="9">
        <v>6290160.7999999998</v>
      </c>
      <c r="E202" s="9">
        <v>704498.3</v>
      </c>
      <c r="F202" s="9">
        <v>1219824.8</v>
      </c>
      <c r="G202" s="9">
        <v>535876.5</v>
      </c>
      <c r="H202" s="9">
        <v>110657</v>
      </c>
      <c r="I202" s="9">
        <v>233548.1</v>
      </c>
      <c r="J202" s="9">
        <v>536150.69999999995</v>
      </c>
      <c r="K202" s="9">
        <v>390403.5</v>
      </c>
      <c r="L202" s="9">
        <v>151565.1</v>
      </c>
      <c r="M202" s="9">
        <v>1756939.9</v>
      </c>
      <c r="N202" s="9">
        <v>650696.9</v>
      </c>
      <c r="O202" s="9">
        <v>5990072.3099999996</v>
      </c>
      <c r="P202" s="9">
        <v>990257.63</v>
      </c>
      <c r="Q202" s="9">
        <v>1021118.7929999999</v>
      </c>
      <c r="R202" s="9">
        <v>419975.15100000001</v>
      </c>
      <c r="S202" s="9">
        <v>97824.054999999993</v>
      </c>
      <c r="T202" s="9">
        <v>214931.55100000001</v>
      </c>
      <c r="U202" s="9">
        <v>705293.83200000005</v>
      </c>
      <c r="V202" s="9">
        <v>276386.05900000001</v>
      </c>
      <c r="W202" s="9">
        <v>120589.946</v>
      </c>
      <c r="X202" s="9">
        <v>1617870.963</v>
      </c>
      <c r="Y202" s="9">
        <v>525824.33100000001</v>
      </c>
      <c r="Z202" s="9">
        <v>6256509.2999999998</v>
      </c>
      <c r="AA202" s="9">
        <v>3412426.9</v>
      </c>
      <c r="AB202" s="9">
        <v>897880.8</v>
      </c>
      <c r="AC202" s="9">
        <v>1273443.3999999999</v>
      </c>
      <c r="AD202" s="9">
        <v>702665.2</v>
      </c>
      <c r="AE202" s="9">
        <v>3035968.4</v>
      </c>
      <c r="AF202" s="9">
        <v>3065875.4</v>
      </c>
      <c r="AG202" s="9">
        <v>6042605.7000000002</v>
      </c>
      <c r="AH202" s="9">
        <v>3706992.2</v>
      </c>
      <c r="AI202" s="9">
        <v>968435.19999999995</v>
      </c>
      <c r="AJ202" s="9">
        <v>1146665</v>
      </c>
      <c r="AK202" s="9">
        <v>634543.6</v>
      </c>
      <c r="AL202" s="9">
        <v>2897178</v>
      </c>
      <c r="AM202" s="9">
        <v>3311208.2</v>
      </c>
      <c r="AN202" s="9">
        <v>1144359</v>
      </c>
      <c r="AO202" s="9">
        <v>608655</v>
      </c>
      <c r="AP202" s="9">
        <v>535704</v>
      </c>
      <c r="AQ202" s="9">
        <v>118864</v>
      </c>
      <c r="AR202" s="9">
        <v>72765</v>
      </c>
      <c r="AS202" s="9">
        <v>46099</v>
      </c>
      <c r="AT202" s="9">
        <v>785962</v>
      </c>
      <c r="AU202" s="9">
        <v>321741</v>
      </c>
      <c r="AV202" s="9">
        <v>464221</v>
      </c>
      <c r="AW202" s="9">
        <v>884.29520000000002</v>
      </c>
      <c r="AX202" s="9">
        <v>671.2</v>
      </c>
      <c r="AY202" s="9">
        <v>1984.8</v>
      </c>
      <c r="AZ202" s="9">
        <v>934.5</v>
      </c>
      <c r="BA202" s="9">
        <v>1212.2</v>
      </c>
      <c r="BB202" s="9">
        <v>665.9</v>
      </c>
      <c r="BC202" s="9">
        <v>781.3</v>
      </c>
      <c r="BD202" s="9">
        <v>776.4</v>
      </c>
      <c r="BE202" s="9">
        <v>1070.3</v>
      </c>
      <c r="BF202" s="9">
        <v>605.9</v>
      </c>
      <c r="BG202" s="9">
        <v>833.9</v>
      </c>
      <c r="BH202" s="9">
        <v>1155.0999999999999</v>
      </c>
      <c r="BI202" s="9">
        <v>818.1</v>
      </c>
      <c r="BJ202" s="9">
        <v>650.4</v>
      </c>
      <c r="BK202" s="9"/>
      <c r="BL202" s="9">
        <v>610.70000000000005</v>
      </c>
      <c r="BM202" s="9">
        <v>730.7</v>
      </c>
      <c r="BN202" s="9">
        <v>450247.6</v>
      </c>
      <c r="BO202" s="9">
        <v>395026.6</v>
      </c>
      <c r="BP202" s="9">
        <v>70291.600000000006</v>
      </c>
      <c r="BQ202" s="9">
        <v>24488</v>
      </c>
      <c r="BR202" s="9">
        <v>46699.7</v>
      </c>
      <c r="BS202" s="9">
        <v>81996.7</v>
      </c>
      <c r="BT202" s="9">
        <v>88134.1</v>
      </c>
      <c r="BU202" s="9">
        <v>66526.899999999994</v>
      </c>
      <c r="BV202" s="9">
        <v>55221</v>
      </c>
      <c r="BW202" s="9">
        <v>506111.1</v>
      </c>
      <c r="BX202" s="9">
        <v>6257.2</v>
      </c>
      <c r="BY202" s="9">
        <v>23012.7</v>
      </c>
      <c r="BZ202" s="9">
        <v>145660.5</v>
      </c>
      <c r="CA202" s="9">
        <v>55674.9</v>
      </c>
      <c r="CB202" s="9">
        <v>19505.2</v>
      </c>
      <c r="CC202" s="9">
        <v>186431.6</v>
      </c>
      <c r="CD202" s="9">
        <v>2400.4</v>
      </c>
      <c r="CE202" s="9">
        <v>180950.3</v>
      </c>
      <c r="CF202" s="9">
        <v>2020542.0177079199</v>
      </c>
      <c r="CG202" s="9">
        <v>11556927.02313461</v>
      </c>
      <c r="CH202" s="9">
        <v>13.371914967</v>
      </c>
      <c r="CI202" s="9">
        <v>5.8146656457999999</v>
      </c>
      <c r="CJ202" s="9">
        <v>20.087753008100002</v>
      </c>
      <c r="CK202" s="9">
        <v>12.521307073499999</v>
      </c>
      <c r="CL202" s="9">
        <v>15</v>
      </c>
      <c r="CM202" s="9">
        <v>100.317381814</v>
      </c>
      <c r="CN202" s="9">
        <v>24.9786518443</v>
      </c>
      <c r="CO202" s="9">
        <v>4.4528388136999997</v>
      </c>
      <c r="CP202" s="9">
        <v>17.047527044399999</v>
      </c>
      <c r="CQ202" s="9">
        <v>9.2816288398999998</v>
      </c>
      <c r="CR202" s="9">
        <v>5.0653062826999999</v>
      </c>
      <c r="CS202" s="9">
        <v>3.6907644456000002</v>
      </c>
      <c r="CT202" s="9">
        <v>14.112238703999999</v>
      </c>
      <c r="CU202" s="9">
        <v>4.3129660340999996</v>
      </c>
      <c r="CV202" s="9">
        <v>3.1620284023999998</v>
      </c>
      <c r="CW202" s="9">
        <v>5.5798240073000001</v>
      </c>
      <c r="CX202" s="9">
        <v>3.0544075138000002</v>
      </c>
      <c r="CY202" s="9">
        <v>5.5791998819000002</v>
      </c>
      <c r="CZ202" s="9">
        <v>338</v>
      </c>
      <c r="DA202" s="9">
        <v>283</v>
      </c>
      <c r="DB202" s="9">
        <v>9</v>
      </c>
      <c r="DC202" s="9">
        <v>104</v>
      </c>
      <c r="DD202" s="9">
        <v>22</v>
      </c>
      <c r="DE202" s="9">
        <v>13</v>
      </c>
      <c r="DF202" s="9">
        <v>89</v>
      </c>
      <c r="DG202" s="9">
        <v>19</v>
      </c>
      <c r="DH202" s="9">
        <v>25</v>
      </c>
      <c r="DI202" s="9">
        <v>2</v>
      </c>
      <c r="DJ202" s="9">
        <v>0</v>
      </c>
      <c r="DK202" s="9">
        <v>19</v>
      </c>
      <c r="DL202" s="9">
        <v>1</v>
      </c>
      <c r="DM202" s="9">
        <v>28</v>
      </c>
      <c r="DN202" s="9">
        <v>0</v>
      </c>
      <c r="DO202" s="9">
        <v>284.47000000000003</v>
      </c>
      <c r="DP202" s="9">
        <v>94.35</v>
      </c>
      <c r="DQ202" s="9">
        <v>58.19</v>
      </c>
      <c r="DR202" s="9">
        <v>36.159999999999997</v>
      </c>
      <c r="DS202" s="9">
        <v>40.020000000000003</v>
      </c>
      <c r="DT202" s="9">
        <v>10.210000000000001</v>
      </c>
      <c r="DU202" s="9">
        <v>100.66</v>
      </c>
      <c r="DV202" s="9">
        <v>50.87</v>
      </c>
      <c r="DW202" s="9">
        <v>28.48</v>
      </c>
      <c r="DX202" s="9">
        <v>48.73</v>
      </c>
      <c r="DY202" s="9">
        <v>22.23</v>
      </c>
      <c r="DZ202" s="9">
        <v>15.21</v>
      </c>
      <c r="EA202" s="9">
        <v>-66.0411</v>
      </c>
      <c r="EB202" s="9">
        <v>63.466059999999999</v>
      </c>
      <c r="EC202" s="9">
        <v>-96.203900000000004</v>
      </c>
      <c r="ED202" s="9">
        <v>-62.276400000000002</v>
      </c>
      <c r="EE202" s="9">
        <v>28.97307</v>
      </c>
      <c r="EF202" s="9">
        <v>9.2621129999999994</v>
      </c>
      <c r="EG202" s="9">
        <v>-15.4786</v>
      </c>
      <c r="EH202" s="9">
        <v>-23.948899999999998</v>
      </c>
      <c r="EI202" s="9">
        <v>18.959440000000001</v>
      </c>
      <c r="EJ202" s="9">
        <v>-1.6</v>
      </c>
      <c r="EK202" s="9">
        <v>-8.8892000000000007</v>
      </c>
      <c r="EL202" s="9">
        <v>-1.5896399999999999</v>
      </c>
      <c r="EM202" s="9">
        <v>-42.890099999999997</v>
      </c>
      <c r="EN202" s="9">
        <v>1092.4000000000001</v>
      </c>
      <c r="EO202" s="9"/>
      <c r="EP202" s="9"/>
      <c r="EQ202" s="9"/>
      <c r="ER202" s="9"/>
      <c r="ES202" s="9"/>
      <c r="ET202" s="9"/>
      <c r="EU202">
        <v>2243.9749999999999</v>
      </c>
      <c r="EV202" s="9">
        <v>24649.07</v>
      </c>
      <c r="EW202" s="9">
        <v>4899.6400000000003</v>
      </c>
      <c r="EX202" s="9">
        <v>1729.17</v>
      </c>
      <c r="EY202" s="9">
        <v>2539.9299999999998</v>
      </c>
      <c r="EZ202" s="9">
        <v>8224.24</v>
      </c>
      <c r="FA202" s="9">
        <v>7256.09</v>
      </c>
      <c r="FB202" s="9">
        <v>76.373863636400003</v>
      </c>
      <c r="FC202" s="9">
        <v>46.188636363599997</v>
      </c>
      <c r="FD202" s="9">
        <v>4722.2045454544996</v>
      </c>
      <c r="FE202" s="9">
        <v>57.659090909100001</v>
      </c>
      <c r="FF202" s="9">
        <v>1326.0295454546001</v>
      </c>
      <c r="FG202">
        <v>12545214.029999999</v>
      </c>
      <c r="FH202">
        <v>12409420.68</v>
      </c>
      <c r="FI202">
        <v>135793.35</v>
      </c>
      <c r="FJ202" s="9">
        <v>13676712.140000001</v>
      </c>
      <c r="FK202">
        <v>10152976.469999999</v>
      </c>
      <c r="FL202" s="9">
        <v>3523735.67</v>
      </c>
      <c r="FM202" s="9">
        <v>24656760.329999998</v>
      </c>
      <c r="FN202" s="9">
        <v>2770071.89</v>
      </c>
      <c r="FO202">
        <v>2287.3000000000002</v>
      </c>
      <c r="FP202">
        <v>217.72</v>
      </c>
      <c r="FQ202">
        <v>112.75</v>
      </c>
      <c r="FR202">
        <v>540.85</v>
      </c>
      <c r="FS202">
        <v>10.29</v>
      </c>
      <c r="FT202">
        <v>2546.31</v>
      </c>
      <c r="FU202">
        <v>439.63</v>
      </c>
      <c r="FV202">
        <v>1064.92</v>
      </c>
      <c r="FW202">
        <v>9403.8799999999992</v>
      </c>
      <c r="FX202">
        <v>463.77</v>
      </c>
      <c r="HB202" s="6"/>
      <c r="HC202" s="6"/>
      <c r="HD202" s="6"/>
    </row>
    <row r="203" spans="1:212" x14ac:dyDescent="0.2">
      <c r="A203" s="8" t="s">
        <v>859</v>
      </c>
      <c r="B203" s="8" t="s">
        <v>439</v>
      </c>
      <c r="C203" s="8" t="s">
        <v>440</v>
      </c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>
        <v>481668.8</v>
      </c>
      <c r="BO203" s="9">
        <v>455848.9</v>
      </c>
      <c r="BP203" s="9">
        <v>94861.4</v>
      </c>
      <c r="BQ203" s="9">
        <v>51925.1</v>
      </c>
      <c r="BR203" s="9">
        <v>43403.7</v>
      </c>
      <c r="BS203" s="9">
        <v>94529.5</v>
      </c>
      <c r="BT203" s="9">
        <v>117576.5</v>
      </c>
      <c r="BU203" s="9">
        <v>39584.199999999997</v>
      </c>
      <c r="BV203" s="9">
        <v>25830.9</v>
      </c>
      <c r="BW203" s="9">
        <v>603403.6</v>
      </c>
      <c r="BX203" s="9">
        <v>-11804.9</v>
      </c>
      <c r="BY203" s="9">
        <v>25716.6</v>
      </c>
      <c r="BZ203" s="9">
        <v>148220.79999999999</v>
      </c>
      <c r="CA203" s="9">
        <v>104830.1</v>
      </c>
      <c r="CB203" s="9">
        <v>10312.1</v>
      </c>
      <c r="CC203" s="9">
        <v>234744.2</v>
      </c>
      <c r="CD203" s="9">
        <v>15331.1</v>
      </c>
      <c r="CE203" s="9">
        <v>159689</v>
      </c>
      <c r="CF203" s="9">
        <v>2087632.43886246</v>
      </c>
      <c r="CG203" s="9">
        <v>11612008.12164066</v>
      </c>
      <c r="CH203" s="9">
        <v>13.4811056054</v>
      </c>
      <c r="CI203" s="9">
        <v>5.3830419322000003</v>
      </c>
      <c r="CJ203" s="9">
        <v>20.222260175999999</v>
      </c>
      <c r="CK203" s="9">
        <v>12.518867049700001</v>
      </c>
      <c r="CL203" s="9">
        <v>15</v>
      </c>
      <c r="CM203" s="9">
        <v>99.698265277000004</v>
      </c>
      <c r="CN203" s="9">
        <v>24.359526323600001</v>
      </c>
      <c r="CO203" s="9">
        <v>4.4475916352000002</v>
      </c>
      <c r="CP203" s="9">
        <v>17.043376629600001</v>
      </c>
      <c r="CQ203" s="9">
        <v>9.3648380345</v>
      </c>
      <c r="CR203" s="9">
        <v>5.0472945865999996</v>
      </c>
      <c r="CS203" s="9">
        <v>3.6784335194</v>
      </c>
      <c r="CT203" s="9">
        <v>14.132681317299999</v>
      </c>
      <c r="CU203" s="9">
        <v>4.3116259832999999</v>
      </c>
      <c r="CV203" s="9">
        <v>3.1245029064000001</v>
      </c>
      <c r="CW203" s="9">
        <v>5.5784357091999999</v>
      </c>
      <c r="CX203" s="9">
        <v>3.0548382309000002</v>
      </c>
      <c r="CY203" s="9">
        <v>5.5551204010999999</v>
      </c>
      <c r="CZ203" s="9">
        <v>393</v>
      </c>
      <c r="DA203" s="9">
        <v>360</v>
      </c>
      <c r="DB203" s="9">
        <v>46</v>
      </c>
      <c r="DC203" s="9">
        <v>121</v>
      </c>
      <c r="DD203" s="9">
        <v>32</v>
      </c>
      <c r="DE203" s="9">
        <v>10</v>
      </c>
      <c r="DF203" s="9">
        <v>100</v>
      </c>
      <c r="DG203" s="9">
        <v>34</v>
      </c>
      <c r="DH203" s="9">
        <v>12</v>
      </c>
      <c r="DI203" s="9">
        <v>3</v>
      </c>
      <c r="DJ203" s="9">
        <v>2</v>
      </c>
      <c r="DK203" s="9">
        <v>3</v>
      </c>
      <c r="DL203" s="9">
        <v>3</v>
      </c>
      <c r="DM203" s="9">
        <v>18</v>
      </c>
      <c r="DN203" s="9">
        <v>0</v>
      </c>
      <c r="DO203" s="9">
        <v>319.76</v>
      </c>
      <c r="DP203" s="9">
        <v>97.15</v>
      </c>
      <c r="DQ203" s="9">
        <v>65.12</v>
      </c>
      <c r="DR203" s="9">
        <v>32.03</v>
      </c>
      <c r="DS203" s="9">
        <v>36.79</v>
      </c>
      <c r="DT203" s="9">
        <v>10.29</v>
      </c>
      <c r="DU203" s="9">
        <v>140.97999999999999</v>
      </c>
      <c r="DV203" s="9">
        <v>97.9</v>
      </c>
      <c r="DW203" s="9">
        <v>23.02</v>
      </c>
      <c r="DX203" s="9">
        <v>44.13</v>
      </c>
      <c r="DY203" s="9">
        <v>19.91</v>
      </c>
      <c r="DZ203" s="9">
        <v>9.06</v>
      </c>
      <c r="EA203" s="9">
        <v>-121.059</v>
      </c>
      <c r="EB203" s="9">
        <v>22.53745</v>
      </c>
      <c r="EC203" s="9">
        <v>-110.32899999999999</v>
      </c>
      <c r="ED203" s="9">
        <v>-48.929200000000002</v>
      </c>
      <c r="EE203" s="9">
        <v>15.662509999999999</v>
      </c>
      <c r="EF203" s="9">
        <v>5.4674630000000004</v>
      </c>
      <c r="EG203" s="9">
        <v>-18.560600000000001</v>
      </c>
      <c r="EH203" s="9">
        <v>-33.869</v>
      </c>
      <c r="EI203" s="9">
        <v>10.04607</v>
      </c>
      <c r="EJ203" s="9">
        <v>43.651020000000003</v>
      </c>
      <c r="EK203" s="9">
        <v>-38.388599999999997</v>
      </c>
      <c r="EL203" s="9">
        <v>51.396320000000003</v>
      </c>
      <c r="EM203" s="9">
        <v>-45.634399999999999</v>
      </c>
      <c r="EN203" s="9">
        <v>1038.7</v>
      </c>
      <c r="EO203" s="9"/>
      <c r="EP203" s="9"/>
      <c r="EQ203" s="9"/>
      <c r="ER203" s="9"/>
      <c r="ES203" s="9"/>
      <c r="ET203" s="9"/>
      <c r="EU203">
        <v>2307.8000000000002</v>
      </c>
      <c r="EV203" s="9"/>
      <c r="EW203" s="9"/>
      <c r="EX203" s="9"/>
      <c r="EY203" s="9"/>
      <c r="EZ203" s="9"/>
      <c r="FA203" s="9"/>
      <c r="FB203" s="9">
        <v>96.239795918400006</v>
      </c>
      <c r="FC203" s="9">
        <v>49.7323809524</v>
      </c>
      <c r="FD203" s="9">
        <v>4731.2619047619</v>
      </c>
      <c r="FE203" s="9">
        <v>58.952380952399999</v>
      </c>
      <c r="FF203" s="9">
        <v>1266.5690476191</v>
      </c>
      <c r="FG203">
        <v>12625721.239999998</v>
      </c>
      <c r="FH203">
        <v>12484508.960000001</v>
      </c>
      <c r="FI203">
        <v>141212.28</v>
      </c>
      <c r="FJ203" s="9">
        <v>12869735.030000001</v>
      </c>
      <c r="FK203">
        <v>10294849.99</v>
      </c>
      <c r="FL203" s="9">
        <v>2574885.04</v>
      </c>
      <c r="FM203" s="9">
        <v>24725066.07</v>
      </c>
      <c r="FN203" s="9">
        <v>2795840.33</v>
      </c>
      <c r="FO203">
        <v>2374.21</v>
      </c>
      <c r="FP203">
        <v>1106.75</v>
      </c>
      <c r="FQ203">
        <v>122.7</v>
      </c>
      <c r="FR203">
        <v>751.09</v>
      </c>
      <c r="FS203">
        <v>8.3000000000000007</v>
      </c>
      <c r="FT203">
        <v>2482.7800000000002</v>
      </c>
      <c r="FU203">
        <v>686.59</v>
      </c>
      <c r="FV203">
        <v>1116.96</v>
      </c>
      <c r="FW203">
        <v>14679.6</v>
      </c>
      <c r="FX203">
        <v>87.59</v>
      </c>
      <c r="HB203" s="6"/>
      <c r="HC203" s="6"/>
      <c r="HD203" s="6"/>
    </row>
    <row r="204" spans="1:212" x14ac:dyDescent="0.2">
      <c r="A204" s="8" t="s">
        <v>859</v>
      </c>
      <c r="B204" s="8" t="s">
        <v>439</v>
      </c>
      <c r="C204" s="8" t="s">
        <v>441</v>
      </c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>
        <v>565009.19999999995</v>
      </c>
      <c r="BO204" s="9">
        <v>443512.3</v>
      </c>
      <c r="BP204" s="9">
        <v>92390.3</v>
      </c>
      <c r="BQ204" s="9">
        <v>40701.5</v>
      </c>
      <c r="BR204" s="9">
        <v>51922.7</v>
      </c>
      <c r="BS204" s="9">
        <v>96169.4</v>
      </c>
      <c r="BT204" s="9">
        <v>100977.1</v>
      </c>
      <c r="BU204" s="9">
        <v>53077.3</v>
      </c>
      <c r="BV204" s="9">
        <v>121485.8</v>
      </c>
      <c r="BW204" s="9">
        <v>600691.9</v>
      </c>
      <c r="BX204" s="9">
        <v>6438.8</v>
      </c>
      <c r="BY204" s="9">
        <v>20844.900000000001</v>
      </c>
      <c r="BZ204" s="9">
        <v>137103.79999999999</v>
      </c>
      <c r="CA204" s="9">
        <v>63573</v>
      </c>
      <c r="CB204" s="9">
        <v>25125.5</v>
      </c>
      <c r="CC204" s="9">
        <v>253569.4</v>
      </c>
      <c r="CD204" s="9">
        <v>5180.8999999999996</v>
      </c>
      <c r="CE204" s="9">
        <v>313858.5</v>
      </c>
      <c r="CF204" s="9">
        <v>1928614.568973917</v>
      </c>
      <c r="CG204" s="9">
        <v>11726407.584224369</v>
      </c>
      <c r="CH204" s="9">
        <v>13.341835101599999</v>
      </c>
      <c r="CI204" s="9">
        <v>4.6568250879999997</v>
      </c>
      <c r="CJ204" s="9">
        <v>20.598798028600001</v>
      </c>
      <c r="CK204" s="9">
        <v>12.814290214</v>
      </c>
      <c r="CL204" s="9">
        <v>15</v>
      </c>
      <c r="CM204" s="9">
        <v>100.1950742893</v>
      </c>
      <c r="CN204" s="9">
        <v>24.3334232984</v>
      </c>
      <c r="CO204" s="9">
        <v>4.4537738250999999</v>
      </c>
      <c r="CP204" s="9">
        <v>17.2201367477</v>
      </c>
      <c r="CQ204" s="9">
        <v>9.5961996761999995</v>
      </c>
      <c r="CR204" s="9">
        <v>5.0643465460000003</v>
      </c>
      <c r="CS204" s="9">
        <v>3.7038256419</v>
      </c>
      <c r="CT204" s="9">
        <v>14.154397659000001</v>
      </c>
      <c r="CU204" s="9">
        <v>4.3108878196999996</v>
      </c>
      <c r="CV204" s="9">
        <v>3.1253351686999999</v>
      </c>
      <c r="CW204" s="9">
        <v>5.5780307345000004</v>
      </c>
      <c r="CX204" s="9">
        <v>3.0556755593</v>
      </c>
      <c r="CY204" s="9">
        <v>5.5990416125999998</v>
      </c>
      <c r="CZ204" s="9">
        <v>554</v>
      </c>
      <c r="DA204" s="9">
        <v>497</v>
      </c>
      <c r="DB204" s="9">
        <v>132</v>
      </c>
      <c r="DC204" s="9">
        <v>104</v>
      </c>
      <c r="DD204" s="9">
        <v>25</v>
      </c>
      <c r="DE204" s="9">
        <v>15</v>
      </c>
      <c r="DF204" s="9">
        <v>167</v>
      </c>
      <c r="DG204" s="9">
        <v>33</v>
      </c>
      <c r="DH204" s="9">
        <v>23</v>
      </c>
      <c r="DI204" s="9">
        <v>4</v>
      </c>
      <c r="DJ204" s="9">
        <v>1</v>
      </c>
      <c r="DK204" s="9">
        <v>15</v>
      </c>
      <c r="DL204" s="9">
        <v>3</v>
      </c>
      <c r="DM204" s="9">
        <v>31</v>
      </c>
      <c r="DN204" s="9">
        <v>0</v>
      </c>
      <c r="DO204" s="9">
        <v>310.85000000000002</v>
      </c>
      <c r="DP204" s="9">
        <v>108.47</v>
      </c>
      <c r="DQ204" s="9">
        <v>68.67</v>
      </c>
      <c r="DR204" s="9">
        <v>39.799999999999997</v>
      </c>
      <c r="DS204" s="9">
        <v>39.94</v>
      </c>
      <c r="DT204" s="9">
        <v>9.3000000000000007</v>
      </c>
      <c r="DU204" s="9">
        <v>95.11</v>
      </c>
      <c r="DV204" s="9">
        <v>60.1</v>
      </c>
      <c r="DW204" s="9">
        <v>18.62</v>
      </c>
      <c r="DX204" s="9">
        <v>66.62</v>
      </c>
      <c r="DY204" s="9">
        <v>37.44</v>
      </c>
      <c r="DZ204" s="9">
        <v>17.78</v>
      </c>
      <c r="EA204" s="9">
        <v>70.643190000000004</v>
      </c>
      <c r="EB204" s="9">
        <v>232.28</v>
      </c>
      <c r="EC204" s="9">
        <v>-122.714</v>
      </c>
      <c r="ED204" s="9">
        <v>-46.652799999999999</v>
      </c>
      <c r="EE204" s="9">
        <v>7.7300870000000002</v>
      </c>
      <c r="EF204" s="9">
        <v>8.6963880000000007</v>
      </c>
      <c r="EG204" s="9">
        <v>-185.63800000000001</v>
      </c>
      <c r="EH204" s="9">
        <v>13.508509999999999</v>
      </c>
      <c r="EI204" s="9">
        <v>3.3701859999999999</v>
      </c>
      <c r="EJ204" s="9">
        <v>-0.24761</v>
      </c>
      <c r="EK204" s="9">
        <v>-202.26900000000001</v>
      </c>
      <c r="EL204" s="9">
        <v>24.73753</v>
      </c>
      <c r="EM204" s="9">
        <v>289.71499999999997</v>
      </c>
      <c r="EN204" s="9">
        <v>1303.9000000000001</v>
      </c>
      <c r="EO204" s="9"/>
      <c r="EP204" s="9"/>
      <c r="EQ204" s="9"/>
      <c r="ER204" s="9"/>
      <c r="ES204" s="9"/>
      <c r="ET204" s="9"/>
      <c r="EU204">
        <v>2434.3180952380999</v>
      </c>
      <c r="EV204" s="9"/>
      <c r="EW204" s="9"/>
      <c r="EX204" s="9"/>
      <c r="EY204" s="9"/>
      <c r="EZ204" s="9"/>
      <c r="FA204" s="9"/>
      <c r="FB204" s="9">
        <v>111.4280844156</v>
      </c>
      <c r="FC204" s="9">
        <v>46.435909090899997</v>
      </c>
      <c r="FD204" s="9">
        <v>5450.9318181817998</v>
      </c>
      <c r="FE204" s="9">
        <v>74.136363636400006</v>
      </c>
      <c r="FF204" s="9">
        <v>1235.9795454545001</v>
      </c>
      <c r="FG204">
        <v>12780530.23</v>
      </c>
      <c r="FH204">
        <v>12633768.619999999</v>
      </c>
      <c r="FI204">
        <v>146761.60999999999</v>
      </c>
      <c r="FJ204" s="9">
        <v>13047519.99</v>
      </c>
      <c r="FK204">
        <v>10579800.800000001</v>
      </c>
      <c r="FL204" s="9">
        <v>2467719.19</v>
      </c>
      <c r="FM204" s="9">
        <v>25050961.219999999</v>
      </c>
      <c r="FN204" s="9">
        <v>2818651.07</v>
      </c>
      <c r="FO204">
        <v>2466.64</v>
      </c>
      <c r="FP204">
        <v>3298.67</v>
      </c>
      <c r="FQ204">
        <v>119.77</v>
      </c>
      <c r="FR204">
        <v>570.03</v>
      </c>
      <c r="FS204">
        <v>11.24</v>
      </c>
      <c r="FT204">
        <v>3462.65</v>
      </c>
      <c r="FU204">
        <v>750</v>
      </c>
      <c r="FV204">
        <v>1904.99</v>
      </c>
      <c r="FW204">
        <v>10042.52</v>
      </c>
      <c r="FX204">
        <v>438.38</v>
      </c>
      <c r="HB204" s="6"/>
      <c r="HC204" s="6"/>
      <c r="HD204" s="6"/>
    </row>
    <row r="205" spans="1:212" x14ac:dyDescent="0.2">
      <c r="A205" s="8" t="s">
        <v>859</v>
      </c>
      <c r="B205" s="8" t="s">
        <v>439</v>
      </c>
      <c r="C205" s="8" t="s">
        <v>442</v>
      </c>
      <c r="D205" s="9">
        <v>6692647.2000000002</v>
      </c>
      <c r="E205" s="9">
        <v>442964.8</v>
      </c>
      <c r="F205" s="9">
        <v>1816304.3</v>
      </c>
      <c r="G205" s="9">
        <v>463708.9</v>
      </c>
      <c r="H205" s="9">
        <v>188681.5</v>
      </c>
      <c r="I205" s="9">
        <v>381503.9</v>
      </c>
      <c r="J205" s="9">
        <v>1261847.3999999999</v>
      </c>
      <c r="K205" s="9">
        <v>265611</v>
      </c>
      <c r="L205" s="9">
        <v>128549.6</v>
      </c>
      <c r="M205" s="9">
        <v>1340763.8</v>
      </c>
      <c r="N205" s="9">
        <v>402711.8</v>
      </c>
      <c r="O205" s="9">
        <v>6589824.3799999999</v>
      </c>
      <c r="P205" s="9">
        <v>691642.34699999995</v>
      </c>
      <c r="Q205" s="9">
        <v>1330396.236</v>
      </c>
      <c r="R205" s="9">
        <v>493969.66200000001</v>
      </c>
      <c r="S205" s="9">
        <v>174573.66899999999</v>
      </c>
      <c r="T205" s="9">
        <v>352343.94099999999</v>
      </c>
      <c r="U205" s="9">
        <v>962683.43599999999</v>
      </c>
      <c r="V205" s="9">
        <v>526230.39500000002</v>
      </c>
      <c r="W205" s="9">
        <v>117372.292</v>
      </c>
      <c r="X205" s="9">
        <v>1548623.8859999999</v>
      </c>
      <c r="Y205" s="9">
        <v>391988.51500000001</v>
      </c>
      <c r="Z205" s="9">
        <v>6845296</v>
      </c>
      <c r="AA205" s="9">
        <v>3284008.5</v>
      </c>
      <c r="AB205" s="9">
        <v>937104.4</v>
      </c>
      <c r="AC205" s="9">
        <v>1719682.6</v>
      </c>
      <c r="AD205" s="9">
        <v>72166.899999999994</v>
      </c>
      <c r="AE205" s="9">
        <v>4005718.5</v>
      </c>
      <c r="AF205" s="9">
        <v>3173385</v>
      </c>
      <c r="AG205" s="9">
        <v>6705562.4000000004</v>
      </c>
      <c r="AH205" s="9">
        <v>3649654.3</v>
      </c>
      <c r="AI205" s="9">
        <v>1031990.2</v>
      </c>
      <c r="AJ205" s="9">
        <v>1534120</v>
      </c>
      <c r="AK205" s="9">
        <v>127925</v>
      </c>
      <c r="AL205" s="9">
        <v>3776271.5</v>
      </c>
      <c r="AM205" s="9">
        <v>3414398.6</v>
      </c>
      <c r="AN205" s="9">
        <v>1132843</v>
      </c>
      <c r="AO205" s="9">
        <v>592686</v>
      </c>
      <c r="AP205" s="9">
        <v>540157</v>
      </c>
      <c r="AQ205" s="9">
        <v>107003</v>
      </c>
      <c r="AR205" s="9">
        <v>66989</v>
      </c>
      <c r="AS205" s="9">
        <v>40014</v>
      </c>
      <c r="AT205" s="9">
        <v>814053</v>
      </c>
      <c r="AU205" s="9">
        <v>325556</v>
      </c>
      <c r="AV205" s="9">
        <v>488497</v>
      </c>
      <c r="AW205" s="9">
        <v>942.91</v>
      </c>
      <c r="AX205" s="9">
        <v>688.17</v>
      </c>
      <c r="AY205" s="9">
        <v>2311.66</v>
      </c>
      <c r="AZ205" s="9">
        <v>999.2</v>
      </c>
      <c r="BA205" s="9">
        <v>1256.8499999999999</v>
      </c>
      <c r="BB205" s="9">
        <v>678.11</v>
      </c>
      <c r="BC205" s="9">
        <v>820.66</v>
      </c>
      <c r="BD205" s="9">
        <v>798.69</v>
      </c>
      <c r="BE205" s="9">
        <v>1054.97</v>
      </c>
      <c r="BF205" s="9">
        <v>599.04999999999995</v>
      </c>
      <c r="BG205" s="9">
        <v>890.02</v>
      </c>
      <c r="BH205" s="9">
        <v>1111.73</v>
      </c>
      <c r="BI205" s="9">
        <v>860.06</v>
      </c>
      <c r="BJ205" s="9">
        <v>770.12</v>
      </c>
      <c r="BK205" s="9">
        <v>780.88</v>
      </c>
      <c r="BL205" s="9">
        <v>626.30999999999995</v>
      </c>
      <c r="BM205" s="9">
        <v>830.71</v>
      </c>
      <c r="BN205" s="9">
        <v>775689.2</v>
      </c>
      <c r="BO205" s="9">
        <v>537193.4</v>
      </c>
      <c r="BP205" s="9">
        <v>138851.4</v>
      </c>
      <c r="BQ205" s="9">
        <v>48362.1</v>
      </c>
      <c r="BR205" s="9">
        <v>50497.9</v>
      </c>
      <c r="BS205" s="9">
        <v>75634.8</v>
      </c>
      <c r="BT205" s="9">
        <v>146831.70000000001</v>
      </c>
      <c r="BU205" s="9">
        <v>44313.4</v>
      </c>
      <c r="BV205" s="9">
        <v>238495.8</v>
      </c>
      <c r="BW205" s="9">
        <v>772149.1</v>
      </c>
      <c r="BX205" s="9">
        <v>32671.200000000001</v>
      </c>
      <c r="BY205" s="9">
        <v>21341.3</v>
      </c>
      <c r="BZ205" s="9">
        <v>182221.4</v>
      </c>
      <c r="CA205" s="9">
        <v>296183.5</v>
      </c>
      <c r="CB205" s="9">
        <v>40247.9</v>
      </c>
      <c r="CC205" s="9">
        <v>96375.4</v>
      </c>
      <c r="CD205" s="9">
        <v>-37049.1</v>
      </c>
      <c r="CE205" s="9">
        <v>953809.2</v>
      </c>
      <c r="CF205" s="9">
        <v>2147719.418584459</v>
      </c>
      <c r="CG205" s="9">
        <v>12158529.9360846</v>
      </c>
      <c r="CH205" s="9">
        <v>12.431644676199999</v>
      </c>
      <c r="CI205" s="9">
        <v>5.2856369531</v>
      </c>
      <c r="CJ205" s="9">
        <v>19.6613444919</v>
      </c>
      <c r="CK205" s="9">
        <v>12.958629114600001</v>
      </c>
      <c r="CL205" s="9">
        <v>14</v>
      </c>
      <c r="CM205" s="9">
        <v>100.77923441039999</v>
      </c>
      <c r="CN205" s="9">
        <v>24.7412498453</v>
      </c>
      <c r="CO205" s="9">
        <v>4.4583403139</v>
      </c>
      <c r="CP205" s="9">
        <v>17.2966589977</v>
      </c>
      <c r="CQ205" s="9">
        <v>9.5943426075999998</v>
      </c>
      <c r="CR205" s="9">
        <v>5.0803761904</v>
      </c>
      <c r="CS205" s="9">
        <v>3.7176140137</v>
      </c>
      <c r="CT205" s="9">
        <v>14.1664302349</v>
      </c>
      <c r="CU205" s="9">
        <v>4.3099357485000001</v>
      </c>
      <c r="CV205" s="9">
        <v>3.1288254834</v>
      </c>
      <c r="CW205" s="9">
        <v>5.5782607113999996</v>
      </c>
      <c r="CX205" s="9">
        <v>3.0683430070000002</v>
      </c>
      <c r="CY205" s="9">
        <v>5.6388572564999997</v>
      </c>
      <c r="CZ205" s="9">
        <v>642</v>
      </c>
      <c r="DA205" s="9">
        <v>574</v>
      </c>
      <c r="DB205" s="9">
        <v>182</v>
      </c>
      <c r="DC205" s="9">
        <v>114</v>
      </c>
      <c r="DD205" s="9">
        <v>16</v>
      </c>
      <c r="DE205" s="9">
        <v>13</v>
      </c>
      <c r="DF205" s="9">
        <v>200</v>
      </c>
      <c r="DG205" s="9">
        <v>35</v>
      </c>
      <c r="DH205" s="9">
        <v>23</v>
      </c>
      <c r="DI205" s="9">
        <v>3</v>
      </c>
      <c r="DJ205" s="9">
        <v>4</v>
      </c>
      <c r="DK205" s="9">
        <v>13</v>
      </c>
      <c r="DL205" s="9">
        <v>5</v>
      </c>
      <c r="DM205" s="9">
        <v>40</v>
      </c>
      <c r="DN205" s="9">
        <v>0</v>
      </c>
      <c r="DO205" s="9">
        <v>279.25</v>
      </c>
      <c r="DP205" s="9">
        <v>94.7</v>
      </c>
      <c r="DQ205" s="9">
        <v>61.23</v>
      </c>
      <c r="DR205" s="9">
        <v>33.47</v>
      </c>
      <c r="DS205" s="9">
        <v>41.45</v>
      </c>
      <c r="DT205" s="9">
        <v>12.72</v>
      </c>
      <c r="DU205" s="9">
        <v>79.05</v>
      </c>
      <c r="DV205" s="9">
        <v>53.49</v>
      </c>
      <c r="DW205" s="9">
        <v>14.11</v>
      </c>
      <c r="DX205" s="9">
        <v>63.43</v>
      </c>
      <c r="DY205" s="9">
        <v>33.04</v>
      </c>
      <c r="DZ205" s="9">
        <v>18.559999999999999</v>
      </c>
      <c r="EA205" s="9">
        <v>67.041759999999996</v>
      </c>
      <c r="EB205" s="9">
        <v>351.0052</v>
      </c>
      <c r="EC205" s="9">
        <v>-129.06200000000001</v>
      </c>
      <c r="ED205" s="9">
        <v>-167.30500000000001</v>
      </c>
      <c r="EE205" s="9">
        <v>12.403460000000001</v>
      </c>
      <c r="EF205" s="9">
        <v>6.3949199999999999</v>
      </c>
      <c r="EG205" s="9">
        <v>50.931060000000002</v>
      </c>
      <c r="EH205" s="9">
        <v>-73.385900000000007</v>
      </c>
      <c r="EI205" s="9">
        <v>10.140079999999999</v>
      </c>
      <c r="EJ205" s="9">
        <v>-4.1302199999999996</v>
      </c>
      <c r="EK205" s="9">
        <v>118.30710000000001</v>
      </c>
      <c r="EL205" s="9">
        <v>-52.6496</v>
      </c>
      <c r="EM205" s="9">
        <v>-30.143999999999998</v>
      </c>
      <c r="EN205" s="9">
        <v>1296.3</v>
      </c>
      <c r="EO205" s="9"/>
      <c r="EP205" s="9"/>
      <c r="EQ205" s="9"/>
      <c r="ER205" s="9"/>
      <c r="ES205" s="9"/>
      <c r="ET205" s="9"/>
      <c r="EU205">
        <v>2482.5725000000002</v>
      </c>
      <c r="EV205" s="9">
        <v>24624.5</v>
      </c>
      <c r="EW205" s="9">
        <v>4868.6099999999997</v>
      </c>
      <c r="EX205" s="9">
        <v>1790.75</v>
      </c>
      <c r="EY205" s="9">
        <v>2417.38</v>
      </c>
      <c r="EZ205" s="9">
        <v>8121.49</v>
      </c>
      <c r="FA205" s="9">
        <v>7426.28</v>
      </c>
      <c r="FB205" s="9">
        <v>93.134464285700005</v>
      </c>
      <c r="FC205" s="9">
        <v>54.066363636399998</v>
      </c>
      <c r="FD205" s="9">
        <v>5660.35</v>
      </c>
      <c r="FE205" s="9">
        <v>79.431818181799997</v>
      </c>
      <c r="FF205" s="9">
        <v>1151.4027777778001</v>
      </c>
      <c r="FG205">
        <v>12486327.409999998</v>
      </c>
      <c r="FH205">
        <v>12337992.639999999</v>
      </c>
      <c r="FI205">
        <v>148334.76999999999</v>
      </c>
      <c r="FJ205" s="9">
        <v>13441266.84</v>
      </c>
      <c r="FK205">
        <v>10924487.41</v>
      </c>
      <c r="FL205" s="9">
        <v>2516779.4300000002</v>
      </c>
      <c r="FM205" s="9">
        <v>25338363.600000001</v>
      </c>
      <c r="FN205" s="9">
        <v>2936042.99</v>
      </c>
      <c r="FO205">
        <v>2489.5300000000002</v>
      </c>
      <c r="FP205">
        <v>4914.34</v>
      </c>
      <c r="FQ205">
        <v>118.88</v>
      </c>
      <c r="FR205">
        <v>182.26</v>
      </c>
      <c r="FS205">
        <v>8.67</v>
      </c>
      <c r="FT205">
        <v>3694.41</v>
      </c>
      <c r="FU205">
        <v>701.84</v>
      </c>
      <c r="FV205">
        <v>1906.04</v>
      </c>
      <c r="FW205">
        <v>28921.200000000001</v>
      </c>
      <c r="FX205">
        <v>617.45000000000005</v>
      </c>
      <c r="HB205" s="6"/>
      <c r="HC205" s="6"/>
      <c r="HD205" s="6"/>
    </row>
    <row r="206" spans="1:212" x14ac:dyDescent="0.2">
      <c r="A206" s="8" t="s">
        <v>860</v>
      </c>
      <c r="B206" s="8" t="s">
        <v>443</v>
      </c>
      <c r="C206" s="8" t="s">
        <v>444</v>
      </c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>
        <v>483455.7</v>
      </c>
      <c r="BO206" s="9">
        <v>360895.6</v>
      </c>
      <c r="BP206" s="9">
        <v>74061.600000000006</v>
      </c>
      <c r="BQ206" s="9">
        <v>37094.5</v>
      </c>
      <c r="BR206" s="9">
        <v>36968.199999999997</v>
      </c>
      <c r="BS206" s="9">
        <v>76967.899999999994</v>
      </c>
      <c r="BT206" s="9">
        <v>88856.9</v>
      </c>
      <c r="BU206" s="9">
        <v>38270.199999999997</v>
      </c>
      <c r="BV206" s="9">
        <v>79661.100000000006</v>
      </c>
      <c r="BW206" s="9">
        <v>414718.3</v>
      </c>
      <c r="BX206" s="9">
        <v>2052.4</v>
      </c>
      <c r="BY206" s="9">
        <v>10185.299999999999</v>
      </c>
      <c r="BZ206" s="9">
        <v>131871.79999999999</v>
      </c>
      <c r="CA206" s="9">
        <v>62333.7</v>
      </c>
      <c r="CB206" s="9">
        <v>2964.8</v>
      </c>
      <c r="CC206" s="9">
        <v>163220.70000000001</v>
      </c>
      <c r="CD206" s="9">
        <v>718.7</v>
      </c>
      <c r="CE206" s="9">
        <v>49110.9</v>
      </c>
      <c r="CF206" s="9">
        <v>2013274.1869311789</v>
      </c>
      <c r="CG206" s="9">
        <v>11973696.494865591</v>
      </c>
      <c r="CH206" s="9">
        <v>13.6572681527</v>
      </c>
      <c r="CI206" s="9">
        <v>5.6626322149000003</v>
      </c>
      <c r="CJ206" s="9">
        <v>20.1756285879</v>
      </c>
      <c r="CK206" s="9">
        <v>12.2741721539</v>
      </c>
      <c r="CL206" s="9">
        <v>14</v>
      </c>
      <c r="CM206" s="9">
        <v>101.7469723793</v>
      </c>
      <c r="CN206" s="9">
        <v>25.540639568</v>
      </c>
      <c r="CO206" s="9">
        <v>4.4692504309999999</v>
      </c>
      <c r="CP206" s="9">
        <v>17.323812250500001</v>
      </c>
      <c r="CQ206" s="9">
        <v>9.5996941164000003</v>
      </c>
      <c r="CR206" s="9">
        <v>5.1064301943999997</v>
      </c>
      <c r="CS206" s="9">
        <v>3.7415037347000002</v>
      </c>
      <c r="CT206" s="9">
        <v>14.188483875899999</v>
      </c>
      <c r="CU206" s="9">
        <v>4.2965066288999996</v>
      </c>
      <c r="CV206" s="9">
        <v>3.1324998859000002</v>
      </c>
      <c r="CW206" s="9">
        <v>5.5785439429999997</v>
      </c>
      <c r="CX206" s="9">
        <v>3.0697250683999999</v>
      </c>
      <c r="CY206" s="9">
        <v>5.6998826822000002</v>
      </c>
      <c r="CZ206" s="9">
        <v>428</v>
      </c>
      <c r="DA206" s="9">
        <v>393</v>
      </c>
      <c r="DB206" s="9">
        <v>18</v>
      </c>
      <c r="DC206" s="9">
        <v>137</v>
      </c>
      <c r="DD206" s="9">
        <v>15</v>
      </c>
      <c r="DE206" s="9">
        <v>12</v>
      </c>
      <c r="DF206" s="9">
        <v>168</v>
      </c>
      <c r="DG206" s="9">
        <v>31</v>
      </c>
      <c r="DH206" s="9">
        <v>16</v>
      </c>
      <c r="DI206" s="9">
        <v>2</v>
      </c>
      <c r="DJ206" s="9">
        <v>4</v>
      </c>
      <c r="DK206" s="9">
        <v>9</v>
      </c>
      <c r="DL206" s="9">
        <v>1</v>
      </c>
      <c r="DM206" s="9">
        <v>18</v>
      </c>
      <c r="DN206" s="9">
        <v>0</v>
      </c>
      <c r="DO206" s="9">
        <v>277.17</v>
      </c>
      <c r="DP206" s="9">
        <v>86.18</v>
      </c>
      <c r="DQ206" s="9">
        <v>49.08</v>
      </c>
      <c r="DR206" s="9">
        <v>37.1</v>
      </c>
      <c r="DS206" s="9">
        <v>36.840000000000003</v>
      </c>
      <c r="DT206" s="9">
        <v>10.33</v>
      </c>
      <c r="DU206" s="9">
        <v>95.29</v>
      </c>
      <c r="DV206" s="9">
        <v>71.86</v>
      </c>
      <c r="DW206" s="9">
        <v>13.96</v>
      </c>
      <c r="DX206" s="9">
        <v>58.16</v>
      </c>
      <c r="DY206" s="9">
        <v>35.65</v>
      </c>
      <c r="DZ206" s="9">
        <v>18.190000000000001</v>
      </c>
      <c r="EA206" s="9">
        <v>-75.19</v>
      </c>
      <c r="EB206" s="9">
        <v>109.364</v>
      </c>
      <c r="EC206" s="9">
        <v>-111.105</v>
      </c>
      <c r="ED206" s="9">
        <v>-90.3673</v>
      </c>
      <c r="EE206" s="9">
        <v>16.917960000000001</v>
      </c>
      <c r="EF206" s="9">
        <v>7.5744730000000002</v>
      </c>
      <c r="EG206" s="9">
        <v>46.812060000000002</v>
      </c>
      <c r="EH206" s="9">
        <v>-67.226600000000005</v>
      </c>
      <c r="EI206" s="9">
        <v>104.74809999999999</v>
      </c>
      <c r="EJ206" s="9">
        <v>15.80406</v>
      </c>
      <c r="EK206" s="9">
        <v>-6.5135399999999999</v>
      </c>
      <c r="EL206" s="9">
        <v>-61.485100000000003</v>
      </c>
      <c r="EM206" s="9">
        <v>-175.91300000000001</v>
      </c>
      <c r="EN206" s="9">
        <v>1116.9000000000001</v>
      </c>
      <c r="EO206" s="9"/>
      <c r="EP206" s="9"/>
      <c r="EQ206" s="9"/>
      <c r="ER206" s="9"/>
      <c r="ES206" s="9"/>
      <c r="ET206" s="9"/>
      <c r="EU206">
        <v>2488.3760869564999</v>
      </c>
      <c r="EV206" s="9"/>
      <c r="EW206" s="9"/>
      <c r="EX206" s="9"/>
      <c r="EY206" s="9"/>
      <c r="EZ206" s="9"/>
      <c r="FA206" s="9"/>
      <c r="FB206" s="9">
        <v>91.424489795900001</v>
      </c>
      <c r="FC206" s="9">
        <v>54.8927272727</v>
      </c>
      <c r="FD206" s="9">
        <v>5754.5595238095002</v>
      </c>
      <c r="FE206" s="9">
        <v>80.818181818200003</v>
      </c>
      <c r="FF206" s="9">
        <v>1192.6166666667</v>
      </c>
      <c r="FG206">
        <v>12442564.109999999</v>
      </c>
      <c r="FH206">
        <v>12295247.93</v>
      </c>
      <c r="FI206">
        <v>147316.18</v>
      </c>
      <c r="FJ206" s="9">
        <v>13299185.23</v>
      </c>
      <c r="FK206">
        <v>10849961.08</v>
      </c>
      <c r="FL206" s="9">
        <v>2449224.15</v>
      </c>
      <c r="FM206" s="9">
        <v>24927057.789999999</v>
      </c>
      <c r="FN206" s="9">
        <v>3026970.26</v>
      </c>
      <c r="FO206">
        <v>2459.44</v>
      </c>
      <c r="FP206">
        <v>466.55</v>
      </c>
      <c r="FQ206">
        <v>133.71</v>
      </c>
      <c r="FR206">
        <v>259.77999999999997</v>
      </c>
      <c r="FS206">
        <v>8.67</v>
      </c>
      <c r="FT206">
        <v>2591.6</v>
      </c>
      <c r="FU206">
        <v>592.61</v>
      </c>
      <c r="FV206">
        <v>1440.47</v>
      </c>
      <c r="FW206">
        <v>45313.74</v>
      </c>
      <c r="FX206">
        <v>645.29999999999995</v>
      </c>
      <c r="HB206" s="6"/>
      <c r="HC206" s="6"/>
      <c r="HD206" s="6"/>
    </row>
    <row r="207" spans="1:212" x14ac:dyDescent="0.2">
      <c r="A207" s="8" t="s">
        <v>860</v>
      </c>
      <c r="B207" s="8" t="s">
        <v>443</v>
      </c>
      <c r="C207" s="8" t="s">
        <v>445</v>
      </c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>
        <v>550590.5</v>
      </c>
      <c r="BO207" s="9">
        <v>459001.5</v>
      </c>
      <c r="BP207" s="9">
        <v>177465.4</v>
      </c>
      <c r="BQ207" s="9">
        <v>128037.1</v>
      </c>
      <c r="BR207" s="9">
        <v>49700.2</v>
      </c>
      <c r="BS207" s="9">
        <v>105632.2</v>
      </c>
      <c r="BT207" s="9">
        <v>85513.7</v>
      </c>
      <c r="BU207" s="9">
        <v>28443.4</v>
      </c>
      <c r="BV207" s="9">
        <v>63799</v>
      </c>
      <c r="BW207" s="9">
        <v>601570.80000000005</v>
      </c>
      <c r="BX207" s="9">
        <v>33000.9</v>
      </c>
      <c r="BY207" s="9">
        <v>15714.4</v>
      </c>
      <c r="BZ207" s="9">
        <v>146879.70000000001</v>
      </c>
      <c r="CA207" s="9">
        <v>86270.6</v>
      </c>
      <c r="CB207" s="9">
        <v>43820.9</v>
      </c>
      <c r="CC207" s="9">
        <v>235245.8</v>
      </c>
      <c r="CD207" s="9">
        <v>2156.3000000000002</v>
      </c>
      <c r="CE207" s="9">
        <v>74629.899999999994</v>
      </c>
      <c r="CF207" s="9">
        <v>2185647.528967069</v>
      </c>
      <c r="CG207" s="9">
        <v>12324741.084340289</v>
      </c>
      <c r="CH207" s="9">
        <v>13.219266028</v>
      </c>
      <c r="CI207" s="9">
        <v>4.193459625</v>
      </c>
      <c r="CJ207" s="9">
        <v>20.090415869299999</v>
      </c>
      <c r="CK207" s="9">
        <v>11.4332705772</v>
      </c>
      <c r="CL207" s="9">
        <v>14</v>
      </c>
      <c r="CM207" s="9">
        <v>102.5540074071</v>
      </c>
      <c r="CN207" s="9">
        <v>26.249133333300001</v>
      </c>
      <c r="CO207" s="9">
        <v>4.4744463055999999</v>
      </c>
      <c r="CP207" s="9">
        <v>17.211290929600001</v>
      </c>
      <c r="CQ207" s="9">
        <v>9.5965625263999996</v>
      </c>
      <c r="CR207" s="9">
        <v>5.1147684642</v>
      </c>
      <c r="CS207" s="9">
        <v>3.7492394497000001</v>
      </c>
      <c r="CT207" s="9">
        <v>14.3663697199</v>
      </c>
      <c r="CU207" s="9">
        <v>4.2966608925000003</v>
      </c>
      <c r="CV207" s="9">
        <v>3.1302216222000001</v>
      </c>
      <c r="CW207" s="9">
        <v>5.5785439429999997</v>
      </c>
      <c r="CX207" s="9">
        <v>3.0717817452</v>
      </c>
      <c r="CY207" s="9">
        <v>5.7149884753000002</v>
      </c>
      <c r="CZ207" s="9">
        <v>396</v>
      </c>
      <c r="DA207" s="9">
        <v>364</v>
      </c>
      <c r="DB207" s="9">
        <v>13</v>
      </c>
      <c r="DC207" s="9">
        <v>109</v>
      </c>
      <c r="DD207" s="9">
        <v>30</v>
      </c>
      <c r="DE207" s="9">
        <v>15</v>
      </c>
      <c r="DF207" s="9">
        <v>157</v>
      </c>
      <c r="DG207" s="9">
        <v>28</v>
      </c>
      <c r="DH207" s="9">
        <v>13</v>
      </c>
      <c r="DI207" s="9">
        <v>1</v>
      </c>
      <c r="DJ207" s="9">
        <v>3</v>
      </c>
      <c r="DK207" s="9">
        <v>6</v>
      </c>
      <c r="DL207" s="9">
        <v>0</v>
      </c>
      <c r="DM207" s="9">
        <v>19</v>
      </c>
      <c r="DN207" s="9">
        <v>0</v>
      </c>
      <c r="DO207" s="9">
        <v>209.66</v>
      </c>
      <c r="DP207" s="9">
        <v>73.239999999999995</v>
      </c>
      <c r="DQ207" s="9">
        <v>42.27</v>
      </c>
      <c r="DR207" s="9">
        <v>30.97</v>
      </c>
      <c r="DS207" s="9">
        <v>29.28</v>
      </c>
      <c r="DT207" s="9">
        <v>10.39</v>
      </c>
      <c r="DU207" s="9">
        <v>62.62</v>
      </c>
      <c r="DV207" s="9">
        <v>46.33</v>
      </c>
      <c r="DW207" s="9">
        <v>9.59</v>
      </c>
      <c r="DX207" s="9">
        <v>43.99</v>
      </c>
      <c r="DY207" s="9">
        <v>17.649999999999999</v>
      </c>
      <c r="DZ207" s="9">
        <v>19.55</v>
      </c>
      <c r="EA207" s="9">
        <v>-1.3294999999999999</v>
      </c>
      <c r="EB207" s="9">
        <v>178.72909999999999</v>
      </c>
      <c r="EC207" s="9">
        <v>-112.083</v>
      </c>
      <c r="ED207" s="9">
        <v>-79.608599999999996</v>
      </c>
      <c r="EE207" s="9">
        <v>11.63335</v>
      </c>
      <c r="EF207" s="9">
        <v>3.9006910000000001</v>
      </c>
      <c r="EG207" s="9">
        <v>-26.703399999999998</v>
      </c>
      <c r="EH207" s="9">
        <v>-41.720999999999997</v>
      </c>
      <c r="EI207" s="9">
        <v>-19.567299999999999</v>
      </c>
      <c r="EJ207" s="9">
        <v>1.058108</v>
      </c>
      <c r="EK207" s="9">
        <v>33.526800000000001</v>
      </c>
      <c r="EL207" s="9">
        <v>-103.74</v>
      </c>
      <c r="EM207" s="9">
        <v>-74.465100000000007</v>
      </c>
      <c r="EN207" s="9">
        <v>1047.5999999999999</v>
      </c>
      <c r="EO207" s="9"/>
      <c r="EP207" s="9"/>
      <c r="EQ207" s="9"/>
      <c r="ER207" s="9"/>
      <c r="ES207" s="9"/>
      <c r="ET207" s="9"/>
      <c r="EU207">
        <v>2478.29</v>
      </c>
      <c r="EV207" s="9"/>
      <c r="EW207" s="9"/>
      <c r="EX207" s="9"/>
      <c r="EY207" s="9"/>
      <c r="EZ207" s="9"/>
      <c r="FA207" s="9"/>
      <c r="FB207" s="9">
        <v>85.9692857143</v>
      </c>
      <c r="FC207" s="9">
        <v>55.493499999999997</v>
      </c>
      <c r="FD207" s="9">
        <v>5940.9125000000004</v>
      </c>
      <c r="FE207" s="9">
        <v>88.95</v>
      </c>
      <c r="FF207" s="9">
        <v>1234.3575000000001</v>
      </c>
      <c r="FG207">
        <v>12647263.449999999</v>
      </c>
      <c r="FH207">
        <v>12499109.059999999</v>
      </c>
      <c r="FI207">
        <v>148154.39000000001</v>
      </c>
      <c r="FJ207" s="9">
        <v>13532518.609999999</v>
      </c>
      <c r="FK207">
        <v>10986794.789999999</v>
      </c>
      <c r="FL207" s="9">
        <v>2545723.8200000003</v>
      </c>
      <c r="FM207" s="9">
        <v>25150524.920000002</v>
      </c>
      <c r="FN207" s="9">
        <v>3109512.15</v>
      </c>
      <c r="FO207">
        <v>2470.83</v>
      </c>
      <c r="FP207">
        <v>311.02999999999997</v>
      </c>
      <c r="FQ207">
        <v>106.81</v>
      </c>
      <c r="FR207">
        <v>453.09</v>
      </c>
      <c r="FS207">
        <v>10.02</v>
      </c>
      <c r="FT207">
        <v>2200.6799999999998</v>
      </c>
      <c r="FU207">
        <v>533.14</v>
      </c>
      <c r="FV207">
        <v>826.62</v>
      </c>
      <c r="FW207">
        <v>31814.06</v>
      </c>
      <c r="FX207">
        <v>461.42</v>
      </c>
      <c r="HB207" s="6"/>
      <c r="HC207" s="6"/>
      <c r="HD207" s="6"/>
    </row>
    <row r="208" spans="1:212" x14ac:dyDescent="0.2">
      <c r="A208" s="8" t="s">
        <v>860</v>
      </c>
      <c r="B208" s="8" t="s">
        <v>443</v>
      </c>
      <c r="C208" s="8" t="s">
        <v>446</v>
      </c>
      <c r="D208" s="9">
        <v>5836170.7999999998</v>
      </c>
      <c r="E208" s="9">
        <v>185565.3</v>
      </c>
      <c r="F208" s="9">
        <v>1615945.9</v>
      </c>
      <c r="G208" s="9">
        <v>540885.4</v>
      </c>
      <c r="H208" s="9">
        <v>159362.1</v>
      </c>
      <c r="I208" s="9">
        <v>47701.4</v>
      </c>
      <c r="J208" s="9">
        <v>459126.6</v>
      </c>
      <c r="K208" s="9">
        <v>333880.40000000002</v>
      </c>
      <c r="L208" s="9">
        <v>99522.7</v>
      </c>
      <c r="M208" s="9">
        <v>1850209.2</v>
      </c>
      <c r="N208" s="9">
        <v>543972</v>
      </c>
      <c r="O208" s="9">
        <v>4550555.3650000002</v>
      </c>
      <c r="P208" s="9">
        <v>192924.96299999999</v>
      </c>
      <c r="Q208" s="9">
        <v>797251.929</v>
      </c>
      <c r="R208" s="9">
        <v>275574.59100000001</v>
      </c>
      <c r="S208" s="9">
        <v>176064.11600000001</v>
      </c>
      <c r="T208" s="9">
        <v>47824.411</v>
      </c>
      <c r="U208" s="9">
        <v>480421.09399999998</v>
      </c>
      <c r="V208" s="9">
        <v>248146.66399999999</v>
      </c>
      <c r="W208" s="9">
        <v>109949.238</v>
      </c>
      <c r="X208" s="9">
        <v>1718033.6769999999</v>
      </c>
      <c r="Y208" s="9">
        <v>504364.68</v>
      </c>
      <c r="Z208" s="9">
        <v>5563338.5</v>
      </c>
      <c r="AA208" s="9">
        <v>3288118.3</v>
      </c>
      <c r="AB208" s="9">
        <v>740071.6</v>
      </c>
      <c r="AC208" s="9">
        <v>927238.9</v>
      </c>
      <c r="AD208" s="9">
        <v>465576.1</v>
      </c>
      <c r="AE208" s="9">
        <v>3417225.5</v>
      </c>
      <c r="AF208" s="9">
        <v>3274892</v>
      </c>
      <c r="AG208" s="9">
        <v>4740692.7</v>
      </c>
      <c r="AH208" s="9">
        <v>3379728.4</v>
      </c>
      <c r="AI208" s="9">
        <v>834862.3</v>
      </c>
      <c r="AJ208" s="9">
        <v>726581.7</v>
      </c>
      <c r="AK208" s="9">
        <v>118440.7</v>
      </c>
      <c r="AL208" s="9">
        <v>2645255</v>
      </c>
      <c r="AM208" s="9">
        <v>2964175.3</v>
      </c>
      <c r="AN208" s="9">
        <v>1147015</v>
      </c>
      <c r="AO208" s="9">
        <v>591013</v>
      </c>
      <c r="AP208" s="9">
        <v>556002</v>
      </c>
      <c r="AQ208" s="9">
        <v>115327</v>
      </c>
      <c r="AR208" s="9">
        <v>68535</v>
      </c>
      <c r="AS208" s="9">
        <v>46792</v>
      </c>
      <c r="AT208" s="9">
        <v>859971</v>
      </c>
      <c r="AU208" s="9">
        <v>356966</v>
      </c>
      <c r="AV208" s="9">
        <v>503005</v>
      </c>
      <c r="AW208" s="9">
        <v>959.14</v>
      </c>
      <c r="AX208" s="9">
        <v>697.29</v>
      </c>
      <c r="AY208" s="9">
        <v>2481.16</v>
      </c>
      <c r="AZ208" s="9">
        <v>1014.46</v>
      </c>
      <c r="BA208" s="9">
        <v>1560.55</v>
      </c>
      <c r="BB208" s="9">
        <v>722.95</v>
      </c>
      <c r="BC208" s="9">
        <v>911.83</v>
      </c>
      <c r="BD208" s="9">
        <v>790.64</v>
      </c>
      <c r="BE208" s="9">
        <v>1153.53</v>
      </c>
      <c r="BF208" s="9">
        <v>623.69000000000005</v>
      </c>
      <c r="BG208" s="9">
        <v>878.91</v>
      </c>
      <c r="BH208" s="9">
        <v>1161.97</v>
      </c>
      <c r="BI208" s="9">
        <v>893.32</v>
      </c>
      <c r="BJ208" s="9">
        <v>723.98</v>
      </c>
      <c r="BK208" s="9">
        <v>741.13</v>
      </c>
      <c r="BL208" s="9">
        <v>600.6</v>
      </c>
      <c r="BM208" s="9">
        <v>768.41</v>
      </c>
      <c r="BN208" s="9">
        <v>582043.80000000005</v>
      </c>
      <c r="BO208" s="9">
        <v>469124</v>
      </c>
      <c r="BP208" s="9">
        <v>95084.3</v>
      </c>
      <c r="BQ208" s="9">
        <v>39707.800000000003</v>
      </c>
      <c r="BR208" s="9">
        <v>56299.7</v>
      </c>
      <c r="BS208" s="9">
        <v>113022</v>
      </c>
      <c r="BT208" s="9">
        <v>127071.3</v>
      </c>
      <c r="BU208" s="9">
        <v>33330.800000000003</v>
      </c>
      <c r="BV208" s="9">
        <v>71673.2</v>
      </c>
      <c r="BW208" s="9">
        <v>531187.5</v>
      </c>
      <c r="BX208" s="9">
        <v>4787</v>
      </c>
      <c r="BY208" s="9">
        <v>15435.8</v>
      </c>
      <c r="BZ208" s="9">
        <v>149412.1</v>
      </c>
      <c r="CA208" s="9">
        <v>66851</v>
      </c>
      <c r="CB208" s="9">
        <v>19956.400000000001</v>
      </c>
      <c r="CC208" s="9">
        <v>203721.8</v>
      </c>
      <c r="CD208" s="9">
        <v>26117.5</v>
      </c>
      <c r="CE208" s="9">
        <v>48179.7</v>
      </c>
      <c r="CF208" s="9">
        <v>2124913.0526539111</v>
      </c>
      <c r="CG208" s="9">
        <v>12259343.089125481</v>
      </c>
      <c r="CH208" s="9">
        <v>13.283919554300001</v>
      </c>
      <c r="CI208" s="9">
        <v>5.4707610462999998</v>
      </c>
      <c r="CJ208" s="9">
        <v>20.158505221199999</v>
      </c>
      <c r="CK208" s="9">
        <v>11.1283247787</v>
      </c>
      <c r="CL208" s="9">
        <v>14</v>
      </c>
      <c r="CM208" s="9">
        <v>103.7646194468</v>
      </c>
      <c r="CN208" s="9">
        <v>26.9426835768</v>
      </c>
      <c r="CO208" s="9">
        <v>4.5215343398999996</v>
      </c>
      <c r="CP208" s="9">
        <v>17.289867103700001</v>
      </c>
      <c r="CQ208" s="9">
        <v>9.6109826318000007</v>
      </c>
      <c r="CR208" s="9">
        <v>5.1342472392999996</v>
      </c>
      <c r="CS208" s="9">
        <v>3.7768652650000001</v>
      </c>
      <c r="CT208" s="9">
        <v>14.7089074062</v>
      </c>
      <c r="CU208" s="9">
        <v>4.3252642768999996</v>
      </c>
      <c r="CV208" s="9">
        <v>3.1429007755999998</v>
      </c>
      <c r="CW208" s="9">
        <v>5.5785168517999999</v>
      </c>
      <c r="CX208" s="9">
        <v>3.006811838</v>
      </c>
      <c r="CY208" s="9">
        <v>5.7260381416000001</v>
      </c>
      <c r="CZ208" s="9">
        <v>474</v>
      </c>
      <c r="DA208" s="9">
        <v>445</v>
      </c>
      <c r="DB208" s="9">
        <v>13</v>
      </c>
      <c r="DC208" s="9">
        <v>134</v>
      </c>
      <c r="DD208" s="9">
        <v>25</v>
      </c>
      <c r="DE208" s="9">
        <v>13</v>
      </c>
      <c r="DF208" s="9">
        <v>213</v>
      </c>
      <c r="DG208" s="9">
        <v>35</v>
      </c>
      <c r="DH208" s="9">
        <v>7</v>
      </c>
      <c r="DI208" s="9">
        <v>1</v>
      </c>
      <c r="DJ208" s="9">
        <v>3</v>
      </c>
      <c r="DK208" s="9">
        <v>1</v>
      </c>
      <c r="DL208" s="9">
        <v>1</v>
      </c>
      <c r="DM208" s="9">
        <v>21</v>
      </c>
      <c r="DN208" s="9">
        <v>0</v>
      </c>
      <c r="DO208" s="9">
        <v>289.39</v>
      </c>
      <c r="DP208" s="9">
        <v>95.22</v>
      </c>
      <c r="DQ208" s="9">
        <v>51.95</v>
      </c>
      <c r="DR208" s="9">
        <v>43.27</v>
      </c>
      <c r="DS208" s="9">
        <v>29.87</v>
      </c>
      <c r="DT208" s="9">
        <v>3.18</v>
      </c>
      <c r="DU208" s="9">
        <v>106.87</v>
      </c>
      <c r="DV208" s="9">
        <v>74.430000000000007</v>
      </c>
      <c r="DW208" s="9">
        <v>21.67</v>
      </c>
      <c r="DX208" s="9">
        <v>56.79</v>
      </c>
      <c r="DY208" s="9">
        <v>26.2</v>
      </c>
      <c r="DZ208" s="9">
        <v>23.18</v>
      </c>
      <c r="EA208" s="9">
        <v>-71.622100000000003</v>
      </c>
      <c r="EB208" s="9">
        <v>137.239</v>
      </c>
      <c r="EC208" s="9">
        <v>-110.354</v>
      </c>
      <c r="ED208" s="9">
        <v>-110.087</v>
      </c>
      <c r="EE208" s="9">
        <v>11.579560000000001</v>
      </c>
      <c r="EF208" s="9">
        <v>6.9197740000000003</v>
      </c>
      <c r="EG208" s="9">
        <v>-140.53200000000001</v>
      </c>
      <c r="EH208" s="9">
        <v>-28.982199999999999</v>
      </c>
      <c r="EI208" s="9">
        <v>-31.667200000000001</v>
      </c>
      <c r="EJ208" s="9">
        <v>4.5367999999999999E-2</v>
      </c>
      <c r="EK208" s="9">
        <v>-79.928200000000004</v>
      </c>
      <c r="EL208" s="9">
        <v>10.86473</v>
      </c>
      <c r="EM208" s="9">
        <v>86.694630000000004</v>
      </c>
      <c r="EN208" s="9">
        <v>1109.2</v>
      </c>
      <c r="EO208" s="9"/>
      <c r="EP208" s="9"/>
      <c r="EQ208" s="9"/>
      <c r="ER208" s="9"/>
      <c r="ES208" s="9"/>
      <c r="ET208" s="9"/>
      <c r="EU208">
        <v>2459.5538095237998</v>
      </c>
      <c r="EV208" s="9">
        <v>25016.6</v>
      </c>
      <c r="EW208" s="9">
        <v>5844.05</v>
      </c>
      <c r="EX208" s="9">
        <v>1807.36</v>
      </c>
      <c r="EY208" s="9">
        <v>2350.6999999999998</v>
      </c>
      <c r="EZ208" s="9">
        <v>7473.5</v>
      </c>
      <c r="FA208" s="9">
        <v>7540.99</v>
      </c>
      <c r="FB208" s="9">
        <v>86.333850931699999</v>
      </c>
      <c r="FC208" s="9">
        <v>51.968260869600002</v>
      </c>
      <c r="FD208" s="9">
        <v>5824.6304347825999</v>
      </c>
      <c r="FE208" s="9">
        <v>87.195652173900001</v>
      </c>
      <c r="FF208" s="9">
        <v>1231.0934782608999</v>
      </c>
      <c r="FG208">
        <v>12740855.640000001</v>
      </c>
      <c r="FH208">
        <v>12593618.470000001</v>
      </c>
      <c r="FI208">
        <v>147237.17000000001</v>
      </c>
      <c r="FJ208" s="9">
        <v>13602039.029999999</v>
      </c>
      <c r="FK208">
        <v>11096511.699999999</v>
      </c>
      <c r="FL208" s="9">
        <v>2505527.33</v>
      </c>
      <c r="FM208" s="9">
        <v>25173557.41</v>
      </c>
      <c r="FN208" s="9">
        <v>3088745.34</v>
      </c>
      <c r="FO208">
        <v>2447.4499999999998</v>
      </c>
      <c r="FP208">
        <v>333.82</v>
      </c>
      <c r="FQ208">
        <v>125.3</v>
      </c>
      <c r="FR208">
        <v>393.43</v>
      </c>
      <c r="FS208">
        <v>8.7100000000000009</v>
      </c>
      <c r="FT208">
        <v>3223.89</v>
      </c>
      <c r="FU208">
        <v>713.46</v>
      </c>
      <c r="FV208">
        <v>572.98</v>
      </c>
      <c r="FW208">
        <v>37457.660000000003</v>
      </c>
      <c r="FX208">
        <v>79.900000000000006</v>
      </c>
      <c r="HB208" s="6"/>
      <c r="HC208" s="6"/>
      <c r="HD208" s="6"/>
    </row>
    <row r="209" spans="1:212" x14ac:dyDescent="0.2">
      <c r="A209" s="8" t="s">
        <v>860</v>
      </c>
      <c r="B209" s="8" t="s">
        <v>447</v>
      </c>
      <c r="C209" s="8" t="s">
        <v>448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>
        <v>654525.80000000005</v>
      </c>
      <c r="BO209" s="9">
        <v>510316.4</v>
      </c>
      <c r="BP209" s="9">
        <v>147295.79999999999</v>
      </c>
      <c r="BQ209" s="9">
        <v>116385.2</v>
      </c>
      <c r="BR209" s="9">
        <v>46027.6</v>
      </c>
      <c r="BS209" s="9">
        <v>92861.3</v>
      </c>
      <c r="BT209" s="9">
        <v>120260.8</v>
      </c>
      <c r="BU209" s="9">
        <v>37064.800000000003</v>
      </c>
      <c r="BV209" s="9">
        <v>79913.8</v>
      </c>
      <c r="BW209" s="9">
        <v>548867.1</v>
      </c>
      <c r="BX209" s="9">
        <v>12886.1</v>
      </c>
      <c r="BY209" s="9">
        <v>18479.8</v>
      </c>
      <c r="BZ209" s="9">
        <v>146431.4</v>
      </c>
      <c r="CA209" s="9">
        <v>112519.5</v>
      </c>
      <c r="CB209" s="9">
        <v>17208.900000000001</v>
      </c>
      <c r="CC209" s="9">
        <v>177081.1</v>
      </c>
      <c r="CD209" s="9">
        <v>11214.7</v>
      </c>
      <c r="CE209" s="9">
        <v>58874.1</v>
      </c>
      <c r="CF209" s="9">
        <v>2313340.4758525719</v>
      </c>
      <c r="CG209" s="9">
        <v>12467828.89660858</v>
      </c>
      <c r="CH209" s="9">
        <v>12.681842245</v>
      </c>
      <c r="CI209" s="9">
        <v>4.3410086517000002</v>
      </c>
      <c r="CJ209" s="9">
        <v>20.015572222100001</v>
      </c>
      <c r="CK209" s="9">
        <v>13.053297149300001</v>
      </c>
      <c r="CL209" s="9">
        <v>14</v>
      </c>
      <c r="CM209" s="9">
        <v>105.0096240572</v>
      </c>
      <c r="CN209" s="9">
        <v>27.580954386199998</v>
      </c>
      <c r="CO209" s="9">
        <v>4.5127044100999996</v>
      </c>
      <c r="CP209" s="9">
        <v>17.377063556100001</v>
      </c>
      <c r="CQ209" s="9">
        <v>9.5507773935000007</v>
      </c>
      <c r="CR209" s="9">
        <v>5.1431474655000002</v>
      </c>
      <c r="CS209" s="9">
        <v>3.8267771714999999</v>
      </c>
      <c r="CT209" s="9">
        <v>15.126998499800001</v>
      </c>
      <c r="CU209" s="9">
        <v>4.3236850058999998</v>
      </c>
      <c r="CV209" s="9">
        <v>3.1849026736999999</v>
      </c>
      <c r="CW209" s="9">
        <v>5.5804323174999997</v>
      </c>
      <c r="CX209" s="9">
        <v>3.0274179030999999</v>
      </c>
      <c r="CY209" s="9">
        <v>5.7747632742999997</v>
      </c>
      <c r="CZ209" s="9">
        <v>594</v>
      </c>
      <c r="DA209" s="9">
        <v>505</v>
      </c>
      <c r="DB209" s="9">
        <v>32</v>
      </c>
      <c r="DC209" s="9">
        <v>144</v>
      </c>
      <c r="DD209" s="9">
        <v>44</v>
      </c>
      <c r="DE209" s="9">
        <v>17</v>
      </c>
      <c r="DF209" s="9">
        <v>228</v>
      </c>
      <c r="DG209" s="9">
        <v>30</v>
      </c>
      <c r="DH209" s="9">
        <v>55</v>
      </c>
      <c r="DI209" s="9">
        <v>1</v>
      </c>
      <c r="DJ209" s="9">
        <v>2</v>
      </c>
      <c r="DK209" s="9">
        <v>50</v>
      </c>
      <c r="DL209" s="9">
        <v>1</v>
      </c>
      <c r="DM209" s="9">
        <v>34</v>
      </c>
      <c r="DN209" s="9">
        <v>0</v>
      </c>
      <c r="DO209" s="9">
        <v>337.54</v>
      </c>
      <c r="DP209" s="9">
        <v>110.59</v>
      </c>
      <c r="DQ209" s="9">
        <v>58.19</v>
      </c>
      <c r="DR209" s="9">
        <v>52.41</v>
      </c>
      <c r="DS209" s="9">
        <v>53.37</v>
      </c>
      <c r="DT209" s="9">
        <v>19.45</v>
      </c>
      <c r="DU209" s="9">
        <v>118.09</v>
      </c>
      <c r="DV209" s="9">
        <v>71.09</v>
      </c>
      <c r="DW209" s="9">
        <v>29.24</v>
      </c>
      <c r="DX209" s="9">
        <v>54.97</v>
      </c>
      <c r="DY209" s="9">
        <v>28.45</v>
      </c>
      <c r="DZ209" s="9">
        <v>19.16</v>
      </c>
      <c r="EA209" s="9">
        <v>9.0825779999999998</v>
      </c>
      <c r="EB209" s="9">
        <v>194.75489999999999</v>
      </c>
      <c r="EC209" s="9">
        <v>-95.752399999999994</v>
      </c>
      <c r="ED209" s="9">
        <v>-101.101</v>
      </c>
      <c r="EE209" s="9">
        <v>11.18093</v>
      </c>
      <c r="EF209" s="9">
        <v>3.2974160000000001</v>
      </c>
      <c r="EG209" s="9">
        <v>-23.738600000000002</v>
      </c>
      <c r="EH209" s="9">
        <v>-103.607</v>
      </c>
      <c r="EI209" s="9">
        <v>-37.107500000000002</v>
      </c>
      <c r="EJ209" s="9">
        <v>-1.0722100000000001</v>
      </c>
      <c r="EK209" s="9">
        <v>118.04810000000001</v>
      </c>
      <c r="EL209" s="9">
        <v>31.810169999999999</v>
      </c>
      <c r="EM209" s="9">
        <v>67.92877</v>
      </c>
      <c r="EN209" s="9">
        <v>1231</v>
      </c>
      <c r="EO209" s="9"/>
      <c r="EP209" s="9"/>
      <c r="EQ209" s="9"/>
      <c r="ER209" s="9"/>
      <c r="ES209" s="9"/>
      <c r="ET209" s="9"/>
      <c r="EU209">
        <v>2421.8465000000001</v>
      </c>
      <c r="EV209" s="9"/>
      <c r="EW209" s="9"/>
      <c r="EX209" s="9"/>
      <c r="EY209" s="9"/>
      <c r="EZ209" s="9"/>
      <c r="FA209" s="9"/>
      <c r="FB209" s="9">
        <v>90.110714285699999</v>
      </c>
      <c r="FC209" s="9">
        <v>53.063499999999998</v>
      </c>
      <c r="FD209" s="9">
        <v>5683.9027777778001</v>
      </c>
      <c r="FE209" s="9">
        <v>70.400000000000006</v>
      </c>
      <c r="FF209" s="9">
        <v>1265.6277777778</v>
      </c>
      <c r="FG209">
        <v>12767892.159999998</v>
      </c>
      <c r="FH209">
        <v>12622260.380000001</v>
      </c>
      <c r="FI209">
        <v>145631.78</v>
      </c>
      <c r="FJ209" s="9">
        <v>13773126.710000001</v>
      </c>
      <c r="FK209">
        <v>11264834.08</v>
      </c>
      <c r="FL209" s="9">
        <v>2508292.63</v>
      </c>
      <c r="FM209" s="9">
        <v>25197742.120000001</v>
      </c>
      <c r="FN209" s="9">
        <v>3089847.19</v>
      </c>
      <c r="FO209">
        <v>2419.42</v>
      </c>
      <c r="FP209">
        <v>777.59</v>
      </c>
      <c r="FQ209">
        <v>135.85</v>
      </c>
      <c r="FR209">
        <v>635.66999999999996</v>
      </c>
      <c r="FS209">
        <v>10.91</v>
      </c>
      <c r="FT209">
        <v>3416.14</v>
      </c>
      <c r="FU209">
        <v>590.63</v>
      </c>
      <c r="FV209">
        <v>553.63</v>
      </c>
      <c r="FW209">
        <v>30391.62</v>
      </c>
      <c r="FX209">
        <v>1245.22</v>
      </c>
      <c r="HB209" s="6"/>
      <c r="HC209" s="6"/>
      <c r="HD209" s="6"/>
    </row>
    <row r="210" spans="1:212" x14ac:dyDescent="0.2">
      <c r="A210" s="8" t="s">
        <v>860</v>
      </c>
      <c r="B210" s="8" t="s">
        <v>447</v>
      </c>
      <c r="C210" s="8" t="s">
        <v>449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>
        <v>642171.1</v>
      </c>
      <c r="BO210" s="9">
        <v>502649.4</v>
      </c>
      <c r="BP210" s="9">
        <v>119998.39999999999</v>
      </c>
      <c r="BQ210" s="9">
        <v>77511.100000000006</v>
      </c>
      <c r="BR210" s="9">
        <v>55223.199999999997</v>
      </c>
      <c r="BS210" s="9">
        <v>107171.5</v>
      </c>
      <c r="BT210" s="9">
        <v>140933.20000000001</v>
      </c>
      <c r="BU210" s="9">
        <v>31828.7</v>
      </c>
      <c r="BV210" s="9">
        <v>69576.399999999994</v>
      </c>
      <c r="BW210" s="9">
        <v>544964.30000000005</v>
      </c>
      <c r="BX210" s="9">
        <v>75350.8</v>
      </c>
      <c r="BY210" s="9">
        <v>24060.1</v>
      </c>
      <c r="BZ210" s="9">
        <v>146566.39999999999</v>
      </c>
      <c r="CA210" s="9">
        <v>62513</v>
      </c>
      <c r="CB210" s="9">
        <v>20908.8</v>
      </c>
      <c r="CC210" s="9">
        <v>201464</v>
      </c>
      <c r="CD210" s="9">
        <v>-636</v>
      </c>
      <c r="CE210" s="9">
        <v>78951.899999999994</v>
      </c>
      <c r="CF210" s="9">
        <v>2487796.215770388</v>
      </c>
      <c r="CG210" s="9">
        <v>12989767.6655885</v>
      </c>
      <c r="CH210" s="9">
        <v>13.212157018499999</v>
      </c>
      <c r="CI210" s="9">
        <v>7.0970733516999998</v>
      </c>
      <c r="CJ210" s="9">
        <v>20.358658626299999</v>
      </c>
      <c r="CK210" s="9">
        <v>12.056902079</v>
      </c>
      <c r="CL210" s="9">
        <v>14</v>
      </c>
      <c r="CM210" s="9">
        <v>105.5374847481</v>
      </c>
      <c r="CN210" s="9">
        <v>27.747772804699999</v>
      </c>
      <c r="CO210" s="9">
        <v>4.5221339273999996</v>
      </c>
      <c r="CP210" s="9">
        <v>17.395017680900001</v>
      </c>
      <c r="CQ210" s="9">
        <v>9.5051716389000003</v>
      </c>
      <c r="CR210" s="9">
        <v>5.1748297102</v>
      </c>
      <c r="CS210" s="9">
        <v>3.8387730553999999</v>
      </c>
      <c r="CT210" s="9">
        <v>15.418380841499999</v>
      </c>
      <c r="CU210" s="9">
        <v>4.318426659</v>
      </c>
      <c r="CV210" s="9">
        <v>3.1820268970000001</v>
      </c>
      <c r="CW210" s="9">
        <v>5.5794788248999998</v>
      </c>
      <c r="CX210" s="9">
        <v>3.0290120369000002</v>
      </c>
      <c r="CY210" s="9">
        <v>5.8264606713999996</v>
      </c>
      <c r="CZ210" s="9">
        <v>610</v>
      </c>
      <c r="DA210" s="9">
        <v>500</v>
      </c>
      <c r="DB210" s="9">
        <v>66</v>
      </c>
      <c r="DC210" s="9">
        <v>109</v>
      </c>
      <c r="DD210" s="9">
        <v>22</v>
      </c>
      <c r="DE210" s="9">
        <v>15</v>
      </c>
      <c r="DF210" s="9">
        <v>241</v>
      </c>
      <c r="DG210" s="9">
        <v>31</v>
      </c>
      <c r="DH210" s="9">
        <v>78</v>
      </c>
      <c r="DI210" s="9">
        <v>2</v>
      </c>
      <c r="DJ210" s="9">
        <v>1</v>
      </c>
      <c r="DK210" s="9">
        <v>72</v>
      </c>
      <c r="DL210" s="9">
        <v>1</v>
      </c>
      <c r="DM210" s="9">
        <v>31</v>
      </c>
      <c r="DN210" s="9">
        <v>0</v>
      </c>
      <c r="DO210" s="9">
        <v>382.65</v>
      </c>
      <c r="DP210" s="9">
        <v>106.2</v>
      </c>
      <c r="DQ210" s="9">
        <v>64.989999999999995</v>
      </c>
      <c r="DR210" s="9">
        <v>41.21</v>
      </c>
      <c r="DS210" s="9">
        <v>47.74</v>
      </c>
      <c r="DT210" s="9">
        <v>10.63</v>
      </c>
      <c r="DU210" s="9">
        <v>162.63</v>
      </c>
      <c r="DV210" s="9">
        <v>102.04</v>
      </c>
      <c r="DW210" s="9">
        <v>45.58</v>
      </c>
      <c r="DX210" s="9">
        <v>65.55</v>
      </c>
      <c r="DY210" s="9">
        <v>36.31</v>
      </c>
      <c r="DZ210" s="9">
        <v>21.49</v>
      </c>
      <c r="EA210" s="9">
        <v>37.130099999999999</v>
      </c>
      <c r="EB210" s="9">
        <v>224.21379999999999</v>
      </c>
      <c r="EC210" s="9">
        <v>-93.127899999999997</v>
      </c>
      <c r="ED210" s="9">
        <v>-107.083</v>
      </c>
      <c r="EE210" s="9">
        <v>13.12697</v>
      </c>
      <c r="EF210" s="9">
        <v>5.4507329999999996</v>
      </c>
      <c r="EG210" s="9">
        <v>-74.846100000000007</v>
      </c>
      <c r="EH210" s="9">
        <v>-105.622</v>
      </c>
      <c r="EI210" s="9">
        <v>-34.088500000000003</v>
      </c>
      <c r="EJ210" s="9">
        <v>1.0468299999999999</v>
      </c>
      <c r="EK210" s="9">
        <v>63.817279999999997</v>
      </c>
      <c r="EL210" s="9">
        <v>-123.04</v>
      </c>
      <c r="EM210" s="9">
        <v>-5.6134199999999996</v>
      </c>
      <c r="EN210" s="9">
        <v>1234.5</v>
      </c>
      <c r="EO210" s="9"/>
      <c r="EP210" s="9"/>
      <c r="EQ210" s="9"/>
      <c r="ER210" s="9"/>
      <c r="ES210" s="9"/>
      <c r="ET210" s="9"/>
      <c r="EU210">
        <v>2413.0569565217002</v>
      </c>
      <c r="EV210" s="9"/>
      <c r="EW210" s="9"/>
      <c r="EX210" s="9"/>
      <c r="EY210" s="9"/>
      <c r="EZ210" s="9"/>
      <c r="FA210" s="9"/>
      <c r="FB210" s="9">
        <v>80.118367346900001</v>
      </c>
      <c r="FC210" s="9">
        <v>50.870869565200003</v>
      </c>
      <c r="FD210" s="9">
        <v>5599.5595238095002</v>
      </c>
      <c r="FE210" s="9">
        <v>61.630434782599998</v>
      </c>
      <c r="FF210" s="9">
        <v>1245.0047619048</v>
      </c>
      <c r="FG210">
        <v>12759167.799999999</v>
      </c>
      <c r="FH210">
        <v>12614293.309999999</v>
      </c>
      <c r="FI210">
        <v>144874.49</v>
      </c>
      <c r="FJ210" s="9">
        <v>14446819.599999996</v>
      </c>
      <c r="FK210">
        <v>11511662.050000001</v>
      </c>
      <c r="FL210" s="9">
        <v>2935157.55</v>
      </c>
      <c r="FM210" s="9">
        <v>25703610.93</v>
      </c>
      <c r="FN210" s="9">
        <v>3126398.95</v>
      </c>
      <c r="FO210">
        <v>2397.9699999999998</v>
      </c>
      <c r="FP210">
        <v>1648.48</v>
      </c>
      <c r="FQ210">
        <v>103.23</v>
      </c>
      <c r="FR210">
        <v>434.39</v>
      </c>
      <c r="FS210">
        <v>9.7200000000000006</v>
      </c>
      <c r="FT210">
        <v>3493.07</v>
      </c>
      <c r="FU210">
        <v>659.96</v>
      </c>
      <c r="FV210">
        <v>1131.6199999999999</v>
      </c>
      <c r="FW210">
        <v>15194.12</v>
      </c>
      <c r="FX210">
        <v>1753.56</v>
      </c>
      <c r="HB210" s="6"/>
      <c r="HC210" s="6"/>
      <c r="HD210" s="6"/>
    </row>
    <row r="211" spans="1:212" x14ac:dyDescent="0.2">
      <c r="A211" s="8" t="s">
        <v>860</v>
      </c>
      <c r="B211" s="8" t="s">
        <v>447</v>
      </c>
      <c r="C211" s="8" t="s">
        <v>450</v>
      </c>
      <c r="D211" s="9">
        <v>7229534.7999999998</v>
      </c>
      <c r="E211" s="9">
        <v>1500405.1</v>
      </c>
      <c r="F211" s="9">
        <v>1308147.1000000001</v>
      </c>
      <c r="G211" s="9">
        <v>453198.1</v>
      </c>
      <c r="H211" s="9">
        <v>136485.20000000001</v>
      </c>
      <c r="I211" s="9">
        <v>238155.1</v>
      </c>
      <c r="J211" s="9">
        <v>529087.6</v>
      </c>
      <c r="K211" s="9">
        <v>367685.7</v>
      </c>
      <c r="L211" s="9">
        <v>109563</v>
      </c>
      <c r="M211" s="9">
        <v>1910002.5</v>
      </c>
      <c r="N211" s="9">
        <v>676805.4</v>
      </c>
      <c r="O211" s="9">
        <v>6731846.6370000001</v>
      </c>
      <c r="P211" s="9">
        <v>1540731.2879999999</v>
      </c>
      <c r="Q211" s="9">
        <v>852829.30599999998</v>
      </c>
      <c r="R211" s="9">
        <v>389872.962</v>
      </c>
      <c r="S211" s="9">
        <v>120593.852</v>
      </c>
      <c r="T211" s="9">
        <v>248940.95499999999</v>
      </c>
      <c r="U211" s="9">
        <v>646865.03799999994</v>
      </c>
      <c r="V211" s="9">
        <v>235085.58499999999</v>
      </c>
      <c r="W211" s="9">
        <v>118758.673</v>
      </c>
      <c r="X211" s="9">
        <v>1789149.6170000001</v>
      </c>
      <c r="Y211" s="9">
        <v>789019.36300000001</v>
      </c>
      <c r="Z211" s="9">
        <v>7607596.2000000002</v>
      </c>
      <c r="AA211" s="9">
        <v>3750080.2</v>
      </c>
      <c r="AB211" s="9">
        <v>955951.8</v>
      </c>
      <c r="AC211" s="9">
        <v>1824500.9</v>
      </c>
      <c r="AD211" s="9">
        <v>463537.8</v>
      </c>
      <c r="AE211" s="9">
        <v>4641782.5999999996</v>
      </c>
      <c r="AF211" s="9">
        <v>4028257</v>
      </c>
      <c r="AG211" s="9">
        <v>6349644.2000000002</v>
      </c>
      <c r="AH211" s="9">
        <v>3760256.7</v>
      </c>
      <c r="AI211" s="9">
        <v>1027478.5</v>
      </c>
      <c r="AJ211" s="9">
        <v>1533142.3</v>
      </c>
      <c r="AK211" s="9">
        <v>248017.4</v>
      </c>
      <c r="AL211" s="9">
        <v>3006857.2</v>
      </c>
      <c r="AM211" s="9">
        <v>3226108</v>
      </c>
      <c r="AN211" s="9">
        <v>1237676</v>
      </c>
      <c r="AO211" s="9">
        <v>664144</v>
      </c>
      <c r="AP211" s="9">
        <v>573532</v>
      </c>
      <c r="AQ211" s="9">
        <v>131774</v>
      </c>
      <c r="AR211" s="9">
        <v>77202</v>
      </c>
      <c r="AS211" s="9">
        <v>54572</v>
      </c>
      <c r="AT211" s="9">
        <v>854820</v>
      </c>
      <c r="AU211" s="9">
        <v>343205</v>
      </c>
      <c r="AV211" s="9">
        <v>511615</v>
      </c>
      <c r="AW211" s="9">
        <v>966.61</v>
      </c>
      <c r="AX211" s="9">
        <v>700.35</v>
      </c>
      <c r="AY211" s="9">
        <v>2221.23</v>
      </c>
      <c r="AZ211" s="9">
        <v>1123.76</v>
      </c>
      <c r="BA211" s="9">
        <v>1290.1300000000001</v>
      </c>
      <c r="BB211" s="9">
        <v>703.47</v>
      </c>
      <c r="BC211" s="9">
        <v>843.58</v>
      </c>
      <c r="BD211" s="9">
        <v>804.4</v>
      </c>
      <c r="BE211" s="9">
        <v>1085.1500000000001</v>
      </c>
      <c r="BF211" s="9">
        <v>629.04999999999995</v>
      </c>
      <c r="BG211" s="9">
        <v>923.43</v>
      </c>
      <c r="BH211" s="9">
        <v>1126.28</v>
      </c>
      <c r="BI211" s="9">
        <v>862.65</v>
      </c>
      <c r="BJ211" s="9">
        <v>760.82</v>
      </c>
      <c r="BK211" s="9">
        <v>769.42</v>
      </c>
      <c r="BL211" s="9">
        <v>613.72</v>
      </c>
      <c r="BM211" s="9">
        <v>818.73</v>
      </c>
      <c r="BN211" s="9">
        <v>674049.7</v>
      </c>
      <c r="BO211" s="9">
        <v>515132.4</v>
      </c>
      <c r="BP211" s="9">
        <v>89351.4</v>
      </c>
      <c r="BQ211" s="9">
        <v>40818.5</v>
      </c>
      <c r="BR211" s="9">
        <v>61608.7</v>
      </c>
      <c r="BS211" s="9">
        <v>119258.7</v>
      </c>
      <c r="BT211" s="9">
        <v>149499.5</v>
      </c>
      <c r="BU211" s="9">
        <v>39621.9</v>
      </c>
      <c r="BV211" s="9">
        <v>94723</v>
      </c>
      <c r="BW211" s="9">
        <v>711473.7</v>
      </c>
      <c r="BX211" s="9">
        <v>-43500</v>
      </c>
      <c r="BY211" s="9">
        <v>487062.2</v>
      </c>
      <c r="BZ211" s="9">
        <v>198596.8</v>
      </c>
      <c r="CA211" s="9">
        <v>132644.29999999999</v>
      </c>
      <c r="CB211" s="9">
        <v>31840.3</v>
      </c>
      <c r="CC211" s="9">
        <v>221520.4</v>
      </c>
      <c r="CD211" s="9">
        <v>7590.9</v>
      </c>
      <c r="CE211" s="9">
        <v>205875.1</v>
      </c>
      <c r="CF211" s="9">
        <v>2719731.7440113788</v>
      </c>
      <c r="CG211" s="9">
        <v>13483236.044870799</v>
      </c>
      <c r="CH211" s="9">
        <v>12.5094653384</v>
      </c>
      <c r="CI211" s="9">
        <v>4.2520531699999999</v>
      </c>
      <c r="CJ211" s="9">
        <v>20.285123533899998</v>
      </c>
      <c r="CK211" s="9">
        <v>12.540076389699999</v>
      </c>
      <c r="CL211" s="9">
        <v>12</v>
      </c>
      <c r="CM211" s="9">
        <v>104.99111825430001</v>
      </c>
      <c r="CN211" s="9">
        <v>27.1228733395</v>
      </c>
      <c r="CO211" s="9">
        <v>4.5429502304999998</v>
      </c>
      <c r="CP211" s="9">
        <v>17.4193836442</v>
      </c>
      <c r="CQ211" s="9">
        <v>9.4498093124999993</v>
      </c>
      <c r="CR211" s="9">
        <v>5.1852856949000001</v>
      </c>
      <c r="CS211" s="9">
        <v>3.8452725563999999</v>
      </c>
      <c r="CT211" s="9">
        <v>15.429357660599999</v>
      </c>
      <c r="CU211" s="9">
        <v>4.3153000766999998</v>
      </c>
      <c r="CV211" s="9">
        <v>3.1853919266999999</v>
      </c>
      <c r="CW211" s="9">
        <v>5.5789021194000004</v>
      </c>
      <c r="CX211" s="9">
        <v>3.0702982797999998</v>
      </c>
      <c r="CY211" s="9">
        <v>5.8462934129999997</v>
      </c>
      <c r="CZ211" s="9">
        <v>599</v>
      </c>
      <c r="DA211" s="9">
        <v>521</v>
      </c>
      <c r="DB211" s="9">
        <v>39</v>
      </c>
      <c r="DC211" s="9">
        <v>132</v>
      </c>
      <c r="DD211" s="9">
        <v>23</v>
      </c>
      <c r="DE211" s="9">
        <v>14</v>
      </c>
      <c r="DF211" s="9">
        <v>270</v>
      </c>
      <c r="DG211" s="9">
        <v>28</v>
      </c>
      <c r="DH211" s="9">
        <v>58</v>
      </c>
      <c r="DI211" s="9">
        <v>2</v>
      </c>
      <c r="DJ211" s="9">
        <v>0</v>
      </c>
      <c r="DK211" s="9">
        <v>53</v>
      </c>
      <c r="DL211" s="9">
        <v>2</v>
      </c>
      <c r="DM211" s="9">
        <v>18</v>
      </c>
      <c r="DN211" s="9">
        <v>0</v>
      </c>
      <c r="DO211" s="9">
        <v>430.73</v>
      </c>
      <c r="DP211" s="9">
        <v>130.69999999999999</v>
      </c>
      <c r="DQ211" s="9">
        <v>61.28</v>
      </c>
      <c r="DR211" s="9">
        <v>69.42</v>
      </c>
      <c r="DS211" s="9">
        <v>50.47</v>
      </c>
      <c r="DT211" s="9">
        <v>9.24</v>
      </c>
      <c r="DU211" s="9">
        <v>173.5</v>
      </c>
      <c r="DV211" s="9">
        <v>103.08</v>
      </c>
      <c r="DW211" s="9">
        <v>51.96</v>
      </c>
      <c r="DX211" s="9">
        <v>75.41</v>
      </c>
      <c r="DY211" s="9">
        <v>52.26</v>
      </c>
      <c r="DZ211" s="9">
        <v>15.92</v>
      </c>
      <c r="EA211" s="9">
        <v>-166.6</v>
      </c>
      <c r="EB211" s="9">
        <v>111.6157</v>
      </c>
      <c r="EC211" s="9">
        <v>-71.652600000000007</v>
      </c>
      <c r="ED211" s="9">
        <v>-221.94399999999999</v>
      </c>
      <c r="EE211" s="9">
        <v>15.38039</v>
      </c>
      <c r="EF211" s="9">
        <v>4.962332</v>
      </c>
      <c r="EG211" s="9">
        <v>-266.75400000000002</v>
      </c>
      <c r="EH211" s="9">
        <v>-185.011</v>
      </c>
      <c r="EI211" s="9">
        <v>3.9067989999999999</v>
      </c>
      <c r="EJ211" s="9">
        <v>-0.56284000000000001</v>
      </c>
      <c r="EK211" s="9">
        <v>-85.087199999999996</v>
      </c>
      <c r="EL211" s="9">
        <v>-77.757199999999997</v>
      </c>
      <c r="EM211" s="9">
        <v>27.35913</v>
      </c>
      <c r="EN211" s="9">
        <v>1319.4</v>
      </c>
      <c r="EO211" s="9"/>
      <c r="EP211" s="9"/>
      <c r="EQ211" s="9"/>
      <c r="ER211" s="9"/>
      <c r="ES211" s="9"/>
      <c r="ET211" s="9"/>
      <c r="EU211">
        <v>2367.9299999999998</v>
      </c>
      <c r="EV211" s="9">
        <v>25569.439999999999</v>
      </c>
      <c r="EW211" s="9">
        <v>6016.23</v>
      </c>
      <c r="EX211" s="9">
        <v>1876.71</v>
      </c>
      <c r="EY211" s="9">
        <v>2177.31</v>
      </c>
      <c r="EZ211" s="9">
        <v>7890.64</v>
      </c>
      <c r="FA211" s="9">
        <v>7608.55</v>
      </c>
      <c r="FB211" s="9">
        <v>85.673376623400003</v>
      </c>
      <c r="FC211" s="9">
        <v>46.894545454499998</v>
      </c>
      <c r="FD211" s="9">
        <v>5719.7613636364003</v>
      </c>
      <c r="FE211" s="9">
        <v>57.863636363600001</v>
      </c>
      <c r="FF211" s="9">
        <v>1260.2568181818001</v>
      </c>
      <c r="FG211">
        <v>12952045.439999999</v>
      </c>
      <c r="FH211">
        <v>12805848.9</v>
      </c>
      <c r="FI211">
        <v>146196.54</v>
      </c>
      <c r="FJ211" s="9">
        <v>14981161.27</v>
      </c>
      <c r="FK211">
        <v>11734529.190000001</v>
      </c>
      <c r="FL211" s="9">
        <v>3246632.08</v>
      </c>
      <c r="FM211" s="9">
        <v>25772061.84</v>
      </c>
      <c r="FN211" s="9">
        <v>3053885.99</v>
      </c>
      <c r="FO211">
        <v>2349.87</v>
      </c>
      <c r="FP211">
        <v>933.1</v>
      </c>
      <c r="FQ211">
        <v>127.97</v>
      </c>
      <c r="FR211">
        <v>512.57000000000005</v>
      </c>
      <c r="FS211">
        <v>9.7100000000000009</v>
      </c>
      <c r="FT211">
        <v>4031.43</v>
      </c>
      <c r="FU211">
        <v>629.88</v>
      </c>
      <c r="FV211">
        <v>1506.17</v>
      </c>
      <c r="FW211">
        <v>71690</v>
      </c>
      <c r="FX211">
        <v>1393.11</v>
      </c>
      <c r="HB211" s="6"/>
      <c r="HC211" s="6"/>
      <c r="HD211" s="6"/>
    </row>
    <row r="212" spans="1:212" x14ac:dyDescent="0.2">
      <c r="A212" s="8" t="s">
        <v>860</v>
      </c>
      <c r="B212" s="8" t="s">
        <v>451</v>
      </c>
      <c r="C212" s="8" t="s">
        <v>452</v>
      </c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>
        <v>687659.4</v>
      </c>
      <c r="BO212" s="9">
        <v>545405.69999999995</v>
      </c>
      <c r="BP212" s="9">
        <v>178525.8</v>
      </c>
      <c r="BQ212" s="9">
        <v>133464.5</v>
      </c>
      <c r="BR212" s="9">
        <v>46226.9</v>
      </c>
      <c r="BS212" s="9">
        <v>93821.7</v>
      </c>
      <c r="BT212" s="9">
        <v>143865</v>
      </c>
      <c r="BU212" s="9">
        <v>37296.199999999997</v>
      </c>
      <c r="BV212" s="9">
        <v>77607.5</v>
      </c>
      <c r="BW212" s="9">
        <v>461504.2</v>
      </c>
      <c r="BX212" s="9">
        <v>24814.400000000001</v>
      </c>
      <c r="BY212" s="9">
        <v>78633.3</v>
      </c>
      <c r="BZ212" s="9">
        <v>120845.7</v>
      </c>
      <c r="CA212" s="9">
        <v>60208.9</v>
      </c>
      <c r="CB212" s="9">
        <v>11335.4</v>
      </c>
      <c r="CC212" s="9">
        <v>190480.9</v>
      </c>
      <c r="CD212" s="9">
        <v>-35085.699999999997</v>
      </c>
      <c r="CE212" s="9">
        <v>49566.1</v>
      </c>
      <c r="CF212" s="9">
        <v>2584182.0645299051</v>
      </c>
      <c r="CG212" s="9">
        <v>13999629.606593279</v>
      </c>
      <c r="CH212" s="9">
        <v>12.5689357088</v>
      </c>
      <c r="CI212" s="9">
        <v>5.2656570722999998</v>
      </c>
      <c r="CJ212" s="9">
        <v>20.051382053699999</v>
      </c>
      <c r="CK212" s="9">
        <v>11.746129181700001</v>
      </c>
      <c r="CL212" s="9">
        <v>12</v>
      </c>
      <c r="CM212" s="9">
        <v>105.0322455176</v>
      </c>
      <c r="CN212" s="9">
        <v>27.130278004699999</v>
      </c>
      <c r="CO212" s="9">
        <v>4.5443251519999999</v>
      </c>
      <c r="CP212" s="9">
        <v>17.4308687081</v>
      </c>
      <c r="CQ212" s="9">
        <v>9.4429118187000007</v>
      </c>
      <c r="CR212" s="9">
        <v>5.1957213250000001</v>
      </c>
      <c r="CS212" s="9">
        <v>3.8453035225000001</v>
      </c>
      <c r="CT212" s="9">
        <v>15.4440567267</v>
      </c>
      <c r="CU212" s="9">
        <v>4.3145039620999999</v>
      </c>
      <c r="CV212" s="9">
        <v>3.1792389927000002</v>
      </c>
      <c r="CW212" s="9">
        <v>5.5785565946000002</v>
      </c>
      <c r="CX212" s="9">
        <v>3.0732997171999998</v>
      </c>
      <c r="CY212" s="9">
        <v>5.8531809933999996</v>
      </c>
      <c r="CZ212" s="9">
        <v>419</v>
      </c>
      <c r="DA212" s="9">
        <v>367</v>
      </c>
      <c r="DB212" s="9">
        <v>37</v>
      </c>
      <c r="DC212" s="9">
        <v>124</v>
      </c>
      <c r="DD212" s="9">
        <v>16</v>
      </c>
      <c r="DE212" s="9">
        <v>17</v>
      </c>
      <c r="DF212" s="9">
        <v>126</v>
      </c>
      <c r="DG212" s="9">
        <v>29</v>
      </c>
      <c r="DH212" s="9">
        <v>25</v>
      </c>
      <c r="DI212" s="9">
        <v>2</v>
      </c>
      <c r="DJ212" s="9">
        <v>1</v>
      </c>
      <c r="DK212" s="9">
        <v>18</v>
      </c>
      <c r="DL212" s="9">
        <v>5</v>
      </c>
      <c r="DM212" s="9">
        <v>21</v>
      </c>
      <c r="DN212" s="9">
        <v>0</v>
      </c>
      <c r="DO212" s="9">
        <v>403.13</v>
      </c>
      <c r="DP212" s="9">
        <v>106.77</v>
      </c>
      <c r="DQ212" s="9">
        <v>63.66</v>
      </c>
      <c r="DR212" s="9">
        <v>43.11</v>
      </c>
      <c r="DS212" s="9">
        <v>51.32</v>
      </c>
      <c r="DT212" s="9">
        <v>11.55</v>
      </c>
      <c r="DU212" s="9">
        <v>152.88</v>
      </c>
      <c r="DV212" s="9">
        <v>88.33</v>
      </c>
      <c r="DW212" s="9">
        <v>46.51</v>
      </c>
      <c r="DX212" s="9">
        <v>91.58</v>
      </c>
      <c r="DY212" s="9">
        <v>58.62</v>
      </c>
      <c r="DZ212" s="9">
        <v>22.63</v>
      </c>
      <c r="EA212" s="9">
        <v>-155.559</v>
      </c>
      <c r="EB212" s="9">
        <v>-29.015000000000001</v>
      </c>
      <c r="EC212" s="9">
        <v>-35.448300000000003</v>
      </c>
      <c r="ED212" s="9">
        <v>-103.996</v>
      </c>
      <c r="EE212" s="9">
        <v>12.90104</v>
      </c>
      <c r="EF212" s="9">
        <v>4.1857709999999999</v>
      </c>
      <c r="EG212" s="9">
        <v>-58.421599999999998</v>
      </c>
      <c r="EH212" s="9">
        <v>-165.37100000000001</v>
      </c>
      <c r="EI212" s="9">
        <v>-14.643800000000001</v>
      </c>
      <c r="EJ212" s="9">
        <v>0.28000799999999998</v>
      </c>
      <c r="EK212" s="9">
        <v>121.313</v>
      </c>
      <c r="EL212" s="9">
        <v>118.1797</v>
      </c>
      <c r="EM212" s="9">
        <v>25.228249999999999</v>
      </c>
      <c r="EN212" s="9">
        <v>1362.8</v>
      </c>
      <c r="EO212" s="9"/>
      <c r="EP212" s="9"/>
      <c r="EQ212" s="9"/>
      <c r="ER212" s="9"/>
      <c r="ES212" s="9"/>
      <c r="ET212" s="9"/>
      <c r="EU212">
        <v>2409.410625</v>
      </c>
      <c r="EV212" s="9"/>
      <c r="EW212" s="9"/>
      <c r="EX212" s="9"/>
      <c r="EY212" s="9"/>
      <c r="EZ212" s="9"/>
      <c r="FA212" s="9"/>
      <c r="FB212" s="9">
        <v>90.7739795918</v>
      </c>
      <c r="FC212" s="9">
        <v>48.69</v>
      </c>
      <c r="FD212" s="9">
        <v>5985.1190476190995</v>
      </c>
      <c r="FE212" s="9">
        <v>66.738095238100001</v>
      </c>
      <c r="FF212" s="9">
        <v>1236.2214285714001</v>
      </c>
      <c r="FG212">
        <v>13093668.58</v>
      </c>
      <c r="FH212">
        <v>12941157.460000001</v>
      </c>
      <c r="FI212">
        <v>152511.12</v>
      </c>
      <c r="FJ212" s="9">
        <v>15564184.51</v>
      </c>
      <c r="FK212">
        <v>12194529.469999999</v>
      </c>
      <c r="FL212" s="9">
        <v>3369655.04</v>
      </c>
      <c r="FM212" s="9">
        <v>26687468.649999999</v>
      </c>
      <c r="FN212" s="9">
        <v>3086445.15</v>
      </c>
      <c r="FO212">
        <v>2444.9499999999998</v>
      </c>
      <c r="FP212">
        <v>933.1</v>
      </c>
      <c r="FQ212">
        <v>119.83</v>
      </c>
      <c r="FR212">
        <v>443.07</v>
      </c>
      <c r="FS212">
        <v>12.41</v>
      </c>
      <c r="FT212">
        <v>1896.61</v>
      </c>
      <c r="FU212">
        <v>629.45000000000005</v>
      </c>
      <c r="FV212">
        <v>1235.82</v>
      </c>
      <c r="FW212">
        <v>12183.08</v>
      </c>
      <c r="FX212">
        <v>5090.5</v>
      </c>
      <c r="HB212" s="6"/>
      <c r="HC212" s="6"/>
      <c r="HD212" s="6"/>
    </row>
    <row r="213" spans="1:212" x14ac:dyDescent="0.2">
      <c r="A213" s="8" t="s">
        <v>860</v>
      </c>
      <c r="B213" s="8" t="s">
        <v>451</v>
      </c>
      <c r="C213" s="8" t="s">
        <v>453</v>
      </c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>
        <v>603663.5</v>
      </c>
      <c r="BO213" s="9">
        <v>520606.8</v>
      </c>
      <c r="BP213" s="9">
        <v>104209</v>
      </c>
      <c r="BQ213" s="9">
        <v>44515.6</v>
      </c>
      <c r="BR213" s="9">
        <v>59701.7</v>
      </c>
      <c r="BS213" s="9">
        <v>104490</v>
      </c>
      <c r="BT213" s="9">
        <v>140667</v>
      </c>
      <c r="BU213" s="9">
        <v>49751.9</v>
      </c>
      <c r="BV213" s="9">
        <v>47085.7</v>
      </c>
      <c r="BW213" s="9">
        <v>447641.2</v>
      </c>
      <c r="BX213" s="9">
        <v>16091.7</v>
      </c>
      <c r="BY213" s="9">
        <v>77067.8</v>
      </c>
      <c r="BZ213" s="9">
        <v>112691.6</v>
      </c>
      <c r="CA213" s="9">
        <v>71049.100000000006</v>
      </c>
      <c r="CB213" s="9">
        <v>14050</v>
      </c>
      <c r="CC213" s="9">
        <v>172782.7</v>
      </c>
      <c r="CD213" s="9">
        <v>1034.5999999999999</v>
      </c>
      <c r="CE213" s="9">
        <v>92168.1</v>
      </c>
      <c r="CF213" s="9">
        <v>2759045.0947475731</v>
      </c>
      <c r="CG213" s="9">
        <v>14526295.731267408</v>
      </c>
      <c r="CH213" s="9">
        <v>12.288329900100001</v>
      </c>
      <c r="CI213" s="9">
        <v>5.1707373173000004</v>
      </c>
      <c r="CJ213" s="9">
        <v>20.1084072827</v>
      </c>
      <c r="CK213" s="9">
        <v>11.6549152892</v>
      </c>
      <c r="CL213" s="9">
        <v>12</v>
      </c>
      <c r="CM213" s="9">
        <v>105.8739804082</v>
      </c>
      <c r="CN213" s="9">
        <v>27.157517628800001</v>
      </c>
      <c r="CO213" s="9">
        <v>4.5443818826999998</v>
      </c>
      <c r="CP213" s="9">
        <v>17.478806863100001</v>
      </c>
      <c r="CQ213" s="9">
        <v>9.7996890406000006</v>
      </c>
      <c r="CR213" s="9">
        <v>5.2045910862999998</v>
      </c>
      <c r="CS213" s="9">
        <v>3.8702824419000001</v>
      </c>
      <c r="CT213" s="9">
        <v>15.465607540800001</v>
      </c>
      <c r="CU213" s="9">
        <v>4.3126841225000003</v>
      </c>
      <c r="CV213" s="9">
        <v>3.1892565577999998</v>
      </c>
      <c r="CW213" s="9">
        <v>5.8857309378</v>
      </c>
      <c r="CX213" s="9">
        <v>3.0802779496000001</v>
      </c>
      <c r="CY213" s="9">
        <v>5.8851543563000002</v>
      </c>
      <c r="CZ213" s="9">
        <v>581</v>
      </c>
      <c r="DA213" s="9">
        <v>525</v>
      </c>
      <c r="DB213" s="9">
        <v>124</v>
      </c>
      <c r="DC213" s="9">
        <v>143</v>
      </c>
      <c r="DD213" s="9">
        <v>27</v>
      </c>
      <c r="DE213" s="9">
        <v>15</v>
      </c>
      <c r="DF213" s="9">
        <v>166</v>
      </c>
      <c r="DG213" s="9">
        <v>34</v>
      </c>
      <c r="DH213" s="9">
        <v>30</v>
      </c>
      <c r="DI213" s="9">
        <v>6</v>
      </c>
      <c r="DJ213" s="9">
        <v>0</v>
      </c>
      <c r="DK213" s="9">
        <v>19</v>
      </c>
      <c r="DL213" s="9">
        <v>1</v>
      </c>
      <c r="DM213" s="9">
        <v>25</v>
      </c>
      <c r="DN213" s="9">
        <v>0</v>
      </c>
      <c r="DO213" s="9">
        <v>417.42</v>
      </c>
      <c r="DP213" s="9">
        <v>112.02</v>
      </c>
      <c r="DQ213" s="9">
        <v>61.51</v>
      </c>
      <c r="DR213" s="9">
        <v>50.51</v>
      </c>
      <c r="DS213" s="9">
        <v>56.45</v>
      </c>
      <c r="DT213" s="9">
        <v>11.49</v>
      </c>
      <c r="DU213" s="9">
        <v>159.36000000000001</v>
      </c>
      <c r="DV213" s="9">
        <v>94.89</v>
      </c>
      <c r="DW213" s="9">
        <v>49.51</v>
      </c>
      <c r="DX213" s="9">
        <v>88.97</v>
      </c>
      <c r="DY213" s="9">
        <v>46.88</v>
      </c>
      <c r="DZ213" s="9">
        <v>25.63</v>
      </c>
      <c r="EA213" s="9">
        <v>-20.002600000000001</v>
      </c>
      <c r="EB213" s="9">
        <v>161.3964</v>
      </c>
      <c r="EC213" s="9">
        <v>-64.127499999999998</v>
      </c>
      <c r="ED213" s="9">
        <v>-135.001</v>
      </c>
      <c r="EE213" s="9">
        <v>17.72992</v>
      </c>
      <c r="EF213" s="9">
        <v>5.6474270000000004</v>
      </c>
      <c r="EG213" s="9">
        <v>-350.80599999999998</v>
      </c>
      <c r="EH213" s="9">
        <v>-152.761</v>
      </c>
      <c r="EI213" s="9">
        <v>-51.215600000000002</v>
      </c>
      <c r="EJ213" s="9">
        <v>0.36713499999999999</v>
      </c>
      <c r="EK213" s="9">
        <v>-147.196</v>
      </c>
      <c r="EL213" s="9">
        <v>-72.248000000000005</v>
      </c>
      <c r="EM213" s="9">
        <v>264.2029</v>
      </c>
      <c r="EN213" s="9">
        <v>1599.2</v>
      </c>
      <c r="EO213" s="9"/>
      <c r="EP213" s="9"/>
      <c r="EQ213" s="9"/>
      <c r="ER213" s="9"/>
      <c r="ES213" s="9"/>
      <c r="ET213" s="9"/>
      <c r="EU213">
        <v>2443.5295652174</v>
      </c>
      <c r="EV213" s="9"/>
      <c r="EW213" s="9"/>
      <c r="EX213" s="9"/>
      <c r="EY213" s="9"/>
      <c r="EZ213" s="9"/>
      <c r="FA213" s="9"/>
      <c r="FB213" s="9">
        <v>102.7724025974</v>
      </c>
      <c r="FC213" s="9">
        <v>51.369565217400002</v>
      </c>
      <c r="FD213" s="9">
        <v>6485.625</v>
      </c>
      <c r="FE213" s="9">
        <v>74.586956521700003</v>
      </c>
      <c r="FF213" s="9">
        <v>1282.3159090909</v>
      </c>
      <c r="FG213">
        <v>13312012.320000002</v>
      </c>
      <c r="FH213">
        <v>13160051.100000001</v>
      </c>
      <c r="FI213">
        <v>151961.22</v>
      </c>
      <c r="FJ213" s="9">
        <v>16304527.869999999</v>
      </c>
      <c r="FK213">
        <v>12623483.75</v>
      </c>
      <c r="FL213" s="9">
        <v>3681044.12</v>
      </c>
      <c r="FM213" s="9">
        <v>27484052.670000002</v>
      </c>
      <c r="FN213" s="9">
        <v>3060710.29</v>
      </c>
      <c r="FO213">
        <v>2430.0500000000002</v>
      </c>
      <c r="FP213">
        <v>3017.04</v>
      </c>
      <c r="FQ213">
        <v>127.78</v>
      </c>
      <c r="FR213">
        <v>626.71</v>
      </c>
      <c r="FS213">
        <v>10.92</v>
      </c>
      <c r="FT213">
        <v>2393.9</v>
      </c>
      <c r="FU213">
        <v>715.24</v>
      </c>
      <c r="FV213">
        <v>2859.09</v>
      </c>
      <c r="FW213">
        <v>10757.6</v>
      </c>
      <c r="FX213">
        <v>4790.1400000000003</v>
      </c>
      <c r="HB213" s="6"/>
      <c r="HC213" s="6"/>
      <c r="HD213" s="6"/>
    </row>
    <row r="214" spans="1:212" x14ac:dyDescent="0.2">
      <c r="A214" s="8" t="s">
        <v>860</v>
      </c>
      <c r="B214" s="8" t="s">
        <v>451</v>
      </c>
      <c r="C214" s="8" t="s">
        <v>454</v>
      </c>
      <c r="D214" s="9">
        <v>7304667.7000000002</v>
      </c>
      <c r="E214" s="9">
        <v>711308.9</v>
      </c>
      <c r="F214" s="9">
        <v>1762038</v>
      </c>
      <c r="G214" s="9">
        <v>699202.6</v>
      </c>
      <c r="H214" s="9">
        <v>115147.6</v>
      </c>
      <c r="I214" s="9">
        <v>224685.7</v>
      </c>
      <c r="J214" s="9">
        <v>602559.69999999995</v>
      </c>
      <c r="K214" s="9">
        <v>406046.6</v>
      </c>
      <c r="L214" s="9">
        <v>139523.5</v>
      </c>
      <c r="M214" s="9">
        <v>1854124.7</v>
      </c>
      <c r="N214" s="9">
        <v>790030.4</v>
      </c>
      <c r="O214" s="9">
        <v>6388510.699</v>
      </c>
      <c r="P214" s="9">
        <v>1013062.262</v>
      </c>
      <c r="Q214" s="9">
        <v>1118562.9369999999</v>
      </c>
      <c r="R214" s="9">
        <v>483078.22899999999</v>
      </c>
      <c r="S214" s="9">
        <v>103866.899</v>
      </c>
      <c r="T214" s="9">
        <v>193755.05799999999</v>
      </c>
      <c r="U214" s="9">
        <v>744494.55</v>
      </c>
      <c r="V214" s="9">
        <v>262072.66399999999</v>
      </c>
      <c r="W214" s="9">
        <v>113596.677</v>
      </c>
      <c r="X214" s="9">
        <v>1727115.473</v>
      </c>
      <c r="Y214" s="9">
        <v>628905.94999999995</v>
      </c>
      <c r="Z214" s="9">
        <v>6985786.7999999998</v>
      </c>
      <c r="AA214" s="9">
        <v>4049887.4</v>
      </c>
      <c r="AB214" s="9">
        <v>747833</v>
      </c>
      <c r="AC214" s="9">
        <v>1603954.1</v>
      </c>
      <c r="AD214" s="9">
        <v>372291.9</v>
      </c>
      <c r="AE214" s="9">
        <v>4378493.9000000004</v>
      </c>
      <c r="AF214" s="9">
        <v>4166673.5</v>
      </c>
      <c r="AG214" s="9">
        <v>6516642.9000000004</v>
      </c>
      <c r="AH214" s="9">
        <v>4050547.7</v>
      </c>
      <c r="AI214" s="9">
        <v>811647.6</v>
      </c>
      <c r="AJ214" s="9">
        <v>1369122.4</v>
      </c>
      <c r="AK214" s="9">
        <v>372591.6</v>
      </c>
      <c r="AL214" s="9">
        <v>3436971.2</v>
      </c>
      <c r="AM214" s="9">
        <v>3524237.6</v>
      </c>
      <c r="AN214" s="9">
        <v>1190863</v>
      </c>
      <c r="AO214" s="9">
        <v>630110</v>
      </c>
      <c r="AP214" s="9">
        <v>560753</v>
      </c>
      <c r="AQ214" s="9">
        <v>118797</v>
      </c>
      <c r="AR214" s="9">
        <v>68849</v>
      </c>
      <c r="AS214" s="9">
        <v>49948</v>
      </c>
      <c r="AT214" s="9">
        <v>834985</v>
      </c>
      <c r="AU214" s="9">
        <v>323039</v>
      </c>
      <c r="AV214" s="9">
        <v>511946</v>
      </c>
      <c r="AW214" s="9">
        <v>955.9</v>
      </c>
      <c r="AX214" s="9">
        <v>716.7</v>
      </c>
      <c r="AY214" s="9">
        <v>2256.1999999999998</v>
      </c>
      <c r="AZ214" s="9">
        <v>1058.8</v>
      </c>
      <c r="BA214" s="9">
        <v>1309</v>
      </c>
      <c r="BB214" s="9">
        <v>714.9</v>
      </c>
      <c r="BC214" s="9">
        <v>876.8</v>
      </c>
      <c r="BD214" s="9">
        <v>824.4</v>
      </c>
      <c r="BE214" s="9">
        <v>1147.5999999999999</v>
      </c>
      <c r="BF214" s="9">
        <v>631.1</v>
      </c>
      <c r="BG214" s="9">
        <v>895.2</v>
      </c>
      <c r="BH214" s="9">
        <v>1175.8</v>
      </c>
      <c r="BI214" s="9">
        <v>869.1</v>
      </c>
      <c r="BJ214" s="9">
        <v>677</v>
      </c>
      <c r="BK214" s="9">
        <v>786.9</v>
      </c>
      <c r="BL214" s="9">
        <v>605.6</v>
      </c>
      <c r="BM214" s="9">
        <v>758.1</v>
      </c>
      <c r="BN214" s="9">
        <v>612839.80000000005</v>
      </c>
      <c r="BO214" s="9">
        <v>507758.7</v>
      </c>
      <c r="BP214" s="9">
        <v>99140</v>
      </c>
      <c r="BQ214" s="9">
        <v>46010.2</v>
      </c>
      <c r="BR214" s="9">
        <v>53143.7</v>
      </c>
      <c r="BS214" s="9">
        <v>114210.7</v>
      </c>
      <c r="BT214" s="9">
        <v>157122.6</v>
      </c>
      <c r="BU214" s="9">
        <v>64812.3</v>
      </c>
      <c r="BV214" s="9">
        <v>60189.9</v>
      </c>
      <c r="BW214" s="9">
        <v>562928.4</v>
      </c>
      <c r="BX214" s="9">
        <v>16404.099999999999</v>
      </c>
      <c r="BY214" s="9">
        <v>101488.7</v>
      </c>
      <c r="BZ214" s="9">
        <v>138704.4</v>
      </c>
      <c r="CA214" s="9">
        <v>122722.4</v>
      </c>
      <c r="CB214" s="9">
        <v>19392.5</v>
      </c>
      <c r="CC214" s="9">
        <v>180620.5</v>
      </c>
      <c r="CD214" s="9">
        <v>-239.4</v>
      </c>
      <c r="CE214" s="9">
        <v>148882</v>
      </c>
      <c r="CF214" s="9">
        <v>2800400.5528758811</v>
      </c>
      <c r="CG214" s="9">
        <v>14749712.338396201</v>
      </c>
      <c r="CH214" s="9">
        <v>12.401107830000001</v>
      </c>
      <c r="CI214" s="9">
        <v>5.1021201100000004</v>
      </c>
      <c r="CJ214" s="9">
        <v>20.023937638900001</v>
      </c>
      <c r="CK214" s="9">
        <v>11.573309141299999</v>
      </c>
      <c r="CL214" s="9">
        <v>12</v>
      </c>
      <c r="CM214" s="9">
        <v>106.12050959859999</v>
      </c>
      <c r="CN214" s="9">
        <v>26.863783366500002</v>
      </c>
      <c r="CO214" s="9">
        <v>4.5498808829000001</v>
      </c>
      <c r="CP214" s="9">
        <v>17.6508476174</v>
      </c>
      <c r="CQ214" s="9">
        <v>9.9724565909000003</v>
      </c>
      <c r="CR214" s="9">
        <v>5.2146319099999996</v>
      </c>
      <c r="CS214" s="9">
        <v>3.8762403216000001</v>
      </c>
      <c r="CT214" s="9">
        <v>15.5868953886</v>
      </c>
      <c r="CU214" s="9">
        <v>4.3115078165999998</v>
      </c>
      <c r="CV214" s="9">
        <v>3.1963802369000001</v>
      </c>
      <c r="CW214" s="9">
        <v>5.8843622699000004</v>
      </c>
      <c r="CX214" s="9">
        <v>3.1196517287000001</v>
      </c>
      <c r="CY214" s="9">
        <v>5.8938714684000004</v>
      </c>
      <c r="CZ214" s="9">
        <v>480</v>
      </c>
      <c r="DA214" s="9">
        <v>423</v>
      </c>
      <c r="DB214" s="9">
        <v>61</v>
      </c>
      <c r="DC214" s="9">
        <v>123</v>
      </c>
      <c r="DD214" s="9">
        <v>26</v>
      </c>
      <c r="DE214" s="9">
        <v>15</v>
      </c>
      <c r="DF214" s="9">
        <v>154</v>
      </c>
      <c r="DG214" s="9">
        <v>28</v>
      </c>
      <c r="DH214" s="9">
        <v>31</v>
      </c>
      <c r="DI214" s="9">
        <v>8</v>
      </c>
      <c r="DJ214" s="9">
        <v>1</v>
      </c>
      <c r="DK214" s="9">
        <v>17</v>
      </c>
      <c r="DL214" s="9">
        <v>1</v>
      </c>
      <c r="DM214" s="9">
        <v>25</v>
      </c>
      <c r="DN214" s="9">
        <v>0</v>
      </c>
      <c r="DO214" s="9">
        <v>376.55</v>
      </c>
      <c r="DP214" s="9">
        <v>108.06</v>
      </c>
      <c r="DQ214" s="9">
        <v>65.12</v>
      </c>
      <c r="DR214" s="9">
        <v>42.94</v>
      </c>
      <c r="DS214" s="9">
        <v>50.04</v>
      </c>
      <c r="DT214" s="9">
        <v>13.31</v>
      </c>
      <c r="DU214" s="9">
        <v>157.78</v>
      </c>
      <c r="DV214" s="9">
        <v>92.43</v>
      </c>
      <c r="DW214" s="9">
        <v>48.16</v>
      </c>
      <c r="DX214" s="9">
        <v>59.94</v>
      </c>
      <c r="DY214" s="9">
        <v>24.02</v>
      </c>
      <c r="DZ214" s="9">
        <v>20.82</v>
      </c>
      <c r="EA214" s="9">
        <v>-121.492</v>
      </c>
      <c r="EB214" s="9">
        <v>83.872420000000005</v>
      </c>
      <c r="EC214" s="9">
        <v>-82.473699999999994</v>
      </c>
      <c r="ED214" s="9">
        <v>-140.11600000000001</v>
      </c>
      <c r="EE214" s="9">
        <v>17.22588</v>
      </c>
      <c r="EF214" s="9">
        <v>14.720230000000001</v>
      </c>
      <c r="EG214" s="9">
        <v>-21.765000000000001</v>
      </c>
      <c r="EH214" s="9">
        <v>-121.32899999999999</v>
      </c>
      <c r="EI214" s="9">
        <v>-18.231300000000001</v>
      </c>
      <c r="EJ214" s="9">
        <v>0.16811200000000001</v>
      </c>
      <c r="EK214" s="9">
        <v>117.6275</v>
      </c>
      <c r="EL214" s="9">
        <v>71.499009999999998</v>
      </c>
      <c r="EM214" s="9">
        <v>-13.507300000000001</v>
      </c>
      <c r="EN214" s="9">
        <v>1627</v>
      </c>
      <c r="EO214" s="9"/>
      <c r="EP214" s="9"/>
      <c r="EQ214" s="9"/>
      <c r="ER214" s="9"/>
      <c r="ES214" s="9"/>
      <c r="ET214" s="9"/>
      <c r="EU214">
        <v>2454.2871428571002</v>
      </c>
      <c r="EV214" s="9">
        <v>26216.27</v>
      </c>
      <c r="EW214" s="9">
        <v>6240.95</v>
      </c>
      <c r="EX214" s="9">
        <v>1914.09</v>
      </c>
      <c r="EY214" s="9">
        <v>2230.59</v>
      </c>
      <c r="EZ214" s="9">
        <v>7966.75</v>
      </c>
      <c r="FA214" s="9">
        <v>7863.88</v>
      </c>
      <c r="FB214" s="9">
        <v>104.77500000000001</v>
      </c>
      <c r="FC214" s="9">
        <v>55.162857142900002</v>
      </c>
      <c r="FD214" s="9">
        <v>6577.1666666666997</v>
      </c>
      <c r="FE214" s="9">
        <v>69.238095238100001</v>
      </c>
      <c r="FF214" s="9">
        <v>1314.9785714285999</v>
      </c>
      <c r="FG214">
        <v>13470882.060000001</v>
      </c>
      <c r="FH214">
        <v>13316511.42</v>
      </c>
      <c r="FI214">
        <v>154370.64000000001</v>
      </c>
      <c r="FJ214" s="9">
        <v>16606327.699999999</v>
      </c>
      <c r="FK214">
        <v>12998221.369999999</v>
      </c>
      <c r="FL214" s="9">
        <v>3608106.33</v>
      </c>
      <c r="FM214" s="9">
        <v>28065532.260000002</v>
      </c>
      <c r="FN214" s="9">
        <v>3125589.16</v>
      </c>
      <c r="FO214">
        <v>2464.4299999999998</v>
      </c>
      <c r="FP214">
        <v>1462</v>
      </c>
      <c r="FQ214">
        <v>103.91</v>
      </c>
      <c r="FR214">
        <v>550.41</v>
      </c>
      <c r="FS214">
        <v>9.64</v>
      </c>
      <c r="FT214">
        <v>2284.85</v>
      </c>
      <c r="FU214">
        <v>571.94000000000005</v>
      </c>
      <c r="FV214">
        <v>3628.2</v>
      </c>
      <c r="FW214">
        <v>25363.56</v>
      </c>
      <c r="FX214">
        <v>423.32</v>
      </c>
      <c r="HB214" s="6"/>
      <c r="HC214" s="6"/>
      <c r="HD214" s="6"/>
    </row>
    <row r="215" spans="1:212" x14ac:dyDescent="0.2">
      <c r="A215" s="8" t="s">
        <v>860</v>
      </c>
      <c r="B215" s="8" t="s">
        <v>455</v>
      </c>
      <c r="C215" s="8" t="s">
        <v>456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>
        <v>920770.9</v>
      </c>
      <c r="BO215" s="9">
        <v>689967.7</v>
      </c>
      <c r="BP215" s="9">
        <v>242396.7</v>
      </c>
      <c r="BQ215" s="9">
        <v>177611</v>
      </c>
      <c r="BR215" s="9">
        <v>64810.9</v>
      </c>
      <c r="BS215" s="9">
        <v>111973.9</v>
      </c>
      <c r="BT215" s="9">
        <v>157876.4</v>
      </c>
      <c r="BU215" s="9">
        <v>49638</v>
      </c>
      <c r="BV215" s="9">
        <v>110294.5</v>
      </c>
      <c r="BW215" s="9">
        <v>574465.4</v>
      </c>
      <c r="BX215" s="9">
        <v>30993</v>
      </c>
      <c r="BY215" s="9">
        <v>128273.9</v>
      </c>
      <c r="BZ215" s="9">
        <v>145670.70000000001</v>
      </c>
      <c r="CA215" s="9">
        <v>108611.8</v>
      </c>
      <c r="CB215" s="9">
        <v>18021.599999999999</v>
      </c>
      <c r="CC215" s="9">
        <v>173887.3</v>
      </c>
      <c r="CD215" s="9">
        <v>914.9</v>
      </c>
      <c r="CE215" s="9">
        <v>126112.7</v>
      </c>
      <c r="CF215" s="9">
        <v>2626535.7721220488</v>
      </c>
      <c r="CG215" s="9">
        <v>14520672.40430182</v>
      </c>
      <c r="CH215" s="9">
        <v>12.965909438200001</v>
      </c>
      <c r="CI215" s="9">
        <v>5.2845463243999999</v>
      </c>
      <c r="CJ215" s="9">
        <v>20.0731057932</v>
      </c>
      <c r="CK215" s="9">
        <v>9.7669872920999996</v>
      </c>
      <c r="CL215" s="9">
        <v>12</v>
      </c>
      <c r="CM215" s="9">
        <v>106.54406082529999</v>
      </c>
      <c r="CN215" s="9">
        <v>26.532165777199999</v>
      </c>
      <c r="CO215" s="9">
        <v>4.5958236356000004</v>
      </c>
      <c r="CP215" s="9">
        <v>17.8344944529</v>
      </c>
      <c r="CQ215" s="9">
        <v>10.2254278629</v>
      </c>
      <c r="CR215" s="9">
        <v>5.2685192344000003</v>
      </c>
      <c r="CS215" s="9">
        <v>3.9449244953</v>
      </c>
      <c r="CT215" s="9">
        <v>15.638205256399999</v>
      </c>
      <c r="CU215" s="9">
        <v>4.3046011026000004</v>
      </c>
      <c r="CV215" s="9">
        <v>3.2270945353</v>
      </c>
      <c r="CW215" s="9">
        <v>5.8844508556999999</v>
      </c>
      <c r="CX215" s="9">
        <v>3.1324366966000001</v>
      </c>
      <c r="CY215" s="9">
        <v>5.9559169203</v>
      </c>
      <c r="CZ215" s="9">
        <v>605</v>
      </c>
      <c r="DA215" s="9">
        <v>548</v>
      </c>
      <c r="DB215" s="9">
        <v>112</v>
      </c>
      <c r="DC215" s="9">
        <v>147</v>
      </c>
      <c r="DD215" s="9">
        <v>32</v>
      </c>
      <c r="DE215" s="9">
        <v>17</v>
      </c>
      <c r="DF215" s="9">
        <v>187</v>
      </c>
      <c r="DG215" s="9">
        <v>34</v>
      </c>
      <c r="DH215" s="9">
        <v>24</v>
      </c>
      <c r="DI215" s="9">
        <v>11</v>
      </c>
      <c r="DJ215" s="9">
        <v>1</v>
      </c>
      <c r="DK215" s="9">
        <v>8</v>
      </c>
      <c r="DL215" s="9">
        <v>3</v>
      </c>
      <c r="DM215" s="9">
        <v>30</v>
      </c>
      <c r="DN215" s="9">
        <v>0</v>
      </c>
      <c r="DO215" s="9">
        <v>399.57</v>
      </c>
      <c r="DP215" s="9">
        <v>120.73</v>
      </c>
      <c r="DQ215" s="9">
        <v>75.62</v>
      </c>
      <c r="DR215" s="9">
        <v>45.11</v>
      </c>
      <c r="DS215" s="9">
        <v>48.18</v>
      </c>
      <c r="DT215" s="9">
        <v>11.83</v>
      </c>
      <c r="DU215" s="9">
        <v>162.01</v>
      </c>
      <c r="DV215" s="9">
        <v>94.76</v>
      </c>
      <c r="DW215" s="9">
        <v>53.38</v>
      </c>
      <c r="DX215" s="9">
        <v>68.13</v>
      </c>
      <c r="DY215" s="9">
        <v>24.89</v>
      </c>
      <c r="DZ215" s="9">
        <v>25.41</v>
      </c>
      <c r="EA215" s="9">
        <v>-59.523600000000002</v>
      </c>
      <c r="EB215" s="9">
        <v>177.53319999999999</v>
      </c>
      <c r="EC215" s="9">
        <v>-129.672</v>
      </c>
      <c r="ED215" s="9">
        <v>-128.316</v>
      </c>
      <c r="EE215" s="9">
        <v>20.931239999999999</v>
      </c>
      <c r="EF215" s="9">
        <v>9.95078</v>
      </c>
      <c r="EG215" s="9">
        <v>-190.83600000000001</v>
      </c>
      <c r="EH215" s="9">
        <v>-91.447199999999995</v>
      </c>
      <c r="EI215" s="9">
        <v>-4.31602</v>
      </c>
      <c r="EJ215" s="9">
        <v>1.0219000000000001E-2</v>
      </c>
      <c r="EK215" s="9">
        <v>-95.083299999999994</v>
      </c>
      <c r="EL215" s="9">
        <v>-59.985500000000002</v>
      </c>
      <c r="EM215" s="9">
        <v>81.27807</v>
      </c>
      <c r="EN215" s="9">
        <v>1694.4</v>
      </c>
      <c r="EO215" s="9"/>
      <c r="EP215" s="9"/>
      <c r="EQ215" s="9"/>
      <c r="ER215" s="9"/>
      <c r="ES215" s="9"/>
      <c r="ET215" s="9"/>
      <c r="EU215">
        <v>2458.6927272726998</v>
      </c>
      <c r="EV215" s="9"/>
      <c r="EW215" s="9"/>
      <c r="EX215" s="9"/>
      <c r="EY215" s="9"/>
      <c r="EZ215" s="9"/>
      <c r="FA215" s="9"/>
      <c r="FB215" s="9">
        <v>103.24967532469999</v>
      </c>
      <c r="FC215" s="9">
        <v>57.617727272700002</v>
      </c>
      <c r="FD215" s="9">
        <v>6807.6022727273003</v>
      </c>
      <c r="FE215" s="9">
        <v>61.0454545455</v>
      </c>
      <c r="FF215" s="9">
        <v>1279.5136363636</v>
      </c>
      <c r="FG215">
        <v>13435370.289999999</v>
      </c>
      <c r="FH215">
        <v>13281674.5</v>
      </c>
      <c r="FI215">
        <v>153695.79</v>
      </c>
      <c r="FJ215" s="9">
        <v>16316592.109999999</v>
      </c>
      <c r="FK215">
        <v>12640724.940000001</v>
      </c>
      <c r="FL215" s="9">
        <v>3675867.17</v>
      </c>
      <c r="FM215" s="9">
        <v>27764579.300000001</v>
      </c>
      <c r="FN215" s="9">
        <v>3167805.16</v>
      </c>
      <c r="FO215">
        <v>2456.17</v>
      </c>
      <c r="FP215">
        <v>2706</v>
      </c>
      <c r="FQ215">
        <v>119.37</v>
      </c>
      <c r="FR215">
        <v>721.01</v>
      </c>
      <c r="FS215">
        <v>10.27</v>
      </c>
      <c r="FT215">
        <v>2611.02</v>
      </c>
      <c r="FU215">
        <v>671.32</v>
      </c>
      <c r="FV215">
        <v>5453.22</v>
      </c>
      <c r="FW215">
        <v>32471.68</v>
      </c>
      <c r="FX215">
        <v>169.74</v>
      </c>
      <c r="HB215" s="6"/>
      <c r="HC215" s="6"/>
      <c r="HD215" s="6"/>
    </row>
    <row r="216" spans="1:212" x14ac:dyDescent="0.2">
      <c r="A216" s="8" t="s">
        <v>860</v>
      </c>
      <c r="B216" s="8" t="s">
        <v>455</v>
      </c>
      <c r="C216" s="8" t="s">
        <v>457</v>
      </c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>
        <v>663426.80000000005</v>
      </c>
      <c r="BO216" s="9">
        <v>545351.5</v>
      </c>
      <c r="BP216" s="9">
        <v>107990.8</v>
      </c>
      <c r="BQ216" s="9">
        <v>48202.3</v>
      </c>
      <c r="BR216" s="9">
        <v>60037.4</v>
      </c>
      <c r="BS216" s="9">
        <v>113681.1</v>
      </c>
      <c r="BT216" s="9">
        <v>167313.1</v>
      </c>
      <c r="BU216" s="9">
        <v>50522.9</v>
      </c>
      <c r="BV216" s="9">
        <v>78163</v>
      </c>
      <c r="BW216" s="9">
        <v>664418.30000000005</v>
      </c>
      <c r="BX216" s="9">
        <v>42547.9</v>
      </c>
      <c r="BY216" s="9">
        <v>136700.79999999999</v>
      </c>
      <c r="BZ216" s="9">
        <v>150974.39999999999</v>
      </c>
      <c r="CA216" s="9">
        <v>92042.2</v>
      </c>
      <c r="CB216" s="9">
        <v>18644.7</v>
      </c>
      <c r="CC216" s="9">
        <v>266056.2</v>
      </c>
      <c r="CD216" s="9">
        <v>2578.6</v>
      </c>
      <c r="CE216" s="9">
        <v>227803.6</v>
      </c>
      <c r="CF216" s="9">
        <v>2639510.8108198568</v>
      </c>
      <c r="CG216" s="9">
        <v>14821846.99309746</v>
      </c>
      <c r="CH216" s="9">
        <v>12.2557493465</v>
      </c>
      <c r="CI216" s="9">
        <v>5.3594490492000002</v>
      </c>
      <c r="CJ216" s="9">
        <v>19.756096718799999</v>
      </c>
      <c r="CK216" s="9">
        <v>11.7650486381</v>
      </c>
      <c r="CL216" s="9">
        <v>12</v>
      </c>
      <c r="CM216" s="9">
        <v>106.66063887280001</v>
      </c>
      <c r="CN216" s="9">
        <v>26.438776682</v>
      </c>
      <c r="CO216" s="9">
        <v>4.6100475477999998</v>
      </c>
      <c r="CP216" s="9">
        <v>17.9671575546</v>
      </c>
      <c r="CQ216" s="9">
        <v>10.228758056</v>
      </c>
      <c r="CR216" s="9">
        <v>5.3140467600000001</v>
      </c>
      <c r="CS216" s="9">
        <v>3.9967834483</v>
      </c>
      <c r="CT216" s="9">
        <v>15.535040799000001</v>
      </c>
      <c r="CU216" s="9">
        <v>4.2959620310000002</v>
      </c>
      <c r="CV216" s="9">
        <v>3.2375580659000001</v>
      </c>
      <c r="CW216" s="9">
        <v>5.8844645143000003</v>
      </c>
      <c r="CX216" s="9">
        <v>3.0968684336000001</v>
      </c>
      <c r="CY216" s="9">
        <v>6.0551749801000003</v>
      </c>
      <c r="CZ216" s="9">
        <v>497</v>
      </c>
      <c r="DA216" s="9">
        <v>455</v>
      </c>
      <c r="DB216" s="9">
        <v>26</v>
      </c>
      <c r="DC216" s="9">
        <v>139</v>
      </c>
      <c r="DD216" s="9">
        <v>21</v>
      </c>
      <c r="DE216" s="9">
        <v>13</v>
      </c>
      <c r="DF216" s="9">
        <v>200</v>
      </c>
      <c r="DG216" s="9">
        <v>35</v>
      </c>
      <c r="DH216" s="9">
        <v>21</v>
      </c>
      <c r="DI216" s="9">
        <v>8</v>
      </c>
      <c r="DJ216" s="9">
        <v>1</v>
      </c>
      <c r="DK216" s="9">
        <v>7</v>
      </c>
      <c r="DL216" s="9">
        <v>2</v>
      </c>
      <c r="DM216" s="9">
        <v>19</v>
      </c>
      <c r="DN216" s="9">
        <v>0</v>
      </c>
      <c r="DO216" s="9">
        <v>390.16</v>
      </c>
      <c r="DP216" s="9">
        <v>116.48</v>
      </c>
      <c r="DQ216" s="9">
        <v>67.8</v>
      </c>
      <c r="DR216" s="9">
        <v>48.68</v>
      </c>
      <c r="DS216" s="9">
        <v>46.08</v>
      </c>
      <c r="DT216" s="9">
        <v>11.46</v>
      </c>
      <c r="DU216" s="9">
        <v>168.32</v>
      </c>
      <c r="DV216" s="9">
        <v>117.81</v>
      </c>
      <c r="DW216" s="9">
        <v>36.28</v>
      </c>
      <c r="DX216" s="9">
        <v>58.62</v>
      </c>
      <c r="DY216" s="9">
        <v>34.909999999999997</v>
      </c>
      <c r="DZ216" s="9">
        <v>14.39</v>
      </c>
      <c r="EA216" s="9">
        <v>-210.59800000000001</v>
      </c>
      <c r="EB216" s="9">
        <v>76.243700000000004</v>
      </c>
      <c r="EC216" s="9">
        <v>-157.89099999999999</v>
      </c>
      <c r="ED216" s="9">
        <v>-144.715</v>
      </c>
      <c r="EE216" s="9">
        <v>15.76479</v>
      </c>
      <c r="EF216" s="9">
        <v>5.3189849999999996</v>
      </c>
      <c r="EG216" s="9">
        <v>-724.91899999999998</v>
      </c>
      <c r="EH216" s="9">
        <v>-161.14400000000001</v>
      </c>
      <c r="EI216" s="9">
        <v>-413.70800000000003</v>
      </c>
      <c r="EJ216" s="9">
        <v>-0.21709999999999999</v>
      </c>
      <c r="EK216" s="9">
        <v>-149.84899999999999</v>
      </c>
      <c r="EL216" s="9">
        <v>40.313800000000001</v>
      </c>
      <c r="EM216" s="9">
        <v>559.95389999999998</v>
      </c>
      <c r="EN216" s="9">
        <v>2291</v>
      </c>
      <c r="EO216" s="9"/>
      <c r="EP216" s="9"/>
      <c r="EQ216" s="9"/>
      <c r="ER216" s="9"/>
      <c r="ES216" s="9"/>
      <c r="ET216" s="9"/>
      <c r="EU216">
        <v>2448.86</v>
      </c>
      <c r="EV216" s="9"/>
      <c r="EW216" s="9"/>
      <c r="EX216" s="9"/>
      <c r="EY216" s="9"/>
      <c r="EZ216" s="9"/>
      <c r="FA216" s="9"/>
      <c r="FB216" s="9">
        <v>102.487012987</v>
      </c>
      <c r="FC216" s="9">
        <v>62.575454545500001</v>
      </c>
      <c r="FD216" s="9">
        <v>6826.5454545455004</v>
      </c>
      <c r="FE216" s="9">
        <v>63.409090909100001</v>
      </c>
      <c r="FF216" s="9">
        <v>1282.2840909091001</v>
      </c>
      <c r="FG216">
        <v>13542605.98</v>
      </c>
      <c r="FH216">
        <v>13389664.77</v>
      </c>
      <c r="FI216">
        <v>152941.21</v>
      </c>
      <c r="FJ216" s="9">
        <v>16580763.98</v>
      </c>
      <c r="FK216">
        <v>12835803.039999999</v>
      </c>
      <c r="FL216" s="9">
        <v>3744960.94</v>
      </c>
      <c r="FM216" s="9">
        <v>27654750.190000001</v>
      </c>
      <c r="FN216" s="9">
        <v>3168337.89</v>
      </c>
      <c r="FO216">
        <v>2443.5700000000002</v>
      </c>
      <c r="FP216">
        <v>627.59</v>
      </c>
      <c r="FQ216">
        <v>111.67</v>
      </c>
      <c r="FR216">
        <v>508</v>
      </c>
      <c r="FS216">
        <v>7.56</v>
      </c>
      <c r="FT216">
        <v>2833.67</v>
      </c>
      <c r="FU216">
        <v>632.71</v>
      </c>
      <c r="FV216">
        <v>4205.9799999999996</v>
      </c>
      <c r="FW216">
        <v>18084.79</v>
      </c>
      <c r="FX216">
        <v>156.31</v>
      </c>
      <c r="HB216" s="6"/>
      <c r="HC216" s="6"/>
      <c r="HD216" s="6"/>
    </row>
    <row r="217" spans="1:212" x14ac:dyDescent="0.2">
      <c r="A217" s="8" t="s">
        <v>860</v>
      </c>
      <c r="B217" s="8" t="s">
        <v>455</v>
      </c>
      <c r="C217" s="8" t="s">
        <v>458</v>
      </c>
      <c r="D217" s="9">
        <v>7505923.9000000004</v>
      </c>
      <c r="E217" s="9">
        <v>468112</v>
      </c>
      <c r="F217" s="9">
        <v>1857245.7</v>
      </c>
      <c r="G217" s="9">
        <v>823043.3</v>
      </c>
      <c r="H217" s="9">
        <v>191870.6</v>
      </c>
      <c r="I217" s="9">
        <v>519234.8</v>
      </c>
      <c r="J217" s="9">
        <v>1284799.3</v>
      </c>
      <c r="K217" s="9">
        <v>262755.5</v>
      </c>
      <c r="L217" s="9">
        <v>141234.1</v>
      </c>
      <c r="M217" s="9">
        <v>1428408.2</v>
      </c>
      <c r="N217" s="9">
        <v>529220.5</v>
      </c>
      <c r="O217" s="9">
        <v>6874728.0039999997</v>
      </c>
      <c r="P217" s="9">
        <v>640847.56799999997</v>
      </c>
      <c r="Q217" s="9">
        <v>1156016.8430000001</v>
      </c>
      <c r="R217" s="9">
        <v>586368.57200000004</v>
      </c>
      <c r="S217" s="9">
        <v>180775.06599999999</v>
      </c>
      <c r="T217" s="9">
        <v>412100.34399999998</v>
      </c>
      <c r="U217" s="9">
        <v>1005111.866</v>
      </c>
      <c r="V217" s="9">
        <v>547689.62899999996</v>
      </c>
      <c r="W217" s="9">
        <v>118032.143</v>
      </c>
      <c r="X217" s="9">
        <v>1764673.42</v>
      </c>
      <c r="Y217" s="9">
        <v>463112.55300000001</v>
      </c>
      <c r="Z217" s="9">
        <v>7719575.7000000002</v>
      </c>
      <c r="AA217" s="9">
        <v>3834092.9</v>
      </c>
      <c r="AB217" s="9">
        <v>1106335.1000000001</v>
      </c>
      <c r="AC217" s="9">
        <v>2513655.9</v>
      </c>
      <c r="AD217" s="9">
        <v>573620.9</v>
      </c>
      <c r="AE217" s="9">
        <v>4231030</v>
      </c>
      <c r="AF217" s="9">
        <v>4539159</v>
      </c>
      <c r="AG217" s="9">
        <v>6926740.2999999998</v>
      </c>
      <c r="AH217" s="9">
        <v>3850726.8</v>
      </c>
      <c r="AI217" s="9">
        <v>1091948</v>
      </c>
      <c r="AJ217" s="9">
        <v>2150271.2999999998</v>
      </c>
      <c r="AK217" s="9">
        <v>737370.2</v>
      </c>
      <c r="AL217" s="9">
        <v>3027719.7</v>
      </c>
      <c r="AM217" s="9">
        <v>3931295.6</v>
      </c>
      <c r="AN217" s="9">
        <v>1266942</v>
      </c>
      <c r="AO217" s="9">
        <v>667295</v>
      </c>
      <c r="AP217" s="9">
        <v>599647</v>
      </c>
      <c r="AQ217" s="9">
        <v>100338</v>
      </c>
      <c r="AR217" s="9">
        <v>56255</v>
      </c>
      <c r="AS217" s="9">
        <v>44083</v>
      </c>
      <c r="AT217" s="9">
        <v>822669</v>
      </c>
      <c r="AU217" s="9">
        <v>336877</v>
      </c>
      <c r="AV217" s="9">
        <v>485792</v>
      </c>
      <c r="AW217" s="9">
        <v>1038.9000000000001</v>
      </c>
      <c r="AX217" s="9">
        <v>756</v>
      </c>
      <c r="AY217" s="9">
        <v>2310.6</v>
      </c>
      <c r="AZ217" s="9">
        <v>1104.4000000000001</v>
      </c>
      <c r="BA217" s="9">
        <v>1492</v>
      </c>
      <c r="BB217" s="9">
        <v>716.2</v>
      </c>
      <c r="BC217" s="9">
        <v>983.8</v>
      </c>
      <c r="BD217" s="9">
        <v>862.3</v>
      </c>
      <c r="BE217" s="9">
        <v>1106.0999999999999</v>
      </c>
      <c r="BF217" s="9">
        <v>632.29999999999995</v>
      </c>
      <c r="BG217" s="9">
        <v>969.1</v>
      </c>
      <c r="BH217" s="9">
        <v>1266.0999999999999</v>
      </c>
      <c r="BI217" s="9">
        <v>939.7</v>
      </c>
      <c r="BJ217" s="9">
        <v>802.5</v>
      </c>
      <c r="BK217" s="9">
        <v>865</v>
      </c>
      <c r="BL217" s="9">
        <v>681.6</v>
      </c>
      <c r="BM217" s="9">
        <v>845.3</v>
      </c>
      <c r="BN217" s="9">
        <v>883067.8</v>
      </c>
      <c r="BO217" s="9">
        <v>688922.2</v>
      </c>
      <c r="BP217" s="9">
        <v>177673</v>
      </c>
      <c r="BQ217" s="9">
        <v>72787.100000000006</v>
      </c>
      <c r="BR217" s="9">
        <v>105327.9</v>
      </c>
      <c r="BS217" s="9">
        <v>168284.2</v>
      </c>
      <c r="BT217" s="9">
        <v>139512.6</v>
      </c>
      <c r="BU217" s="9">
        <v>59140.4</v>
      </c>
      <c r="BV217" s="9">
        <v>127042.7</v>
      </c>
      <c r="BW217" s="9">
        <v>979422.5</v>
      </c>
      <c r="BX217" s="9">
        <v>114026</v>
      </c>
      <c r="BY217" s="9">
        <v>247895.6</v>
      </c>
      <c r="BZ217" s="9">
        <v>211789.6</v>
      </c>
      <c r="CA217" s="9">
        <v>178157.2</v>
      </c>
      <c r="CB217" s="9">
        <v>42474.9</v>
      </c>
      <c r="CC217" s="9">
        <v>290899.40000000002</v>
      </c>
      <c r="CD217" s="9">
        <v>4604.1000000000004</v>
      </c>
      <c r="CE217" s="9">
        <v>485848.2</v>
      </c>
      <c r="CF217" s="9">
        <v>2825996.7843489992</v>
      </c>
      <c r="CG217" s="9">
        <v>15861198.545178141</v>
      </c>
      <c r="CH217" s="9">
        <v>12.965909438200001</v>
      </c>
      <c r="CI217" s="9">
        <v>5.2845463243999999</v>
      </c>
      <c r="CJ217" s="9">
        <v>18.9862331846</v>
      </c>
      <c r="CK217" s="9">
        <v>11.6198819708</v>
      </c>
      <c r="CL217" s="9">
        <v>11</v>
      </c>
      <c r="CM217" s="9">
        <v>107.241587452</v>
      </c>
      <c r="CN217" s="9">
        <v>26.546549798800001</v>
      </c>
      <c r="CO217" s="9">
        <v>4.6251374493000004</v>
      </c>
      <c r="CP217" s="9">
        <v>18.031113434800002</v>
      </c>
      <c r="CQ217" s="9">
        <v>10.304760738800001</v>
      </c>
      <c r="CR217" s="9">
        <v>5.3581823070999999</v>
      </c>
      <c r="CS217" s="9">
        <v>4.0622003763999999</v>
      </c>
      <c r="CT217" s="9">
        <v>15.6447254213</v>
      </c>
      <c r="CU217" s="9">
        <v>4.2874948290999999</v>
      </c>
      <c r="CV217" s="9">
        <v>3.2510902590000001</v>
      </c>
      <c r="CW217" s="9">
        <v>5.8844170783000003</v>
      </c>
      <c r="CX217" s="9">
        <v>3.1596340635</v>
      </c>
      <c r="CY217" s="9">
        <v>6.0862816954000003</v>
      </c>
      <c r="CZ217" s="9">
        <v>517</v>
      </c>
      <c r="DA217" s="9">
        <v>476</v>
      </c>
      <c r="DB217" s="9">
        <v>55</v>
      </c>
      <c r="DC217" s="9">
        <v>172</v>
      </c>
      <c r="DD217" s="9">
        <v>32</v>
      </c>
      <c r="DE217" s="9">
        <v>16</v>
      </c>
      <c r="DF217" s="9">
        <v>145</v>
      </c>
      <c r="DG217" s="9">
        <v>33</v>
      </c>
      <c r="DH217" s="9">
        <v>21</v>
      </c>
      <c r="DI217" s="9">
        <v>12</v>
      </c>
      <c r="DJ217" s="9">
        <v>3</v>
      </c>
      <c r="DK217" s="9">
        <v>4</v>
      </c>
      <c r="DL217" s="9">
        <v>0</v>
      </c>
      <c r="DM217" s="9">
        <v>20</v>
      </c>
      <c r="DN217" s="9">
        <v>0</v>
      </c>
      <c r="DO217" s="9">
        <v>423.34</v>
      </c>
      <c r="DP217" s="9">
        <v>119.23</v>
      </c>
      <c r="DQ217" s="9">
        <v>71.41</v>
      </c>
      <c r="DR217" s="9">
        <v>47.81</v>
      </c>
      <c r="DS217" s="9">
        <v>52.23</v>
      </c>
      <c r="DT217" s="9">
        <v>13.1</v>
      </c>
      <c r="DU217" s="9">
        <v>182.16</v>
      </c>
      <c r="DV217" s="9">
        <v>120.06</v>
      </c>
      <c r="DW217" s="9">
        <v>35.57</v>
      </c>
      <c r="DX217" s="9">
        <v>69.03</v>
      </c>
      <c r="DY217" s="9">
        <v>42.09</v>
      </c>
      <c r="DZ217" s="9">
        <v>17.38</v>
      </c>
      <c r="EA217" s="9">
        <v>-319.74</v>
      </c>
      <c r="EB217" s="9">
        <v>67.723129999999998</v>
      </c>
      <c r="EC217" s="9">
        <v>-152.37899999999999</v>
      </c>
      <c r="ED217" s="9">
        <v>-250.255</v>
      </c>
      <c r="EE217" s="9">
        <v>15.17023</v>
      </c>
      <c r="EF217" s="9">
        <v>5.7243769999999996</v>
      </c>
      <c r="EG217" s="9">
        <v>-766.83399999999995</v>
      </c>
      <c r="EH217" s="9">
        <v>-221.51400000000001</v>
      </c>
      <c r="EI217" s="9">
        <v>22.751529999999999</v>
      </c>
      <c r="EJ217" s="9">
        <v>-9.443E-2</v>
      </c>
      <c r="EK217" s="9">
        <v>-567.97699999999998</v>
      </c>
      <c r="EL217" s="9">
        <v>163.95519999999999</v>
      </c>
      <c r="EM217" s="9">
        <v>616.7731</v>
      </c>
      <c r="EN217" s="9">
        <v>3008.1</v>
      </c>
      <c r="EO217" s="9"/>
      <c r="EP217" s="9"/>
      <c r="EQ217" s="9"/>
      <c r="ER217" s="9"/>
      <c r="ES217" s="9"/>
      <c r="ET217" s="9"/>
      <c r="EU217">
        <v>2433.4895000000001</v>
      </c>
      <c r="EV217" s="9">
        <v>27492.66</v>
      </c>
      <c r="EW217" s="9">
        <v>7320.98</v>
      </c>
      <c r="EX217" s="9">
        <v>2025.08</v>
      </c>
      <c r="EY217" s="9">
        <v>2194.2600000000002</v>
      </c>
      <c r="EZ217" s="9">
        <v>7955.84</v>
      </c>
      <c r="FA217" s="9">
        <v>7996.49</v>
      </c>
      <c r="FB217" s="9">
        <v>105.9687969925</v>
      </c>
      <c r="FC217" s="9">
        <v>64.211904761900001</v>
      </c>
      <c r="FD217" s="9">
        <v>6833.8947368421004</v>
      </c>
      <c r="FE217" s="9">
        <v>71.738095238100001</v>
      </c>
      <c r="FF217" s="9">
        <v>1261.2558823529</v>
      </c>
      <c r="FG217">
        <v>13658342.760000002</v>
      </c>
      <c r="FH217">
        <v>13506463.450000001</v>
      </c>
      <c r="FI217">
        <v>151879.31</v>
      </c>
      <c r="FJ217" s="9">
        <v>17409916.169999998</v>
      </c>
      <c r="FK217">
        <v>13487500.109999999</v>
      </c>
      <c r="FL217" s="9">
        <v>3922416.06</v>
      </c>
      <c r="FM217" s="9">
        <v>28772907.530000001</v>
      </c>
      <c r="FN217" s="9">
        <v>3149862.58</v>
      </c>
      <c r="FO217">
        <v>2427.13</v>
      </c>
      <c r="FP217">
        <v>1338.21</v>
      </c>
      <c r="FQ217">
        <v>131.79</v>
      </c>
      <c r="FR217">
        <v>719.88</v>
      </c>
      <c r="FS217">
        <v>9.69</v>
      </c>
      <c r="FT217">
        <v>2014.07</v>
      </c>
      <c r="FU217">
        <v>573.83000000000004</v>
      </c>
      <c r="FV217">
        <v>6013.97</v>
      </c>
      <c r="FW217">
        <v>39621.57</v>
      </c>
      <c r="FX217">
        <v>349.62</v>
      </c>
      <c r="HB217" s="6"/>
      <c r="HC217" s="6"/>
      <c r="HD217" s="6"/>
    </row>
    <row r="218" spans="1:212" x14ac:dyDescent="0.2">
      <c r="A218" s="8" t="s">
        <v>861</v>
      </c>
      <c r="B218" s="8" t="s">
        <v>459</v>
      </c>
      <c r="C218" s="8" t="s">
        <v>460</v>
      </c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>
        <v>606831.6</v>
      </c>
      <c r="BO218" s="9">
        <v>468571.2</v>
      </c>
      <c r="BP218" s="9">
        <v>118019.5</v>
      </c>
      <c r="BQ218" s="9">
        <v>67804.899999999994</v>
      </c>
      <c r="BR218" s="9">
        <v>50214.6</v>
      </c>
      <c r="BS218" s="9">
        <v>101431.1</v>
      </c>
      <c r="BT218" s="9">
        <v>78692.7</v>
      </c>
      <c r="BU218" s="9">
        <v>62362.2</v>
      </c>
      <c r="BV218" s="9">
        <v>61780.3</v>
      </c>
      <c r="BW218" s="9">
        <v>414179</v>
      </c>
      <c r="BX218" s="9">
        <v>4625.6000000000004</v>
      </c>
      <c r="BY218" s="9">
        <v>51384.7</v>
      </c>
      <c r="BZ218" s="9">
        <v>129963.7</v>
      </c>
      <c r="CA218" s="9">
        <v>44372.5</v>
      </c>
      <c r="CB218" s="9">
        <v>4770</v>
      </c>
      <c r="CC218" s="9">
        <v>183688.2</v>
      </c>
      <c r="CD218" s="9">
        <v>264.89999999999998</v>
      </c>
      <c r="CE218" s="9">
        <v>6616.9</v>
      </c>
      <c r="CF218" s="9">
        <v>2632705.9181608399</v>
      </c>
      <c r="CG218" s="9">
        <v>15762989.867182089</v>
      </c>
      <c r="CH218" s="9">
        <v>12.3883091821</v>
      </c>
      <c r="CI218" s="9">
        <v>6.1664852116000004</v>
      </c>
      <c r="CJ218" s="9">
        <v>19.417674961700001</v>
      </c>
      <c r="CK218" s="9">
        <v>10.809663006799999</v>
      </c>
      <c r="CL218" s="9">
        <v>11</v>
      </c>
      <c r="CM218" s="9">
        <v>108.71842394940001</v>
      </c>
      <c r="CN218" s="9">
        <v>27.033524956099999</v>
      </c>
      <c r="CO218" s="9">
        <v>4.8382386650999996</v>
      </c>
      <c r="CP218" s="9">
        <v>18.111647361599999</v>
      </c>
      <c r="CQ218" s="9">
        <v>10.680117642100001</v>
      </c>
      <c r="CR218" s="9">
        <v>5.4135444341000003</v>
      </c>
      <c r="CS218" s="9">
        <v>4.1076950301000004</v>
      </c>
      <c r="CT218" s="9">
        <v>15.8283419461</v>
      </c>
      <c r="CU218" s="9">
        <v>4.2864615623000004</v>
      </c>
      <c r="CV218" s="9">
        <v>3.2474774453999999</v>
      </c>
      <c r="CW218" s="9">
        <v>5.8844170783000003</v>
      </c>
      <c r="CX218" s="9">
        <v>3.1602783298000001</v>
      </c>
      <c r="CY218" s="9">
        <v>6.1266794981999997</v>
      </c>
      <c r="CZ218" s="9">
        <v>424</v>
      </c>
      <c r="DA218" s="9">
        <v>378</v>
      </c>
      <c r="DB218" s="9">
        <v>27</v>
      </c>
      <c r="DC218" s="9">
        <v>127</v>
      </c>
      <c r="DD218" s="9">
        <v>18</v>
      </c>
      <c r="DE218" s="9">
        <v>19</v>
      </c>
      <c r="DF218" s="9">
        <v>136</v>
      </c>
      <c r="DG218" s="9">
        <v>35</v>
      </c>
      <c r="DH218" s="9">
        <v>20</v>
      </c>
      <c r="DI218" s="9">
        <v>9</v>
      </c>
      <c r="DJ218" s="9">
        <v>3</v>
      </c>
      <c r="DK218" s="9">
        <v>7</v>
      </c>
      <c r="DL218" s="9">
        <v>0</v>
      </c>
      <c r="DM218" s="9">
        <v>25</v>
      </c>
      <c r="DN218" s="9">
        <v>0</v>
      </c>
      <c r="DO218" s="9">
        <v>361.13</v>
      </c>
      <c r="DP218" s="9">
        <v>111.21</v>
      </c>
      <c r="DQ218" s="9">
        <v>58.51</v>
      </c>
      <c r="DR218" s="9">
        <v>52.7</v>
      </c>
      <c r="DS218" s="9">
        <v>52.42</v>
      </c>
      <c r="DT218" s="9">
        <v>12.01</v>
      </c>
      <c r="DU218" s="9">
        <v>121.71</v>
      </c>
      <c r="DV218" s="9">
        <v>81.05</v>
      </c>
      <c r="DW218" s="9">
        <v>25.16</v>
      </c>
      <c r="DX218" s="9">
        <v>75.040000000000006</v>
      </c>
      <c r="DY218" s="9">
        <v>50.9</v>
      </c>
      <c r="DZ218" s="9">
        <v>15.86</v>
      </c>
      <c r="EA218" s="9">
        <v>-155.68</v>
      </c>
      <c r="EB218" s="9">
        <v>61.13485</v>
      </c>
      <c r="EC218" s="9">
        <v>-173.898</v>
      </c>
      <c r="ED218" s="9">
        <v>-63.154699999999998</v>
      </c>
      <c r="EE218" s="9">
        <v>20.237780000000001</v>
      </c>
      <c r="EF218" s="9">
        <v>6.3105539999999998</v>
      </c>
      <c r="EG218" s="9">
        <v>123.6859</v>
      </c>
      <c r="EH218" s="9">
        <v>-130.62</v>
      </c>
      <c r="EI218" s="9">
        <v>121.9799</v>
      </c>
      <c r="EJ218" s="9">
        <v>-1.2596700000000001</v>
      </c>
      <c r="EK218" s="9">
        <v>133.5855</v>
      </c>
      <c r="EL218" s="9">
        <v>39.887999999999998</v>
      </c>
      <c r="EM218" s="9">
        <v>-233.16800000000001</v>
      </c>
      <c r="EN218" s="9">
        <v>2804.3</v>
      </c>
      <c r="EO218" s="9"/>
      <c r="EP218" s="9"/>
      <c r="EQ218" s="9"/>
      <c r="ER218" s="9"/>
      <c r="ES218" s="9"/>
      <c r="ET218" s="9"/>
      <c r="EU218">
        <v>2425.77</v>
      </c>
      <c r="EV218" s="9"/>
      <c r="EW218" s="9"/>
      <c r="EX218" s="9"/>
      <c r="EY218" s="9"/>
      <c r="EZ218" s="9"/>
      <c r="FA218" s="9"/>
      <c r="FB218" s="9">
        <v>111.9326298701</v>
      </c>
      <c r="FC218" s="9">
        <v>68.986521739099999</v>
      </c>
      <c r="FD218" s="9">
        <v>7065.8522727273003</v>
      </c>
      <c r="FE218" s="9">
        <v>75.782608695700006</v>
      </c>
      <c r="FF218" s="9">
        <v>1331.6659090909</v>
      </c>
      <c r="FG218">
        <v>13699525.16</v>
      </c>
      <c r="FH218">
        <v>13548042.449999999</v>
      </c>
      <c r="FI218">
        <v>151482.71</v>
      </c>
      <c r="FJ218" s="9">
        <v>17381405.979999997</v>
      </c>
      <c r="FK218">
        <v>13597799.369999999</v>
      </c>
      <c r="FL218" s="9">
        <v>3783606.61</v>
      </c>
      <c r="FM218" s="9">
        <v>28030507.66</v>
      </c>
      <c r="FN218" s="9">
        <v>3165490.93</v>
      </c>
      <c r="FO218">
        <v>2417.71</v>
      </c>
      <c r="FP218">
        <v>622</v>
      </c>
      <c r="FQ218">
        <v>97.41</v>
      </c>
      <c r="FR218">
        <v>436.66</v>
      </c>
      <c r="FS218">
        <v>11.18</v>
      </c>
      <c r="FT218">
        <v>1926.09</v>
      </c>
      <c r="FU218">
        <v>555.47</v>
      </c>
      <c r="FV218">
        <v>3862.81</v>
      </c>
      <c r="FW218">
        <v>53254.400000000001</v>
      </c>
      <c r="FX218">
        <v>834.76</v>
      </c>
      <c r="HB218" s="6"/>
      <c r="HC218" s="6"/>
      <c r="HD218" s="6"/>
    </row>
    <row r="219" spans="1:212" x14ac:dyDescent="0.2">
      <c r="A219" s="8" t="s">
        <v>861</v>
      </c>
      <c r="B219" s="8" t="s">
        <v>459</v>
      </c>
      <c r="C219" s="8" t="s">
        <v>461</v>
      </c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>
        <v>714009.59999999998</v>
      </c>
      <c r="BO219" s="9">
        <v>590049.30000000005</v>
      </c>
      <c r="BP219" s="9">
        <v>197301.4</v>
      </c>
      <c r="BQ219" s="9">
        <v>128855.5</v>
      </c>
      <c r="BR219" s="9">
        <v>68445.8</v>
      </c>
      <c r="BS219" s="9">
        <v>116483.7</v>
      </c>
      <c r="BT219" s="9">
        <v>137928.6</v>
      </c>
      <c r="BU219" s="9">
        <v>45565.1</v>
      </c>
      <c r="BV219" s="9">
        <v>69707.3</v>
      </c>
      <c r="BW219" s="9">
        <v>584468.1</v>
      </c>
      <c r="BX219" s="9">
        <v>1522.1</v>
      </c>
      <c r="BY219" s="9">
        <v>104576.3</v>
      </c>
      <c r="BZ219" s="9">
        <v>151339.79999999999</v>
      </c>
      <c r="CA219" s="9">
        <v>63349.9</v>
      </c>
      <c r="CB219" s="9">
        <v>42201.599999999999</v>
      </c>
      <c r="CC219" s="9">
        <v>223000.4</v>
      </c>
      <c r="CD219" s="9">
        <v>2039.8</v>
      </c>
      <c r="CE219" s="9">
        <v>105565.7</v>
      </c>
      <c r="CF219" s="9">
        <v>2733559.0926656071</v>
      </c>
      <c r="CG219" s="9">
        <v>15913168.619646801</v>
      </c>
      <c r="CH219" s="9">
        <v>11.9299322247</v>
      </c>
      <c r="CI219" s="9">
        <v>5.516092123</v>
      </c>
      <c r="CJ219" s="9">
        <v>19.087221235800001</v>
      </c>
      <c r="CK219" s="9">
        <v>11.4847963516</v>
      </c>
      <c r="CL219" s="9">
        <v>11</v>
      </c>
      <c r="CM219" s="9">
        <v>109.64118717549999</v>
      </c>
      <c r="CN219" s="9">
        <v>27.825747250399999</v>
      </c>
      <c r="CO219" s="9">
        <v>4.8749758831000003</v>
      </c>
      <c r="CP219" s="9">
        <v>17.975580129899999</v>
      </c>
      <c r="CQ219" s="9">
        <v>10.6777912647</v>
      </c>
      <c r="CR219" s="9">
        <v>5.4262831472000004</v>
      </c>
      <c r="CS219" s="9">
        <v>4.1136829107999997</v>
      </c>
      <c r="CT219" s="9">
        <v>16.0224724604</v>
      </c>
      <c r="CU219" s="9">
        <v>4.2844781762000004</v>
      </c>
      <c r="CV219" s="9">
        <v>3.2507161152999999</v>
      </c>
      <c r="CW219" s="9">
        <v>5.8844170783000003</v>
      </c>
      <c r="CX219" s="9">
        <v>3.1786327765000002</v>
      </c>
      <c r="CY219" s="9">
        <v>6.1264099826000002</v>
      </c>
      <c r="CZ219" s="9">
        <v>415</v>
      </c>
      <c r="DA219" s="9">
        <v>383</v>
      </c>
      <c r="DB219" s="9">
        <v>45</v>
      </c>
      <c r="DC219" s="9">
        <v>148</v>
      </c>
      <c r="DD219" s="9">
        <v>22</v>
      </c>
      <c r="DE219" s="9">
        <v>18</v>
      </c>
      <c r="DF219" s="9">
        <v>106</v>
      </c>
      <c r="DG219" s="9">
        <v>28</v>
      </c>
      <c r="DH219" s="9">
        <v>9</v>
      </c>
      <c r="DI219" s="9">
        <v>3</v>
      </c>
      <c r="DJ219" s="9">
        <v>1</v>
      </c>
      <c r="DK219" s="9">
        <v>4</v>
      </c>
      <c r="DL219" s="9">
        <v>0</v>
      </c>
      <c r="DM219" s="9">
        <v>21</v>
      </c>
      <c r="DN219" s="9">
        <v>0</v>
      </c>
      <c r="DO219" s="9">
        <v>364.89</v>
      </c>
      <c r="DP219" s="9">
        <v>98.14</v>
      </c>
      <c r="DQ219" s="9">
        <v>56.57</v>
      </c>
      <c r="DR219" s="9">
        <v>41.57</v>
      </c>
      <c r="DS219" s="9">
        <v>62.95</v>
      </c>
      <c r="DT219" s="9">
        <v>11.18</v>
      </c>
      <c r="DU219" s="9">
        <v>120.75</v>
      </c>
      <c r="DV219" s="9">
        <v>73.61</v>
      </c>
      <c r="DW219" s="9">
        <v>25.37</v>
      </c>
      <c r="DX219" s="9">
        <v>82.43</v>
      </c>
      <c r="DY219" s="9">
        <v>46.25</v>
      </c>
      <c r="DZ219" s="9">
        <v>17.11</v>
      </c>
      <c r="EA219" s="9">
        <v>-248.727</v>
      </c>
      <c r="EB219" s="9">
        <v>-30.645600000000002</v>
      </c>
      <c r="EC219" s="9">
        <v>-199.16399999999999</v>
      </c>
      <c r="ED219" s="9">
        <v>-68.753100000000003</v>
      </c>
      <c r="EE219" s="9">
        <v>49.835299999999997</v>
      </c>
      <c r="EF219" s="9">
        <v>4.0540130000000003</v>
      </c>
      <c r="EG219" s="9">
        <v>-301.69099999999997</v>
      </c>
      <c r="EH219" s="9">
        <v>-159.52799999999999</v>
      </c>
      <c r="EI219" s="9">
        <v>3.0861130000000001</v>
      </c>
      <c r="EJ219" s="9">
        <v>0.57876099999999997</v>
      </c>
      <c r="EK219" s="9">
        <v>-145.828</v>
      </c>
      <c r="EL219" s="9">
        <v>110.7808</v>
      </c>
      <c r="EM219" s="9">
        <v>167.79830000000001</v>
      </c>
      <c r="EN219" s="9">
        <v>2963.2</v>
      </c>
      <c r="EO219" s="9"/>
      <c r="EP219" s="9"/>
      <c r="EQ219" s="9"/>
      <c r="ER219" s="9"/>
      <c r="ES219" s="9"/>
      <c r="ET219" s="9"/>
      <c r="EU219">
        <v>2402.9015789474001</v>
      </c>
      <c r="EV219" s="9"/>
      <c r="EW219" s="9"/>
      <c r="EX219" s="9"/>
      <c r="EY219" s="9"/>
      <c r="EZ219" s="9"/>
      <c r="FA219" s="9"/>
      <c r="FB219" s="9">
        <v>111.47732142860001</v>
      </c>
      <c r="FC219" s="9">
        <v>65.421999999999997</v>
      </c>
      <c r="FD219" s="9">
        <v>7006.5249999999996</v>
      </c>
      <c r="FE219" s="9">
        <v>77.650000000000006</v>
      </c>
      <c r="FF219" s="9">
        <v>1331.5250000000001</v>
      </c>
      <c r="FG219">
        <v>13868936.880000001</v>
      </c>
      <c r="FH219">
        <v>13718925.27</v>
      </c>
      <c r="FI219">
        <v>150011.60999999999</v>
      </c>
      <c r="FJ219" s="9">
        <v>17526269.560000002</v>
      </c>
      <c r="FK219">
        <v>13831687.649999999</v>
      </c>
      <c r="FL219" s="9">
        <v>3694581.91</v>
      </c>
      <c r="FM219" s="9">
        <v>28554354.350000001</v>
      </c>
      <c r="FN219" s="9">
        <v>3177340.05</v>
      </c>
      <c r="FO219">
        <v>2394.23</v>
      </c>
      <c r="FP219">
        <v>1074</v>
      </c>
      <c r="FQ219">
        <v>107.72</v>
      </c>
      <c r="FR219">
        <v>495.7</v>
      </c>
      <c r="FS219">
        <v>9.9600000000000009</v>
      </c>
      <c r="FT219">
        <v>1222.42</v>
      </c>
      <c r="FU219">
        <v>454.46</v>
      </c>
      <c r="FV219">
        <v>1216.57</v>
      </c>
      <c r="FW219">
        <v>26543.61</v>
      </c>
      <c r="FX219">
        <v>494.31</v>
      </c>
      <c r="HB219" s="6"/>
      <c r="HC219" s="6"/>
      <c r="HD219" s="6"/>
    </row>
    <row r="220" spans="1:212" x14ac:dyDescent="0.2">
      <c r="A220" s="8" t="s">
        <v>861</v>
      </c>
      <c r="B220" s="8" t="s">
        <v>459</v>
      </c>
      <c r="C220" s="8" t="s">
        <v>462</v>
      </c>
      <c r="D220" s="9">
        <v>6822760.5</v>
      </c>
      <c r="E220" s="9">
        <v>222240.4</v>
      </c>
      <c r="F220" s="9">
        <v>1946982.7</v>
      </c>
      <c r="G220" s="9">
        <v>657950.1</v>
      </c>
      <c r="H220" s="9">
        <v>183691.2</v>
      </c>
      <c r="I220" s="9">
        <v>61839.7</v>
      </c>
      <c r="J220" s="9">
        <v>514427</v>
      </c>
      <c r="K220" s="9">
        <v>373519.4</v>
      </c>
      <c r="L220" s="9">
        <v>111936.4</v>
      </c>
      <c r="M220" s="9">
        <v>1984685.4</v>
      </c>
      <c r="N220" s="9">
        <v>765488.1</v>
      </c>
      <c r="O220" s="9">
        <v>4836377.7699999996</v>
      </c>
      <c r="P220" s="9">
        <v>201763.85699999999</v>
      </c>
      <c r="Q220" s="9">
        <v>827421.33700000006</v>
      </c>
      <c r="R220" s="9">
        <v>304595.94799999997</v>
      </c>
      <c r="S220" s="9">
        <v>192059.87100000001</v>
      </c>
      <c r="T220" s="9">
        <v>54630.404000000002</v>
      </c>
      <c r="U220" s="9">
        <v>499184.761</v>
      </c>
      <c r="V220" s="9">
        <v>242375.72700000001</v>
      </c>
      <c r="W220" s="9">
        <v>111588.47900000001</v>
      </c>
      <c r="X220" s="9">
        <v>1810866.338</v>
      </c>
      <c r="Y220" s="9">
        <v>591891.05000000005</v>
      </c>
      <c r="Z220" s="9">
        <v>6642626.0999999996</v>
      </c>
      <c r="AA220" s="9">
        <v>4164054.1</v>
      </c>
      <c r="AB220" s="9">
        <v>824991.5</v>
      </c>
      <c r="AC220" s="9">
        <v>1535700.7</v>
      </c>
      <c r="AD220" s="9">
        <v>448852.9</v>
      </c>
      <c r="AE220" s="9">
        <v>3722545.2</v>
      </c>
      <c r="AF220" s="9">
        <v>4053518.3</v>
      </c>
      <c r="AG220" s="9">
        <v>5049209.4000000004</v>
      </c>
      <c r="AH220" s="9">
        <v>4154622.8</v>
      </c>
      <c r="AI220" s="9">
        <v>879801.6</v>
      </c>
      <c r="AJ220" s="9">
        <v>1233806.8999999999</v>
      </c>
      <c r="AK220" s="9">
        <v>333950.8</v>
      </c>
      <c r="AL220" s="9">
        <v>2888233</v>
      </c>
      <c r="AM220" s="9">
        <v>4441205.8</v>
      </c>
      <c r="AN220" s="9">
        <v>1142926</v>
      </c>
      <c r="AO220" s="9">
        <v>595947</v>
      </c>
      <c r="AP220" s="9">
        <v>546979</v>
      </c>
      <c r="AQ220" s="9">
        <v>122891</v>
      </c>
      <c r="AR220" s="9">
        <v>69472</v>
      </c>
      <c r="AS220" s="9">
        <v>53419</v>
      </c>
      <c r="AT220" s="9">
        <v>823512</v>
      </c>
      <c r="AU220" s="9">
        <v>307546</v>
      </c>
      <c r="AV220" s="9">
        <v>515966</v>
      </c>
      <c r="AW220" s="9">
        <v>998.4</v>
      </c>
      <c r="AX220" s="9">
        <v>738.1</v>
      </c>
      <c r="AY220" s="9">
        <v>2442.5</v>
      </c>
      <c r="AZ220" s="9">
        <v>1079.9000000000001</v>
      </c>
      <c r="BA220" s="9">
        <v>1570.5</v>
      </c>
      <c r="BB220" s="9">
        <v>764.3</v>
      </c>
      <c r="BC220" s="9">
        <v>1028.2</v>
      </c>
      <c r="BD220" s="9">
        <v>830.3</v>
      </c>
      <c r="BE220" s="9">
        <v>1151</v>
      </c>
      <c r="BF220" s="9">
        <v>646.4</v>
      </c>
      <c r="BG220" s="9">
        <v>957.4</v>
      </c>
      <c r="BH220" s="9">
        <v>1130.8</v>
      </c>
      <c r="BI220" s="9">
        <v>1001.5</v>
      </c>
      <c r="BJ220" s="9">
        <v>738.6</v>
      </c>
      <c r="BK220" s="9">
        <v>764.9</v>
      </c>
      <c r="BL220" s="9">
        <v>609.1</v>
      </c>
      <c r="BM220" s="9">
        <v>800</v>
      </c>
      <c r="BN220" s="9">
        <v>672953</v>
      </c>
      <c r="BO220" s="9">
        <v>559474.30000000005</v>
      </c>
      <c r="BP220" s="9">
        <v>96982.5</v>
      </c>
      <c r="BQ220" s="9">
        <v>36606</v>
      </c>
      <c r="BR220" s="9">
        <v>61127.7</v>
      </c>
      <c r="BS220" s="9">
        <v>126436.5</v>
      </c>
      <c r="BT220" s="9">
        <v>164231.70000000001</v>
      </c>
      <c r="BU220" s="9">
        <v>56630.3</v>
      </c>
      <c r="BV220" s="9">
        <v>61270.1</v>
      </c>
      <c r="BW220" s="9">
        <v>621994</v>
      </c>
      <c r="BX220" s="9">
        <v>-208.1</v>
      </c>
      <c r="BY220" s="9">
        <v>102162.3</v>
      </c>
      <c r="BZ220" s="9">
        <v>154290.9</v>
      </c>
      <c r="CA220" s="9">
        <v>122373.2</v>
      </c>
      <c r="CB220" s="9">
        <v>28953.3</v>
      </c>
      <c r="CC220" s="9">
        <v>214214.3</v>
      </c>
      <c r="CD220" s="9">
        <v>1618.1</v>
      </c>
      <c r="CE220" s="9">
        <v>97861.2</v>
      </c>
      <c r="CF220" s="9">
        <v>2776679.418583537</v>
      </c>
      <c r="CG220" s="9">
        <v>16073935.702512881</v>
      </c>
      <c r="CH220" s="9">
        <v>11.423812958499999</v>
      </c>
      <c r="CI220" s="9">
        <v>4.9538500085999999</v>
      </c>
      <c r="CJ220" s="9">
        <v>19.121843935800001</v>
      </c>
      <c r="CK220" s="9">
        <v>11.3078962382</v>
      </c>
      <c r="CL220" s="9">
        <v>10</v>
      </c>
      <c r="CM220" s="9">
        <v>110.6505637085</v>
      </c>
      <c r="CN220" s="9">
        <v>28.518216323299999</v>
      </c>
      <c r="CO220" s="9">
        <v>4.8628001503</v>
      </c>
      <c r="CP220" s="9">
        <v>17.948099688599999</v>
      </c>
      <c r="CQ220" s="9">
        <v>10.8904694527</v>
      </c>
      <c r="CR220" s="9">
        <v>5.4385169662999999</v>
      </c>
      <c r="CS220" s="9">
        <v>4.1646681989000003</v>
      </c>
      <c r="CT220" s="9">
        <v>16.053299574499999</v>
      </c>
      <c r="CU220" s="9">
        <v>4.2789196333000001</v>
      </c>
      <c r="CV220" s="9">
        <v>3.2647801375999999</v>
      </c>
      <c r="CW220" s="9">
        <v>5.8848810135000003</v>
      </c>
      <c r="CX220" s="9">
        <v>3.1899284985</v>
      </c>
      <c r="CY220" s="9">
        <v>6.1559840710999998</v>
      </c>
      <c r="CZ220" s="9">
        <v>644</v>
      </c>
      <c r="DA220" s="9">
        <v>612</v>
      </c>
      <c r="DB220" s="9">
        <v>52</v>
      </c>
      <c r="DC220" s="9">
        <v>188</v>
      </c>
      <c r="DD220" s="9">
        <v>24</v>
      </c>
      <c r="DE220" s="9">
        <v>23</v>
      </c>
      <c r="DF220" s="9">
        <v>267</v>
      </c>
      <c r="DG220" s="9">
        <v>38</v>
      </c>
      <c r="DH220" s="9">
        <v>12</v>
      </c>
      <c r="DI220" s="9">
        <v>3</v>
      </c>
      <c r="DJ220" s="9">
        <v>2</v>
      </c>
      <c r="DK220" s="9">
        <v>6</v>
      </c>
      <c r="DL220" s="9">
        <v>0</v>
      </c>
      <c r="DM220" s="9">
        <v>19</v>
      </c>
      <c r="DN220" s="9">
        <v>0</v>
      </c>
      <c r="DO220" s="9">
        <v>404.44</v>
      </c>
      <c r="DP220" s="9">
        <v>112.47</v>
      </c>
      <c r="DQ220" s="9">
        <v>59.71</v>
      </c>
      <c r="DR220" s="9">
        <v>52.76</v>
      </c>
      <c r="DS220" s="9">
        <v>60.17</v>
      </c>
      <c r="DT220" s="9">
        <v>12.96</v>
      </c>
      <c r="DU220" s="9">
        <v>157.47999999999999</v>
      </c>
      <c r="DV220" s="9">
        <v>101.41</v>
      </c>
      <c r="DW220" s="9">
        <v>42.18</v>
      </c>
      <c r="DX220" s="9">
        <v>73.540000000000006</v>
      </c>
      <c r="DY220" s="9">
        <v>36.630000000000003</v>
      </c>
      <c r="DZ220" s="9">
        <v>21.81</v>
      </c>
      <c r="EA220" s="9">
        <v>-36.517000000000003</v>
      </c>
      <c r="EB220" s="9">
        <v>208.0592</v>
      </c>
      <c r="EC220" s="9">
        <v>-173.46199999999999</v>
      </c>
      <c r="ED220" s="9">
        <v>-81.013400000000004</v>
      </c>
      <c r="EE220" s="9">
        <v>9.8987730000000003</v>
      </c>
      <c r="EF220" s="9">
        <v>4.6654410000000004</v>
      </c>
      <c r="EG220" s="9">
        <v>-119.52200000000001</v>
      </c>
      <c r="EH220" s="9">
        <v>-187.934</v>
      </c>
      <c r="EI220" s="9">
        <v>36.955599999999997</v>
      </c>
      <c r="EJ220" s="9">
        <v>0.181314</v>
      </c>
      <c r="EK220" s="9">
        <v>31.27495</v>
      </c>
      <c r="EL220" s="9">
        <v>-64.512100000000004</v>
      </c>
      <c r="EM220" s="9">
        <v>23.158180000000002</v>
      </c>
      <c r="EN220" s="9">
        <v>2983.1</v>
      </c>
      <c r="EO220" s="9"/>
      <c r="EP220" s="9"/>
      <c r="EQ220" s="9"/>
      <c r="ER220" s="9"/>
      <c r="ES220" s="9"/>
      <c r="ET220" s="9"/>
      <c r="EU220">
        <v>2395.3723809523999</v>
      </c>
      <c r="EV220" s="9">
        <v>27905.46</v>
      </c>
      <c r="EW220" s="9">
        <v>7242.45</v>
      </c>
      <c r="EX220" s="9">
        <v>2136.58</v>
      </c>
      <c r="EY220" s="9">
        <v>2346.85</v>
      </c>
      <c r="EZ220" s="9">
        <v>7944.41</v>
      </c>
      <c r="FA220" s="9">
        <v>8235.18</v>
      </c>
      <c r="FB220" s="9">
        <v>105.7280612245</v>
      </c>
      <c r="FC220" s="9">
        <v>66.445454545499999</v>
      </c>
      <c r="FD220" s="9">
        <v>6799.1785714285998</v>
      </c>
      <c r="FE220" s="9">
        <v>71.318181818200003</v>
      </c>
      <c r="FF220" s="9">
        <v>1324.6571428571001</v>
      </c>
      <c r="FG220">
        <v>14182869.82</v>
      </c>
      <c r="FH220">
        <v>14033029.689999999</v>
      </c>
      <c r="FI220">
        <v>149840.13</v>
      </c>
      <c r="FJ220" s="9">
        <v>17759174.100000001</v>
      </c>
      <c r="FK220">
        <v>13970451.140000001</v>
      </c>
      <c r="FL220" s="9">
        <v>3788722.96</v>
      </c>
      <c r="FM220" s="9">
        <v>28934002.91</v>
      </c>
      <c r="FN220" s="9">
        <v>3164777.38</v>
      </c>
      <c r="FO220">
        <v>2392.77</v>
      </c>
      <c r="FP220">
        <v>1253.6199999999999</v>
      </c>
      <c r="FQ220">
        <v>132.56</v>
      </c>
      <c r="FR220">
        <v>508.5</v>
      </c>
      <c r="FS220">
        <v>11.74</v>
      </c>
      <c r="FT220">
        <v>3464.13</v>
      </c>
      <c r="FU220">
        <v>621.22</v>
      </c>
      <c r="FV220">
        <v>1171.07</v>
      </c>
      <c r="FW220">
        <v>32497.72</v>
      </c>
      <c r="FX220">
        <v>824.41</v>
      </c>
      <c r="HB220" s="6"/>
      <c r="HC220" s="6"/>
      <c r="HD220" s="6"/>
    </row>
    <row r="221" spans="1:212" x14ac:dyDescent="0.2">
      <c r="A221" s="8" t="s">
        <v>861</v>
      </c>
      <c r="B221" s="8" t="s">
        <v>463</v>
      </c>
      <c r="C221" s="8" t="s">
        <v>464</v>
      </c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>
        <v>791028.1</v>
      </c>
      <c r="BO221" s="9">
        <v>604763.9</v>
      </c>
      <c r="BP221" s="9">
        <v>167411.4</v>
      </c>
      <c r="BQ221" s="9">
        <v>162740.9</v>
      </c>
      <c r="BR221" s="9">
        <v>32940</v>
      </c>
      <c r="BS221" s="9">
        <v>97920.5</v>
      </c>
      <c r="BT221" s="9">
        <v>162528.9</v>
      </c>
      <c r="BU221" s="9">
        <v>45717.4</v>
      </c>
      <c r="BV221" s="9">
        <v>76962</v>
      </c>
      <c r="BW221" s="9">
        <v>569895.30000000005</v>
      </c>
      <c r="BX221" s="9">
        <v>9464.2999999999993</v>
      </c>
      <c r="BY221" s="9">
        <v>108783.1</v>
      </c>
      <c r="BZ221" s="9">
        <v>149722.1</v>
      </c>
      <c r="CA221" s="9">
        <v>91258.6</v>
      </c>
      <c r="CB221" s="9">
        <v>2936.1</v>
      </c>
      <c r="CC221" s="9">
        <v>217195.3</v>
      </c>
      <c r="CD221" s="9">
        <v>17051.400000000001</v>
      </c>
      <c r="CE221" s="9">
        <v>-21584.2</v>
      </c>
      <c r="CF221" s="9">
        <v>2870980.7479562</v>
      </c>
      <c r="CG221" s="9">
        <v>16240147.711649049</v>
      </c>
      <c r="CH221" s="9">
        <v>11.4688420534</v>
      </c>
      <c r="CI221" s="9">
        <v>3.8721150690999999</v>
      </c>
      <c r="CJ221" s="9">
        <v>19.2666371756</v>
      </c>
      <c r="CK221" s="9">
        <v>10.244654759199999</v>
      </c>
      <c r="CL221" s="9">
        <v>10</v>
      </c>
      <c r="CM221" s="9">
        <v>111.3520870765</v>
      </c>
      <c r="CN221" s="9">
        <v>29.2675555193</v>
      </c>
      <c r="CO221" s="9">
        <v>4.8978053184999997</v>
      </c>
      <c r="CP221" s="9">
        <v>17.890147657</v>
      </c>
      <c r="CQ221" s="9">
        <v>10.795875177399999</v>
      </c>
      <c r="CR221" s="9">
        <v>5.4644240771000003</v>
      </c>
      <c r="CS221" s="9">
        <v>4.1956786430999999</v>
      </c>
      <c r="CT221" s="9">
        <v>16.056687215699998</v>
      </c>
      <c r="CU221" s="9">
        <v>4.2734863642000001</v>
      </c>
      <c r="CV221" s="9">
        <v>3.2691353092000002</v>
      </c>
      <c r="CW221" s="9">
        <v>5.8845247443000002</v>
      </c>
      <c r="CX221" s="9">
        <v>3.1952729163</v>
      </c>
      <c r="CY221" s="9">
        <v>6.1614941343999998</v>
      </c>
      <c r="CZ221" s="9">
        <v>643</v>
      </c>
      <c r="DA221" s="9">
        <v>570</v>
      </c>
      <c r="DB221" s="9">
        <v>20</v>
      </c>
      <c r="DC221" s="9">
        <v>165</v>
      </c>
      <c r="DD221" s="9">
        <v>29</v>
      </c>
      <c r="DE221" s="9">
        <v>15</v>
      </c>
      <c r="DF221" s="9">
        <v>281</v>
      </c>
      <c r="DG221" s="9">
        <v>38</v>
      </c>
      <c r="DH221" s="9">
        <v>55</v>
      </c>
      <c r="DI221" s="9">
        <v>2</v>
      </c>
      <c r="DJ221" s="9">
        <v>2</v>
      </c>
      <c r="DK221" s="9">
        <v>49</v>
      </c>
      <c r="DL221" s="9">
        <v>0</v>
      </c>
      <c r="DM221" s="9">
        <v>18</v>
      </c>
      <c r="DN221" s="9">
        <v>0</v>
      </c>
      <c r="DO221" s="9">
        <v>451.34</v>
      </c>
      <c r="DP221" s="9">
        <v>122.76</v>
      </c>
      <c r="DQ221" s="9">
        <v>68.28</v>
      </c>
      <c r="DR221" s="9">
        <v>54.48</v>
      </c>
      <c r="DS221" s="9">
        <v>60.84</v>
      </c>
      <c r="DT221" s="9">
        <v>11.35</v>
      </c>
      <c r="DU221" s="9">
        <v>200.9</v>
      </c>
      <c r="DV221" s="9">
        <v>137.58000000000001</v>
      </c>
      <c r="DW221" s="9">
        <v>46.95</v>
      </c>
      <c r="DX221" s="9">
        <v>65.95</v>
      </c>
      <c r="DY221" s="9">
        <v>30.97</v>
      </c>
      <c r="DZ221" s="9">
        <v>12.4</v>
      </c>
      <c r="EA221" s="9">
        <v>-38.919499999999999</v>
      </c>
      <c r="EB221" s="9">
        <v>173.9639</v>
      </c>
      <c r="EC221" s="9">
        <v>-151.62200000000001</v>
      </c>
      <c r="ED221" s="9">
        <v>-84.094499999999996</v>
      </c>
      <c r="EE221" s="9">
        <v>22.833020000000001</v>
      </c>
      <c r="EF221" s="9">
        <v>8.7579049999999992</v>
      </c>
      <c r="EG221" s="9">
        <v>-50.2971</v>
      </c>
      <c r="EH221" s="9">
        <v>-112.205</v>
      </c>
      <c r="EI221" s="9">
        <v>23.356770000000001</v>
      </c>
      <c r="EJ221" s="9">
        <v>2.8481930000000002</v>
      </c>
      <c r="EK221" s="9">
        <v>35.7029</v>
      </c>
      <c r="EL221" s="9">
        <v>-24.8779</v>
      </c>
      <c r="EM221" s="9">
        <v>-4.7424499999999998</v>
      </c>
      <c r="EN221" s="9">
        <v>2980.2</v>
      </c>
      <c r="EO221" s="9"/>
      <c r="EP221" s="9"/>
      <c r="EQ221" s="9"/>
      <c r="ER221" s="9"/>
      <c r="ES221" s="9"/>
      <c r="ET221" s="9"/>
      <c r="EU221">
        <v>2394.6452380952001</v>
      </c>
      <c r="EV221" s="9"/>
      <c r="EW221" s="9"/>
      <c r="EX221" s="9"/>
      <c r="EY221" s="9"/>
      <c r="EZ221" s="9"/>
      <c r="FA221" s="9"/>
      <c r="FB221" s="9">
        <v>99.223392857099995</v>
      </c>
      <c r="FC221" s="9">
        <v>71.627619047600007</v>
      </c>
      <c r="FD221" s="9">
        <v>6851.5124999999998</v>
      </c>
      <c r="FE221" s="9">
        <v>66.333333333300004</v>
      </c>
      <c r="FF221" s="9">
        <v>1334.74</v>
      </c>
      <c r="FG221">
        <v>14507389.779999999</v>
      </c>
      <c r="FH221">
        <v>14355813.460000001</v>
      </c>
      <c r="FI221">
        <v>151576.32000000001</v>
      </c>
      <c r="FJ221" s="9">
        <v>17863295.629999999</v>
      </c>
      <c r="FK221">
        <v>14185416.050000001</v>
      </c>
      <c r="FL221" s="9">
        <v>3677879.58</v>
      </c>
      <c r="FM221" s="9">
        <v>28881588.41</v>
      </c>
      <c r="FN221" s="9">
        <v>3224113.39</v>
      </c>
      <c r="FO221">
        <v>2402.86</v>
      </c>
      <c r="FP221">
        <v>482.26</v>
      </c>
      <c r="FQ221">
        <v>120.88</v>
      </c>
      <c r="FR221">
        <v>594.79999999999995</v>
      </c>
      <c r="FS221">
        <v>8.76</v>
      </c>
      <c r="FT221">
        <v>3528.99</v>
      </c>
      <c r="FU221">
        <v>579.02</v>
      </c>
      <c r="FV221">
        <v>888.6</v>
      </c>
      <c r="FW221">
        <v>35015.97</v>
      </c>
      <c r="FX221">
        <v>1422.5</v>
      </c>
      <c r="HB221" s="6"/>
      <c r="HC221" s="6"/>
      <c r="HD221" s="6"/>
    </row>
    <row r="222" spans="1:212" x14ac:dyDescent="0.2">
      <c r="A222" s="8" t="s">
        <v>861</v>
      </c>
      <c r="B222" s="8" t="s">
        <v>463</v>
      </c>
      <c r="C222" s="8" t="s">
        <v>465</v>
      </c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>
        <v>874640.8</v>
      </c>
      <c r="BO222" s="9">
        <v>726333.2</v>
      </c>
      <c r="BP222" s="9">
        <v>185772</v>
      </c>
      <c r="BQ222" s="9">
        <v>92651.199999999997</v>
      </c>
      <c r="BR222" s="9">
        <v>100910.3</v>
      </c>
      <c r="BS222" s="9">
        <v>122819.4</v>
      </c>
      <c r="BT222" s="9">
        <v>211558.3</v>
      </c>
      <c r="BU222" s="9">
        <v>64251.4</v>
      </c>
      <c r="BV222" s="9">
        <v>86560.9</v>
      </c>
      <c r="BW222" s="9">
        <v>668460</v>
      </c>
      <c r="BX222" s="9">
        <v>68079.100000000006</v>
      </c>
      <c r="BY222" s="9">
        <v>123566.6</v>
      </c>
      <c r="BZ222" s="9">
        <v>149461.29999999999</v>
      </c>
      <c r="CA222" s="9">
        <v>109254</v>
      </c>
      <c r="CB222" s="9">
        <v>19098.099999999999</v>
      </c>
      <c r="CC222" s="9">
        <v>267080</v>
      </c>
      <c r="CD222" s="9">
        <v>20546.900000000001</v>
      </c>
      <c r="CE222" s="9">
        <v>129097.7</v>
      </c>
      <c r="CF222" s="9">
        <v>3201395.5647405209</v>
      </c>
      <c r="CG222" s="9">
        <v>17045319.3265181</v>
      </c>
      <c r="CH222" s="9">
        <v>11.932960183600001</v>
      </c>
      <c r="CI222" s="9">
        <v>5.9665837631</v>
      </c>
      <c r="CJ222" s="9">
        <v>18.6981097464</v>
      </c>
      <c r="CK222" s="9">
        <v>10.1121645145</v>
      </c>
      <c r="CL222" s="9">
        <v>10</v>
      </c>
      <c r="CM222" s="9">
        <v>112.0177718354</v>
      </c>
      <c r="CN222" s="9">
        <v>29.706210231099998</v>
      </c>
      <c r="CO222" s="9">
        <v>4.9008200448999997</v>
      </c>
      <c r="CP222" s="9">
        <v>17.951625568200001</v>
      </c>
      <c r="CQ222" s="9">
        <v>10.813562904599999</v>
      </c>
      <c r="CR222" s="9">
        <v>5.4827239614999996</v>
      </c>
      <c r="CS222" s="9">
        <v>4.2094760665999997</v>
      </c>
      <c r="CT222" s="9">
        <v>16.175972895299999</v>
      </c>
      <c r="CU222" s="9">
        <v>4.2744808488999997</v>
      </c>
      <c r="CV222" s="9">
        <v>3.306443738</v>
      </c>
      <c r="CW222" s="9">
        <v>5.8865054258000002</v>
      </c>
      <c r="CX222" s="9">
        <v>3.2040876155000002</v>
      </c>
      <c r="CY222" s="9">
        <v>6.1058625351</v>
      </c>
      <c r="CZ222" s="9">
        <v>760</v>
      </c>
      <c r="DA222" s="9">
        <v>627</v>
      </c>
      <c r="DB222" s="9">
        <v>0</v>
      </c>
      <c r="DC222" s="9">
        <v>196</v>
      </c>
      <c r="DD222" s="9">
        <v>39</v>
      </c>
      <c r="DE222" s="9">
        <v>18</v>
      </c>
      <c r="DF222" s="9">
        <v>314</v>
      </c>
      <c r="DG222" s="9">
        <v>38</v>
      </c>
      <c r="DH222" s="9">
        <v>94</v>
      </c>
      <c r="DI222" s="9">
        <v>4</v>
      </c>
      <c r="DJ222" s="9">
        <v>2</v>
      </c>
      <c r="DK222" s="9">
        <v>85</v>
      </c>
      <c r="DL222" s="9">
        <v>1</v>
      </c>
      <c r="DM222" s="9">
        <v>38</v>
      </c>
      <c r="DN222" s="9">
        <v>0</v>
      </c>
      <c r="DO222" s="9">
        <v>596.62</v>
      </c>
      <c r="DP222" s="9">
        <v>146.11000000000001</v>
      </c>
      <c r="DQ222" s="9">
        <v>74.760000000000005</v>
      </c>
      <c r="DR222" s="9">
        <v>71.349999999999994</v>
      </c>
      <c r="DS222" s="9">
        <v>66.56</v>
      </c>
      <c r="DT222" s="9">
        <v>11.59</v>
      </c>
      <c r="DU222" s="9">
        <v>294.47000000000003</v>
      </c>
      <c r="DV222" s="9">
        <v>176.28</v>
      </c>
      <c r="DW222" s="9">
        <v>98.13</v>
      </c>
      <c r="DX222" s="9">
        <v>88.64</v>
      </c>
      <c r="DY222" s="9">
        <v>42.09</v>
      </c>
      <c r="DZ222" s="9">
        <v>21.21</v>
      </c>
      <c r="EA222" s="9">
        <v>-116.58</v>
      </c>
      <c r="EB222" s="9">
        <v>94.992289999999997</v>
      </c>
      <c r="EC222" s="9">
        <v>-135.93299999999999</v>
      </c>
      <c r="ED222" s="9">
        <v>-97.164900000000003</v>
      </c>
      <c r="EE222" s="9">
        <v>21.525459999999999</v>
      </c>
      <c r="EF222" s="9">
        <v>6.6178480000000004</v>
      </c>
      <c r="EG222" s="9">
        <v>-307.91699999999997</v>
      </c>
      <c r="EH222" s="9">
        <v>-154.46700000000001</v>
      </c>
      <c r="EI222" s="9">
        <v>37.985149999999997</v>
      </c>
      <c r="EJ222" s="9">
        <v>-22.355899999999998</v>
      </c>
      <c r="EK222" s="9">
        <v>-169.08</v>
      </c>
      <c r="EL222" s="9">
        <v>50.731870000000001</v>
      </c>
      <c r="EM222" s="9">
        <v>248.68729999999999</v>
      </c>
      <c r="EN222" s="9">
        <v>3256.3</v>
      </c>
      <c r="EO222" s="9"/>
      <c r="EP222" s="9"/>
      <c r="EQ222" s="9"/>
      <c r="ER222" s="9"/>
      <c r="ES222" s="9"/>
      <c r="ET222" s="9"/>
      <c r="EU222">
        <v>2405.1913043477998</v>
      </c>
      <c r="EV222" s="9"/>
      <c r="EW222" s="9"/>
      <c r="EX222" s="9"/>
      <c r="EY222" s="9"/>
      <c r="EZ222" s="9"/>
      <c r="FA222" s="9"/>
      <c r="FB222" s="9">
        <v>109.375</v>
      </c>
      <c r="FC222" s="9">
        <v>76.646956521700005</v>
      </c>
      <c r="FD222" s="9">
        <v>6825.2738095238001</v>
      </c>
      <c r="FE222" s="9">
        <v>66.630434782600005</v>
      </c>
      <c r="FF222" s="9">
        <v>1303.0261904762001</v>
      </c>
      <c r="FG222">
        <v>15011934.050000001</v>
      </c>
      <c r="FH222">
        <v>14859731.359999999</v>
      </c>
      <c r="FI222">
        <v>152202.69</v>
      </c>
      <c r="FJ222" s="9">
        <v>18704245.59</v>
      </c>
      <c r="FK222">
        <v>15029810.51</v>
      </c>
      <c r="FL222" s="9">
        <v>3674435.08</v>
      </c>
      <c r="FM222" s="9">
        <v>29823306.390000001</v>
      </c>
      <c r="FN222" s="9">
        <v>3266874.83</v>
      </c>
      <c r="FO222">
        <v>2409.8000000000002</v>
      </c>
      <c r="FP222">
        <v>0</v>
      </c>
      <c r="FQ222">
        <v>142.44999999999999</v>
      </c>
      <c r="FR222">
        <v>732.7</v>
      </c>
      <c r="FS222">
        <v>10.62</v>
      </c>
      <c r="FT222">
        <v>3972.48</v>
      </c>
      <c r="FU222">
        <v>555.44000000000005</v>
      </c>
      <c r="FV222">
        <v>1961.64</v>
      </c>
      <c r="FW222">
        <v>43433.919999999998</v>
      </c>
      <c r="FX222">
        <v>1762.19</v>
      </c>
      <c r="HB222" s="6"/>
      <c r="HC222" s="6"/>
      <c r="HD222" s="6"/>
    </row>
    <row r="223" spans="1:212" x14ac:dyDescent="0.2">
      <c r="A223" s="8" t="s">
        <v>861</v>
      </c>
      <c r="B223" s="8" t="s">
        <v>463</v>
      </c>
      <c r="C223" s="8" t="s">
        <v>466</v>
      </c>
      <c r="D223" s="9">
        <v>8689394.5999999996</v>
      </c>
      <c r="E223" s="9">
        <v>1830679.7</v>
      </c>
      <c r="F223" s="9">
        <v>1717062.3</v>
      </c>
      <c r="G223" s="9">
        <v>562354.9</v>
      </c>
      <c r="H223" s="9">
        <v>166350.79999999999</v>
      </c>
      <c r="I223" s="9">
        <v>261376.9</v>
      </c>
      <c r="J223" s="9">
        <v>606731.30000000005</v>
      </c>
      <c r="K223" s="9">
        <v>398588.8</v>
      </c>
      <c r="L223" s="9">
        <v>124822.39999999999</v>
      </c>
      <c r="M223" s="9">
        <v>2051896.7</v>
      </c>
      <c r="N223" s="9">
        <v>969530.8</v>
      </c>
      <c r="O223" s="9">
        <v>7225590.3119999999</v>
      </c>
      <c r="P223" s="9">
        <v>1592916.7379999999</v>
      </c>
      <c r="Q223" s="9">
        <v>873106.147</v>
      </c>
      <c r="R223" s="9">
        <v>476779.13099999999</v>
      </c>
      <c r="S223" s="9">
        <v>126671.43399999999</v>
      </c>
      <c r="T223" s="9">
        <v>229715.28400000001</v>
      </c>
      <c r="U223" s="9">
        <v>682275.91799999995</v>
      </c>
      <c r="V223" s="9">
        <v>257755.94899999999</v>
      </c>
      <c r="W223" s="9">
        <v>135569.35999999999</v>
      </c>
      <c r="X223" s="9">
        <v>1869903.43</v>
      </c>
      <c r="Y223" s="9">
        <v>980896.91899999999</v>
      </c>
      <c r="Z223" s="9">
        <v>8517119.6999999993</v>
      </c>
      <c r="AA223" s="9">
        <v>4314474.5999999996</v>
      </c>
      <c r="AB223" s="9">
        <v>974607.2</v>
      </c>
      <c r="AC223" s="9">
        <v>2406113.5</v>
      </c>
      <c r="AD223" s="9">
        <v>902474.8</v>
      </c>
      <c r="AE223" s="9">
        <v>5334213.9000000004</v>
      </c>
      <c r="AF223" s="9">
        <v>5414764.4000000004</v>
      </c>
      <c r="AG223" s="9">
        <v>6824740.2000000002</v>
      </c>
      <c r="AH223" s="9">
        <v>4081621.9</v>
      </c>
      <c r="AI223" s="9">
        <v>1008596.1</v>
      </c>
      <c r="AJ223" s="9">
        <v>1958345</v>
      </c>
      <c r="AK223" s="9">
        <v>672502.3</v>
      </c>
      <c r="AL223" s="9">
        <v>3714904.4</v>
      </c>
      <c r="AM223" s="9">
        <v>4611229.5</v>
      </c>
      <c r="AN223" s="9">
        <v>1274650</v>
      </c>
      <c r="AO223" s="9">
        <v>683191</v>
      </c>
      <c r="AP223" s="9">
        <v>591459</v>
      </c>
      <c r="AQ223" s="9">
        <v>104095</v>
      </c>
      <c r="AR223" s="9">
        <v>59811</v>
      </c>
      <c r="AS223" s="9">
        <v>44284</v>
      </c>
      <c r="AT223" s="9">
        <v>880711</v>
      </c>
      <c r="AU223" s="9">
        <v>325875</v>
      </c>
      <c r="AV223" s="9">
        <v>554836</v>
      </c>
      <c r="AW223" s="9">
        <v>1025.5999999999999</v>
      </c>
      <c r="AX223" s="9">
        <v>758.5</v>
      </c>
      <c r="AY223" s="9">
        <v>2467.6999999999998</v>
      </c>
      <c r="AZ223" s="9">
        <v>1163.5999999999999</v>
      </c>
      <c r="BA223" s="9">
        <v>1402.1</v>
      </c>
      <c r="BB223" s="9">
        <v>733.1</v>
      </c>
      <c r="BC223" s="9">
        <v>966.5</v>
      </c>
      <c r="BD223" s="9">
        <v>847</v>
      </c>
      <c r="BE223" s="9">
        <v>1083.8</v>
      </c>
      <c r="BF223" s="9">
        <v>653.20000000000005</v>
      </c>
      <c r="BG223" s="9">
        <v>1029.5</v>
      </c>
      <c r="BH223" s="9">
        <v>1193.8</v>
      </c>
      <c r="BI223" s="9">
        <v>1041.5999999999999</v>
      </c>
      <c r="BJ223" s="9">
        <v>782.9</v>
      </c>
      <c r="BK223" s="9">
        <v>807.2</v>
      </c>
      <c r="BL223" s="9">
        <v>612.6</v>
      </c>
      <c r="BM223" s="9">
        <v>878</v>
      </c>
      <c r="BN223" s="9">
        <v>891969.4</v>
      </c>
      <c r="BO223" s="9">
        <v>710489.7</v>
      </c>
      <c r="BP223" s="9">
        <v>157341.20000000001</v>
      </c>
      <c r="BQ223" s="9">
        <v>84933.5</v>
      </c>
      <c r="BR223" s="9">
        <v>73738.899999999994</v>
      </c>
      <c r="BS223" s="9">
        <v>142519.20000000001</v>
      </c>
      <c r="BT223" s="9">
        <v>197477.8</v>
      </c>
      <c r="BU223" s="9">
        <v>66836.100000000006</v>
      </c>
      <c r="BV223" s="9">
        <v>122131.1</v>
      </c>
      <c r="BW223" s="9">
        <v>690472.5</v>
      </c>
      <c r="BX223" s="9">
        <v>97016.7</v>
      </c>
      <c r="BY223" s="9">
        <v>122731.6</v>
      </c>
      <c r="BZ223" s="9">
        <v>207482.6</v>
      </c>
      <c r="CA223" s="9">
        <v>113580.2</v>
      </c>
      <c r="CB223" s="9">
        <v>18226.7</v>
      </c>
      <c r="CC223" s="9">
        <v>228451.5</v>
      </c>
      <c r="CD223" s="9">
        <v>-6918.7</v>
      </c>
      <c r="CE223" s="9">
        <v>77634.8</v>
      </c>
      <c r="CF223" s="9">
        <v>3352765.919882712</v>
      </c>
      <c r="CG223" s="9">
        <v>17342874.461994</v>
      </c>
      <c r="CH223" s="9">
        <v>10.829130176</v>
      </c>
      <c r="CI223" s="9">
        <v>5.5542554263000001</v>
      </c>
      <c r="CJ223" s="9">
        <v>17.997649174599999</v>
      </c>
      <c r="CK223" s="9">
        <v>10.177364199199999</v>
      </c>
      <c r="CL223" s="9">
        <v>10</v>
      </c>
      <c r="CM223" s="9">
        <v>112.5506514297</v>
      </c>
      <c r="CN223" s="9">
        <v>30.034227408700001</v>
      </c>
      <c r="CO223" s="9">
        <v>4.9176357410999998</v>
      </c>
      <c r="CP223" s="9">
        <v>17.8769033869</v>
      </c>
      <c r="CQ223" s="9">
        <v>10.8581748215</v>
      </c>
      <c r="CR223" s="9">
        <v>5.4969542906999997</v>
      </c>
      <c r="CS223" s="9">
        <v>4.2564280721000003</v>
      </c>
      <c r="CT223" s="9">
        <v>16.185050075700001</v>
      </c>
      <c r="CU223" s="9">
        <v>4.2651604123000002</v>
      </c>
      <c r="CV223" s="9">
        <v>3.3897894037</v>
      </c>
      <c r="CW223" s="9">
        <v>5.8864891033999998</v>
      </c>
      <c r="CX223" s="9">
        <v>3.2283448907999999</v>
      </c>
      <c r="CY223" s="9">
        <v>6.1554938226000004</v>
      </c>
      <c r="CZ223" s="9">
        <v>696</v>
      </c>
      <c r="DA223" s="9">
        <v>594</v>
      </c>
      <c r="DB223" s="9">
        <v>0</v>
      </c>
      <c r="DC223" s="9">
        <v>191</v>
      </c>
      <c r="DD223" s="9">
        <v>25</v>
      </c>
      <c r="DE223" s="9">
        <v>15</v>
      </c>
      <c r="DF223" s="9">
        <v>301</v>
      </c>
      <c r="DG223" s="9">
        <v>35</v>
      </c>
      <c r="DH223" s="9">
        <v>78</v>
      </c>
      <c r="DI223" s="9">
        <v>4</v>
      </c>
      <c r="DJ223" s="9">
        <v>1</v>
      </c>
      <c r="DK223" s="9">
        <v>71</v>
      </c>
      <c r="DL223" s="9">
        <v>1</v>
      </c>
      <c r="DM223" s="9">
        <v>23</v>
      </c>
      <c r="DN223" s="9">
        <v>0</v>
      </c>
      <c r="DO223" s="9">
        <v>537.66</v>
      </c>
      <c r="DP223" s="9">
        <v>154.94</v>
      </c>
      <c r="DQ223" s="9">
        <v>77.2</v>
      </c>
      <c r="DR223" s="9">
        <v>77.73</v>
      </c>
      <c r="DS223" s="9">
        <v>63.41</v>
      </c>
      <c r="DT223" s="9">
        <v>11.87</v>
      </c>
      <c r="DU223" s="9">
        <v>216.58</v>
      </c>
      <c r="DV223" s="9">
        <v>128.66999999999999</v>
      </c>
      <c r="DW223" s="9">
        <v>74.59</v>
      </c>
      <c r="DX223" s="9">
        <v>102.52</v>
      </c>
      <c r="DY223" s="9">
        <v>46.31</v>
      </c>
      <c r="DZ223" s="9">
        <v>24.3</v>
      </c>
      <c r="EA223" s="9">
        <v>-223.411</v>
      </c>
      <c r="EB223" s="9">
        <v>86.486770000000007</v>
      </c>
      <c r="EC223" s="9">
        <v>-147.904</v>
      </c>
      <c r="ED223" s="9">
        <v>-185.26900000000001</v>
      </c>
      <c r="EE223" s="9">
        <v>23.275839999999999</v>
      </c>
      <c r="EF223" s="9">
        <v>11.34939</v>
      </c>
      <c r="EG223" s="9">
        <v>3.3543210000000001</v>
      </c>
      <c r="EH223" s="9">
        <v>-264.42599999999999</v>
      </c>
      <c r="EI223" s="9">
        <v>177.10890000000001</v>
      </c>
      <c r="EJ223" s="9">
        <v>-21.0853</v>
      </c>
      <c r="EK223" s="9">
        <v>111.7567</v>
      </c>
      <c r="EL223" s="9">
        <v>-158.29900000000001</v>
      </c>
      <c r="EM223" s="9">
        <v>-373.71499999999997</v>
      </c>
      <c r="EN223" s="9">
        <v>2989.4</v>
      </c>
      <c r="EO223" s="9"/>
      <c r="EP223" s="9"/>
      <c r="EQ223" s="9"/>
      <c r="ER223" s="9"/>
      <c r="ES223" s="9"/>
      <c r="ET223" s="9"/>
      <c r="EU223">
        <v>2432.2979999999998</v>
      </c>
      <c r="EV223" s="9">
        <v>27660.97</v>
      </c>
      <c r="EW223" s="9">
        <v>6929.3</v>
      </c>
      <c r="EX223" s="9">
        <v>2064.6999999999998</v>
      </c>
      <c r="EY223" s="9">
        <v>2310.7800000000002</v>
      </c>
      <c r="EZ223" s="9">
        <v>7895.49</v>
      </c>
      <c r="FA223" s="9">
        <v>8460.7000000000007</v>
      </c>
      <c r="FB223" s="9">
        <v>121.5244897959</v>
      </c>
      <c r="FC223" s="9">
        <v>75.191428571399996</v>
      </c>
      <c r="FD223" s="9">
        <v>6965.8571428571004</v>
      </c>
      <c r="FE223" s="9">
        <v>66.857142857100001</v>
      </c>
      <c r="FF223" s="9">
        <v>1281.5666666667</v>
      </c>
      <c r="FG223">
        <v>15433330.140000001</v>
      </c>
      <c r="FH223">
        <v>15277098.210000001</v>
      </c>
      <c r="FI223">
        <v>156231.93</v>
      </c>
      <c r="FJ223" s="9">
        <v>19166753.629999999</v>
      </c>
      <c r="FK223">
        <v>15464343.699999999</v>
      </c>
      <c r="FL223" s="9">
        <v>3702409.93</v>
      </c>
      <c r="FM223" s="9">
        <v>30258805.300000001</v>
      </c>
      <c r="FN223" s="9">
        <v>3180392.56</v>
      </c>
      <c r="FO223">
        <v>2462.8200000000002</v>
      </c>
      <c r="FP223">
        <v>0</v>
      </c>
      <c r="FQ223">
        <v>132.69999999999999</v>
      </c>
      <c r="FR223">
        <v>604.84</v>
      </c>
      <c r="FS223">
        <v>9.3800000000000008</v>
      </c>
      <c r="FT223">
        <v>3910.13</v>
      </c>
      <c r="FU223">
        <v>533.39</v>
      </c>
      <c r="FV223">
        <v>1671.61</v>
      </c>
      <c r="FW223">
        <v>21136.9</v>
      </c>
      <c r="FX223">
        <v>1475.01</v>
      </c>
      <c r="HB223" s="6"/>
      <c r="HC223" s="6"/>
      <c r="HD223" s="6"/>
    </row>
    <row r="224" spans="1:212" x14ac:dyDescent="0.2">
      <c r="A224" s="8" t="s">
        <v>861</v>
      </c>
      <c r="B224" s="8" t="s">
        <v>467</v>
      </c>
      <c r="C224" s="8" t="s">
        <v>468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>
        <v>1068410.2</v>
      </c>
      <c r="BO224" s="9">
        <v>811218.6</v>
      </c>
      <c r="BP224" s="9">
        <v>236632.4</v>
      </c>
      <c r="BQ224" s="9">
        <v>165618.29999999999</v>
      </c>
      <c r="BR224" s="9">
        <v>71667.5</v>
      </c>
      <c r="BS224" s="9">
        <v>146173.5</v>
      </c>
      <c r="BT224" s="9">
        <v>195188.5</v>
      </c>
      <c r="BU224" s="9">
        <v>72894.8</v>
      </c>
      <c r="BV224" s="9">
        <v>102817.4</v>
      </c>
      <c r="BW224" s="9">
        <v>464358.8</v>
      </c>
      <c r="BX224" s="9">
        <v>4880.5</v>
      </c>
      <c r="BY224" s="9">
        <v>79337.100000000006</v>
      </c>
      <c r="BZ224" s="9">
        <v>123901.8</v>
      </c>
      <c r="CA224" s="9">
        <v>35219.5</v>
      </c>
      <c r="CB224" s="9">
        <v>8560.6</v>
      </c>
      <c r="CC224" s="9">
        <v>217339.8</v>
      </c>
      <c r="CD224" s="9">
        <v>2570.5</v>
      </c>
      <c r="CE224" s="9">
        <v>166411.1</v>
      </c>
      <c r="CF224" s="9">
        <v>3090154.6825762722</v>
      </c>
      <c r="CG224" s="9">
        <v>17211715.522018589</v>
      </c>
      <c r="CH224" s="9">
        <v>10.6808145151</v>
      </c>
      <c r="CI224" s="9">
        <v>5.6475891325000003</v>
      </c>
      <c r="CJ224" s="9">
        <v>17.7626150426</v>
      </c>
      <c r="CK224" s="9">
        <v>10.435388920499999</v>
      </c>
      <c r="CL224" s="9">
        <v>10</v>
      </c>
      <c r="CM224" s="9">
        <v>113.152554522</v>
      </c>
      <c r="CN224" s="9">
        <v>30.140135248100002</v>
      </c>
      <c r="CO224" s="9">
        <v>4.9637405654000002</v>
      </c>
      <c r="CP224" s="9">
        <v>17.959236238199999</v>
      </c>
      <c r="CQ224" s="9">
        <v>10.8502057026</v>
      </c>
      <c r="CR224" s="9">
        <v>5.5095427515999997</v>
      </c>
      <c r="CS224" s="9">
        <v>4.2940493057999998</v>
      </c>
      <c r="CT224" s="9">
        <v>16.4256392773</v>
      </c>
      <c r="CU224" s="9">
        <v>4.2642357378</v>
      </c>
      <c r="CV224" s="9">
        <v>3.4420975529</v>
      </c>
      <c r="CW224" s="9">
        <v>5.8871382784000001</v>
      </c>
      <c r="CX224" s="9">
        <v>3.2513789184999999</v>
      </c>
      <c r="CY224" s="9">
        <v>6.1651549455000003</v>
      </c>
      <c r="CZ224" s="9">
        <v>535</v>
      </c>
      <c r="DA224" s="9">
        <v>472</v>
      </c>
      <c r="DB224" s="9">
        <v>0</v>
      </c>
      <c r="DC224" s="9">
        <v>162</v>
      </c>
      <c r="DD224" s="9">
        <v>25</v>
      </c>
      <c r="DE224" s="9">
        <v>16</v>
      </c>
      <c r="DF224" s="9">
        <v>206</v>
      </c>
      <c r="DG224" s="9">
        <v>39</v>
      </c>
      <c r="DH224" s="9">
        <v>47</v>
      </c>
      <c r="DI224" s="9">
        <v>3</v>
      </c>
      <c r="DJ224" s="9">
        <v>1</v>
      </c>
      <c r="DK224" s="9">
        <v>39</v>
      </c>
      <c r="DL224" s="9">
        <v>1</v>
      </c>
      <c r="DM224" s="9">
        <v>16</v>
      </c>
      <c r="DN224" s="9">
        <v>0</v>
      </c>
      <c r="DO224" s="9">
        <v>548.86</v>
      </c>
      <c r="DP224" s="9">
        <v>156.43</v>
      </c>
      <c r="DQ224" s="9">
        <v>77.209999999999994</v>
      </c>
      <c r="DR224" s="9">
        <v>79.22</v>
      </c>
      <c r="DS224" s="9">
        <v>71.760000000000005</v>
      </c>
      <c r="DT224" s="9">
        <v>12.64</v>
      </c>
      <c r="DU224" s="9">
        <v>204.47</v>
      </c>
      <c r="DV224" s="9">
        <v>123.69</v>
      </c>
      <c r="DW224" s="9">
        <v>61.74</v>
      </c>
      <c r="DX224" s="9">
        <v>115.89</v>
      </c>
      <c r="DY224" s="9">
        <v>63.68</v>
      </c>
      <c r="DZ224" s="9">
        <v>19.61</v>
      </c>
      <c r="EA224" s="9">
        <v>-179.53</v>
      </c>
      <c r="EB224" s="9">
        <v>-5.3346</v>
      </c>
      <c r="EC224" s="9">
        <v>-107.623</v>
      </c>
      <c r="ED224" s="9">
        <v>-86.702600000000004</v>
      </c>
      <c r="EE224" s="9">
        <v>20.130089999999999</v>
      </c>
      <c r="EF224" s="9">
        <v>5.0444880000000003</v>
      </c>
      <c r="EG224" s="9">
        <v>-231.958</v>
      </c>
      <c r="EH224" s="9">
        <v>-168.512</v>
      </c>
      <c r="EI224" s="9">
        <v>-10.481199999999999</v>
      </c>
      <c r="EJ224" s="9">
        <v>21.117190000000001</v>
      </c>
      <c r="EK224" s="9">
        <v>-74.082300000000004</v>
      </c>
      <c r="EL224" s="9">
        <v>-120.77500000000001</v>
      </c>
      <c r="EM224" s="9">
        <v>-63.301699999999997</v>
      </c>
      <c r="EN224" s="9">
        <v>2952.9</v>
      </c>
      <c r="EO224" s="9"/>
      <c r="EP224" s="9"/>
      <c r="EQ224" s="9"/>
      <c r="ER224" s="9"/>
      <c r="ES224" s="9"/>
      <c r="ET224" s="9"/>
      <c r="EU224">
        <v>2397.6452380952001</v>
      </c>
      <c r="EV224" s="9"/>
      <c r="EW224" s="9"/>
      <c r="EX224" s="9"/>
      <c r="EY224" s="9"/>
      <c r="EZ224" s="9"/>
      <c r="FA224" s="9"/>
      <c r="FB224" s="9">
        <v>125.0858766234</v>
      </c>
      <c r="FC224" s="9">
        <v>74.437727272700002</v>
      </c>
      <c r="FD224" s="9">
        <v>6250.75</v>
      </c>
      <c r="FE224" s="9">
        <v>67.045454545499993</v>
      </c>
      <c r="FF224" s="9">
        <v>1238.5250000000001</v>
      </c>
      <c r="FG224">
        <v>15626017.42</v>
      </c>
      <c r="FH224">
        <v>15469585.289999999</v>
      </c>
      <c r="FI224">
        <v>156432.13</v>
      </c>
      <c r="FJ224" s="9">
        <v>19095406.41</v>
      </c>
      <c r="FK224">
        <v>15269512.720000001</v>
      </c>
      <c r="FL224" s="9">
        <v>3825893.69</v>
      </c>
      <c r="FM224" s="9">
        <v>30038533.210000001</v>
      </c>
      <c r="FN224" s="9">
        <v>3152091.46</v>
      </c>
      <c r="FO224">
        <v>2463.25</v>
      </c>
      <c r="FP224">
        <v>0</v>
      </c>
      <c r="FQ224">
        <v>114.43</v>
      </c>
      <c r="FR224">
        <v>587.32000000000005</v>
      </c>
      <c r="FS224">
        <v>9.67</v>
      </c>
      <c r="FT224">
        <v>2524.91</v>
      </c>
      <c r="FU224">
        <v>552.04</v>
      </c>
      <c r="FV224">
        <v>1492.89</v>
      </c>
      <c r="FW224">
        <v>14666</v>
      </c>
      <c r="FX224">
        <v>702.37</v>
      </c>
      <c r="HB224" s="6"/>
      <c r="HC224" s="6"/>
      <c r="HD224" s="6"/>
    </row>
    <row r="225" spans="1:212" x14ac:dyDescent="0.2">
      <c r="A225" s="8" t="s">
        <v>861</v>
      </c>
      <c r="B225" s="8" t="s">
        <v>467</v>
      </c>
      <c r="C225" s="8" t="s">
        <v>469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>
        <v>813292</v>
      </c>
      <c r="BO225" s="9">
        <v>673228.5</v>
      </c>
      <c r="BP225" s="9">
        <v>133615.9</v>
      </c>
      <c r="BQ225" s="9">
        <v>69991.8</v>
      </c>
      <c r="BR225" s="9">
        <v>63649</v>
      </c>
      <c r="BS225" s="9">
        <v>138497.5</v>
      </c>
      <c r="BT225" s="9">
        <v>201217.2</v>
      </c>
      <c r="BU225" s="9">
        <v>80799.3</v>
      </c>
      <c r="BV225" s="9">
        <v>91698.3</v>
      </c>
      <c r="BW225" s="9">
        <v>519863.5</v>
      </c>
      <c r="BX225" s="9">
        <v>21145.7</v>
      </c>
      <c r="BY225" s="9">
        <v>86818.9</v>
      </c>
      <c r="BZ225" s="9">
        <v>116283.7</v>
      </c>
      <c r="CA225" s="9">
        <v>60043.5</v>
      </c>
      <c r="CB225" s="9">
        <v>15708.3</v>
      </c>
      <c r="CC225" s="9">
        <v>241009.2</v>
      </c>
      <c r="CD225" s="9">
        <v>8566.4</v>
      </c>
      <c r="CE225" s="9">
        <v>104421.8</v>
      </c>
      <c r="CF225" s="9">
        <v>3221727.9519157209</v>
      </c>
      <c r="CG225" s="9">
        <v>17440405.90377349</v>
      </c>
      <c r="CH225" s="9">
        <v>12.1017195684</v>
      </c>
      <c r="CI225" s="9">
        <v>5.0369484986000002</v>
      </c>
      <c r="CJ225" s="9">
        <v>18.127382193199999</v>
      </c>
      <c r="CK225" s="9">
        <v>10.2074853691</v>
      </c>
      <c r="CL225" s="9">
        <v>10</v>
      </c>
      <c r="CM225" s="9">
        <v>112.22626277179999</v>
      </c>
      <c r="CN225" s="9">
        <v>28.668495200500001</v>
      </c>
      <c r="CO225" s="9">
        <v>4.9090172022000003</v>
      </c>
      <c r="CP225" s="9">
        <v>18.100180911300001</v>
      </c>
      <c r="CQ225" s="9">
        <v>10.883835946</v>
      </c>
      <c r="CR225" s="9">
        <v>5.5217775062000003</v>
      </c>
      <c r="CS225" s="9">
        <v>4.3631381734000003</v>
      </c>
      <c r="CT225" s="9">
        <v>16.349518081199999</v>
      </c>
      <c r="CU225" s="9">
        <v>4.2881910444000004</v>
      </c>
      <c r="CV225" s="9">
        <v>3.4837754715</v>
      </c>
      <c r="CW225" s="9">
        <v>6.218926196</v>
      </c>
      <c r="CX225" s="9">
        <v>3.2725673533999999</v>
      </c>
      <c r="CY225" s="9">
        <v>6.1668396855000003</v>
      </c>
      <c r="CZ225" s="9">
        <v>555</v>
      </c>
      <c r="DA225" s="9">
        <v>486</v>
      </c>
      <c r="DB225" s="9">
        <v>0</v>
      </c>
      <c r="DC225" s="9">
        <v>152</v>
      </c>
      <c r="DD225" s="9">
        <v>29</v>
      </c>
      <c r="DE225" s="9">
        <v>15</v>
      </c>
      <c r="DF225" s="9">
        <v>226</v>
      </c>
      <c r="DG225" s="9">
        <v>36</v>
      </c>
      <c r="DH225" s="9">
        <v>40</v>
      </c>
      <c r="DI225" s="9">
        <v>8</v>
      </c>
      <c r="DJ225" s="9">
        <v>0</v>
      </c>
      <c r="DK225" s="9">
        <v>24</v>
      </c>
      <c r="DL225" s="9">
        <v>1</v>
      </c>
      <c r="DM225" s="9">
        <v>27</v>
      </c>
      <c r="DN225" s="9">
        <v>0</v>
      </c>
      <c r="DO225" s="9">
        <v>535.9</v>
      </c>
      <c r="DP225" s="9">
        <v>153.06</v>
      </c>
      <c r="DQ225" s="9">
        <v>77.45</v>
      </c>
      <c r="DR225" s="9">
        <v>75.62</v>
      </c>
      <c r="DS225" s="9">
        <v>61.97</v>
      </c>
      <c r="DT225" s="9">
        <v>11.07</v>
      </c>
      <c r="DU225" s="9">
        <v>214.73</v>
      </c>
      <c r="DV225" s="9">
        <v>127.4</v>
      </c>
      <c r="DW225" s="9">
        <v>70.83</v>
      </c>
      <c r="DX225" s="9">
        <v>105.79</v>
      </c>
      <c r="DY225" s="9">
        <v>44.67</v>
      </c>
      <c r="DZ225" s="9">
        <v>32.65</v>
      </c>
      <c r="EA225" s="9">
        <v>-236.81200000000001</v>
      </c>
      <c r="EB225" s="9">
        <v>-48.567500000000003</v>
      </c>
      <c r="EC225" s="9">
        <v>-99.627600000000001</v>
      </c>
      <c r="ED225" s="9">
        <v>-119.408</v>
      </c>
      <c r="EE225" s="9">
        <v>30.79072</v>
      </c>
      <c r="EF225" s="9">
        <v>7.6308699999999998</v>
      </c>
      <c r="EG225" s="9">
        <v>-148.61600000000001</v>
      </c>
      <c r="EH225" s="9">
        <v>-125.117</v>
      </c>
      <c r="EI225" s="9">
        <v>-30.2441</v>
      </c>
      <c r="EJ225" s="9">
        <v>8.2275200000000002</v>
      </c>
      <c r="EK225" s="9">
        <v>-1.48299</v>
      </c>
      <c r="EL225" s="9">
        <v>-81.932000000000002</v>
      </c>
      <c r="EM225" s="9">
        <v>-162.49700000000001</v>
      </c>
      <c r="EN225" s="9">
        <v>2854.1</v>
      </c>
      <c r="EO225" s="9"/>
      <c r="EP225" s="9"/>
      <c r="EQ225" s="9"/>
      <c r="ER225" s="9"/>
      <c r="ES225" s="9"/>
      <c r="ET225" s="9"/>
      <c r="EU225">
        <v>2464.1178260870001</v>
      </c>
      <c r="EV225" s="9"/>
      <c r="EW225" s="9"/>
      <c r="EX225" s="9"/>
      <c r="EY225" s="9"/>
      <c r="EZ225" s="9"/>
      <c r="FA225" s="9"/>
      <c r="FB225" s="9">
        <v>123.73490259739999</v>
      </c>
      <c r="FC225" s="9">
        <v>73.128695652199994</v>
      </c>
      <c r="FD225" s="9">
        <v>6051.0454545455004</v>
      </c>
      <c r="FE225" s="9">
        <v>68.021739130399993</v>
      </c>
      <c r="FF225" s="9">
        <v>1201.2454545455</v>
      </c>
      <c r="FG225">
        <v>15964350.699999999</v>
      </c>
      <c r="FH225">
        <v>15807226.119999999</v>
      </c>
      <c r="FI225">
        <v>157124.57999999999</v>
      </c>
      <c r="FJ225" s="9">
        <v>19325438.109999999</v>
      </c>
      <c r="FK225">
        <v>15508688.35</v>
      </c>
      <c r="FL225" s="9">
        <v>3816749.76</v>
      </c>
      <c r="FM225" s="9">
        <v>30181133.010000002</v>
      </c>
      <c r="FN225" s="9">
        <v>3047191.83</v>
      </c>
      <c r="FO225">
        <v>2472.9899999999998</v>
      </c>
      <c r="FP225">
        <v>0</v>
      </c>
      <c r="FQ225">
        <v>111.36</v>
      </c>
      <c r="FR225">
        <v>630.9</v>
      </c>
      <c r="FS225">
        <v>9.94</v>
      </c>
      <c r="FT225">
        <v>2937.4</v>
      </c>
      <c r="FU225">
        <v>537.24</v>
      </c>
      <c r="FV225">
        <v>3572.72</v>
      </c>
      <c r="FW225">
        <v>8913.2999999999993</v>
      </c>
      <c r="FX225">
        <v>473.73</v>
      </c>
      <c r="HB225" s="6"/>
      <c r="HC225" s="6"/>
      <c r="HD225" s="6"/>
    </row>
    <row r="226" spans="1:212" x14ac:dyDescent="0.2">
      <c r="A226" s="8" t="s">
        <v>861</v>
      </c>
      <c r="B226" s="8" t="s">
        <v>467</v>
      </c>
      <c r="C226" s="8" t="s">
        <v>470</v>
      </c>
      <c r="D226" s="9">
        <v>8369557.5999999996</v>
      </c>
      <c r="E226" s="9">
        <v>879220.3</v>
      </c>
      <c r="F226" s="9">
        <v>1881436</v>
      </c>
      <c r="G226" s="9">
        <v>877870</v>
      </c>
      <c r="H226" s="9">
        <v>121766.9</v>
      </c>
      <c r="I226" s="9">
        <v>254940.5</v>
      </c>
      <c r="J226" s="9">
        <v>639843.5</v>
      </c>
      <c r="K226" s="9">
        <v>479093.8</v>
      </c>
      <c r="L226" s="9">
        <v>171155.5</v>
      </c>
      <c r="M226" s="9">
        <v>2013440</v>
      </c>
      <c r="N226" s="9">
        <v>1050791.1000000001</v>
      </c>
      <c r="O226" s="9">
        <v>6841727.7709999997</v>
      </c>
      <c r="P226" s="9">
        <v>1071701.4550000001</v>
      </c>
      <c r="Q226" s="9">
        <v>1102820.669</v>
      </c>
      <c r="R226" s="9">
        <v>522617.788</v>
      </c>
      <c r="S226" s="9">
        <v>112162.342</v>
      </c>
      <c r="T226" s="9">
        <v>187982.79500000001</v>
      </c>
      <c r="U226" s="9">
        <v>734632.64500000002</v>
      </c>
      <c r="V226" s="9">
        <v>349806.6</v>
      </c>
      <c r="W226" s="9">
        <v>144899.29399999999</v>
      </c>
      <c r="X226" s="9">
        <v>1822739.675</v>
      </c>
      <c r="Y226" s="9">
        <v>792364.50800000003</v>
      </c>
      <c r="Z226" s="9">
        <v>8181737.7000000002</v>
      </c>
      <c r="AA226" s="9">
        <v>4421282.8</v>
      </c>
      <c r="AB226" s="9">
        <v>764190.7</v>
      </c>
      <c r="AC226" s="9">
        <v>2642670.5</v>
      </c>
      <c r="AD226" s="9">
        <v>783448.4</v>
      </c>
      <c r="AE226" s="9">
        <v>5166162.4000000004</v>
      </c>
      <c r="AF226" s="9">
        <v>5596017.0999999996</v>
      </c>
      <c r="AG226" s="9">
        <v>6919097.4000000004</v>
      </c>
      <c r="AH226" s="9">
        <v>4126941.7</v>
      </c>
      <c r="AI226" s="9">
        <v>786164.4</v>
      </c>
      <c r="AJ226" s="9">
        <v>2144887.5</v>
      </c>
      <c r="AK226" s="9">
        <v>931144.5</v>
      </c>
      <c r="AL226" s="9">
        <v>3407469.9</v>
      </c>
      <c r="AM226" s="9">
        <v>4477510.5999999996</v>
      </c>
      <c r="AN226" s="9">
        <v>1238868</v>
      </c>
      <c r="AO226" s="9">
        <v>670004</v>
      </c>
      <c r="AP226" s="9">
        <v>568864</v>
      </c>
      <c r="AQ226" s="9">
        <v>92397</v>
      </c>
      <c r="AR226" s="9">
        <v>51015</v>
      </c>
      <c r="AS226" s="9">
        <v>41382</v>
      </c>
      <c r="AT226" s="9">
        <v>840330</v>
      </c>
      <c r="AU226" s="9">
        <v>306768</v>
      </c>
      <c r="AV226" s="9">
        <v>533562</v>
      </c>
      <c r="AW226" s="9">
        <v>1031.8</v>
      </c>
      <c r="AX226" s="9">
        <v>769.6</v>
      </c>
      <c r="AY226" s="9">
        <v>2393.6999999999998</v>
      </c>
      <c r="AZ226" s="9">
        <v>1118.7</v>
      </c>
      <c r="BA226" s="9">
        <v>1420.3</v>
      </c>
      <c r="BB226" s="9">
        <v>766.5</v>
      </c>
      <c r="BC226" s="9">
        <v>1015.8</v>
      </c>
      <c r="BD226" s="9">
        <v>883.5</v>
      </c>
      <c r="BE226" s="9">
        <v>1107.3</v>
      </c>
      <c r="BF226" s="9">
        <v>672.6</v>
      </c>
      <c r="BG226" s="9">
        <v>1030.8</v>
      </c>
      <c r="BH226" s="9">
        <v>1285.8</v>
      </c>
      <c r="BI226" s="9">
        <v>1095.0999999999999</v>
      </c>
      <c r="BJ226" s="9">
        <v>732.9</v>
      </c>
      <c r="BK226" s="9">
        <v>828.3</v>
      </c>
      <c r="BL226" s="9">
        <v>631.6</v>
      </c>
      <c r="BM226" s="9">
        <v>828.6</v>
      </c>
      <c r="BN226" s="9">
        <v>748527.8</v>
      </c>
      <c r="BO226" s="9">
        <v>642006.80000000005</v>
      </c>
      <c r="BP226" s="9">
        <v>120635</v>
      </c>
      <c r="BQ226" s="9">
        <v>58469</v>
      </c>
      <c r="BR226" s="9">
        <v>62179.1</v>
      </c>
      <c r="BS226" s="9">
        <v>149014.5</v>
      </c>
      <c r="BT226" s="9">
        <v>185110</v>
      </c>
      <c r="BU226" s="9">
        <v>55755.3</v>
      </c>
      <c r="BV226" s="9">
        <v>57587.199999999997</v>
      </c>
      <c r="BW226" s="9">
        <v>615069.4</v>
      </c>
      <c r="BX226" s="9">
        <v>76507.8</v>
      </c>
      <c r="BY226" s="9">
        <v>111727.3</v>
      </c>
      <c r="BZ226" s="9">
        <v>155413.1</v>
      </c>
      <c r="CA226" s="9">
        <v>104097.60000000001</v>
      </c>
      <c r="CB226" s="9">
        <v>13006.2</v>
      </c>
      <c r="CC226" s="9">
        <v>230825.1</v>
      </c>
      <c r="CD226" s="9">
        <v>5351.9</v>
      </c>
      <c r="CE226" s="9">
        <v>177154.6</v>
      </c>
      <c r="CF226" s="9">
        <v>3423121.454943629</v>
      </c>
      <c r="CG226" s="9">
        <v>17920219.430219281</v>
      </c>
      <c r="CH226" s="9">
        <v>11.4</v>
      </c>
      <c r="CI226" s="9">
        <v>4.9000000000000004</v>
      </c>
      <c r="CJ226" s="9">
        <v>17.7</v>
      </c>
      <c r="CK226" s="9">
        <v>9.8000000000000007</v>
      </c>
      <c r="CL226" s="9">
        <v>10</v>
      </c>
      <c r="CM226" s="9">
        <v>112.15559252200001</v>
      </c>
      <c r="CN226" s="9">
        <v>27.9944030369</v>
      </c>
      <c r="CO226" s="9">
        <v>4.9435147606000003</v>
      </c>
      <c r="CP226" s="9">
        <v>18.2187177586</v>
      </c>
      <c r="CQ226" s="9">
        <v>11.0436459026</v>
      </c>
      <c r="CR226" s="9">
        <v>5.5354328355</v>
      </c>
      <c r="CS226" s="9">
        <v>4.4174329894</v>
      </c>
      <c r="CT226" s="9">
        <v>16.523300367699999</v>
      </c>
      <c r="CU226" s="9">
        <v>4.2954950414999997</v>
      </c>
      <c r="CV226" s="9">
        <v>3.5279781985000001</v>
      </c>
      <c r="CW226" s="9">
        <v>6.2191695188000002</v>
      </c>
      <c r="CX226" s="9">
        <v>3.2403228818000001</v>
      </c>
      <c r="CY226" s="9">
        <v>6.1961792302000003</v>
      </c>
      <c r="CZ226" s="9">
        <v>612</v>
      </c>
      <c r="DA226" s="9">
        <v>550</v>
      </c>
      <c r="DB226" s="9">
        <v>0</v>
      </c>
      <c r="DC226" s="9">
        <v>159</v>
      </c>
      <c r="DD226" s="9">
        <v>30</v>
      </c>
      <c r="DE226" s="9">
        <v>15</v>
      </c>
      <c r="DF226" s="9">
        <v>285</v>
      </c>
      <c r="DG226" s="9">
        <v>29</v>
      </c>
      <c r="DH226" s="9">
        <v>31</v>
      </c>
      <c r="DI226" s="9">
        <v>10</v>
      </c>
      <c r="DJ226" s="9">
        <v>0</v>
      </c>
      <c r="DK226" s="9">
        <v>14</v>
      </c>
      <c r="DL226" s="9">
        <v>0</v>
      </c>
      <c r="DM226" s="9">
        <v>30</v>
      </c>
      <c r="DN226" s="9">
        <v>0</v>
      </c>
      <c r="DO226" s="9">
        <v>548.74</v>
      </c>
      <c r="DP226" s="9">
        <v>126.65</v>
      </c>
      <c r="DQ226" s="9">
        <v>67.48</v>
      </c>
      <c r="DR226" s="9">
        <v>59.17</v>
      </c>
      <c r="DS226" s="9">
        <v>52.5</v>
      </c>
      <c r="DT226" s="9">
        <v>10.75</v>
      </c>
      <c r="DU226" s="9">
        <v>264.23</v>
      </c>
      <c r="DV226" s="9">
        <v>176.2</v>
      </c>
      <c r="DW226" s="9">
        <v>67.400000000000006</v>
      </c>
      <c r="DX226" s="9">
        <v>104.87</v>
      </c>
      <c r="DY226" s="9">
        <v>52.26</v>
      </c>
      <c r="DZ226" s="9">
        <v>26.39</v>
      </c>
      <c r="EA226" s="9">
        <v>-150.24600000000001</v>
      </c>
      <c r="EB226" s="9">
        <v>38.111539999999998</v>
      </c>
      <c r="EC226" s="9">
        <v>-154.447</v>
      </c>
      <c r="ED226" s="9">
        <v>-88.477999999999994</v>
      </c>
      <c r="EE226" s="9">
        <v>54.567030000000003</v>
      </c>
      <c r="EF226" s="9">
        <v>8.3096490000000003</v>
      </c>
      <c r="EG226" s="9">
        <v>-34.214700000000001</v>
      </c>
      <c r="EH226" s="9">
        <v>-174.191</v>
      </c>
      <c r="EI226" s="9">
        <v>28.618829999999999</v>
      </c>
      <c r="EJ226" s="9">
        <v>-1.36286</v>
      </c>
      <c r="EK226" s="9">
        <v>112.7208</v>
      </c>
      <c r="EL226" s="9">
        <v>30.21547</v>
      </c>
      <c r="EM226" s="9">
        <v>-77.506500000000003</v>
      </c>
      <c r="EN226" s="9">
        <v>2894</v>
      </c>
      <c r="EO226" s="9"/>
      <c r="EP226" s="9"/>
      <c r="EQ226" s="9"/>
      <c r="ER226" s="9"/>
      <c r="ES226" s="9"/>
      <c r="ET226" s="9"/>
      <c r="EU226">
        <v>2503.3054999999999</v>
      </c>
      <c r="EV226" s="9">
        <v>27901.63</v>
      </c>
      <c r="EW226" s="9">
        <v>7048.57</v>
      </c>
      <c r="EX226" s="9">
        <v>1995.91</v>
      </c>
      <c r="EY226" s="9">
        <v>2309.29</v>
      </c>
      <c r="EZ226" s="9">
        <v>7676.43</v>
      </c>
      <c r="FA226" s="9">
        <v>8871.43</v>
      </c>
      <c r="FB226" s="9">
        <v>122.22910714290001</v>
      </c>
      <c r="FC226" s="9">
        <v>78.86</v>
      </c>
      <c r="FD226" s="9">
        <v>6050.7624999999998</v>
      </c>
      <c r="FE226" s="9">
        <v>68.8</v>
      </c>
      <c r="FF226" s="9">
        <v>1198.4725000000001</v>
      </c>
      <c r="FG226">
        <v>16364900.659999996</v>
      </c>
      <c r="FH226">
        <v>16206667.220000001</v>
      </c>
      <c r="FI226">
        <v>158233.44</v>
      </c>
      <c r="FJ226" s="9">
        <v>19804212.120000005</v>
      </c>
      <c r="FK226">
        <v>15950176.51</v>
      </c>
      <c r="FL226" s="9">
        <v>3854035.61</v>
      </c>
      <c r="FM226" s="9">
        <v>31033349.260000002</v>
      </c>
      <c r="FN226" s="9">
        <v>3098024.22</v>
      </c>
      <c r="FO226">
        <v>2552.13</v>
      </c>
      <c r="FP226">
        <v>0</v>
      </c>
      <c r="FQ226">
        <v>113.46</v>
      </c>
      <c r="FR226">
        <v>723.26</v>
      </c>
      <c r="FS226">
        <v>10.93</v>
      </c>
      <c r="FT226">
        <v>3540.77</v>
      </c>
      <c r="FU226">
        <v>423.44</v>
      </c>
      <c r="FV226">
        <v>4613.43</v>
      </c>
      <c r="FW226">
        <v>16642.82</v>
      </c>
      <c r="FX226">
        <v>260.12</v>
      </c>
      <c r="HB226" s="6"/>
      <c r="HC226" s="6"/>
      <c r="HD226" s="6"/>
    </row>
    <row r="227" spans="1:212" x14ac:dyDescent="0.2">
      <c r="A227" s="8" t="s">
        <v>861</v>
      </c>
      <c r="B227" s="8" t="s">
        <v>471</v>
      </c>
      <c r="C227" s="8" t="s">
        <v>472</v>
      </c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>
        <v>1086404.1000000001</v>
      </c>
      <c r="BO227" s="9">
        <v>932374.8</v>
      </c>
      <c r="BP227" s="9">
        <v>341149.2</v>
      </c>
      <c r="BQ227" s="9">
        <v>258265.9</v>
      </c>
      <c r="BR227" s="9">
        <v>83048</v>
      </c>
      <c r="BS227" s="9">
        <v>143445.79999999999</v>
      </c>
      <c r="BT227" s="9">
        <v>221956.3</v>
      </c>
      <c r="BU227" s="9">
        <v>70168.3</v>
      </c>
      <c r="BV227" s="9">
        <v>70453</v>
      </c>
      <c r="BW227" s="9">
        <v>693431.4</v>
      </c>
      <c r="BX227" s="9">
        <v>6682.4</v>
      </c>
      <c r="BY227" s="9">
        <v>134473.60000000001</v>
      </c>
      <c r="BZ227" s="9">
        <v>163208.4</v>
      </c>
      <c r="CA227" s="9">
        <v>153894.20000000001</v>
      </c>
      <c r="CB227" s="9">
        <v>13364.5</v>
      </c>
      <c r="CC227" s="9">
        <v>228490.7</v>
      </c>
      <c r="CD227" s="9">
        <v>7919.2</v>
      </c>
      <c r="CE227" s="9">
        <v>202498.1</v>
      </c>
      <c r="CF227" s="9">
        <v>3444218.2975887558</v>
      </c>
      <c r="CG227" s="9">
        <v>18332537.583170969</v>
      </c>
      <c r="CH227" s="9">
        <v>11.7087861501</v>
      </c>
      <c r="CI227" s="9">
        <v>4.7826309542000001</v>
      </c>
      <c r="CJ227" s="9">
        <v>17.601164147599999</v>
      </c>
      <c r="CK227" s="9">
        <v>10.0207664452</v>
      </c>
      <c r="CL227" s="9">
        <v>10</v>
      </c>
      <c r="CM227" s="9">
        <v>113.23491731919999</v>
      </c>
      <c r="CN227" s="9">
        <v>27.959398721900001</v>
      </c>
      <c r="CO227" s="9">
        <v>4.9680983597999999</v>
      </c>
      <c r="CP227" s="9">
        <v>18.4613084207</v>
      </c>
      <c r="CQ227" s="9">
        <v>11.3542861719</v>
      </c>
      <c r="CR227" s="9">
        <v>5.5572754941999998</v>
      </c>
      <c r="CS227" s="9">
        <v>4.4441509629000002</v>
      </c>
      <c r="CT227" s="9">
        <v>16.939363927900001</v>
      </c>
      <c r="CU227" s="9">
        <v>4.3026032721999998</v>
      </c>
      <c r="CV227" s="9">
        <v>3.5472071768000002</v>
      </c>
      <c r="CW227" s="9">
        <v>6.2192774014000003</v>
      </c>
      <c r="CX227" s="9">
        <v>3.2516653859</v>
      </c>
      <c r="CY227" s="9">
        <v>6.2302820234</v>
      </c>
      <c r="CZ227" s="9">
        <v>662</v>
      </c>
      <c r="DA227" s="9">
        <v>594</v>
      </c>
      <c r="DB227" s="9">
        <v>0</v>
      </c>
      <c r="DC227" s="9">
        <v>181</v>
      </c>
      <c r="DD227" s="9">
        <v>34</v>
      </c>
      <c r="DE227" s="9">
        <v>14</v>
      </c>
      <c r="DF227" s="9">
        <v>316</v>
      </c>
      <c r="DG227" s="9">
        <v>10</v>
      </c>
      <c r="DH227" s="9">
        <v>32</v>
      </c>
      <c r="DI227" s="9">
        <v>13</v>
      </c>
      <c r="DJ227" s="9">
        <v>1</v>
      </c>
      <c r="DK227" s="9">
        <v>14</v>
      </c>
      <c r="DL227" s="9">
        <v>2</v>
      </c>
      <c r="DM227" s="9">
        <v>33</v>
      </c>
      <c r="DN227" s="9">
        <v>0</v>
      </c>
      <c r="DO227" s="9">
        <v>526.01</v>
      </c>
      <c r="DP227" s="9">
        <v>158.72</v>
      </c>
      <c r="DQ227" s="9">
        <v>88.05</v>
      </c>
      <c r="DR227" s="9">
        <v>70.66</v>
      </c>
      <c r="DS227" s="9">
        <v>55.67</v>
      </c>
      <c r="DT227" s="9">
        <v>13.02</v>
      </c>
      <c r="DU227" s="9">
        <v>219.37</v>
      </c>
      <c r="DV227" s="9">
        <v>136.9</v>
      </c>
      <c r="DW227" s="9">
        <v>59.3</v>
      </c>
      <c r="DX227" s="9">
        <v>91.77</v>
      </c>
      <c r="DY227" s="9">
        <v>46.26</v>
      </c>
      <c r="DZ227" s="9">
        <v>19.43</v>
      </c>
      <c r="EA227" s="9">
        <v>-187.68700000000001</v>
      </c>
      <c r="EB227" s="9">
        <v>47.231110000000001</v>
      </c>
      <c r="EC227" s="9">
        <v>-210.58</v>
      </c>
      <c r="ED227" s="9">
        <v>-55.140799999999999</v>
      </c>
      <c r="EE227" s="9">
        <v>30.803039999999999</v>
      </c>
      <c r="EF227" s="9">
        <v>13.92694</v>
      </c>
      <c r="EG227" s="9">
        <v>-609.39800000000002</v>
      </c>
      <c r="EH227" s="9">
        <v>-191.22399999999999</v>
      </c>
      <c r="EI227" s="9">
        <v>-469.28</v>
      </c>
      <c r="EJ227" s="9">
        <v>0.31413200000000002</v>
      </c>
      <c r="EK227" s="9">
        <v>50.792279999999998</v>
      </c>
      <c r="EL227" s="9">
        <v>-11.5419</v>
      </c>
      <c r="EM227" s="9">
        <v>424.0967</v>
      </c>
      <c r="EN227" s="9">
        <v>3413.6</v>
      </c>
      <c r="EO227" s="9"/>
      <c r="EP227" s="9"/>
      <c r="EQ227" s="9"/>
      <c r="ER227" s="9"/>
      <c r="ES227" s="9"/>
      <c r="ET227" s="9"/>
      <c r="EU227">
        <v>2564.1434782608999</v>
      </c>
      <c r="EV227" s="9"/>
      <c r="EW227" s="9"/>
      <c r="EX227" s="9"/>
      <c r="EY227" s="9"/>
      <c r="EZ227" s="9"/>
      <c r="FA227" s="9"/>
      <c r="FB227" s="9">
        <v>114.76211180120001</v>
      </c>
      <c r="FC227" s="9">
        <v>80.470434782599995</v>
      </c>
      <c r="FD227" s="9">
        <v>6219.5869565216999</v>
      </c>
      <c r="FE227" s="9">
        <v>72.021739130399993</v>
      </c>
      <c r="FF227" s="9">
        <v>1215.3934782609001</v>
      </c>
      <c r="FG227">
        <v>16470677.949999999</v>
      </c>
      <c r="FH227">
        <v>16312446.83</v>
      </c>
      <c r="FI227">
        <v>158231.12</v>
      </c>
      <c r="FJ227" s="9">
        <v>20326072.310000002</v>
      </c>
      <c r="FK227">
        <v>16137766.930000003</v>
      </c>
      <c r="FL227" s="9">
        <v>4188305.38</v>
      </c>
      <c r="FM227" s="9">
        <v>31153787.890000001</v>
      </c>
      <c r="FN227" s="9">
        <v>2807691.83</v>
      </c>
      <c r="FO227">
        <v>2564.44</v>
      </c>
      <c r="FP227">
        <v>0</v>
      </c>
      <c r="FQ227">
        <v>131.65</v>
      </c>
      <c r="FR227">
        <v>733.69</v>
      </c>
      <c r="FS227">
        <v>10.72</v>
      </c>
      <c r="FT227">
        <v>3914.09</v>
      </c>
      <c r="FU227">
        <v>156.18</v>
      </c>
      <c r="FV227">
        <v>5928.33</v>
      </c>
      <c r="FW227">
        <v>22767.96</v>
      </c>
      <c r="FX227">
        <v>205.93</v>
      </c>
      <c r="HB227" s="6"/>
      <c r="HC227" s="6"/>
      <c r="HD227" s="6"/>
    </row>
    <row r="228" spans="1:212" x14ac:dyDescent="0.2">
      <c r="A228" s="8" t="s">
        <v>861</v>
      </c>
      <c r="B228" s="8" t="s">
        <v>471</v>
      </c>
      <c r="C228" s="8" t="s">
        <v>473</v>
      </c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>
        <v>767571.6</v>
      </c>
      <c r="BO228" s="9">
        <v>638114.6</v>
      </c>
      <c r="BP228" s="9">
        <v>117868.2</v>
      </c>
      <c r="BQ228" s="9">
        <v>54649.3</v>
      </c>
      <c r="BR228" s="9">
        <v>64161.5</v>
      </c>
      <c r="BS228" s="9">
        <v>132649</v>
      </c>
      <c r="BT228" s="9">
        <v>206686.1</v>
      </c>
      <c r="BU228" s="9">
        <v>70137.100000000006</v>
      </c>
      <c r="BV228" s="9">
        <v>70755</v>
      </c>
      <c r="BW228" s="9">
        <v>600733.6</v>
      </c>
      <c r="BX228" s="9">
        <v>6154.7</v>
      </c>
      <c r="BY228" s="9">
        <v>139181.70000000001</v>
      </c>
      <c r="BZ228" s="9">
        <v>160800.70000000001</v>
      </c>
      <c r="CA228" s="9">
        <v>46778.9</v>
      </c>
      <c r="CB228" s="9">
        <v>25022.1</v>
      </c>
      <c r="CC228" s="9">
        <v>228950.2</v>
      </c>
      <c r="CD228" s="9">
        <v>8951.9</v>
      </c>
      <c r="CE228" s="9">
        <v>177459.4</v>
      </c>
      <c r="CF228" s="9">
        <v>3447022.329079207</v>
      </c>
      <c r="CG228" s="9">
        <v>18651362.662961241</v>
      </c>
      <c r="CH228" s="9">
        <v>11.6371627091</v>
      </c>
      <c r="CI228" s="9">
        <v>4.1375099618000002</v>
      </c>
      <c r="CJ228" s="9">
        <v>17.198006857799999</v>
      </c>
      <c r="CK228" s="9">
        <v>10.5024629116</v>
      </c>
      <c r="CL228" s="9">
        <v>11</v>
      </c>
      <c r="CM228" s="9">
        <v>115.2640280979</v>
      </c>
      <c r="CN228" s="9">
        <v>28.4541306566</v>
      </c>
      <c r="CO228" s="9">
        <v>4.9833869721999999</v>
      </c>
      <c r="CP228" s="9">
        <v>18.852855373200001</v>
      </c>
      <c r="CQ228" s="9">
        <v>11.8624325117</v>
      </c>
      <c r="CR228" s="9">
        <v>5.6143633339000001</v>
      </c>
      <c r="CS228" s="9">
        <v>4.5029935724000003</v>
      </c>
      <c r="CT228" s="9">
        <v>17.2577010322</v>
      </c>
      <c r="CU228" s="9">
        <v>4.3062528627000001</v>
      </c>
      <c r="CV228" s="9">
        <v>3.5871300201</v>
      </c>
      <c r="CW228" s="9">
        <v>6.2192774014000003</v>
      </c>
      <c r="CX228" s="9">
        <v>3.3201053212999998</v>
      </c>
      <c r="CY228" s="9">
        <v>6.3033990401000004</v>
      </c>
      <c r="CZ228" s="9">
        <v>536</v>
      </c>
      <c r="DA228" s="9">
        <v>462</v>
      </c>
      <c r="DB228" s="9">
        <v>0</v>
      </c>
      <c r="DC228" s="9">
        <v>155</v>
      </c>
      <c r="DD228" s="9">
        <v>33</v>
      </c>
      <c r="DE228" s="9">
        <v>16</v>
      </c>
      <c r="DF228" s="9">
        <v>179</v>
      </c>
      <c r="DG228" s="9">
        <v>40</v>
      </c>
      <c r="DH228" s="9">
        <v>31</v>
      </c>
      <c r="DI228" s="9">
        <v>14</v>
      </c>
      <c r="DJ228" s="9">
        <v>1</v>
      </c>
      <c r="DK228" s="9">
        <v>13</v>
      </c>
      <c r="DL228" s="9">
        <v>4</v>
      </c>
      <c r="DM228" s="9">
        <v>39</v>
      </c>
      <c r="DN228" s="9">
        <v>0</v>
      </c>
      <c r="DO228" s="9">
        <v>495.95</v>
      </c>
      <c r="DP228" s="9">
        <v>150.13</v>
      </c>
      <c r="DQ228" s="9">
        <v>78.510000000000005</v>
      </c>
      <c r="DR228" s="9">
        <v>71.62</v>
      </c>
      <c r="DS228" s="9">
        <v>55.45</v>
      </c>
      <c r="DT228" s="9">
        <v>11.84</v>
      </c>
      <c r="DU228" s="9">
        <v>190.15</v>
      </c>
      <c r="DV228" s="9">
        <v>121.8</v>
      </c>
      <c r="DW228" s="9">
        <v>42.93</v>
      </c>
      <c r="DX228" s="9">
        <v>99.79</v>
      </c>
      <c r="DY228" s="9">
        <v>54.57</v>
      </c>
      <c r="DZ228" s="9">
        <v>27.15</v>
      </c>
      <c r="EA228" s="9">
        <v>-191.08699999999999</v>
      </c>
      <c r="EB228" s="9">
        <v>31.876729999999998</v>
      </c>
      <c r="EC228" s="9">
        <v>-177.364</v>
      </c>
      <c r="ED228" s="9">
        <v>-62.043399999999998</v>
      </c>
      <c r="EE228" s="9">
        <v>16.443750000000001</v>
      </c>
      <c r="EF228" s="9">
        <v>4.3433159999999997</v>
      </c>
      <c r="EG228" s="9">
        <v>-64.847700000000003</v>
      </c>
      <c r="EH228" s="9">
        <v>-107.33799999999999</v>
      </c>
      <c r="EI228" s="9">
        <v>23.090050000000002</v>
      </c>
      <c r="EJ228" s="9">
        <v>-0.10099</v>
      </c>
      <c r="EK228" s="9">
        <v>19.501609999999999</v>
      </c>
      <c r="EL228" s="9">
        <v>55.37679</v>
      </c>
      <c r="EM228" s="9">
        <v>-66.519499999999994</v>
      </c>
      <c r="EN228" s="9">
        <v>3485.416744315</v>
      </c>
      <c r="EO228" s="9">
        <v>871.02095255569998</v>
      </c>
      <c r="EP228" s="9">
        <v>1864.6456215031001</v>
      </c>
      <c r="EQ228" s="9">
        <v>7.4996288367000004</v>
      </c>
      <c r="ER228" s="9">
        <v>55.050644499900002</v>
      </c>
      <c r="ES228" s="9">
        <v>687.19989691959995</v>
      </c>
      <c r="ET228" s="9">
        <v>0</v>
      </c>
      <c r="EU228">
        <v>2581.8805000000002</v>
      </c>
      <c r="EV228" s="9"/>
      <c r="EW228" s="9"/>
      <c r="EX228" s="9"/>
      <c r="EY228" s="9"/>
      <c r="EZ228" s="9"/>
      <c r="FA228" s="9"/>
      <c r="FB228" s="9">
        <v>107.55292207790001</v>
      </c>
      <c r="FC228" s="9">
        <v>65.173636363599996</v>
      </c>
      <c r="FD228" s="9">
        <v>6195.9204545455004</v>
      </c>
      <c r="FE228" s="9">
        <v>72.295454545499993</v>
      </c>
      <c r="FF228" s="9">
        <v>1220.9454545455001</v>
      </c>
      <c r="FG228">
        <v>16901690.07</v>
      </c>
      <c r="FH228">
        <v>16575583.119999999</v>
      </c>
      <c r="FI228">
        <v>326106.95</v>
      </c>
      <c r="FJ228" s="9">
        <v>20890153.509999998</v>
      </c>
      <c r="FK228">
        <v>16703887.85</v>
      </c>
      <c r="FL228" s="9">
        <v>4186265.66</v>
      </c>
      <c r="FM228" s="9">
        <v>31916759.510000002</v>
      </c>
      <c r="FN228" s="9">
        <v>2822489.66</v>
      </c>
      <c r="FO228">
        <v>2627.04</v>
      </c>
      <c r="FP228">
        <v>0</v>
      </c>
      <c r="FQ228">
        <v>106.84</v>
      </c>
      <c r="FR228">
        <v>694.72</v>
      </c>
      <c r="FS228">
        <v>10.95</v>
      </c>
      <c r="FT228">
        <v>2413.7399999999998</v>
      </c>
      <c r="FU228">
        <v>700.61</v>
      </c>
      <c r="FV228">
        <v>7168.67</v>
      </c>
      <c r="FW228">
        <v>30225.09</v>
      </c>
      <c r="FX228">
        <v>278.88</v>
      </c>
      <c r="HB228" s="6"/>
      <c r="HC228" s="6"/>
      <c r="HD228" s="6"/>
    </row>
    <row r="229" spans="1:212" x14ac:dyDescent="0.2">
      <c r="A229" s="8" t="s">
        <v>861</v>
      </c>
      <c r="B229" s="8" t="s">
        <v>471</v>
      </c>
      <c r="C229" s="8" t="s">
        <v>474</v>
      </c>
      <c r="D229" s="9">
        <v>8529511.5</v>
      </c>
      <c r="E229" s="9">
        <v>563592.1</v>
      </c>
      <c r="F229" s="9">
        <v>2175528</v>
      </c>
      <c r="G229" s="9">
        <v>965437</v>
      </c>
      <c r="H229" s="9">
        <v>210530.2</v>
      </c>
      <c r="I229" s="9">
        <v>612907.30000000005</v>
      </c>
      <c r="J229" s="9">
        <v>1264292.8999999999</v>
      </c>
      <c r="K229" s="9">
        <v>265483.59999999998</v>
      </c>
      <c r="L229" s="9">
        <v>145605.1</v>
      </c>
      <c r="M229" s="9">
        <v>1593472.5</v>
      </c>
      <c r="N229" s="9">
        <v>732662.9</v>
      </c>
      <c r="O229" s="9">
        <v>7542975.4210000001</v>
      </c>
      <c r="P229" s="9">
        <v>741657.06099999999</v>
      </c>
      <c r="Q229" s="9">
        <v>1331477.3019999999</v>
      </c>
      <c r="R229" s="9">
        <v>769936.34499999997</v>
      </c>
      <c r="S229" s="9">
        <v>191283.70300000001</v>
      </c>
      <c r="T229" s="9">
        <v>446256.22</v>
      </c>
      <c r="U229" s="9">
        <v>964899.79099999997</v>
      </c>
      <c r="V229" s="9">
        <v>631949.38199999998</v>
      </c>
      <c r="W229" s="9">
        <v>123838.94</v>
      </c>
      <c r="X229" s="9">
        <v>1834388.7239999999</v>
      </c>
      <c r="Y229" s="9">
        <v>507287.95299999998</v>
      </c>
      <c r="Z229" s="9">
        <v>9069740.5999999996</v>
      </c>
      <c r="AA229" s="9">
        <v>4699096.5</v>
      </c>
      <c r="AB229" s="9">
        <v>1218323.8</v>
      </c>
      <c r="AC229" s="9">
        <v>2948575.4</v>
      </c>
      <c r="AD229" s="9">
        <v>1162675.8999999999</v>
      </c>
      <c r="AE229" s="9">
        <v>4728682.8</v>
      </c>
      <c r="AF229" s="9">
        <v>5687613.7999999998</v>
      </c>
      <c r="AG229" s="9">
        <v>7600839.2999999998</v>
      </c>
      <c r="AH229" s="9">
        <v>4442534.8</v>
      </c>
      <c r="AI229" s="9">
        <v>1132273.5</v>
      </c>
      <c r="AJ229" s="9">
        <v>2281256.6</v>
      </c>
      <c r="AK229" s="9">
        <v>1481652.7</v>
      </c>
      <c r="AL229" s="9">
        <v>2841761.2</v>
      </c>
      <c r="AM229" s="9">
        <v>4578639.5</v>
      </c>
      <c r="AN229" s="9">
        <v>1256356</v>
      </c>
      <c r="AO229" s="9">
        <v>677398</v>
      </c>
      <c r="AP229" s="9">
        <v>578958</v>
      </c>
      <c r="AQ229" s="9">
        <v>88907</v>
      </c>
      <c r="AR229" s="9">
        <v>55255</v>
      </c>
      <c r="AS229" s="9">
        <v>33652</v>
      </c>
      <c r="AT229" s="9">
        <v>827762</v>
      </c>
      <c r="AU229" s="9">
        <v>304066</v>
      </c>
      <c r="AV229" s="9">
        <v>523696</v>
      </c>
      <c r="AW229" s="9">
        <v>1120.3</v>
      </c>
      <c r="AX229" s="9">
        <v>817.5</v>
      </c>
      <c r="AY229" s="9">
        <v>2501.3000000000002</v>
      </c>
      <c r="AZ229" s="9">
        <v>1183.8</v>
      </c>
      <c r="BA229" s="9">
        <v>1555.2</v>
      </c>
      <c r="BB229" s="9">
        <v>808.1</v>
      </c>
      <c r="BC229" s="9">
        <v>1123.7</v>
      </c>
      <c r="BD229" s="9">
        <v>914.4</v>
      </c>
      <c r="BE229" s="9">
        <v>1156.9000000000001</v>
      </c>
      <c r="BF229" s="9">
        <v>704.2</v>
      </c>
      <c r="BG229" s="9">
        <v>1096.4000000000001</v>
      </c>
      <c r="BH229" s="9">
        <v>1296</v>
      </c>
      <c r="BI229" s="9">
        <v>1116.3</v>
      </c>
      <c r="BJ229" s="9">
        <v>879.9</v>
      </c>
      <c r="BK229" s="9">
        <v>917.4</v>
      </c>
      <c r="BL229" s="9">
        <v>725.7</v>
      </c>
      <c r="BM229" s="9">
        <v>936.1</v>
      </c>
      <c r="BN229" s="9">
        <v>1017989.4</v>
      </c>
      <c r="BO229" s="9">
        <v>850480.4</v>
      </c>
      <c r="BP229" s="9">
        <v>213682.2</v>
      </c>
      <c r="BQ229" s="9">
        <v>96350.9</v>
      </c>
      <c r="BR229" s="9">
        <v>118306.8</v>
      </c>
      <c r="BS229" s="9">
        <v>203473.7</v>
      </c>
      <c r="BT229" s="9">
        <v>233836.5</v>
      </c>
      <c r="BU229" s="9">
        <v>63322.8</v>
      </c>
      <c r="BV229" s="9">
        <v>147119.79999999999</v>
      </c>
      <c r="BW229" s="9">
        <v>2512866.1</v>
      </c>
      <c r="BX229" s="9">
        <v>-28734</v>
      </c>
      <c r="BY229" s="9">
        <v>272936.3</v>
      </c>
      <c r="BZ229" s="9">
        <v>216807.3</v>
      </c>
      <c r="CA229" s="9">
        <v>102651.5</v>
      </c>
      <c r="CB229" s="9">
        <v>36319.5</v>
      </c>
      <c r="CC229" s="9">
        <v>276366.59999999998</v>
      </c>
      <c r="CD229" s="9">
        <v>14045.1</v>
      </c>
      <c r="CE229" s="9">
        <v>384647.7</v>
      </c>
      <c r="CF229" s="9">
        <v>4030953.636233103</v>
      </c>
      <c r="CG229" s="9">
        <v>19474697.569629829</v>
      </c>
      <c r="CH229" s="9">
        <v>11.2</v>
      </c>
      <c r="CI229" s="9">
        <v>4.5</v>
      </c>
      <c r="CJ229" s="9">
        <v>16.899999999999999</v>
      </c>
      <c r="CK229" s="9">
        <v>8.8000000000000007</v>
      </c>
      <c r="CL229" s="9">
        <v>11</v>
      </c>
      <c r="CM229" s="9">
        <v>115.96293512699999</v>
      </c>
      <c r="CN229" s="9">
        <v>28.971182871300002</v>
      </c>
      <c r="CO229" s="9">
        <v>4.9966532337</v>
      </c>
      <c r="CP229" s="9">
        <v>18.939692826400002</v>
      </c>
      <c r="CQ229" s="9">
        <v>11.9872379129</v>
      </c>
      <c r="CR229" s="9">
        <v>5.6299478730999999</v>
      </c>
      <c r="CS229" s="9">
        <v>4.5244035413999999</v>
      </c>
      <c r="CT229" s="9">
        <v>17.155025062499998</v>
      </c>
      <c r="CU229" s="9">
        <v>4.3064468961999998</v>
      </c>
      <c r="CV229" s="9">
        <v>3.5988186258999999</v>
      </c>
      <c r="CW229" s="9">
        <v>6.2192774014000003</v>
      </c>
      <c r="CX229" s="9">
        <v>3.3210283753000001</v>
      </c>
      <c r="CY229" s="9">
        <v>6.3132205067999996</v>
      </c>
      <c r="CZ229" s="9">
        <v>531</v>
      </c>
      <c r="DA229" s="9">
        <v>471</v>
      </c>
      <c r="DB229" s="9">
        <v>0</v>
      </c>
      <c r="DC229" s="9">
        <v>188</v>
      </c>
      <c r="DD229" s="9">
        <v>35</v>
      </c>
      <c r="DE229" s="9">
        <v>14</v>
      </c>
      <c r="DF229" s="9">
        <v>169</v>
      </c>
      <c r="DG229" s="9">
        <v>25</v>
      </c>
      <c r="DH229" s="9">
        <v>27</v>
      </c>
      <c r="DI229" s="9">
        <v>15</v>
      </c>
      <c r="DJ229" s="9">
        <v>2</v>
      </c>
      <c r="DK229" s="9">
        <v>7</v>
      </c>
      <c r="DL229" s="9">
        <v>4</v>
      </c>
      <c r="DM229" s="9">
        <v>30</v>
      </c>
      <c r="DN229" s="9">
        <v>0</v>
      </c>
      <c r="DO229" s="9">
        <v>503.26</v>
      </c>
      <c r="DP229" s="9">
        <v>152.33000000000001</v>
      </c>
      <c r="DQ229" s="9">
        <v>80.489999999999995</v>
      </c>
      <c r="DR229" s="9">
        <v>71.84</v>
      </c>
      <c r="DS229" s="9">
        <v>53.39</v>
      </c>
      <c r="DT229" s="9">
        <v>12.26</v>
      </c>
      <c r="DU229" s="9">
        <v>191.02</v>
      </c>
      <c r="DV229" s="9">
        <v>127.18</v>
      </c>
      <c r="DW229" s="9">
        <v>33.75</v>
      </c>
      <c r="DX229" s="9">
        <v>106.11</v>
      </c>
      <c r="DY229" s="9">
        <v>62.15</v>
      </c>
      <c r="DZ229" s="9">
        <v>13.18</v>
      </c>
      <c r="EA229" s="9">
        <v>-441.57100000000003</v>
      </c>
      <c r="EB229" s="9">
        <v>18.20074</v>
      </c>
      <c r="EC229" s="9">
        <v>-246.67</v>
      </c>
      <c r="ED229" s="9">
        <v>-236.28399999999999</v>
      </c>
      <c r="EE229" s="9">
        <v>23.182700000000001</v>
      </c>
      <c r="EF229" s="9">
        <v>10.84563</v>
      </c>
      <c r="EG229" s="9">
        <v>-349.61900000000003</v>
      </c>
      <c r="EH229" s="9">
        <v>-361.13299999999998</v>
      </c>
      <c r="EI229" s="9">
        <v>-2.9965700000000002</v>
      </c>
      <c r="EJ229" s="9">
        <v>0.150617</v>
      </c>
      <c r="EK229" s="9">
        <v>14.359690000000001</v>
      </c>
      <c r="EL229" s="9">
        <v>57.1203</v>
      </c>
      <c r="EM229" s="9">
        <v>-23.985900000000001</v>
      </c>
      <c r="EN229" s="9">
        <v>3549.6447290133001</v>
      </c>
      <c r="EO229" s="9">
        <v>1661.0506295319999</v>
      </c>
      <c r="EP229" s="9">
        <v>1056.3582136022001</v>
      </c>
      <c r="EQ229" s="9">
        <v>7.5376080761999997</v>
      </c>
      <c r="ER229" s="9">
        <v>55.3294291781</v>
      </c>
      <c r="ES229" s="9">
        <v>769.36884862479997</v>
      </c>
      <c r="ET229" s="9">
        <v>0</v>
      </c>
      <c r="EU229">
        <v>2637.3533333332998</v>
      </c>
      <c r="EV229" s="9">
        <v>28714.89</v>
      </c>
      <c r="EW229" s="9">
        <v>7184.19</v>
      </c>
      <c r="EX229" s="9">
        <v>2030.22</v>
      </c>
      <c r="EY229" s="9">
        <v>2230.37</v>
      </c>
      <c r="EZ229" s="9">
        <v>8041.87</v>
      </c>
      <c r="FA229" s="9">
        <v>9228.23</v>
      </c>
      <c r="FB229" s="9">
        <v>106.1436090226</v>
      </c>
      <c r="FC229" s="9">
        <v>56.463809523800002</v>
      </c>
      <c r="FD229" s="9">
        <v>6075.3157894736996</v>
      </c>
      <c r="FE229" s="9">
        <v>68.904761904799997</v>
      </c>
      <c r="FF229" s="9">
        <v>1247.9235294118</v>
      </c>
      <c r="FG229">
        <v>17482280.91</v>
      </c>
      <c r="FH229">
        <v>17082385.91</v>
      </c>
      <c r="FI229">
        <v>399895</v>
      </c>
      <c r="FJ229" s="9">
        <v>21611839.900000002</v>
      </c>
      <c r="FK229">
        <v>17511137.32</v>
      </c>
      <c r="FL229" s="9">
        <v>4100702.58</v>
      </c>
      <c r="FM229" s="9">
        <v>33053270.879999999</v>
      </c>
      <c r="FN229" s="9">
        <v>3259944.97</v>
      </c>
      <c r="FO229">
        <v>2643.69</v>
      </c>
      <c r="FP229">
        <v>0</v>
      </c>
      <c r="FQ229">
        <v>125.27</v>
      </c>
      <c r="FR229">
        <v>705.96</v>
      </c>
      <c r="FS229">
        <v>10.08</v>
      </c>
      <c r="FT229">
        <v>2403.0300000000002</v>
      </c>
      <c r="FU229">
        <v>521.29</v>
      </c>
      <c r="FV229">
        <v>7564.2</v>
      </c>
      <c r="FW229">
        <v>36802.730000000003</v>
      </c>
      <c r="FX229">
        <v>503.83</v>
      </c>
      <c r="HB229" s="6"/>
      <c r="HC229" s="6"/>
      <c r="HD229" s="6"/>
    </row>
    <row r="230" spans="1:212" x14ac:dyDescent="0.2">
      <c r="A230" s="8" t="s">
        <v>862</v>
      </c>
      <c r="B230" s="8" t="s">
        <v>475</v>
      </c>
      <c r="C230" s="8" t="s">
        <v>476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>
        <v>848850.6</v>
      </c>
      <c r="BO230" s="9">
        <v>626250.80000000005</v>
      </c>
      <c r="BP230" s="9">
        <v>118755.7</v>
      </c>
      <c r="BQ230" s="9">
        <v>82507.8</v>
      </c>
      <c r="BR230" s="9">
        <v>36271</v>
      </c>
      <c r="BS230" s="9">
        <v>125975.5</v>
      </c>
      <c r="BT230" s="9">
        <v>121263.5</v>
      </c>
      <c r="BU230" s="9">
        <v>89261</v>
      </c>
      <c r="BV230" s="9">
        <v>64325</v>
      </c>
      <c r="BW230" s="9">
        <v>526524.4</v>
      </c>
      <c r="BX230" s="9">
        <v>1205.5999999999999</v>
      </c>
      <c r="BY230" s="9">
        <v>68508.5</v>
      </c>
      <c r="BZ230" s="9">
        <v>156031.20000000001</v>
      </c>
      <c r="CA230" s="9">
        <v>2526.3000000000002</v>
      </c>
      <c r="CB230" s="9">
        <v>12981.4</v>
      </c>
      <c r="CC230" s="9">
        <v>286477.09999999998</v>
      </c>
      <c r="CD230" s="9">
        <v>2832</v>
      </c>
      <c r="CE230" s="9">
        <v>30504.6</v>
      </c>
      <c r="CF230" s="9">
        <v>3678221.5981399119</v>
      </c>
      <c r="CG230" s="9">
        <v>19642340.111621581</v>
      </c>
      <c r="CH230" s="9">
        <v>10.6</v>
      </c>
      <c r="CI230" s="9">
        <v>4.5999999999999996</v>
      </c>
      <c r="CJ230" s="9">
        <v>17.2</v>
      </c>
      <c r="CK230" s="9">
        <v>9.6</v>
      </c>
      <c r="CL230" s="9">
        <v>11</v>
      </c>
      <c r="CM230" s="9">
        <v>116.63579722590001</v>
      </c>
      <c r="CN230" s="9">
        <v>29.949928490200001</v>
      </c>
      <c r="CO230" s="9">
        <v>5.0365127330000004</v>
      </c>
      <c r="CP230" s="9">
        <v>19.072639049599999</v>
      </c>
      <c r="CQ230" s="9">
        <v>11.803044053400001</v>
      </c>
      <c r="CR230" s="9">
        <v>5.6416165834000003</v>
      </c>
      <c r="CS230" s="9">
        <v>4.5405929533</v>
      </c>
      <c r="CT230" s="9">
        <v>16.7698559528</v>
      </c>
      <c r="CU230" s="9">
        <v>4.3064470220000004</v>
      </c>
      <c r="CV230" s="9">
        <v>3.6055536994000001</v>
      </c>
      <c r="CW230" s="9">
        <v>6.2172461444999998</v>
      </c>
      <c r="CX230" s="9">
        <v>3.3465446493000002</v>
      </c>
      <c r="CY230" s="9">
        <v>6.3458158951000003</v>
      </c>
      <c r="CZ230" s="9">
        <v>607</v>
      </c>
      <c r="DA230" s="9">
        <v>554</v>
      </c>
      <c r="DB230" s="9">
        <v>130</v>
      </c>
      <c r="DC230" s="9">
        <v>157</v>
      </c>
      <c r="DD230" s="9">
        <v>26</v>
      </c>
      <c r="DE230" s="9">
        <v>17</v>
      </c>
      <c r="DF230" s="9">
        <v>169</v>
      </c>
      <c r="DG230" s="9">
        <v>27</v>
      </c>
      <c r="DH230" s="9">
        <v>24</v>
      </c>
      <c r="DI230" s="9">
        <v>8</v>
      </c>
      <c r="DJ230" s="9">
        <v>1</v>
      </c>
      <c r="DK230" s="9">
        <v>10</v>
      </c>
      <c r="DL230" s="9">
        <v>2</v>
      </c>
      <c r="DM230" s="9">
        <v>27</v>
      </c>
      <c r="DN230" s="9">
        <v>0</v>
      </c>
      <c r="DO230" s="9">
        <v>503.98</v>
      </c>
      <c r="DP230" s="9">
        <v>139.36000000000001</v>
      </c>
      <c r="DQ230" s="9">
        <v>63.08</v>
      </c>
      <c r="DR230" s="9">
        <v>76.28</v>
      </c>
      <c r="DS230" s="9">
        <v>50.4</v>
      </c>
      <c r="DT230" s="9">
        <v>9.68</v>
      </c>
      <c r="DU230" s="9">
        <v>207.02</v>
      </c>
      <c r="DV230" s="9">
        <v>157.66</v>
      </c>
      <c r="DW230" s="9">
        <v>35.64</v>
      </c>
      <c r="DX230" s="9">
        <v>106.49</v>
      </c>
      <c r="DY230" s="9">
        <v>65.98</v>
      </c>
      <c r="DZ230" s="9">
        <v>28.41</v>
      </c>
      <c r="EA230" s="9">
        <v>-132.38399999999999</v>
      </c>
      <c r="EB230" s="9">
        <v>148.99719999999999</v>
      </c>
      <c r="EC230" s="9">
        <v>-207.51599999999999</v>
      </c>
      <c r="ED230" s="9">
        <v>-90.578599999999994</v>
      </c>
      <c r="EE230" s="9">
        <v>16.714210000000001</v>
      </c>
      <c r="EF230" s="9">
        <v>8.4616089999999993</v>
      </c>
      <c r="EG230" s="9">
        <v>-279.98399999999998</v>
      </c>
      <c r="EH230" s="9">
        <v>-223.096</v>
      </c>
      <c r="EI230" s="9">
        <v>-273.072</v>
      </c>
      <c r="EJ230" s="9">
        <v>0.68890300000000004</v>
      </c>
      <c r="EK230" s="9">
        <v>215.494</v>
      </c>
      <c r="EL230" s="9">
        <v>-27.464600000000001</v>
      </c>
      <c r="EM230" s="9">
        <v>128.5975</v>
      </c>
      <c r="EN230" s="9">
        <v>3624.8232006100002</v>
      </c>
      <c r="EO230" s="9">
        <v>640.84460942570001</v>
      </c>
      <c r="EP230" s="9">
        <v>2211.6769938052998</v>
      </c>
      <c r="EQ230" s="9">
        <v>7.5947745711000003</v>
      </c>
      <c r="ER230" s="9">
        <v>55.749056930199998</v>
      </c>
      <c r="ES230" s="9">
        <v>708.95776587759997</v>
      </c>
      <c r="ET230" s="9">
        <v>0</v>
      </c>
      <c r="EU230">
        <v>2649.6795454544999</v>
      </c>
      <c r="EV230" s="9"/>
      <c r="EW230" s="9"/>
      <c r="EX230" s="9"/>
      <c r="EY230" s="9"/>
      <c r="EZ230" s="9"/>
      <c r="FA230" s="9"/>
      <c r="FB230" s="9">
        <v>105.40129870129999</v>
      </c>
      <c r="FC230" s="9">
        <v>59.272608695700001</v>
      </c>
      <c r="FD230" s="9">
        <v>5939.1022727273003</v>
      </c>
      <c r="FE230" s="9">
        <v>75.2</v>
      </c>
      <c r="FF230" s="9">
        <v>1291.7454545455</v>
      </c>
      <c r="FG230">
        <v>17477412.446350001</v>
      </c>
      <c r="FH230">
        <v>17076161.768649999</v>
      </c>
      <c r="FI230">
        <v>401250.6777</v>
      </c>
      <c r="FJ230" s="9">
        <v>21818571.945512999</v>
      </c>
      <c r="FK230">
        <v>17037334.357418001</v>
      </c>
      <c r="FL230" s="9">
        <v>4781237.588095</v>
      </c>
      <c r="FM230" s="9">
        <v>32691037.899999999</v>
      </c>
      <c r="FN230" s="9">
        <v>3311840.02</v>
      </c>
      <c r="FO230">
        <v>2628.7</v>
      </c>
      <c r="FP230">
        <v>3110</v>
      </c>
      <c r="FQ230">
        <v>117.42</v>
      </c>
      <c r="FR230">
        <v>608.65</v>
      </c>
      <c r="FS230">
        <v>12.05</v>
      </c>
      <c r="FT230">
        <v>2118.36</v>
      </c>
      <c r="FU230">
        <v>533.76</v>
      </c>
      <c r="FV230">
        <v>4179.17</v>
      </c>
      <c r="FW230">
        <v>35093.5</v>
      </c>
      <c r="FX230">
        <v>940.42</v>
      </c>
      <c r="HB230" s="6"/>
      <c r="HC230" s="6"/>
      <c r="HD230" s="6"/>
    </row>
    <row r="231" spans="1:212" x14ac:dyDescent="0.2">
      <c r="A231" s="8" t="s">
        <v>862</v>
      </c>
      <c r="B231" s="8" t="s">
        <v>475</v>
      </c>
      <c r="C231" s="8" t="s">
        <v>477</v>
      </c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>
        <v>789266.8</v>
      </c>
      <c r="BO231" s="9">
        <v>705180.2</v>
      </c>
      <c r="BP231" s="9">
        <v>272009.2</v>
      </c>
      <c r="BQ231" s="9">
        <v>169468.3</v>
      </c>
      <c r="BR231" s="9">
        <v>102540.9</v>
      </c>
      <c r="BS231" s="9">
        <v>136725</v>
      </c>
      <c r="BT231" s="9">
        <v>151537.20000000001</v>
      </c>
      <c r="BU231" s="9">
        <v>60882.1</v>
      </c>
      <c r="BV231" s="9">
        <v>58584.2</v>
      </c>
      <c r="BW231" s="9">
        <v>630853.5</v>
      </c>
      <c r="BX231" s="9">
        <v>-6300.7</v>
      </c>
      <c r="BY231" s="9">
        <v>105853.4</v>
      </c>
      <c r="BZ231" s="9">
        <v>185289</v>
      </c>
      <c r="CA231" s="9">
        <v>60532.3</v>
      </c>
      <c r="CB231" s="9">
        <v>19354.3</v>
      </c>
      <c r="CC231" s="9">
        <v>203258.4</v>
      </c>
      <c r="CD231" s="9">
        <v>5897.2</v>
      </c>
      <c r="CE231" s="9">
        <v>26061.3</v>
      </c>
      <c r="CF231" s="9">
        <v>3458458.8428952289</v>
      </c>
      <c r="CG231" s="9">
        <v>19582373.952604961</v>
      </c>
      <c r="CH231" s="9">
        <v>10.6038942141</v>
      </c>
      <c r="CI231" s="9">
        <v>4.4744301039999996</v>
      </c>
      <c r="CJ231" s="9">
        <v>17.071080657300001</v>
      </c>
      <c r="CK231" s="9">
        <v>11.0626965738</v>
      </c>
      <c r="CL231" s="9">
        <v>11</v>
      </c>
      <c r="CM231" s="9">
        <v>117.1769381594</v>
      </c>
      <c r="CN231" s="9">
        <v>30.262992574599998</v>
      </c>
      <c r="CO231" s="9">
        <v>5.0504051176000004</v>
      </c>
      <c r="CP231" s="9">
        <v>19.1437650182</v>
      </c>
      <c r="CQ231" s="9">
        <v>11.8371820364</v>
      </c>
      <c r="CR231" s="9">
        <v>5.6577483187000004</v>
      </c>
      <c r="CS231" s="9">
        <v>4.5564505654999996</v>
      </c>
      <c r="CT231" s="9">
        <v>16.80031438</v>
      </c>
      <c r="CU231" s="9">
        <v>4.3064468961999998</v>
      </c>
      <c r="CV231" s="9">
        <v>3.6098814542</v>
      </c>
      <c r="CW231" s="9">
        <v>6.2172461444999998</v>
      </c>
      <c r="CX231" s="9">
        <v>3.3649935171999998</v>
      </c>
      <c r="CY231" s="9">
        <v>6.3695121365</v>
      </c>
      <c r="CZ231" s="9">
        <v>486</v>
      </c>
      <c r="DA231" s="9">
        <v>464</v>
      </c>
      <c r="DB231" s="9">
        <v>66</v>
      </c>
      <c r="DC231" s="9">
        <v>152</v>
      </c>
      <c r="DD231" s="9">
        <v>26</v>
      </c>
      <c r="DE231" s="9">
        <v>17</v>
      </c>
      <c r="DF231" s="9">
        <v>163</v>
      </c>
      <c r="DG231" s="9">
        <v>26</v>
      </c>
      <c r="DH231" s="9">
        <v>7</v>
      </c>
      <c r="DI231" s="9">
        <v>1</v>
      </c>
      <c r="DJ231" s="9">
        <v>1</v>
      </c>
      <c r="DK231" s="9">
        <v>2</v>
      </c>
      <c r="DL231" s="9">
        <v>1</v>
      </c>
      <c r="DM231" s="9">
        <v>15</v>
      </c>
      <c r="DN231" s="9">
        <v>0</v>
      </c>
      <c r="DO231" s="9">
        <v>333.54</v>
      </c>
      <c r="DP231" s="9">
        <v>96.45</v>
      </c>
      <c r="DQ231" s="9">
        <v>48.39</v>
      </c>
      <c r="DR231" s="9">
        <v>48.06</v>
      </c>
      <c r="DS231" s="9">
        <v>35.29</v>
      </c>
      <c r="DT231" s="9">
        <v>4.3499999999999996</v>
      </c>
      <c r="DU231" s="9">
        <v>126.74</v>
      </c>
      <c r="DV231" s="9">
        <v>99.39</v>
      </c>
      <c r="DW231" s="9">
        <v>21.05</v>
      </c>
      <c r="DX231" s="9">
        <v>74.66</v>
      </c>
      <c r="DY231" s="9">
        <v>45.02</v>
      </c>
      <c r="DZ231" s="9">
        <v>18.260000000000002</v>
      </c>
      <c r="EA231" s="9">
        <v>-148.96899999999999</v>
      </c>
      <c r="EB231" s="9">
        <v>130.6994</v>
      </c>
      <c r="EC231" s="9">
        <v>-232.79400000000001</v>
      </c>
      <c r="ED231" s="9">
        <v>-91.327699999999993</v>
      </c>
      <c r="EE231" s="9">
        <v>44.453189999999999</v>
      </c>
      <c r="EF231" s="9">
        <v>8.0847929999999995</v>
      </c>
      <c r="EG231" s="9">
        <v>-225.804</v>
      </c>
      <c r="EH231" s="9">
        <v>-158.63</v>
      </c>
      <c r="EI231" s="9">
        <v>-76.587199999999996</v>
      </c>
      <c r="EJ231" s="9">
        <v>-1.0372600000000001</v>
      </c>
      <c r="EK231" s="9">
        <v>10.45082</v>
      </c>
      <c r="EL231" s="9">
        <v>-30.886800000000001</v>
      </c>
      <c r="EM231" s="9">
        <v>54.032789999999999</v>
      </c>
      <c r="EN231" s="9">
        <v>3621.6678503503999</v>
      </c>
      <c r="EO231" s="9">
        <v>575.36302856290001</v>
      </c>
      <c r="EP231" s="9">
        <v>2333.0720199979</v>
      </c>
      <c r="EQ231" s="9">
        <v>7.5823956947999998</v>
      </c>
      <c r="ER231" s="9">
        <v>54.364215397899997</v>
      </c>
      <c r="ES231" s="9">
        <v>651.28619069679996</v>
      </c>
      <c r="ET231" s="9">
        <v>0</v>
      </c>
      <c r="EU231">
        <v>2633.3741176470999</v>
      </c>
      <c r="EV231" s="9"/>
      <c r="EW231" s="9"/>
      <c r="EX231" s="9"/>
      <c r="EY231" s="9"/>
      <c r="EZ231" s="9"/>
      <c r="FA231" s="9"/>
      <c r="FB231" s="9">
        <v>101.3571428571</v>
      </c>
      <c r="FC231" s="9">
        <v>64.134</v>
      </c>
      <c r="FD231" s="9">
        <v>6300.4875000000002</v>
      </c>
      <c r="FE231" s="9">
        <v>87.59</v>
      </c>
      <c r="FF231" s="9">
        <v>1320.0650000000001</v>
      </c>
      <c r="FG231">
        <v>17500061.32632</v>
      </c>
      <c r="FH231">
        <v>17104155.694019999</v>
      </c>
      <c r="FI231">
        <v>395905.6323</v>
      </c>
      <c r="FJ231" s="9">
        <v>21923674.1724336</v>
      </c>
      <c r="FK231">
        <v>16982214.9198706</v>
      </c>
      <c r="FL231" s="9">
        <v>4941459.2525629997</v>
      </c>
      <c r="FM231" s="9">
        <v>32765560.780000001</v>
      </c>
      <c r="FN231" s="9">
        <v>3318900.07</v>
      </c>
      <c r="FO231">
        <v>2635.33</v>
      </c>
      <c r="FP231">
        <v>1555.17</v>
      </c>
      <c r="FQ231">
        <v>111.99</v>
      </c>
      <c r="FR231">
        <v>572.77</v>
      </c>
      <c r="FS231">
        <v>12.59</v>
      </c>
      <c r="FT231">
        <v>1906.96</v>
      </c>
      <c r="FU231">
        <v>477.64</v>
      </c>
      <c r="FV231">
        <v>861.32</v>
      </c>
      <c r="FW231">
        <v>27862.76</v>
      </c>
      <c r="FX231">
        <v>268.61</v>
      </c>
      <c r="HB231" s="6"/>
      <c r="HC231" s="6"/>
      <c r="HD231" s="6"/>
    </row>
    <row r="232" spans="1:212" x14ac:dyDescent="0.2">
      <c r="A232" s="8" t="s">
        <v>862</v>
      </c>
      <c r="B232" s="8" t="s">
        <v>475</v>
      </c>
      <c r="C232" s="8" t="s">
        <v>478</v>
      </c>
      <c r="D232" s="9">
        <v>7965579.3940000003</v>
      </c>
      <c r="E232" s="9">
        <v>236913.182</v>
      </c>
      <c r="F232" s="9">
        <v>2359249.1850000001</v>
      </c>
      <c r="G232" s="9">
        <v>708177.39500000002</v>
      </c>
      <c r="H232" s="9">
        <v>198680.87100000001</v>
      </c>
      <c r="I232" s="9">
        <v>75183.531000000003</v>
      </c>
      <c r="J232" s="9">
        <v>636056.25100000005</v>
      </c>
      <c r="K232" s="9">
        <v>422476.85499999998</v>
      </c>
      <c r="L232" s="9">
        <v>131899.98000000001</v>
      </c>
      <c r="M232" s="9">
        <v>2344214.568</v>
      </c>
      <c r="N232" s="9">
        <v>852727.576</v>
      </c>
      <c r="O232" s="9">
        <v>5252874.1009999998</v>
      </c>
      <c r="P232" s="9">
        <v>203926.60200000001</v>
      </c>
      <c r="Q232" s="9">
        <v>955662.61699999997</v>
      </c>
      <c r="R232" s="9">
        <v>317701.28000000003</v>
      </c>
      <c r="S232" s="9">
        <v>197308.74299999999</v>
      </c>
      <c r="T232" s="9">
        <v>62439.548999999999</v>
      </c>
      <c r="U232" s="9">
        <v>581267.41200000001</v>
      </c>
      <c r="V232" s="9">
        <v>267697.04499999998</v>
      </c>
      <c r="W232" s="9">
        <v>129255.79399999999</v>
      </c>
      <c r="X232" s="9">
        <v>1893407.0260000001</v>
      </c>
      <c r="Y232" s="9">
        <v>644208.03300000005</v>
      </c>
      <c r="Z232" s="9">
        <v>7658989.358</v>
      </c>
      <c r="AA232" s="9">
        <v>4730060.0619999999</v>
      </c>
      <c r="AB232" s="9">
        <v>979861.99549999996</v>
      </c>
      <c r="AC232" s="9">
        <v>2139209.4750000001</v>
      </c>
      <c r="AD232" s="9">
        <v>385712.18199999997</v>
      </c>
      <c r="AE232" s="9">
        <v>4916864.5729999999</v>
      </c>
      <c r="AF232" s="9">
        <v>5492718.9299999997</v>
      </c>
      <c r="AG232" s="9">
        <v>5481667.2000000002</v>
      </c>
      <c r="AH232" s="9">
        <v>4348672.0999999996</v>
      </c>
      <c r="AI232" s="9">
        <v>949989.7</v>
      </c>
      <c r="AJ232" s="9">
        <v>1616321.6</v>
      </c>
      <c r="AK232" s="9">
        <v>27125.599999999999</v>
      </c>
      <c r="AL232" s="9">
        <v>2993351.5</v>
      </c>
      <c r="AM232" s="9">
        <v>4453793.2</v>
      </c>
      <c r="AN232" s="9">
        <v>1143129</v>
      </c>
      <c r="AO232" s="9">
        <v>605933</v>
      </c>
      <c r="AP232" s="9">
        <v>537196</v>
      </c>
      <c r="AQ232" s="9">
        <v>153592</v>
      </c>
      <c r="AR232" s="9">
        <v>89114</v>
      </c>
      <c r="AS232" s="9">
        <v>64478</v>
      </c>
      <c r="AT232" s="9">
        <v>839059</v>
      </c>
      <c r="AU232" s="9">
        <v>320742</v>
      </c>
      <c r="AV232" s="9">
        <v>518317</v>
      </c>
      <c r="AW232" s="9">
        <v>1157.9000000000001</v>
      </c>
      <c r="AX232" s="9">
        <v>833</v>
      </c>
      <c r="AY232" s="9">
        <v>2825.1</v>
      </c>
      <c r="AZ232" s="9">
        <v>1196.8</v>
      </c>
      <c r="BA232" s="9">
        <v>1586</v>
      </c>
      <c r="BB232" s="9">
        <v>857.3</v>
      </c>
      <c r="BC232" s="9">
        <v>1247.2</v>
      </c>
      <c r="BD232" s="9">
        <v>934.8</v>
      </c>
      <c r="BE232" s="9">
        <v>1202.0999999999999</v>
      </c>
      <c r="BF232" s="9">
        <v>729.9</v>
      </c>
      <c r="BG232" s="9">
        <v>1068.8</v>
      </c>
      <c r="BH232" s="9">
        <v>1380.4</v>
      </c>
      <c r="BI232" s="9">
        <v>1266</v>
      </c>
      <c r="BJ232" s="9">
        <v>906.5</v>
      </c>
      <c r="BK232" s="9">
        <v>928.5</v>
      </c>
      <c r="BL232" s="9">
        <v>739.9</v>
      </c>
      <c r="BM232" s="9">
        <v>927.4</v>
      </c>
      <c r="BN232" s="9">
        <v>794975.4</v>
      </c>
      <c r="BO232" s="9">
        <v>640046.19999999995</v>
      </c>
      <c r="BP232" s="9">
        <v>146867.20000000001</v>
      </c>
      <c r="BQ232" s="9">
        <v>90021</v>
      </c>
      <c r="BR232" s="9">
        <v>56845.5</v>
      </c>
      <c r="BS232" s="9">
        <v>176211.9</v>
      </c>
      <c r="BT232" s="9">
        <v>108751.9</v>
      </c>
      <c r="BU232" s="9">
        <v>63309</v>
      </c>
      <c r="BV232" s="9">
        <v>69039.100000000006</v>
      </c>
      <c r="BW232" s="9">
        <v>811148.6</v>
      </c>
      <c r="BX232" s="9">
        <v>5647.7</v>
      </c>
      <c r="BY232" s="9">
        <v>120628.1</v>
      </c>
      <c r="BZ232" s="9">
        <v>190190.4</v>
      </c>
      <c r="CA232" s="9">
        <v>108042.6</v>
      </c>
      <c r="CB232" s="9">
        <v>19782.5</v>
      </c>
      <c r="CC232" s="9">
        <v>261079.6</v>
      </c>
      <c r="CD232" s="9">
        <v>6406.9</v>
      </c>
      <c r="CE232" s="9">
        <v>111425.60000000001</v>
      </c>
      <c r="CF232" s="9">
        <v>3666644.7315399726</v>
      </c>
      <c r="CG232" s="9">
        <v>19699594.563517932</v>
      </c>
      <c r="CH232" s="9">
        <v>12.707194494499999</v>
      </c>
      <c r="CI232" s="9">
        <v>4.2047387465000003</v>
      </c>
      <c r="CJ232" s="9">
        <v>17.100000000000001</v>
      </c>
      <c r="CK232" s="9">
        <v>10.3</v>
      </c>
      <c r="CL232" s="9">
        <v>11</v>
      </c>
      <c r="CM232" s="9">
        <v>118.0371997238</v>
      </c>
      <c r="CN232" s="9">
        <v>30.844999542</v>
      </c>
      <c r="CO232" s="9">
        <v>5.0599750433999997</v>
      </c>
      <c r="CP232" s="9">
        <v>19.267150549899998</v>
      </c>
      <c r="CQ232" s="9">
        <v>11.843298687100001</v>
      </c>
      <c r="CR232" s="9">
        <v>5.6742196064000003</v>
      </c>
      <c r="CS232" s="9">
        <v>4.5773827154999998</v>
      </c>
      <c r="CT232" s="9">
        <v>16.8346749291</v>
      </c>
      <c r="CU232" s="9">
        <v>4.3035947391000002</v>
      </c>
      <c r="CV232" s="9">
        <v>3.6157104492999999</v>
      </c>
      <c r="CW232" s="9">
        <v>6.2188902927000003</v>
      </c>
      <c r="CX232" s="9">
        <v>3.4024799922</v>
      </c>
      <c r="CY232" s="9">
        <v>6.3948231771000001</v>
      </c>
      <c r="CZ232" s="9">
        <v>678</v>
      </c>
      <c r="DA232" s="9">
        <v>645</v>
      </c>
      <c r="DB232" s="9">
        <v>0</v>
      </c>
      <c r="DC232" s="9">
        <v>195</v>
      </c>
      <c r="DD232" s="9">
        <v>54</v>
      </c>
      <c r="DE232" s="9">
        <v>28</v>
      </c>
      <c r="DF232" s="9">
        <v>309</v>
      </c>
      <c r="DG232" s="9">
        <v>35</v>
      </c>
      <c r="DH232" s="9">
        <v>11</v>
      </c>
      <c r="DI232" s="9">
        <v>4</v>
      </c>
      <c r="DJ232" s="9">
        <v>1</v>
      </c>
      <c r="DK232" s="9">
        <v>4</v>
      </c>
      <c r="DL232" s="9">
        <v>0</v>
      </c>
      <c r="DM232" s="9">
        <v>21</v>
      </c>
      <c r="DN232" s="9">
        <v>0</v>
      </c>
      <c r="DO232" s="9">
        <v>448.23</v>
      </c>
      <c r="DP232" s="9">
        <v>115.48</v>
      </c>
      <c r="DQ232" s="9">
        <v>58.73</v>
      </c>
      <c r="DR232" s="9">
        <v>56.76</v>
      </c>
      <c r="DS232" s="9">
        <v>61.33</v>
      </c>
      <c r="DT232" s="9">
        <v>23.02</v>
      </c>
      <c r="DU232" s="9">
        <v>185.17</v>
      </c>
      <c r="DV232" s="9">
        <v>117.57</v>
      </c>
      <c r="DW232" s="9">
        <v>47.03</v>
      </c>
      <c r="DX232" s="9">
        <v>85.82</v>
      </c>
      <c r="DY232" s="9">
        <v>51.99</v>
      </c>
      <c r="DZ232" s="9">
        <v>22.3</v>
      </c>
      <c r="EA232" s="9">
        <v>-116.73699999999999</v>
      </c>
      <c r="EB232" s="9">
        <v>184.48509999999999</v>
      </c>
      <c r="EC232" s="9">
        <v>-206.553</v>
      </c>
      <c r="ED232" s="9">
        <v>-106.727</v>
      </c>
      <c r="EE232" s="9">
        <v>12.057309999999999</v>
      </c>
      <c r="EF232" s="9">
        <v>8.1257210000000004</v>
      </c>
      <c r="EG232" s="9">
        <v>-51.786799999999999</v>
      </c>
      <c r="EH232" s="9">
        <v>-100.09399999999999</v>
      </c>
      <c r="EI232" s="9">
        <v>8.1729620000000001</v>
      </c>
      <c r="EJ232" s="9">
        <v>-0.12827</v>
      </c>
      <c r="EK232" s="9">
        <v>40.262030000000003</v>
      </c>
      <c r="EL232" s="9">
        <v>93.755459999999999</v>
      </c>
      <c r="EM232" s="9">
        <v>36.931159999999998</v>
      </c>
      <c r="EN232" s="9">
        <v>3660.4039671208002</v>
      </c>
      <c r="EO232" s="9">
        <v>576.44694563120004</v>
      </c>
      <c r="EP232" s="9">
        <v>2366.2815922304999</v>
      </c>
      <c r="EQ232" s="9">
        <v>7.5629618528</v>
      </c>
      <c r="ER232" s="9">
        <v>54.098957878299998</v>
      </c>
      <c r="ES232" s="9">
        <v>656.01350952790006</v>
      </c>
      <c r="ET232" s="9">
        <v>0</v>
      </c>
      <c r="EU232">
        <v>2632.5065</v>
      </c>
      <c r="EV232" s="9">
        <v>29545.93</v>
      </c>
      <c r="EW232" s="9">
        <v>7424.06</v>
      </c>
      <c r="EX232" s="9">
        <v>2072.41</v>
      </c>
      <c r="EY232" s="9">
        <v>2380.35</v>
      </c>
      <c r="EZ232" s="9">
        <v>8299.2900000000009</v>
      </c>
      <c r="FA232" s="9">
        <v>9369.81</v>
      </c>
      <c r="FB232" s="9">
        <v>99.6698979592</v>
      </c>
      <c r="FC232" s="9">
        <v>66.410952381000001</v>
      </c>
      <c r="FD232" s="9">
        <v>6439.4642857142999</v>
      </c>
      <c r="FE232" s="9">
        <v>87.071428571400006</v>
      </c>
      <c r="FF232" s="9">
        <v>1300.8976190476001</v>
      </c>
      <c r="FG232">
        <v>17738878.700490002</v>
      </c>
      <c r="FH232">
        <v>17327282.424190003</v>
      </c>
      <c r="FI232">
        <v>411596.27630000003</v>
      </c>
      <c r="FJ232" s="9">
        <v>22163321.191587001</v>
      </c>
      <c r="FK232">
        <v>17036153.590967</v>
      </c>
      <c r="FL232" s="9">
        <v>5127167.6006199997</v>
      </c>
      <c r="FM232" s="9">
        <v>33516075.149999999</v>
      </c>
      <c r="FN232" s="9">
        <v>3349079.43</v>
      </c>
      <c r="FO232">
        <v>2631.51</v>
      </c>
      <c r="FP232">
        <v>0</v>
      </c>
      <c r="FQ232">
        <v>131.97</v>
      </c>
      <c r="FR232">
        <v>890.34</v>
      </c>
      <c r="FS232">
        <v>19.32</v>
      </c>
      <c r="FT232">
        <v>3707.8</v>
      </c>
      <c r="FU232">
        <v>609.20000000000005</v>
      </c>
      <c r="FV232">
        <v>1819.05</v>
      </c>
      <c r="FW232">
        <v>34828.82</v>
      </c>
      <c r="FX232">
        <v>356.2</v>
      </c>
      <c r="HB232" s="6"/>
      <c r="HC232" s="6"/>
      <c r="HD232" s="6"/>
    </row>
    <row r="233" spans="1:212" x14ac:dyDescent="0.2">
      <c r="A233" s="8" t="s">
        <v>862</v>
      </c>
      <c r="B233" s="8" t="s">
        <v>479</v>
      </c>
      <c r="C233" s="8" t="s">
        <v>480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>
        <v>1073642</v>
      </c>
      <c r="BO233" s="9">
        <v>886234.3</v>
      </c>
      <c r="BP233" s="9">
        <v>270955.7</v>
      </c>
      <c r="BQ233" s="9">
        <v>222184.3</v>
      </c>
      <c r="BR233" s="9">
        <v>64984.7</v>
      </c>
      <c r="BS233" s="9">
        <v>169232.7</v>
      </c>
      <c r="BT233" s="9">
        <v>218071.6</v>
      </c>
      <c r="BU233" s="9">
        <v>63731</v>
      </c>
      <c r="BV233" s="9">
        <v>82352.5</v>
      </c>
      <c r="BW233" s="9">
        <v>509443.8</v>
      </c>
      <c r="BX233" s="9">
        <v>53762.1</v>
      </c>
      <c r="BY233" s="9">
        <v>140623</v>
      </c>
      <c r="BZ233" s="9">
        <v>186560.1</v>
      </c>
      <c r="CA233" s="9">
        <v>78660.899999999994</v>
      </c>
      <c r="CB233" s="9">
        <v>22946.799999999999</v>
      </c>
      <c r="CC233" s="9">
        <v>248644.3</v>
      </c>
      <c r="CD233" s="9">
        <v>6639.1</v>
      </c>
      <c r="CE233" s="9">
        <v>145211.20000000001</v>
      </c>
      <c r="CF233" s="9">
        <v>3671113.9444995718</v>
      </c>
      <c r="CG233" s="9">
        <v>19909469.11576169</v>
      </c>
      <c r="CH233" s="9">
        <v>11.078072693199999</v>
      </c>
      <c r="CI233" s="9">
        <v>4.3868335021</v>
      </c>
      <c r="CJ233" s="9">
        <v>17.450155958</v>
      </c>
      <c r="CK233" s="9">
        <v>9.4524404552999997</v>
      </c>
      <c r="CL233" s="9">
        <v>11</v>
      </c>
      <c r="CM233" s="9">
        <v>119.1605526597</v>
      </c>
      <c r="CN233" s="9">
        <v>31.7063090722</v>
      </c>
      <c r="CO233" s="9">
        <v>5.0765441666999997</v>
      </c>
      <c r="CP233" s="9">
        <v>19.393170886</v>
      </c>
      <c r="CQ233" s="9">
        <v>11.760376296600001</v>
      </c>
      <c r="CR233" s="9">
        <v>5.6885781941999998</v>
      </c>
      <c r="CS233" s="9">
        <v>4.5925305012999997</v>
      </c>
      <c r="CT233" s="9">
        <v>16.943606516300001</v>
      </c>
      <c r="CU233" s="9">
        <v>4.3057669803999996</v>
      </c>
      <c r="CV233" s="9">
        <v>3.6360388578</v>
      </c>
      <c r="CW233" s="9">
        <v>6.2189229303999998</v>
      </c>
      <c r="CX233" s="9">
        <v>3.4044345494999999</v>
      </c>
      <c r="CY233" s="9">
        <v>6.4342737083000001</v>
      </c>
      <c r="CZ233" s="9">
        <v>740</v>
      </c>
      <c r="DA233" s="9">
        <v>638</v>
      </c>
      <c r="DB233" s="9">
        <v>0</v>
      </c>
      <c r="DC233" s="9">
        <v>198</v>
      </c>
      <c r="DD233" s="9">
        <v>53</v>
      </c>
      <c r="DE233" s="9">
        <v>16</v>
      </c>
      <c r="DF233" s="9">
        <v>319</v>
      </c>
      <c r="DG233" s="9">
        <v>31</v>
      </c>
      <c r="DH233" s="9">
        <v>79</v>
      </c>
      <c r="DI233" s="9">
        <v>4</v>
      </c>
      <c r="DJ233" s="9">
        <v>2</v>
      </c>
      <c r="DK233" s="9">
        <v>71</v>
      </c>
      <c r="DL233" s="9">
        <v>0</v>
      </c>
      <c r="DM233" s="9">
        <v>22</v>
      </c>
      <c r="DN233" s="9">
        <v>0</v>
      </c>
      <c r="DO233" s="9">
        <v>480.49</v>
      </c>
      <c r="DP233" s="9">
        <v>147.15</v>
      </c>
      <c r="DQ233" s="9">
        <v>78.819999999999993</v>
      </c>
      <c r="DR233" s="9">
        <v>68.33</v>
      </c>
      <c r="DS233" s="9">
        <v>54.29</v>
      </c>
      <c r="DT233" s="9">
        <v>9.33</v>
      </c>
      <c r="DU233" s="9">
        <v>198.3</v>
      </c>
      <c r="DV233" s="9">
        <v>126.62</v>
      </c>
      <c r="DW233" s="9">
        <v>59.19</v>
      </c>
      <c r="DX233" s="9">
        <v>80.319999999999993</v>
      </c>
      <c r="DY233" s="9">
        <v>44.33</v>
      </c>
      <c r="DZ233" s="9">
        <v>21.8</v>
      </c>
      <c r="EA233" s="9">
        <v>-33.726799999999997</v>
      </c>
      <c r="EB233" s="9">
        <v>225.10380000000001</v>
      </c>
      <c r="EC233" s="9">
        <v>-177.52699999999999</v>
      </c>
      <c r="ED233" s="9">
        <v>-97.931100000000001</v>
      </c>
      <c r="EE233" s="9">
        <v>16.62726</v>
      </c>
      <c r="EF233" s="9">
        <v>10.5456</v>
      </c>
      <c r="EG233" s="9">
        <v>-55.879100000000001</v>
      </c>
      <c r="EH233" s="9">
        <v>-144.34700000000001</v>
      </c>
      <c r="EI233" s="9">
        <v>-27.1281</v>
      </c>
      <c r="EJ233" s="9">
        <v>-0.63780000000000003</v>
      </c>
      <c r="EK233" s="9">
        <v>116.2333</v>
      </c>
      <c r="EL233" s="9">
        <v>70.592110000000005</v>
      </c>
      <c r="EM233" s="9">
        <v>103.2901</v>
      </c>
      <c r="EN233" s="9">
        <v>3759.0156151118999</v>
      </c>
      <c r="EO233" s="9">
        <v>568.06023034270004</v>
      </c>
      <c r="EP233" s="9">
        <v>2476.3254544517999</v>
      </c>
      <c r="EQ233" s="9">
        <v>7.5100697876</v>
      </c>
      <c r="ER233" s="9">
        <v>53.845653539600001</v>
      </c>
      <c r="ES233" s="9">
        <v>653.27420699029994</v>
      </c>
      <c r="ET233" s="9">
        <v>0</v>
      </c>
      <c r="EU233">
        <v>2634.9272727273001</v>
      </c>
      <c r="EV233" s="9"/>
      <c r="EW233" s="9"/>
      <c r="EX233" s="9"/>
      <c r="EY233" s="9"/>
      <c r="EZ233" s="9"/>
      <c r="FA233" s="9"/>
      <c r="FB233" s="9">
        <v>88.7646428571</v>
      </c>
      <c r="FC233" s="9">
        <v>71.196818181799998</v>
      </c>
      <c r="FD233" s="9">
        <v>6438.3625000000002</v>
      </c>
      <c r="FE233" s="9">
        <v>94.5</v>
      </c>
      <c r="FF233" s="9">
        <v>1286.4449999999999</v>
      </c>
      <c r="FG233">
        <v>17922317.720940001</v>
      </c>
      <c r="FH233">
        <v>17510100.779440001</v>
      </c>
      <c r="FI233">
        <v>412216.94150000002</v>
      </c>
      <c r="FJ233" s="9">
        <v>22336653.491396397</v>
      </c>
      <c r="FK233">
        <v>17318526.423618399</v>
      </c>
      <c r="FL233" s="9">
        <v>5018127.0677780006</v>
      </c>
      <c r="FM233" s="9">
        <v>33632599.159999996</v>
      </c>
      <c r="FN233" s="9">
        <v>3034175.71</v>
      </c>
      <c r="FO233">
        <v>2642.78</v>
      </c>
      <c r="FP233">
        <v>0</v>
      </c>
      <c r="FQ233">
        <v>127.75</v>
      </c>
      <c r="FR233">
        <v>770.36</v>
      </c>
      <c r="FS233">
        <v>10.1</v>
      </c>
      <c r="FT233">
        <v>3651.64</v>
      </c>
      <c r="FU233">
        <v>485.31</v>
      </c>
      <c r="FV233">
        <v>2040.89</v>
      </c>
      <c r="FW233">
        <v>31194.21</v>
      </c>
      <c r="FX233">
        <v>1446.46</v>
      </c>
      <c r="HB233" s="6"/>
      <c r="HC233" s="6"/>
      <c r="HD233" s="6"/>
    </row>
    <row r="234" spans="1:212" x14ac:dyDescent="0.2">
      <c r="A234" s="8" t="s">
        <v>862</v>
      </c>
      <c r="B234" s="8" t="s">
        <v>479</v>
      </c>
      <c r="C234" s="8" t="s">
        <v>481</v>
      </c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>
        <v>891224.8</v>
      </c>
      <c r="BO234" s="9">
        <v>731182.7</v>
      </c>
      <c r="BP234" s="9">
        <v>152343.5</v>
      </c>
      <c r="BQ234" s="9">
        <v>89840.9</v>
      </c>
      <c r="BR234" s="9">
        <v>76684.2</v>
      </c>
      <c r="BS234" s="9">
        <v>137997.1</v>
      </c>
      <c r="BT234" s="9">
        <v>216065.1</v>
      </c>
      <c r="BU234" s="9">
        <v>65563.899999999994</v>
      </c>
      <c r="BV234" s="9">
        <v>88698.5</v>
      </c>
      <c r="BW234" s="9">
        <v>725778.8</v>
      </c>
      <c r="BX234" s="9">
        <v>23752.6</v>
      </c>
      <c r="BY234" s="9">
        <v>153552</v>
      </c>
      <c r="BZ234" s="9">
        <v>181620.2</v>
      </c>
      <c r="CA234" s="9">
        <v>105517.7</v>
      </c>
      <c r="CB234" s="9">
        <v>26929.1</v>
      </c>
      <c r="CC234" s="9">
        <v>258159.9</v>
      </c>
      <c r="CD234" s="9">
        <v>7820.1</v>
      </c>
      <c r="CE234" s="9">
        <v>210798.3</v>
      </c>
      <c r="CF234" s="9">
        <v>3796846.1900890921</v>
      </c>
      <c r="CG234" s="9">
        <v>20300395.07370615</v>
      </c>
      <c r="CH234" s="9">
        <v>9.4</v>
      </c>
      <c r="CI234" s="9">
        <v>6.3</v>
      </c>
      <c r="CJ234" s="9">
        <v>17.3</v>
      </c>
      <c r="CK234" s="9">
        <v>10.1</v>
      </c>
      <c r="CL234" s="9">
        <v>11</v>
      </c>
      <c r="CM234" s="9">
        <v>120.8587398727</v>
      </c>
      <c r="CN234" s="9">
        <v>33.051414278099998</v>
      </c>
      <c r="CO234" s="9">
        <v>5.0949620967999998</v>
      </c>
      <c r="CP234" s="9">
        <v>19.483880410699999</v>
      </c>
      <c r="CQ234" s="9">
        <v>11.782337445</v>
      </c>
      <c r="CR234" s="9">
        <v>5.7095222423000003</v>
      </c>
      <c r="CS234" s="9">
        <v>4.6081341620999998</v>
      </c>
      <c r="CT234" s="9">
        <v>17.0182796247</v>
      </c>
      <c r="CU234" s="9">
        <v>4.3064816647999997</v>
      </c>
      <c r="CV234" s="9">
        <v>3.6523443786000001</v>
      </c>
      <c r="CW234" s="9">
        <v>6.2189229303999998</v>
      </c>
      <c r="CX234" s="9">
        <v>3.4532992552000001</v>
      </c>
      <c r="CY234" s="9">
        <v>6.4791613841000002</v>
      </c>
      <c r="CZ234" s="9">
        <v>751</v>
      </c>
      <c r="DA234" s="9">
        <v>631</v>
      </c>
      <c r="DB234" s="9">
        <v>0</v>
      </c>
      <c r="DC234" s="9">
        <v>192</v>
      </c>
      <c r="DD234" s="9">
        <v>48</v>
      </c>
      <c r="DE234" s="9">
        <v>17</v>
      </c>
      <c r="DF234" s="9">
        <v>311</v>
      </c>
      <c r="DG234" s="9">
        <v>32</v>
      </c>
      <c r="DH234" s="9">
        <v>101</v>
      </c>
      <c r="DI234" s="9">
        <v>3</v>
      </c>
      <c r="DJ234" s="9">
        <v>2</v>
      </c>
      <c r="DK234" s="9">
        <v>94</v>
      </c>
      <c r="DL234" s="9">
        <v>2</v>
      </c>
      <c r="DM234" s="9">
        <v>17</v>
      </c>
      <c r="DN234" s="9">
        <v>0</v>
      </c>
      <c r="DO234" s="9">
        <v>548.80999999999995</v>
      </c>
      <c r="DP234" s="9">
        <v>153.79</v>
      </c>
      <c r="DQ234" s="9">
        <v>76.489999999999995</v>
      </c>
      <c r="DR234" s="9">
        <v>77.31</v>
      </c>
      <c r="DS234" s="9">
        <v>56.7</v>
      </c>
      <c r="DT234" s="9">
        <v>12.19</v>
      </c>
      <c r="DU234" s="9">
        <v>259.35000000000002</v>
      </c>
      <c r="DV234" s="9">
        <v>170.18</v>
      </c>
      <c r="DW234" s="9">
        <v>74.94</v>
      </c>
      <c r="DX234" s="9">
        <v>78.459999999999994</v>
      </c>
      <c r="DY234" s="9">
        <v>45.58</v>
      </c>
      <c r="DZ234" s="9">
        <v>20.09</v>
      </c>
      <c r="EA234" s="9">
        <v>-59.6098</v>
      </c>
      <c r="EB234" s="9">
        <v>168.2183</v>
      </c>
      <c r="EC234" s="9">
        <v>-149.49700000000001</v>
      </c>
      <c r="ED234" s="9">
        <v>-94.105599999999995</v>
      </c>
      <c r="EE234" s="9">
        <v>15.77402</v>
      </c>
      <c r="EF234" s="9">
        <v>12.519740000000001</v>
      </c>
      <c r="EG234" s="9">
        <v>-0.84435000000000004</v>
      </c>
      <c r="EH234" s="9">
        <v>-150.69900000000001</v>
      </c>
      <c r="EI234" s="9">
        <v>14.72472</v>
      </c>
      <c r="EJ234" s="9">
        <v>-0.53749999999999998</v>
      </c>
      <c r="EK234" s="9">
        <v>135.667</v>
      </c>
      <c r="EL234" s="9">
        <v>-43.040999999999997</v>
      </c>
      <c r="EM234" s="9">
        <v>-89.286699999999996</v>
      </c>
      <c r="EN234" s="9">
        <v>3706.0165772914002</v>
      </c>
      <c r="EO234" s="9">
        <v>798.08880177740002</v>
      </c>
      <c r="EP234" s="9">
        <v>2151.7912617913998</v>
      </c>
      <c r="EQ234" s="9">
        <v>7.4921377004999998</v>
      </c>
      <c r="ER234" s="9">
        <v>53.213243103400004</v>
      </c>
      <c r="ES234" s="9">
        <v>695.43113291869997</v>
      </c>
      <c r="ET234" s="9">
        <v>0</v>
      </c>
      <c r="EU234">
        <v>2645.1595652174001</v>
      </c>
      <c r="EV234" s="9"/>
      <c r="EW234" s="9"/>
      <c r="EX234" s="9"/>
      <c r="EY234" s="9"/>
      <c r="EZ234" s="9"/>
      <c r="FA234" s="9"/>
      <c r="FB234" s="9">
        <v>89.564285714299999</v>
      </c>
      <c r="FC234" s="9">
        <v>70.526521739100005</v>
      </c>
      <c r="FD234" s="9">
        <v>6017.9047619047997</v>
      </c>
      <c r="FE234" s="9">
        <v>101.7608695652</v>
      </c>
      <c r="FF234" s="9">
        <v>1283.9476190476</v>
      </c>
      <c r="FG234">
        <v>18237054.076850001</v>
      </c>
      <c r="FH234">
        <v>17824282.853050001</v>
      </c>
      <c r="FI234">
        <v>412771.22379999998</v>
      </c>
      <c r="FJ234" s="9">
        <v>22704467.590574402</v>
      </c>
      <c r="FK234">
        <v>17692888.898374401</v>
      </c>
      <c r="FL234" s="9">
        <v>5011578.6921999995</v>
      </c>
      <c r="FM234" s="9">
        <v>33871523.909999996</v>
      </c>
      <c r="FN234" s="9">
        <v>3083208.32</v>
      </c>
      <c r="FO234">
        <v>2649.35</v>
      </c>
      <c r="FP234">
        <v>0</v>
      </c>
      <c r="FQ234">
        <v>135.21</v>
      </c>
      <c r="FR234">
        <v>647.11</v>
      </c>
      <c r="FS234">
        <v>10.78</v>
      </c>
      <c r="FT234">
        <v>3676.31</v>
      </c>
      <c r="FU234">
        <v>521.78</v>
      </c>
      <c r="FV234">
        <v>1754.05</v>
      </c>
      <c r="FW234">
        <v>31956.59</v>
      </c>
      <c r="FX234">
        <v>1853.61</v>
      </c>
      <c r="HB234" s="6"/>
      <c r="HC234" s="6"/>
      <c r="HD234" s="6"/>
    </row>
    <row r="235" spans="1:212" x14ac:dyDescent="0.2">
      <c r="A235" s="8" t="s">
        <v>862</v>
      </c>
      <c r="B235" s="8" t="s">
        <v>479</v>
      </c>
      <c r="C235" s="8" t="s">
        <v>482</v>
      </c>
      <c r="D235" s="9">
        <v>9779186.909</v>
      </c>
      <c r="E235" s="9">
        <v>1947699.7069999999</v>
      </c>
      <c r="F235" s="9">
        <v>1804208.22</v>
      </c>
      <c r="G235" s="9">
        <v>618804.63500000001</v>
      </c>
      <c r="H235" s="9">
        <v>187233.06899999999</v>
      </c>
      <c r="I235" s="9">
        <v>306896.43900000001</v>
      </c>
      <c r="J235" s="9">
        <v>736912.61699999997</v>
      </c>
      <c r="K235" s="9">
        <v>428789.51199999999</v>
      </c>
      <c r="L235" s="9">
        <v>142669.538</v>
      </c>
      <c r="M235" s="9">
        <v>2483774.3870000001</v>
      </c>
      <c r="N235" s="9">
        <v>1122198.7860000001</v>
      </c>
      <c r="O235" s="9">
        <v>7720861.2879999997</v>
      </c>
      <c r="P235" s="9">
        <v>1626569.496</v>
      </c>
      <c r="Q235" s="9">
        <v>951376.93299999996</v>
      </c>
      <c r="R235" s="9">
        <v>472872.89299999998</v>
      </c>
      <c r="S235" s="9">
        <v>136352.133</v>
      </c>
      <c r="T235" s="9">
        <v>266222.72899999999</v>
      </c>
      <c r="U235" s="9">
        <v>789295.25800000003</v>
      </c>
      <c r="V235" s="9">
        <v>264989.54800000001</v>
      </c>
      <c r="W235" s="9">
        <v>157091.516</v>
      </c>
      <c r="X235" s="9">
        <v>1989894.7779999999</v>
      </c>
      <c r="Y235" s="9">
        <v>1066196.0049999999</v>
      </c>
      <c r="Z235" s="9">
        <v>9795506.9059999995</v>
      </c>
      <c r="AA235" s="9">
        <v>5056035.4929999998</v>
      </c>
      <c r="AB235" s="9">
        <v>1197277.2009999999</v>
      </c>
      <c r="AC235" s="9">
        <v>2872946.1710000001</v>
      </c>
      <c r="AD235" s="9">
        <v>707627.93530000001</v>
      </c>
      <c r="AE235" s="9">
        <v>6216326.4850000003</v>
      </c>
      <c r="AF235" s="9">
        <v>6254706.3799999999</v>
      </c>
      <c r="AG235" s="9">
        <v>7311837.4000000004</v>
      </c>
      <c r="AH235" s="9">
        <v>4270858.9000000004</v>
      </c>
      <c r="AI235" s="9">
        <v>1148557.1000000001</v>
      </c>
      <c r="AJ235" s="9">
        <v>2221851.1</v>
      </c>
      <c r="AK235" s="9">
        <v>557125.5</v>
      </c>
      <c r="AL235" s="9">
        <v>4000745.7</v>
      </c>
      <c r="AM235" s="9">
        <v>4887300.9000000004</v>
      </c>
      <c r="AN235" s="9">
        <v>1162198</v>
      </c>
      <c r="AO235" s="9">
        <v>613079</v>
      </c>
      <c r="AP235" s="9">
        <v>549119</v>
      </c>
      <c r="AQ235" s="9">
        <v>131105</v>
      </c>
      <c r="AR235" s="9">
        <v>74381</v>
      </c>
      <c r="AS235" s="9">
        <v>56724</v>
      </c>
      <c r="AT235" s="9">
        <v>833541</v>
      </c>
      <c r="AU235" s="9">
        <v>312558</v>
      </c>
      <c r="AV235" s="9">
        <v>520983</v>
      </c>
      <c r="AW235" s="9">
        <v>1161.2</v>
      </c>
      <c r="AX235" s="9">
        <v>860.6</v>
      </c>
      <c r="AY235" s="9">
        <v>2628.8</v>
      </c>
      <c r="AZ235" s="9">
        <v>1187.4000000000001</v>
      </c>
      <c r="BA235" s="9">
        <v>1493.8</v>
      </c>
      <c r="BB235" s="9">
        <v>824.1</v>
      </c>
      <c r="BC235" s="9">
        <v>1177.8</v>
      </c>
      <c r="BD235" s="9">
        <v>942.4</v>
      </c>
      <c r="BE235" s="9">
        <v>1180.5</v>
      </c>
      <c r="BF235" s="9">
        <v>724.5</v>
      </c>
      <c r="BG235" s="9">
        <v>1139.5</v>
      </c>
      <c r="BH235" s="9">
        <v>1337.1</v>
      </c>
      <c r="BI235" s="9">
        <v>1243.2</v>
      </c>
      <c r="BJ235" s="9">
        <v>951.4</v>
      </c>
      <c r="BK235" s="9">
        <v>974.1</v>
      </c>
      <c r="BL235" s="9">
        <v>751.6</v>
      </c>
      <c r="BM235" s="9">
        <v>998.9</v>
      </c>
      <c r="BN235" s="9">
        <v>1150808.8999999999</v>
      </c>
      <c r="BO235" s="9">
        <v>857262</v>
      </c>
      <c r="BP235" s="9">
        <v>181572.2</v>
      </c>
      <c r="BQ235" s="9">
        <v>97824.7</v>
      </c>
      <c r="BR235" s="9">
        <v>88351</v>
      </c>
      <c r="BS235" s="9">
        <v>178421.5</v>
      </c>
      <c r="BT235" s="9">
        <v>234793.9</v>
      </c>
      <c r="BU235" s="9">
        <v>84360</v>
      </c>
      <c r="BV235" s="9">
        <v>91257.4</v>
      </c>
      <c r="BW235" s="9">
        <v>758558.8</v>
      </c>
      <c r="BX235" s="9">
        <v>31803</v>
      </c>
      <c r="BY235" s="9">
        <v>138104.20000000001</v>
      </c>
      <c r="BZ235" s="9">
        <v>258298.7</v>
      </c>
      <c r="CA235" s="9">
        <v>81530</v>
      </c>
      <c r="CB235" s="9">
        <v>21032.5</v>
      </c>
      <c r="CC235" s="9">
        <v>259593.4</v>
      </c>
      <c r="CD235" s="9">
        <v>10119</v>
      </c>
      <c r="CE235" s="9">
        <v>112077.9</v>
      </c>
      <c r="CF235" s="9">
        <v>4104473.2668205919</v>
      </c>
      <c r="CG235" s="9">
        <v>20229409.47651064</v>
      </c>
      <c r="CH235" s="9">
        <v>10.574890332200001</v>
      </c>
      <c r="CI235" s="9">
        <v>3.9121474708999999</v>
      </c>
      <c r="CJ235" s="9">
        <v>17.015681066599999</v>
      </c>
      <c r="CK235" s="9">
        <v>10.8654015504</v>
      </c>
      <c r="CL235" s="9">
        <v>11</v>
      </c>
      <c r="CM235" s="9">
        <v>121.66050185570001</v>
      </c>
      <c r="CN235" s="9">
        <v>33.264648994799998</v>
      </c>
      <c r="CO235" s="9">
        <v>5.1069405351999997</v>
      </c>
      <c r="CP235" s="9">
        <v>19.628285913500001</v>
      </c>
      <c r="CQ235" s="9">
        <v>11.813554186599999</v>
      </c>
      <c r="CR235" s="9">
        <v>5.7310271194000002</v>
      </c>
      <c r="CS235" s="9">
        <v>4.6214027204999999</v>
      </c>
      <c r="CT235" s="9">
        <v>16.9630948434</v>
      </c>
      <c r="CU235" s="9">
        <v>4.3064536415000001</v>
      </c>
      <c r="CV235" s="9">
        <v>3.9775659723999999</v>
      </c>
      <c r="CW235" s="9">
        <v>6.2189229303999998</v>
      </c>
      <c r="CX235" s="9">
        <v>3.511939683</v>
      </c>
      <c r="CY235" s="9">
        <v>6.516665315</v>
      </c>
      <c r="CZ235" s="9">
        <v>676</v>
      </c>
      <c r="DA235" s="9">
        <v>551</v>
      </c>
      <c r="DB235" s="9">
        <v>0</v>
      </c>
      <c r="DC235" s="9">
        <v>169</v>
      </c>
      <c r="DD235" s="9">
        <v>44</v>
      </c>
      <c r="DE235" s="9">
        <v>11</v>
      </c>
      <c r="DF235" s="9">
        <v>269</v>
      </c>
      <c r="DG235" s="9">
        <v>30</v>
      </c>
      <c r="DH235" s="9">
        <v>67</v>
      </c>
      <c r="DI235" s="9">
        <v>2</v>
      </c>
      <c r="DJ235" s="9">
        <v>1</v>
      </c>
      <c r="DK235" s="9">
        <v>63</v>
      </c>
      <c r="DL235" s="9">
        <v>1</v>
      </c>
      <c r="DM235" s="9">
        <v>56</v>
      </c>
      <c r="DN235" s="9">
        <v>0</v>
      </c>
      <c r="DO235" s="9">
        <v>578.74</v>
      </c>
      <c r="DP235" s="9">
        <v>152.44999999999999</v>
      </c>
      <c r="DQ235" s="9">
        <v>74.19</v>
      </c>
      <c r="DR235" s="9">
        <v>78.260000000000005</v>
      </c>
      <c r="DS235" s="9">
        <v>59.06</v>
      </c>
      <c r="DT235" s="9">
        <v>12.14</v>
      </c>
      <c r="DU235" s="9">
        <v>269.25</v>
      </c>
      <c r="DV235" s="9">
        <v>177.96</v>
      </c>
      <c r="DW235" s="9">
        <v>69.959999999999994</v>
      </c>
      <c r="DX235" s="9">
        <v>97.37</v>
      </c>
      <c r="DY235" s="9">
        <v>62.5</v>
      </c>
      <c r="DZ235" s="9">
        <v>19.62</v>
      </c>
      <c r="EA235" s="9">
        <v>-251.999</v>
      </c>
      <c r="EB235" s="9">
        <v>97.54571</v>
      </c>
      <c r="EC235" s="9">
        <v>-130.506</v>
      </c>
      <c r="ED235" s="9">
        <v>-232.98500000000001</v>
      </c>
      <c r="EE235" s="9">
        <v>13.945460000000001</v>
      </c>
      <c r="EF235" s="9">
        <v>9.5754439999999992</v>
      </c>
      <c r="EG235" s="9">
        <v>-484.06900000000002</v>
      </c>
      <c r="EH235" s="9">
        <v>-277.05099999999999</v>
      </c>
      <c r="EI235" s="9">
        <v>-6.4269800000000004</v>
      </c>
      <c r="EJ235" s="9">
        <v>3.7099950000000002</v>
      </c>
      <c r="EK235" s="9">
        <v>-204.30099999999999</v>
      </c>
      <c r="EL235" s="9">
        <v>-19.2485</v>
      </c>
      <c r="EM235" s="9">
        <v>222.3965</v>
      </c>
      <c r="EN235" s="9">
        <v>4101.3553618344004</v>
      </c>
      <c r="EO235" s="9">
        <v>836.26684984400003</v>
      </c>
      <c r="EP235" s="9">
        <v>2341.579006378</v>
      </c>
      <c r="EQ235" s="9">
        <v>7.5564492661999996</v>
      </c>
      <c r="ER235" s="9">
        <v>52.348774277300002</v>
      </c>
      <c r="ES235" s="9">
        <v>863.60428206890003</v>
      </c>
      <c r="ET235" s="9">
        <v>0</v>
      </c>
      <c r="EU235">
        <v>2654.4720000000002</v>
      </c>
      <c r="EV235" s="9">
        <v>29714.73</v>
      </c>
      <c r="EW235" s="9">
        <v>7448.25</v>
      </c>
      <c r="EX235" s="9">
        <v>2033.93</v>
      </c>
      <c r="EY235" s="9">
        <v>2229.86</v>
      </c>
      <c r="EZ235" s="9">
        <v>8355.5300000000007</v>
      </c>
      <c r="FA235" s="9">
        <v>9647.17</v>
      </c>
      <c r="FB235" s="9">
        <v>77.629821428599996</v>
      </c>
      <c r="FC235" s="9">
        <v>63.295999999999999</v>
      </c>
      <c r="FD235" s="9">
        <v>5882.2250000000004</v>
      </c>
      <c r="FE235" s="9">
        <v>109.55</v>
      </c>
      <c r="FF235" s="9">
        <v>1359.0425</v>
      </c>
      <c r="FG235">
        <v>18475084.717860002</v>
      </c>
      <c r="FH235">
        <v>18061495.511960004</v>
      </c>
      <c r="FI235">
        <v>413589.2059</v>
      </c>
      <c r="FJ235" s="9">
        <v>22733175.454751801</v>
      </c>
      <c r="FK235">
        <v>18058272.546931803</v>
      </c>
      <c r="FL235" s="9">
        <v>4674902.9078199994</v>
      </c>
      <c r="FM235" s="9">
        <v>34700685.100000001</v>
      </c>
      <c r="FN235" s="9">
        <v>3106183.78</v>
      </c>
      <c r="FO235">
        <v>2657.76</v>
      </c>
      <c r="FP235">
        <v>0</v>
      </c>
      <c r="FQ235">
        <v>124.82</v>
      </c>
      <c r="FR235">
        <v>625.85</v>
      </c>
      <c r="FS235">
        <v>7.51</v>
      </c>
      <c r="FT235">
        <v>2969.02</v>
      </c>
      <c r="FU235">
        <v>549.61</v>
      </c>
      <c r="FV235">
        <v>769.21</v>
      </c>
      <c r="FW235">
        <v>16963.560000000001</v>
      </c>
      <c r="FX235">
        <v>1217.72</v>
      </c>
      <c r="HB235" s="6"/>
      <c r="HC235" s="6"/>
      <c r="HD235" s="6"/>
    </row>
    <row r="236" spans="1:212" x14ac:dyDescent="0.2">
      <c r="A236" s="8" t="s">
        <v>862</v>
      </c>
      <c r="B236" s="8" t="s">
        <v>483</v>
      </c>
      <c r="C236" s="8" t="s">
        <v>484</v>
      </c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>
        <v>1237179.2</v>
      </c>
      <c r="BO236" s="9">
        <v>1039089.3</v>
      </c>
      <c r="BP236" s="9">
        <v>374816.2</v>
      </c>
      <c r="BQ236" s="9">
        <v>297701.40000000002</v>
      </c>
      <c r="BR236" s="9">
        <v>78350.8</v>
      </c>
      <c r="BS236" s="9">
        <v>168078.2</v>
      </c>
      <c r="BT236" s="9">
        <v>240572.9</v>
      </c>
      <c r="BU236" s="9">
        <v>78419.600000000006</v>
      </c>
      <c r="BV236" s="9">
        <v>95544.3</v>
      </c>
      <c r="BW236" s="9">
        <v>555857.69999999995</v>
      </c>
      <c r="BX236" s="9">
        <v>3833.1</v>
      </c>
      <c r="BY236" s="9">
        <v>107987.1</v>
      </c>
      <c r="BZ236" s="9">
        <v>153105.60000000001</v>
      </c>
      <c r="CA236" s="9">
        <v>25144.1</v>
      </c>
      <c r="CB236" s="9">
        <v>19334.2</v>
      </c>
      <c r="CC236" s="9">
        <v>250286.7</v>
      </c>
      <c r="CD236" s="9">
        <v>6495.3</v>
      </c>
      <c r="CE236" s="9">
        <v>231808</v>
      </c>
      <c r="CF236" s="9">
        <v>3783323.517244813</v>
      </c>
      <c r="CG236" s="9">
        <v>20289861.31656006</v>
      </c>
      <c r="CH236" s="9">
        <v>10.3323602244</v>
      </c>
      <c r="CI236" s="9">
        <v>4.8040419684</v>
      </c>
      <c r="CJ236" s="9">
        <v>17.130116140799998</v>
      </c>
      <c r="CK236" s="9">
        <v>9.8184029356</v>
      </c>
      <c r="CL236" s="9">
        <v>11</v>
      </c>
      <c r="CM236" s="9">
        <v>121.8483848068</v>
      </c>
      <c r="CN236" s="9">
        <v>32.995968871999999</v>
      </c>
      <c r="CO236" s="9">
        <v>5.1139019199</v>
      </c>
      <c r="CP236" s="9">
        <v>19.698011679499999</v>
      </c>
      <c r="CQ236" s="9">
        <v>12.1685390086</v>
      </c>
      <c r="CR236" s="9">
        <v>5.7432063548999999</v>
      </c>
      <c r="CS236" s="9">
        <v>4.639723998</v>
      </c>
      <c r="CT236" s="9">
        <v>16.899472836099999</v>
      </c>
      <c r="CU236" s="9">
        <v>4.3060525978999999</v>
      </c>
      <c r="CV236" s="9">
        <v>3.9792698039999999</v>
      </c>
      <c r="CW236" s="9">
        <v>6.2189229303999998</v>
      </c>
      <c r="CX236" s="9">
        <v>3.5580313152</v>
      </c>
      <c r="CY236" s="9">
        <v>6.5272834902000003</v>
      </c>
      <c r="CZ236" s="9">
        <v>632</v>
      </c>
      <c r="DA236" s="9">
        <v>522</v>
      </c>
      <c r="DB236" s="9">
        <v>0</v>
      </c>
      <c r="DC236" s="9">
        <v>137</v>
      </c>
      <c r="DD236" s="9">
        <v>60</v>
      </c>
      <c r="DE236" s="9">
        <v>14</v>
      </c>
      <c r="DF236" s="9">
        <v>247</v>
      </c>
      <c r="DG236" s="9">
        <v>31</v>
      </c>
      <c r="DH236" s="9">
        <v>62</v>
      </c>
      <c r="DI236" s="9">
        <v>5</v>
      </c>
      <c r="DJ236" s="9">
        <v>0</v>
      </c>
      <c r="DK236" s="9">
        <v>54</v>
      </c>
      <c r="DL236" s="9">
        <v>0</v>
      </c>
      <c r="DM236" s="9">
        <v>48</v>
      </c>
      <c r="DN236" s="9">
        <v>0</v>
      </c>
      <c r="DO236" s="9">
        <v>613.44000000000005</v>
      </c>
      <c r="DP236" s="9">
        <v>162.33000000000001</v>
      </c>
      <c r="DQ236" s="9">
        <v>81.91</v>
      </c>
      <c r="DR236" s="9">
        <v>80.42</v>
      </c>
      <c r="DS236" s="9">
        <v>67.5</v>
      </c>
      <c r="DT236" s="9">
        <v>12.51</v>
      </c>
      <c r="DU236" s="9">
        <v>246.62</v>
      </c>
      <c r="DV236" s="9">
        <v>149.9</v>
      </c>
      <c r="DW236" s="9">
        <v>72.88</v>
      </c>
      <c r="DX236" s="9">
        <v>136.59</v>
      </c>
      <c r="DY236" s="9">
        <v>83.87</v>
      </c>
      <c r="DZ236" s="9">
        <v>33.83</v>
      </c>
      <c r="EA236" s="9">
        <v>-190.483</v>
      </c>
      <c r="EB236" s="9">
        <v>-26.683199999999999</v>
      </c>
      <c r="EC236" s="9">
        <v>-65.642700000000005</v>
      </c>
      <c r="ED236" s="9">
        <v>-114.601</v>
      </c>
      <c r="EE236" s="9">
        <v>16.444659999999999</v>
      </c>
      <c r="EF236" s="9">
        <v>8.5110480000000006</v>
      </c>
      <c r="EG236" s="9">
        <v>291.76060000000001</v>
      </c>
      <c r="EH236" s="9">
        <v>-170.506</v>
      </c>
      <c r="EI236" s="9">
        <v>-19.2395</v>
      </c>
      <c r="EJ236" s="9">
        <v>-1.1982999999999999</v>
      </c>
      <c r="EK236" s="9">
        <v>482.70420000000001</v>
      </c>
      <c r="EL236" s="9">
        <v>-62.1646</v>
      </c>
      <c r="EM236" s="9">
        <v>-535.89700000000005</v>
      </c>
      <c r="EN236" s="9">
        <v>3618.8507919743001</v>
      </c>
      <c r="EO236" s="9">
        <v>772.90684044290003</v>
      </c>
      <c r="EP236" s="9">
        <v>1866.0488050392</v>
      </c>
      <c r="EQ236" s="9">
        <v>7.4779053163000002</v>
      </c>
      <c r="ER236" s="9">
        <v>51.804645764199996</v>
      </c>
      <c r="ES236" s="9">
        <v>920.6125954117</v>
      </c>
      <c r="ET236" s="9">
        <v>0</v>
      </c>
      <c r="EU236">
        <v>2661.5475000000001</v>
      </c>
      <c r="EV236" s="9"/>
      <c r="EW236" s="9"/>
      <c r="EX236" s="9"/>
      <c r="EY236" s="9"/>
      <c r="EZ236" s="9"/>
      <c r="FA236" s="9"/>
      <c r="FB236" s="9">
        <v>77.845807453399999</v>
      </c>
      <c r="FC236" s="9">
        <v>64</v>
      </c>
      <c r="FD236" s="9">
        <v>5941.1956521739003</v>
      </c>
      <c r="FE236" s="9">
        <v>119.5869565217</v>
      </c>
      <c r="FF236" s="9">
        <v>1412.9782608696</v>
      </c>
      <c r="FG236">
        <v>18537076.371240005</v>
      </c>
      <c r="FH236">
        <v>18122811.710940003</v>
      </c>
      <c r="FI236">
        <v>414264.66029999999</v>
      </c>
      <c r="FJ236" s="9">
        <v>22798337.118638299</v>
      </c>
      <c r="FK236">
        <v>18074879.7732783</v>
      </c>
      <c r="FL236" s="9">
        <v>4723457.3453599997</v>
      </c>
      <c r="FM236" s="9">
        <v>34254187.25</v>
      </c>
      <c r="FN236" s="9">
        <v>3108705.58</v>
      </c>
      <c r="FO236">
        <v>2666</v>
      </c>
      <c r="FP236">
        <v>0</v>
      </c>
      <c r="FQ236">
        <v>118.6</v>
      </c>
      <c r="FR236">
        <v>719.62</v>
      </c>
      <c r="FS236">
        <v>10.4</v>
      </c>
      <c r="FT236">
        <v>2776.85</v>
      </c>
      <c r="FU236">
        <v>548.6</v>
      </c>
      <c r="FV236">
        <v>2163.4499999999998</v>
      </c>
      <c r="FW236">
        <v>10999.26</v>
      </c>
      <c r="FX236">
        <v>1113.21</v>
      </c>
      <c r="HB236" s="6"/>
      <c r="HC236" s="6"/>
      <c r="HD236" s="6"/>
    </row>
    <row r="237" spans="1:212" x14ac:dyDescent="0.2">
      <c r="A237" s="8" t="s">
        <v>862</v>
      </c>
      <c r="B237" s="8" t="s">
        <v>483</v>
      </c>
      <c r="C237" s="8" t="s">
        <v>485</v>
      </c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>
        <v>902847.1</v>
      </c>
      <c r="BO237" s="9">
        <v>763672.2</v>
      </c>
      <c r="BP237" s="9">
        <v>138692.9</v>
      </c>
      <c r="BQ237" s="9">
        <v>74902</v>
      </c>
      <c r="BR237" s="9">
        <v>63979</v>
      </c>
      <c r="BS237" s="9">
        <v>166721.29999999999</v>
      </c>
      <c r="BT237" s="9">
        <v>232692.9</v>
      </c>
      <c r="BU237" s="9">
        <v>78813.7</v>
      </c>
      <c r="BV237" s="9">
        <v>77541.600000000006</v>
      </c>
      <c r="BW237" s="9">
        <v>547600.30000000005</v>
      </c>
      <c r="BX237" s="9">
        <v>20630.2</v>
      </c>
      <c r="BY237" s="9">
        <v>100694.7</v>
      </c>
      <c r="BZ237" s="9">
        <v>139163.20000000001</v>
      </c>
      <c r="CA237" s="9">
        <v>59304.1</v>
      </c>
      <c r="CB237" s="9">
        <v>15201.4</v>
      </c>
      <c r="CC237" s="9">
        <v>233236.9</v>
      </c>
      <c r="CD237" s="9">
        <v>705.5</v>
      </c>
      <c r="CE237" s="9">
        <v>258550.39999999999</v>
      </c>
      <c r="CF237" s="9">
        <v>3935055.9608666305</v>
      </c>
      <c r="CG237" s="9">
        <v>20475667.49909519</v>
      </c>
      <c r="CH237" s="9">
        <v>11.0334169969</v>
      </c>
      <c r="CI237" s="9">
        <v>4.8700848441</v>
      </c>
      <c r="CJ237" s="9">
        <v>17.046473306300001</v>
      </c>
      <c r="CK237" s="9">
        <v>10.3846363867</v>
      </c>
      <c r="CL237" s="9">
        <v>11</v>
      </c>
      <c r="CM237" s="9">
        <v>122.1732359447</v>
      </c>
      <c r="CN237" s="9">
        <v>32.475124247499998</v>
      </c>
      <c r="CO237" s="9">
        <v>5.1149675877999998</v>
      </c>
      <c r="CP237" s="9">
        <v>19.7745614211</v>
      </c>
      <c r="CQ237" s="9">
        <v>12.2023692706</v>
      </c>
      <c r="CR237" s="9">
        <v>5.7612960562</v>
      </c>
      <c r="CS237" s="9">
        <v>4.6460204288</v>
      </c>
      <c r="CT237" s="9">
        <v>16.9052110232</v>
      </c>
      <c r="CU237" s="9">
        <v>4.3058529772999998</v>
      </c>
      <c r="CV237" s="9">
        <v>3.984526346</v>
      </c>
      <c r="CW237" s="9">
        <v>6.8192139490999999</v>
      </c>
      <c r="CX237" s="9">
        <v>3.6333154317999998</v>
      </c>
      <c r="CY237" s="9">
        <v>6.5507772053000002</v>
      </c>
      <c r="CZ237" s="9">
        <v>816</v>
      </c>
      <c r="DA237" s="9">
        <v>756</v>
      </c>
      <c r="DB237" s="9">
        <v>148</v>
      </c>
      <c r="DC237" s="9">
        <v>129</v>
      </c>
      <c r="DD237" s="9">
        <v>67</v>
      </c>
      <c r="DE237" s="9">
        <v>11</v>
      </c>
      <c r="DF237" s="9">
        <v>344</v>
      </c>
      <c r="DG237" s="9">
        <v>30</v>
      </c>
      <c r="DH237" s="9">
        <v>30</v>
      </c>
      <c r="DI237" s="9">
        <v>6</v>
      </c>
      <c r="DJ237" s="9">
        <v>1</v>
      </c>
      <c r="DK237" s="9">
        <v>19</v>
      </c>
      <c r="DL237" s="9">
        <v>1</v>
      </c>
      <c r="DM237" s="9">
        <v>29</v>
      </c>
      <c r="DN237" s="9">
        <v>0</v>
      </c>
      <c r="DO237" s="9">
        <v>584.02</v>
      </c>
      <c r="DP237" s="9">
        <v>137.41999999999999</v>
      </c>
      <c r="DQ237" s="9">
        <v>67.36</v>
      </c>
      <c r="DR237" s="9">
        <v>70.06</v>
      </c>
      <c r="DS237" s="9">
        <v>63.23</v>
      </c>
      <c r="DT237" s="9">
        <v>12.02</v>
      </c>
      <c r="DU237" s="9">
        <v>270.89</v>
      </c>
      <c r="DV237" s="9">
        <v>162.63</v>
      </c>
      <c r="DW237" s="9">
        <v>78.36</v>
      </c>
      <c r="DX237" s="9">
        <v>112.09</v>
      </c>
      <c r="DY237" s="9">
        <v>61.21</v>
      </c>
      <c r="DZ237" s="9">
        <v>28.67</v>
      </c>
      <c r="EA237" s="9">
        <v>-52.932299999999998</v>
      </c>
      <c r="EB237" s="9">
        <v>180.352</v>
      </c>
      <c r="EC237" s="9">
        <v>-61.293900000000001</v>
      </c>
      <c r="ED237" s="9">
        <v>-183.77799999999999</v>
      </c>
      <c r="EE237" s="9">
        <v>11.787990000000001</v>
      </c>
      <c r="EF237" s="9">
        <v>7.5780979999999998</v>
      </c>
      <c r="EG237" s="9">
        <v>-224.50299999999999</v>
      </c>
      <c r="EH237" s="9">
        <v>-135.05799999999999</v>
      </c>
      <c r="EI237" s="9">
        <v>-34.502699999999997</v>
      </c>
      <c r="EJ237" s="9">
        <v>-0.23186999999999999</v>
      </c>
      <c r="EK237" s="9">
        <v>-54.71</v>
      </c>
      <c r="EL237" s="9">
        <v>-60.182099999999998</v>
      </c>
      <c r="EM237" s="9">
        <v>118.96680000000001</v>
      </c>
      <c r="EN237" s="9">
        <v>3688.7246703522001</v>
      </c>
      <c r="EO237" s="9">
        <v>532.62436648879998</v>
      </c>
      <c r="EP237" s="9">
        <v>2219.6503172399998</v>
      </c>
      <c r="EQ237" s="9">
        <v>7.4460740256999998</v>
      </c>
      <c r="ER237" s="9">
        <v>50.282567719500001</v>
      </c>
      <c r="ES237" s="9">
        <v>878.72134487819994</v>
      </c>
      <c r="ET237" s="9">
        <v>0</v>
      </c>
      <c r="EU237">
        <v>2670.54</v>
      </c>
      <c r="EV237" s="9"/>
      <c r="EW237" s="9"/>
      <c r="EX237" s="9"/>
      <c r="EY237" s="9"/>
      <c r="EZ237" s="9"/>
      <c r="FA237" s="9"/>
      <c r="FB237" s="9">
        <v>69.739285714299996</v>
      </c>
      <c r="FC237" s="9">
        <v>59.2472727273</v>
      </c>
      <c r="FD237" s="9">
        <v>5709.4404761904998</v>
      </c>
      <c r="FE237" s="9">
        <v>93.5</v>
      </c>
      <c r="FF237" s="9">
        <v>1498.7976190475999</v>
      </c>
      <c r="FG237">
        <v>18514630.389180001</v>
      </c>
      <c r="FH237">
        <v>18099812.51788</v>
      </c>
      <c r="FI237">
        <v>414817.8713</v>
      </c>
      <c r="FJ237" s="9">
        <v>22993963.279914603</v>
      </c>
      <c r="FK237">
        <v>18410378.259054601</v>
      </c>
      <c r="FL237" s="9">
        <v>4583585.0208599996</v>
      </c>
      <c r="FM237" s="9">
        <v>34650397.5</v>
      </c>
      <c r="FN237" s="9">
        <v>3088049.29</v>
      </c>
      <c r="FO237">
        <v>2672</v>
      </c>
      <c r="FP237">
        <v>2799.28</v>
      </c>
      <c r="FQ237">
        <v>114.11</v>
      </c>
      <c r="FR237">
        <v>719.3</v>
      </c>
      <c r="FS237">
        <v>7.91</v>
      </c>
      <c r="FT237">
        <v>4117.09</v>
      </c>
      <c r="FU237">
        <v>564.57000000000005</v>
      </c>
      <c r="FV237">
        <v>2969.41</v>
      </c>
      <c r="FW237">
        <v>7526.84</v>
      </c>
      <c r="FX237">
        <v>327.68</v>
      </c>
      <c r="HB237" s="6"/>
      <c r="HC237" s="6"/>
      <c r="HD237" s="6"/>
    </row>
    <row r="238" spans="1:212" x14ac:dyDescent="0.2">
      <c r="A238" s="8" t="s">
        <v>862</v>
      </c>
      <c r="B238" s="8" t="s">
        <v>483</v>
      </c>
      <c r="C238" s="8" t="s">
        <v>486</v>
      </c>
      <c r="D238" s="9">
        <v>9654939.8880000003</v>
      </c>
      <c r="E238" s="9">
        <v>899439.38399999996</v>
      </c>
      <c r="F238" s="9">
        <v>2283736.071</v>
      </c>
      <c r="G238" s="9">
        <v>967428.397</v>
      </c>
      <c r="H238" s="9">
        <v>139836.402</v>
      </c>
      <c r="I238" s="9">
        <v>292060.891</v>
      </c>
      <c r="J238" s="9">
        <v>759275.44700000004</v>
      </c>
      <c r="K238" s="9">
        <v>532605.20799999998</v>
      </c>
      <c r="L238" s="9">
        <v>198926.639</v>
      </c>
      <c r="M238" s="9">
        <v>2336132.1340000001</v>
      </c>
      <c r="N238" s="9">
        <v>1245499.317</v>
      </c>
      <c r="O238" s="9">
        <v>7215717.9289999995</v>
      </c>
      <c r="P238" s="9">
        <v>1069941.1710000001</v>
      </c>
      <c r="Q238" s="9">
        <v>1075574.199</v>
      </c>
      <c r="R238" s="9">
        <v>547428.15899999999</v>
      </c>
      <c r="S238" s="9">
        <v>119742.728</v>
      </c>
      <c r="T238" s="9">
        <v>223044.886</v>
      </c>
      <c r="U238" s="9">
        <v>820925.951</v>
      </c>
      <c r="V238" s="9">
        <v>411460.152</v>
      </c>
      <c r="W238" s="9">
        <v>157750.22099999999</v>
      </c>
      <c r="X238" s="9">
        <v>1878503.3559999999</v>
      </c>
      <c r="Y238" s="9">
        <v>911347.10600000003</v>
      </c>
      <c r="Z238" s="9">
        <v>9725215.4829999991</v>
      </c>
      <c r="AA238" s="9">
        <v>5229668.7510000002</v>
      </c>
      <c r="AB238" s="9">
        <v>939154.30050000001</v>
      </c>
      <c r="AC238" s="9">
        <v>3205218.06</v>
      </c>
      <c r="AD238" s="9">
        <v>573478.53079999995</v>
      </c>
      <c r="AE238" s="9">
        <v>6308061.1979999999</v>
      </c>
      <c r="AF238" s="9">
        <v>6530365.358</v>
      </c>
      <c r="AG238" s="9">
        <v>7333117.2000000002</v>
      </c>
      <c r="AH238" s="9">
        <v>4483788.3</v>
      </c>
      <c r="AI238" s="9">
        <v>907649.1</v>
      </c>
      <c r="AJ238" s="9">
        <v>2449478.9</v>
      </c>
      <c r="AK238" s="9">
        <v>410770.3</v>
      </c>
      <c r="AL238" s="9">
        <v>4279049.4000000004</v>
      </c>
      <c r="AM238" s="9">
        <v>5197618.9000000004</v>
      </c>
      <c r="AN238" s="9">
        <v>1155614</v>
      </c>
      <c r="AO238" s="9">
        <v>609523</v>
      </c>
      <c r="AP238" s="9">
        <v>546090</v>
      </c>
      <c r="AQ238" s="9">
        <v>126582</v>
      </c>
      <c r="AR238" s="9">
        <v>74315</v>
      </c>
      <c r="AS238" s="9">
        <v>52267</v>
      </c>
      <c r="AT238" s="9">
        <v>850959</v>
      </c>
      <c r="AU238" s="9">
        <v>331032</v>
      </c>
      <c r="AV238" s="9">
        <v>519927</v>
      </c>
      <c r="AW238" s="9">
        <v>1166.4000000000001</v>
      </c>
      <c r="AX238" s="9">
        <v>879</v>
      </c>
      <c r="AY238" s="9">
        <v>2687.5</v>
      </c>
      <c r="AZ238" s="9">
        <v>1195.7</v>
      </c>
      <c r="BA238" s="9">
        <v>1484.5</v>
      </c>
      <c r="BB238" s="9">
        <v>873.7</v>
      </c>
      <c r="BC238" s="9">
        <v>1211</v>
      </c>
      <c r="BD238" s="9">
        <v>968.7</v>
      </c>
      <c r="BE238" s="9">
        <v>1193.0999999999999</v>
      </c>
      <c r="BF238" s="9">
        <v>747.9</v>
      </c>
      <c r="BG238" s="9">
        <v>1177.9000000000001</v>
      </c>
      <c r="BH238" s="9">
        <v>1411.3</v>
      </c>
      <c r="BI238" s="9">
        <v>1233.5999999999999</v>
      </c>
      <c r="BJ238" s="9">
        <v>881.3</v>
      </c>
      <c r="BK238" s="9">
        <v>974</v>
      </c>
      <c r="BL238" s="9">
        <v>750.1</v>
      </c>
      <c r="BM238" s="9">
        <v>954.4</v>
      </c>
      <c r="BN238" s="9">
        <v>967867.6</v>
      </c>
      <c r="BO238" s="9">
        <v>762321.4</v>
      </c>
      <c r="BP238" s="9">
        <v>129401</v>
      </c>
      <c r="BQ238" s="9">
        <v>56697.5</v>
      </c>
      <c r="BR238" s="9">
        <v>73742.100000000006</v>
      </c>
      <c r="BS238" s="9">
        <v>155343.4</v>
      </c>
      <c r="BT238" s="9">
        <v>242088.1</v>
      </c>
      <c r="BU238" s="9">
        <v>70840.2</v>
      </c>
      <c r="BV238" s="9">
        <v>110428.4</v>
      </c>
      <c r="BW238" s="9">
        <v>717738.7</v>
      </c>
      <c r="BX238" s="9">
        <v>26227.9</v>
      </c>
      <c r="BY238" s="9">
        <v>125666.9</v>
      </c>
      <c r="BZ238" s="9">
        <v>187613.1</v>
      </c>
      <c r="CA238" s="9">
        <v>105867.9</v>
      </c>
      <c r="CB238" s="9">
        <v>20560.5</v>
      </c>
      <c r="CC238" s="9">
        <v>278030.40000000002</v>
      </c>
      <c r="CD238" s="9">
        <v>27006.6</v>
      </c>
      <c r="CE238" s="9">
        <v>193870.2</v>
      </c>
      <c r="CF238" s="9">
        <v>3804338.6460730727</v>
      </c>
      <c r="CG238" s="9">
        <v>20432872.780444119</v>
      </c>
      <c r="CH238" s="9">
        <v>11.0341009223</v>
      </c>
      <c r="CI238" s="9">
        <v>5.7715986436</v>
      </c>
      <c r="CJ238" s="9">
        <v>16.877694490700001</v>
      </c>
      <c r="CK238" s="9">
        <v>9.8628914250000008</v>
      </c>
      <c r="CL238" s="9">
        <v>11</v>
      </c>
      <c r="CM238" s="9">
        <v>122.2432582916</v>
      </c>
      <c r="CN238" s="9">
        <v>32.368797940500002</v>
      </c>
      <c r="CO238" s="9">
        <v>5.1234450441000003</v>
      </c>
      <c r="CP238" s="9">
        <v>19.835215840299998</v>
      </c>
      <c r="CQ238" s="9">
        <v>12.287360723800001</v>
      </c>
      <c r="CR238" s="9">
        <v>5.7886925772</v>
      </c>
      <c r="CS238" s="9">
        <v>4.6536309253999999</v>
      </c>
      <c r="CT238" s="9">
        <v>16.8651672851</v>
      </c>
      <c r="CU238" s="9">
        <v>4.3073772262999999</v>
      </c>
      <c r="CV238" s="9">
        <v>3.9865814405000002</v>
      </c>
      <c r="CW238" s="9">
        <v>6.8192139509</v>
      </c>
      <c r="CX238" s="9">
        <v>3.6397154700000001</v>
      </c>
      <c r="CY238" s="9">
        <v>6.5680598676999997</v>
      </c>
      <c r="CZ238" s="9">
        <v>559</v>
      </c>
      <c r="DA238" s="9">
        <v>515</v>
      </c>
      <c r="DB238" s="9">
        <v>0</v>
      </c>
      <c r="DC238" s="9">
        <v>92</v>
      </c>
      <c r="DD238" s="9">
        <v>44</v>
      </c>
      <c r="DE238" s="9">
        <v>13</v>
      </c>
      <c r="DF238" s="9">
        <v>303</v>
      </c>
      <c r="DG238" s="9">
        <v>31</v>
      </c>
      <c r="DH238" s="9">
        <v>19</v>
      </c>
      <c r="DI238" s="9">
        <v>3</v>
      </c>
      <c r="DJ238" s="9">
        <v>1</v>
      </c>
      <c r="DK238" s="9">
        <v>10</v>
      </c>
      <c r="DL238" s="9">
        <v>0</v>
      </c>
      <c r="DM238" s="9">
        <v>24</v>
      </c>
      <c r="DN238" s="9">
        <v>0</v>
      </c>
      <c r="DO238" s="9">
        <v>507.55</v>
      </c>
      <c r="DP238" s="9">
        <v>125.86</v>
      </c>
      <c r="DQ238" s="9">
        <v>72.06</v>
      </c>
      <c r="DR238" s="9">
        <v>53.8</v>
      </c>
      <c r="DS238" s="9">
        <v>59.37</v>
      </c>
      <c r="DT238" s="9">
        <v>12.49</v>
      </c>
      <c r="DU238" s="9">
        <v>235.58</v>
      </c>
      <c r="DV238" s="9">
        <v>152.51</v>
      </c>
      <c r="DW238" s="9">
        <v>64.45</v>
      </c>
      <c r="DX238" s="9">
        <v>86.29</v>
      </c>
      <c r="DY238" s="9">
        <v>46.9</v>
      </c>
      <c r="DZ238" s="9">
        <v>18.079999999999998</v>
      </c>
      <c r="EA238" s="9">
        <v>-207.904</v>
      </c>
      <c r="EB238" s="9">
        <v>21.704879999999999</v>
      </c>
      <c r="EC238" s="9">
        <v>-171.012</v>
      </c>
      <c r="ED238" s="9">
        <v>-106.358</v>
      </c>
      <c r="EE238" s="9">
        <v>47.761229999999998</v>
      </c>
      <c r="EF238" s="9">
        <v>9.8617699999999999</v>
      </c>
      <c r="EG238" s="9">
        <v>-425.75</v>
      </c>
      <c r="EH238" s="9">
        <v>-186.56</v>
      </c>
      <c r="EI238" s="9">
        <v>11.70369</v>
      </c>
      <c r="EJ238" s="9">
        <v>0.40414899999999998</v>
      </c>
      <c r="EK238" s="9">
        <v>-251.298</v>
      </c>
      <c r="EL238" s="9">
        <v>-2.4850300000000001</v>
      </c>
      <c r="EM238" s="9">
        <v>225.22319999999999</v>
      </c>
      <c r="EN238" s="9">
        <v>3985.6554802392998</v>
      </c>
      <c r="EO238" s="9">
        <v>526.4337878138</v>
      </c>
      <c r="EP238" s="9">
        <v>2451.2323805156998</v>
      </c>
      <c r="EQ238" s="9">
        <v>7.4180402195999999</v>
      </c>
      <c r="ER238" s="9">
        <v>50.093258327000001</v>
      </c>
      <c r="ES238" s="9">
        <v>950.47801336320003</v>
      </c>
      <c r="ET238" s="9">
        <v>0</v>
      </c>
      <c r="EU238">
        <v>2669.6833333333002</v>
      </c>
      <c r="EV238" s="9">
        <v>29816.79</v>
      </c>
      <c r="EW238" s="9">
        <v>7430.02</v>
      </c>
      <c r="EX238" s="9">
        <v>1947.8</v>
      </c>
      <c r="EY238" s="9">
        <v>2205.39</v>
      </c>
      <c r="EZ238" s="9">
        <v>8411.19</v>
      </c>
      <c r="FA238" s="9">
        <v>9822.39</v>
      </c>
      <c r="FB238" s="9">
        <v>66.958673469399997</v>
      </c>
      <c r="FC238" s="9">
        <v>62.33</v>
      </c>
      <c r="FD238" s="9">
        <v>5759.25</v>
      </c>
      <c r="FE238" s="9">
        <v>92.261904761899999</v>
      </c>
      <c r="FF238" s="9">
        <v>1511.3142857143</v>
      </c>
      <c r="FG238">
        <v>18408223.006469999</v>
      </c>
      <c r="FH238">
        <v>17994565.14827</v>
      </c>
      <c r="FI238">
        <v>413657.85820000002</v>
      </c>
      <c r="FJ238" s="9">
        <v>23087061.118036605</v>
      </c>
      <c r="FK238">
        <v>18623491.553486601</v>
      </c>
      <c r="FL238" s="9">
        <v>4463569.5645500002</v>
      </c>
      <c r="FM238" s="9">
        <v>34953489.280000001</v>
      </c>
      <c r="FN238" s="9">
        <v>3102954.4</v>
      </c>
      <c r="FO238">
        <v>2667.21</v>
      </c>
      <c r="FP238">
        <v>0</v>
      </c>
      <c r="FQ238">
        <v>84.42</v>
      </c>
      <c r="FR238">
        <v>580.30999999999995</v>
      </c>
      <c r="FS238">
        <v>10.01</v>
      </c>
      <c r="FT238">
        <v>3704.84</v>
      </c>
      <c r="FU238">
        <v>551.52</v>
      </c>
      <c r="FV238">
        <v>1069.5</v>
      </c>
      <c r="FW238">
        <v>11110.96</v>
      </c>
      <c r="FX238">
        <v>172.99</v>
      </c>
      <c r="HB238" s="6"/>
      <c r="HC238" s="6"/>
      <c r="HD238" s="6"/>
    </row>
    <row r="239" spans="1:212" x14ac:dyDescent="0.2">
      <c r="A239" s="8" t="s">
        <v>862</v>
      </c>
      <c r="B239" s="8" t="s">
        <v>487</v>
      </c>
      <c r="C239" s="8" t="s">
        <v>488</v>
      </c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>
        <v>1169037.7</v>
      </c>
      <c r="BO239" s="9">
        <v>1000460.6</v>
      </c>
      <c r="BP239" s="9">
        <v>369192.8</v>
      </c>
      <c r="BQ239" s="9">
        <v>283338</v>
      </c>
      <c r="BR239" s="9">
        <v>86062.1</v>
      </c>
      <c r="BS239" s="9">
        <v>164100.6</v>
      </c>
      <c r="BT239" s="9">
        <v>233548.1</v>
      </c>
      <c r="BU239" s="9">
        <v>76318.399999999994</v>
      </c>
      <c r="BV239" s="9">
        <v>94527.1</v>
      </c>
      <c r="BW239" s="9">
        <v>756261.3</v>
      </c>
      <c r="BX239" s="9">
        <v>35554.6</v>
      </c>
      <c r="BY239" s="9">
        <v>158133.9</v>
      </c>
      <c r="BZ239" s="9">
        <v>188546.8</v>
      </c>
      <c r="CA239" s="9">
        <v>140065.29999999999</v>
      </c>
      <c r="CB239" s="9">
        <v>35135.300000000003</v>
      </c>
      <c r="CC239" s="9">
        <v>234379.9</v>
      </c>
      <c r="CD239" s="9">
        <v>-8952.7999999999993</v>
      </c>
      <c r="CE239" s="9">
        <v>242375.8</v>
      </c>
      <c r="CF239" s="9">
        <v>4180772.3295206446</v>
      </c>
      <c r="CG239" s="9">
        <v>20470148.828299601</v>
      </c>
      <c r="CH239" s="9">
        <v>11.1319759201</v>
      </c>
      <c r="CI239" s="9">
        <v>4.1909908228999999</v>
      </c>
      <c r="CJ239" s="9">
        <v>16.820307313699999</v>
      </c>
      <c r="CK239" s="9">
        <v>8.9000784456000002</v>
      </c>
      <c r="CL239" s="9">
        <v>11</v>
      </c>
      <c r="CM239" s="9">
        <v>121.8353884065</v>
      </c>
      <c r="CN239" s="9">
        <v>31.879304112500002</v>
      </c>
      <c r="CO239" s="9">
        <v>5.1292190929999997</v>
      </c>
      <c r="CP239" s="9">
        <v>19.954197039299999</v>
      </c>
      <c r="CQ239" s="9">
        <v>12.3255327163</v>
      </c>
      <c r="CR239" s="9">
        <v>5.8032677057999997</v>
      </c>
      <c r="CS239" s="9">
        <v>4.6586487708000002</v>
      </c>
      <c r="CT239" s="9">
        <v>16.805951174899999</v>
      </c>
      <c r="CU239" s="9">
        <v>4.3075180459000002</v>
      </c>
      <c r="CV239" s="9">
        <v>3.9297314094</v>
      </c>
      <c r="CW239" s="9">
        <v>6.8192139509</v>
      </c>
      <c r="CX239" s="9">
        <v>3.6399910912000002</v>
      </c>
      <c r="CY239" s="9">
        <v>6.5828132965000004</v>
      </c>
      <c r="CZ239" s="9">
        <v>583</v>
      </c>
      <c r="DA239" s="9">
        <v>534</v>
      </c>
      <c r="DB239" s="9">
        <v>0</v>
      </c>
      <c r="DC239" s="9">
        <v>120</v>
      </c>
      <c r="DD239" s="9">
        <v>37</v>
      </c>
      <c r="DE239" s="9">
        <v>11</v>
      </c>
      <c r="DF239" s="9">
        <v>313</v>
      </c>
      <c r="DG239" s="9">
        <v>31</v>
      </c>
      <c r="DH239" s="9">
        <v>22</v>
      </c>
      <c r="DI239" s="9">
        <v>8</v>
      </c>
      <c r="DJ239" s="9">
        <v>1</v>
      </c>
      <c r="DK239" s="9">
        <v>9</v>
      </c>
      <c r="DL239" s="9">
        <v>1</v>
      </c>
      <c r="DM239" s="9">
        <v>25</v>
      </c>
      <c r="DN239" s="9">
        <v>0</v>
      </c>
      <c r="DO239" s="9">
        <v>465.75</v>
      </c>
      <c r="DP239" s="9">
        <v>136.88</v>
      </c>
      <c r="DQ239" s="9">
        <v>77.790000000000006</v>
      </c>
      <c r="DR239" s="9">
        <v>59.08</v>
      </c>
      <c r="DS239" s="9">
        <v>54.7</v>
      </c>
      <c r="DT239" s="9">
        <v>12.18</v>
      </c>
      <c r="DU239" s="9">
        <v>186.28</v>
      </c>
      <c r="DV239" s="9">
        <v>124.53</v>
      </c>
      <c r="DW239" s="9">
        <v>48.72</v>
      </c>
      <c r="DX239" s="9">
        <v>87.39</v>
      </c>
      <c r="DY239" s="9">
        <v>41.89</v>
      </c>
      <c r="DZ239" s="9">
        <v>16.05</v>
      </c>
      <c r="EA239" s="9">
        <v>-258.04300000000001</v>
      </c>
      <c r="EB239" s="9">
        <v>49.651850000000003</v>
      </c>
      <c r="EC239" s="9">
        <v>-212.86099999999999</v>
      </c>
      <c r="ED239" s="9">
        <v>-111.062</v>
      </c>
      <c r="EE239" s="9">
        <v>16.227550000000001</v>
      </c>
      <c r="EF239" s="9">
        <v>8.8540559999999999</v>
      </c>
      <c r="EG239" s="9">
        <v>-314.089</v>
      </c>
      <c r="EH239" s="9">
        <v>-202.499</v>
      </c>
      <c r="EI239" s="9">
        <v>28.494199999999999</v>
      </c>
      <c r="EJ239" s="9">
        <v>2.4043700000000001</v>
      </c>
      <c r="EK239" s="9">
        <v>-142.489</v>
      </c>
      <c r="EL239" s="9">
        <v>-76.381200000000007</v>
      </c>
      <c r="EM239" s="9">
        <v>-11.4809</v>
      </c>
      <c r="EN239" s="9">
        <v>4033.8476941964</v>
      </c>
      <c r="EO239" s="9">
        <v>526.95704782229996</v>
      </c>
      <c r="EP239" s="9">
        <v>2443.1224479850998</v>
      </c>
      <c r="EQ239" s="9">
        <v>7.4738346549000001</v>
      </c>
      <c r="ER239" s="9">
        <v>50.470032376900001</v>
      </c>
      <c r="ES239" s="9">
        <v>1005.8243313573</v>
      </c>
      <c r="ET239" s="9">
        <v>0</v>
      </c>
      <c r="EU239">
        <v>2678.0056521739002</v>
      </c>
      <c r="EV239" s="9"/>
      <c r="EW239" s="9"/>
      <c r="EX239" s="9"/>
      <c r="EY239" s="9"/>
      <c r="EZ239" s="9"/>
      <c r="FA239" s="9"/>
      <c r="FB239" s="9">
        <v>69.194254658399998</v>
      </c>
      <c r="FC239" s="9">
        <v>59.37</v>
      </c>
      <c r="FD239" s="9">
        <v>5757.2978260870004</v>
      </c>
      <c r="FE239" s="9">
        <v>88.586956521700003</v>
      </c>
      <c r="FF239" s="9">
        <v>1494.8</v>
      </c>
      <c r="FG239">
        <v>18427175.571929999</v>
      </c>
      <c r="FH239">
        <v>18038923.899829999</v>
      </c>
      <c r="FI239">
        <v>388251.67210000003</v>
      </c>
      <c r="FJ239" s="9">
        <v>23210854.866157211</v>
      </c>
      <c r="FK239">
        <v>18699899.192617211</v>
      </c>
      <c r="FL239" s="9">
        <v>4510955.6735399999</v>
      </c>
      <c r="FM239" s="9">
        <v>34945320.490000002</v>
      </c>
      <c r="FN239" s="9">
        <v>3026662.44</v>
      </c>
      <c r="FO239">
        <v>2701.17</v>
      </c>
      <c r="FP239">
        <v>0</v>
      </c>
      <c r="FQ239">
        <v>107.88</v>
      </c>
      <c r="FR239">
        <v>565.16</v>
      </c>
      <c r="FS239">
        <v>8.49</v>
      </c>
      <c r="FT239">
        <v>3704.84</v>
      </c>
      <c r="FU239">
        <v>586.17999999999995</v>
      </c>
      <c r="FV239">
        <v>3449.4</v>
      </c>
      <c r="FW239">
        <v>11800.42</v>
      </c>
      <c r="FX239">
        <v>162.18</v>
      </c>
      <c r="HB239" s="6"/>
      <c r="HC239" s="6"/>
      <c r="HD239" s="6"/>
    </row>
    <row r="240" spans="1:212" x14ac:dyDescent="0.2">
      <c r="A240" s="8" t="s">
        <v>862</v>
      </c>
      <c r="B240" s="8" t="s">
        <v>487</v>
      </c>
      <c r="C240" s="8" t="s">
        <v>489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>
        <v>894722.3</v>
      </c>
      <c r="BO240" s="9">
        <v>739988.9</v>
      </c>
      <c r="BP240" s="9">
        <v>140275</v>
      </c>
      <c r="BQ240" s="9">
        <v>72147</v>
      </c>
      <c r="BR240" s="9">
        <v>68146.899999999994</v>
      </c>
      <c r="BS240" s="9">
        <v>161693</v>
      </c>
      <c r="BT240" s="9">
        <v>224076.5</v>
      </c>
      <c r="BU240" s="9">
        <v>61804.4</v>
      </c>
      <c r="BV240" s="9">
        <v>102958.39999999999</v>
      </c>
      <c r="BW240" s="9">
        <v>658479.69999999995</v>
      </c>
      <c r="BX240" s="9">
        <v>21504.5</v>
      </c>
      <c r="BY240" s="9">
        <v>159000.6</v>
      </c>
      <c r="BZ240" s="9">
        <v>185674.5</v>
      </c>
      <c r="CA240" s="9">
        <v>45221</v>
      </c>
      <c r="CB240" s="9">
        <v>21072.400000000001</v>
      </c>
      <c r="CC240" s="9">
        <v>247511.3</v>
      </c>
      <c r="CD240" s="9">
        <v>3206.2</v>
      </c>
      <c r="CE240" s="9">
        <v>221687</v>
      </c>
      <c r="CF240" s="9">
        <v>3995133.2597367</v>
      </c>
      <c r="CG240" s="9">
        <v>20478830.291819129</v>
      </c>
      <c r="CH240" s="9">
        <v>10.950652245300001</v>
      </c>
      <c r="CI240" s="9">
        <v>4.3134187097999996</v>
      </c>
      <c r="CJ240" s="9">
        <v>16.986852518599999</v>
      </c>
      <c r="CK240" s="9">
        <v>10.658827994999999</v>
      </c>
      <c r="CL240" s="9">
        <v>11</v>
      </c>
      <c r="CM240" s="9">
        <v>121.2897864183</v>
      </c>
      <c r="CN240" s="9">
        <v>31.167087175399999</v>
      </c>
      <c r="CO240" s="9">
        <v>5.1361445571999997</v>
      </c>
      <c r="CP240" s="9">
        <v>20.078116593699999</v>
      </c>
      <c r="CQ240" s="9">
        <v>12.334332824100001</v>
      </c>
      <c r="CR240" s="9">
        <v>5.8078672235999997</v>
      </c>
      <c r="CS240" s="9">
        <v>4.6636936268999998</v>
      </c>
      <c r="CT240" s="9">
        <v>16.812568370099999</v>
      </c>
      <c r="CU240" s="9">
        <v>4.3075593595999999</v>
      </c>
      <c r="CV240" s="9">
        <v>3.9317651112999998</v>
      </c>
      <c r="CW240" s="9">
        <v>6.8192139509</v>
      </c>
      <c r="CX240" s="9">
        <v>3.6414265710999998</v>
      </c>
      <c r="CY240" s="9">
        <v>6.5900110543999997</v>
      </c>
      <c r="CZ240" s="9">
        <v>527</v>
      </c>
      <c r="DA240" s="9">
        <v>472</v>
      </c>
      <c r="DB240" s="9">
        <v>0</v>
      </c>
      <c r="DC240" s="9">
        <v>130</v>
      </c>
      <c r="DD240" s="9">
        <v>60</v>
      </c>
      <c r="DE240" s="9">
        <v>20</v>
      </c>
      <c r="DF240" s="9">
        <v>196</v>
      </c>
      <c r="DG240" s="9">
        <v>32</v>
      </c>
      <c r="DH240" s="9">
        <v>23</v>
      </c>
      <c r="DI240" s="9">
        <v>17</v>
      </c>
      <c r="DJ240" s="9">
        <v>0</v>
      </c>
      <c r="DK240" s="9">
        <v>2</v>
      </c>
      <c r="DL240" s="9">
        <v>3</v>
      </c>
      <c r="DM240" s="9">
        <v>28</v>
      </c>
      <c r="DN240" s="9">
        <v>0</v>
      </c>
      <c r="DO240" s="9">
        <v>519.26</v>
      </c>
      <c r="DP240" s="9">
        <v>134.68</v>
      </c>
      <c r="DQ240" s="9">
        <v>78.62</v>
      </c>
      <c r="DR240" s="9">
        <v>56.06</v>
      </c>
      <c r="DS240" s="9">
        <v>49.8</v>
      </c>
      <c r="DT240" s="9">
        <v>10.59</v>
      </c>
      <c r="DU240" s="9">
        <v>230.59</v>
      </c>
      <c r="DV240" s="9">
        <v>174.47</v>
      </c>
      <c r="DW240" s="9">
        <v>42.17</v>
      </c>
      <c r="DX240" s="9">
        <v>103.84</v>
      </c>
      <c r="DY240" s="9">
        <v>62.84</v>
      </c>
      <c r="DZ240" s="9">
        <v>22.91</v>
      </c>
      <c r="EA240" s="9">
        <v>-290.50900000000001</v>
      </c>
      <c r="EB240" s="9">
        <v>-22.1433</v>
      </c>
      <c r="EC240" s="9">
        <v>-172.11199999999999</v>
      </c>
      <c r="ED240" s="9">
        <v>-109.70099999999999</v>
      </c>
      <c r="EE240" s="9">
        <v>13.447050000000001</v>
      </c>
      <c r="EF240" s="9">
        <v>9.9915540000000007</v>
      </c>
      <c r="EG240" s="9">
        <v>-92.215400000000002</v>
      </c>
      <c r="EH240" s="9">
        <v>-158.167</v>
      </c>
      <c r="EI240" s="9">
        <v>-1.4710099999999999</v>
      </c>
      <c r="EJ240" s="9">
        <v>-0.39910000000000001</v>
      </c>
      <c r="EK240" s="9">
        <v>67.821460000000002</v>
      </c>
      <c r="EL240" s="9">
        <v>97.657179999999997</v>
      </c>
      <c r="EM240" s="9">
        <v>-90.645099999999999</v>
      </c>
      <c r="EN240" s="9">
        <v>4015.4920951776999</v>
      </c>
      <c r="EO240" s="9">
        <v>522.44712149839995</v>
      </c>
      <c r="EP240" s="9">
        <v>2358.4649932369002</v>
      </c>
      <c r="EQ240" s="9">
        <v>7.4628640586000001</v>
      </c>
      <c r="ER240" s="9">
        <v>49.189727301399998</v>
      </c>
      <c r="ES240" s="9">
        <v>1077.9273890825</v>
      </c>
      <c r="ET240" s="9">
        <v>0</v>
      </c>
      <c r="EU240">
        <v>2705.2594736842002</v>
      </c>
      <c r="EV240" s="9"/>
      <c r="EW240" s="9"/>
      <c r="EX240" s="9"/>
      <c r="EY240" s="9"/>
      <c r="EZ240" s="9"/>
      <c r="FA240" s="9"/>
      <c r="FB240" s="9">
        <v>69.729081632700002</v>
      </c>
      <c r="FC240" s="9">
        <v>62.744285714299998</v>
      </c>
      <c r="FD240" s="9">
        <v>5859.9523809523998</v>
      </c>
      <c r="FE240" s="9">
        <v>82.904761904799997</v>
      </c>
      <c r="FF240" s="9">
        <v>1470.0166666667001</v>
      </c>
      <c r="FG240">
        <v>18394467.260979999</v>
      </c>
      <c r="FH240">
        <v>18004866.688079998</v>
      </c>
      <c r="FI240">
        <v>389600.57290000003</v>
      </c>
      <c r="FJ240" s="9">
        <v>23179745.576226782</v>
      </c>
      <c r="FK240">
        <v>18585575.483107783</v>
      </c>
      <c r="FL240" s="9">
        <v>4594170.0931190001</v>
      </c>
      <c r="FM240" s="9">
        <v>34913955.659999996</v>
      </c>
      <c r="FN240" s="9">
        <v>3033208.12</v>
      </c>
      <c r="FO240">
        <v>2715.22</v>
      </c>
      <c r="FP240">
        <v>0</v>
      </c>
      <c r="FQ240">
        <v>118.54</v>
      </c>
      <c r="FR240">
        <v>880.42</v>
      </c>
      <c r="FS240">
        <v>15.49</v>
      </c>
      <c r="FT240">
        <v>2450.0300000000002</v>
      </c>
      <c r="FU240">
        <v>569.78</v>
      </c>
      <c r="FV240">
        <v>7479.89</v>
      </c>
      <c r="FW240">
        <v>10205.66</v>
      </c>
      <c r="FX240">
        <v>23.16</v>
      </c>
      <c r="HB240" s="6"/>
      <c r="HC240" s="6"/>
      <c r="HD240" s="6"/>
    </row>
    <row r="241" spans="1:212" x14ac:dyDescent="0.2">
      <c r="A241" s="8" t="s">
        <v>862</v>
      </c>
      <c r="B241" s="8" t="s">
        <v>487</v>
      </c>
      <c r="C241" s="8" t="s">
        <v>490</v>
      </c>
      <c r="D241" s="9">
        <v>9881135.2070000004</v>
      </c>
      <c r="E241" s="9">
        <v>942510.54</v>
      </c>
      <c r="F241" s="9">
        <v>2195416.4380000001</v>
      </c>
      <c r="G241" s="9">
        <v>1214058.02</v>
      </c>
      <c r="H241" s="9">
        <v>247851.34</v>
      </c>
      <c r="I241" s="9">
        <v>736902.49600000004</v>
      </c>
      <c r="J241" s="9">
        <v>1414983.902</v>
      </c>
      <c r="K241" s="9">
        <v>348761.77399999998</v>
      </c>
      <c r="L241" s="9">
        <v>175026.63500000001</v>
      </c>
      <c r="M241" s="9">
        <v>1813406.0490000001</v>
      </c>
      <c r="N241" s="9">
        <v>792218.01300000004</v>
      </c>
      <c r="O241" s="9">
        <v>7738825.0690000001</v>
      </c>
      <c r="P241" s="9">
        <v>897012.755</v>
      </c>
      <c r="Q241" s="9">
        <v>1086042.882</v>
      </c>
      <c r="R241" s="9">
        <v>815058.71</v>
      </c>
      <c r="S241" s="9">
        <v>208082.80600000001</v>
      </c>
      <c r="T241" s="9">
        <v>553570.75199999998</v>
      </c>
      <c r="U241" s="9">
        <v>1003969.412</v>
      </c>
      <c r="V241" s="9">
        <v>602599.53200000001</v>
      </c>
      <c r="W241" s="9">
        <v>134396.43100000001</v>
      </c>
      <c r="X241" s="9">
        <v>1911772.5859999999</v>
      </c>
      <c r="Y241" s="9">
        <v>526319.20200000005</v>
      </c>
      <c r="Z241" s="9">
        <v>10212917.310000001</v>
      </c>
      <c r="AA241" s="9">
        <v>5361122.1780000003</v>
      </c>
      <c r="AB241" s="9">
        <v>1399785.628</v>
      </c>
      <c r="AC241" s="9">
        <v>3317780.8569999998</v>
      </c>
      <c r="AD241" s="9">
        <v>1538346.1569999999</v>
      </c>
      <c r="AE241" s="9">
        <v>4965998.2120000003</v>
      </c>
      <c r="AF241" s="9">
        <v>6370115.7230000002</v>
      </c>
      <c r="AG241" s="9">
        <v>7710196.7000000002</v>
      </c>
      <c r="AH241" s="9">
        <v>4683784.5999999996</v>
      </c>
      <c r="AI241" s="9">
        <v>1267105.8999999999</v>
      </c>
      <c r="AJ241" s="9">
        <v>2397164.4</v>
      </c>
      <c r="AK241" s="9">
        <v>1377415.3</v>
      </c>
      <c r="AL241" s="9">
        <v>3118552.8</v>
      </c>
      <c r="AM241" s="9">
        <v>5133826.3</v>
      </c>
      <c r="AN241" s="9">
        <v>1188440</v>
      </c>
      <c r="AO241" s="9">
        <v>633120</v>
      </c>
      <c r="AP241" s="9">
        <v>555320</v>
      </c>
      <c r="AQ241" s="9">
        <v>105139</v>
      </c>
      <c r="AR241" s="9">
        <v>66091</v>
      </c>
      <c r="AS241" s="9">
        <v>39048</v>
      </c>
      <c r="AT241" s="9">
        <v>838523</v>
      </c>
      <c r="AU241" s="9">
        <v>314607</v>
      </c>
      <c r="AV241" s="9">
        <v>523916</v>
      </c>
      <c r="AW241" s="9">
        <v>1242.7</v>
      </c>
      <c r="AX241" s="9">
        <v>919.4</v>
      </c>
      <c r="AY241" s="9">
        <v>2928.5</v>
      </c>
      <c r="AZ241" s="9">
        <v>1256.5</v>
      </c>
      <c r="BA241" s="9">
        <v>1741</v>
      </c>
      <c r="BB241" s="9">
        <v>923.2</v>
      </c>
      <c r="BC241" s="9">
        <v>1271.9000000000001</v>
      </c>
      <c r="BD241" s="9">
        <v>1015.1</v>
      </c>
      <c r="BE241" s="9">
        <v>1237.4000000000001</v>
      </c>
      <c r="BF241" s="9">
        <v>774.6</v>
      </c>
      <c r="BG241" s="9">
        <v>1246</v>
      </c>
      <c r="BH241" s="9">
        <v>1440.8</v>
      </c>
      <c r="BI241" s="9">
        <v>1297.8</v>
      </c>
      <c r="BJ241" s="9">
        <v>1001.1</v>
      </c>
      <c r="BK241" s="9">
        <v>1041.5999999999999</v>
      </c>
      <c r="BL241" s="9">
        <v>828.6</v>
      </c>
      <c r="BM241" s="9">
        <v>1026.8</v>
      </c>
      <c r="BN241" s="9">
        <v>1216215.8999999999</v>
      </c>
      <c r="BO241" s="9">
        <v>997372.2</v>
      </c>
      <c r="BP241" s="9">
        <v>252315.6</v>
      </c>
      <c r="BQ241" s="9">
        <v>123941.7</v>
      </c>
      <c r="BR241" s="9">
        <v>128577.9</v>
      </c>
      <c r="BS241" s="9">
        <v>235366.9</v>
      </c>
      <c r="BT241" s="9">
        <v>260951.7</v>
      </c>
      <c r="BU241" s="9">
        <v>70103.199999999997</v>
      </c>
      <c r="BV241" s="9">
        <v>117303.8</v>
      </c>
      <c r="BW241" s="9">
        <v>1009447.6</v>
      </c>
      <c r="BX241" s="9">
        <v>185694.2</v>
      </c>
      <c r="BY241" s="9">
        <v>354269.2</v>
      </c>
      <c r="BZ241" s="9">
        <v>244908.2</v>
      </c>
      <c r="CA241" s="9">
        <v>48569.9</v>
      </c>
      <c r="CB241" s="9">
        <v>58160.7</v>
      </c>
      <c r="CC241" s="9">
        <v>303539.40000000002</v>
      </c>
      <c r="CD241" s="9">
        <v>14235.9</v>
      </c>
      <c r="CE241" s="9">
        <v>1034013.5</v>
      </c>
      <c r="CF241" s="9">
        <v>3904108.3379122159</v>
      </c>
      <c r="CG241" s="9">
        <v>20833642.011949971</v>
      </c>
      <c r="CH241" s="9">
        <v>10.545271427299999</v>
      </c>
      <c r="CI241" s="9">
        <v>4.4696035325999999</v>
      </c>
      <c r="CJ241" s="9">
        <v>16.891787392099999</v>
      </c>
      <c r="CK241" s="9">
        <v>8.6967747063999994</v>
      </c>
      <c r="CL241" s="9">
        <v>11</v>
      </c>
      <c r="CM241" s="9">
        <v>122.0290377967</v>
      </c>
      <c r="CN241" s="9">
        <v>31.381702368999999</v>
      </c>
      <c r="CO241" s="9">
        <v>5.1623818840000002</v>
      </c>
      <c r="CP241" s="9">
        <v>20.2885424312</v>
      </c>
      <c r="CQ241" s="9">
        <v>12.369080903</v>
      </c>
      <c r="CR241" s="9">
        <v>5.8519004345000001</v>
      </c>
      <c r="CS241" s="9">
        <v>4.6750785237999999</v>
      </c>
      <c r="CT241" s="9">
        <v>16.911790287500001</v>
      </c>
      <c r="CU241" s="9">
        <v>4.3075593595999999</v>
      </c>
      <c r="CV241" s="9">
        <v>3.9350022529999999</v>
      </c>
      <c r="CW241" s="9">
        <v>6.8192139509</v>
      </c>
      <c r="CX241" s="9">
        <v>3.6472297092999999</v>
      </c>
      <c r="CY241" s="9">
        <v>6.6795556909</v>
      </c>
      <c r="CZ241" s="9">
        <v>564</v>
      </c>
      <c r="DA241" s="9">
        <v>469</v>
      </c>
      <c r="DB241" s="9">
        <v>74</v>
      </c>
      <c r="DC241" s="9">
        <v>125</v>
      </c>
      <c r="DD241" s="9">
        <v>57</v>
      </c>
      <c r="DE241" s="9">
        <v>14</v>
      </c>
      <c r="DF241" s="9">
        <v>130</v>
      </c>
      <c r="DG241" s="9">
        <v>32</v>
      </c>
      <c r="DH241" s="9">
        <v>33</v>
      </c>
      <c r="DI241" s="9">
        <v>23</v>
      </c>
      <c r="DJ241" s="9">
        <v>1</v>
      </c>
      <c r="DK241" s="9">
        <v>6</v>
      </c>
      <c r="DL241" s="9">
        <v>4</v>
      </c>
      <c r="DM241" s="9">
        <v>58</v>
      </c>
      <c r="DN241" s="9">
        <v>0</v>
      </c>
      <c r="DO241" s="9">
        <v>543.70000000000005</v>
      </c>
      <c r="DP241" s="9">
        <v>128.88</v>
      </c>
      <c r="DQ241" s="9">
        <v>81.599999999999994</v>
      </c>
      <c r="DR241" s="9">
        <v>47.28</v>
      </c>
      <c r="DS241" s="9">
        <v>53.01</v>
      </c>
      <c r="DT241" s="9">
        <v>13.09</v>
      </c>
      <c r="DU241" s="9">
        <v>245.05</v>
      </c>
      <c r="DV241" s="9">
        <v>187.3</v>
      </c>
      <c r="DW241" s="9">
        <v>39.44</v>
      </c>
      <c r="DX241" s="9">
        <v>116.44</v>
      </c>
      <c r="DY241" s="9">
        <v>57.26</v>
      </c>
      <c r="DZ241" s="9">
        <v>39.44</v>
      </c>
      <c r="EA241" s="9">
        <v>-418.39</v>
      </c>
      <c r="EB241" s="9">
        <v>0.18070900000000001</v>
      </c>
      <c r="EC241" s="9">
        <v>-204.40299999999999</v>
      </c>
      <c r="ED241" s="9">
        <v>-229.624</v>
      </c>
      <c r="EE241" s="9">
        <v>15.45641</v>
      </c>
      <c r="EF241" s="9">
        <v>58.69538</v>
      </c>
      <c r="EG241" s="9">
        <v>-814.48500000000001</v>
      </c>
      <c r="EH241" s="9">
        <v>-409.66399999999999</v>
      </c>
      <c r="EI241" s="9">
        <v>3.0590929999999998</v>
      </c>
      <c r="EJ241" s="9">
        <v>2.82436</v>
      </c>
      <c r="EK241" s="9">
        <v>-410.70400000000001</v>
      </c>
      <c r="EL241" s="9">
        <v>-164.059</v>
      </c>
      <c r="EM241" s="9">
        <v>290.73079999999999</v>
      </c>
      <c r="EN241" s="9">
        <v>4348.5917249623999</v>
      </c>
      <c r="EO241" s="9">
        <v>1516.4703788403001</v>
      </c>
      <c r="EP241" s="9">
        <v>1658.2736399886001</v>
      </c>
      <c r="EQ241" s="9">
        <v>7.5022895177000004</v>
      </c>
      <c r="ER241" s="9">
        <v>49.449591017099998</v>
      </c>
      <c r="ES241" s="9">
        <v>1116.8958255988</v>
      </c>
      <c r="ET241" s="9">
        <v>0</v>
      </c>
      <c r="EU241">
        <v>2727.3418181818001</v>
      </c>
      <c r="EV241" s="9">
        <v>30702.29</v>
      </c>
      <c r="EW241" s="9">
        <v>7806.2</v>
      </c>
      <c r="EX241" s="9">
        <v>1984.69</v>
      </c>
      <c r="EY241" s="9">
        <v>2137.9499999999998</v>
      </c>
      <c r="EZ241" s="9">
        <v>8407.24</v>
      </c>
      <c r="FA241" s="9">
        <v>10366.209999999999</v>
      </c>
      <c r="FB241" s="9">
        <v>70.464642857100003</v>
      </c>
      <c r="FC241" s="9">
        <v>65.854545454499998</v>
      </c>
      <c r="FD241" s="9">
        <v>6077.0625</v>
      </c>
      <c r="FE241" s="9">
        <v>90.977272727300004</v>
      </c>
      <c r="FF241" s="9">
        <v>1476.0444444443999</v>
      </c>
      <c r="FG241">
        <v>18323276.48779</v>
      </c>
      <c r="FH241">
        <v>17932248.764789999</v>
      </c>
      <c r="FI241">
        <v>391027.723</v>
      </c>
      <c r="FJ241" s="9">
        <v>23704421.999861222</v>
      </c>
      <c r="FK241">
        <v>18805783.30064122</v>
      </c>
      <c r="FL241" s="9">
        <v>4898638.6992199998</v>
      </c>
      <c r="FM241" s="9">
        <v>35859341.420000002</v>
      </c>
      <c r="FN241" s="9">
        <v>3030638.59</v>
      </c>
      <c r="FO241">
        <v>2734.33</v>
      </c>
      <c r="FP241">
        <v>1605</v>
      </c>
      <c r="FQ241">
        <v>110.92</v>
      </c>
      <c r="FR241">
        <v>868.94</v>
      </c>
      <c r="FS241">
        <v>10.130000000000001</v>
      </c>
      <c r="FT241">
        <v>1683.02</v>
      </c>
      <c r="FU241">
        <v>547.27</v>
      </c>
      <c r="FV241">
        <v>11038.78</v>
      </c>
      <c r="FW241">
        <v>14579.14</v>
      </c>
      <c r="FX241">
        <v>325.89999999999998</v>
      </c>
      <c r="HB241" s="6"/>
      <c r="HC241" s="6"/>
      <c r="HD241" s="6"/>
    </row>
    <row r="242" spans="1:212" x14ac:dyDescent="0.2">
      <c r="A242" s="8" t="s">
        <v>863</v>
      </c>
      <c r="B242" s="8" t="s">
        <v>491</v>
      </c>
      <c r="C242" s="8" t="s">
        <v>492</v>
      </c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>
        <v>767683.7</v>
      </c>
      <c r="BO242" s="9">
        <v>656350.30000000005</v>
      </c>
      <c r="BP242" s="9">
        <v>114778.8</v>
      </c>
      <c r="BQ242" s="9">
        <v>54783</v>
      </c>
      <c r="BR242" s="9">
        <v>59997.1</v>
      </c>
      <c r="BS242" s="9">
        <v>144362.6</v>
      </c>
      <c r="BT242" s="9">
        <v>198799.9</v>
      </c>
      <c r="BU242" s="9">
        <v>73190.899999999994</v>
      </c>
      <c r="BV242" s="9">
        <v>52095.4</v>
      </c>
      <c r="BW242" s="9">
        <v>564009</v>
      </c>
      <c r="BX242" s="9">
        <v>-2932.6</v>
      </c>
      <c r="BY242" s="9">
        <v>82889.7</v>
      </c>
      <c r="BZ242" s="9">
        <v>192857</v>
      </c>
      <c r="CA242" s="9">
        <v>27611.200000000001</v>
      </c>
      <c r="CB242" s="9">
        <v>8046.4</v>
      </c>
      <c r="CC242" s="9">
        <v>252604.6</v>
      </c>
      <c r="CD242" s="9">
        <v>2333.1999999999998</v>
      </c>
      <c r="CE242" s="9">
        <v>80196.100000000006</v>
      </c>
      <c r="CF242" s="9">
        <v>3658543.1792463418</v>
      </c>
      <c r="CG242" s="9">
        <v>20538004.451797109</v>
      </c>
      <c r="CH242" s="9">
        <v>10.5947603068</v>
      </c>
      <c r="CI242" s="9">
        <v>3.5675347028000002</v>
      </c>
      <c r="CJ242" s="9">
        <v>16.9381437917</v>
      </c>
      <c r="CK242" s="9">
        <v>9.9130619267999993</v>
      </c>
      <c r="CL242" s="9">
        <v>11</v>
      </c>
      <c r="CM242" s="9">
        <v>123.15081444800001</v>
      </c>
      <c r="CN242" s="9">
        <v>32.277205843300003</v>
      </c>
      <c r="CO242" s="9">
        <v>5.1711724277000002</v>
      </c>
      <c r="CP242" s="9">
        <v>20.358231848599999</v>
      </c>
      <c r="CQ242" s="9">
        <v>12.414522202000001</v>
      </c>
      <c r="CR242" s="9">
        <v>5.8663663437000002</v>
      </c>
      <c r="CS242" s="9">
        <v>4.6905528518999997</v>
      </c>
      <c r="CT242" s="9">
        <v>16.9490538019</v>
      </c>
      <c r="CU242" s="9">
        <v>4.3087664228999998</v>
      </c>
      <c r="CV242" s="9">
        <v>3.9321727459</v>
      </c>
      <c r="CW242" s="9">
        <v>6.8192139509</v>
      </c>
      <c r="CX242" s="9">
        <v>3.6590583703999999</v>
      </c>
      <c r="CY242" s="9">
        <v>6.7044976390000004</v>
      </c>
      <c r="CZ242" s="9">
        <v>459</v>
      </c>
      <c r="DA242" s="9">
        <v>431</v>
      </c>
      <c r="DB242" s="9">
        <v>0</v>
      </c>
      <c r="DC242" s="9">
        <v>114</v>
      </c>
      <c r="DD242" s="9">
        <v>55</v>
      </c>
      <c r="DE242" s="9">
        <v>18</v>
      </c>
      <c r="DF242" s="9">
        <v>203</v>
      </c>
      <c r="DG242" s="9">
        <v>17</v>
      </c>
      <c r="DH242" s="9">
        <v>11</v>
      </c>
      <c r="DI242" s="9">
        <v>1</v>
      </c>
      <c r="DJ242" s="9">
        <v>1</v>
      </c>
      <c r="DK242" s="9">
        <v>7</v>
      </c>
      <c r="DL242" s="9">
        <v>1</v>
      </c>
      <c r="DM242" s="9">
        <v>16</v>
      </c>
      <c r="DN242" s="9">
        <v>0</v>
      </c>
      <c r="DO242" s="9">
        <v>473.29</v>
      </c>
      <c r="DP242" s="9">
        <v>120.92</v>
      </c>
      <c r="DQ242" s="9">
        <v>66.12</v>
      </c>
      <c r="DR242" s="9">
        <v>54.8</v>
      </c>
      <c r="DS242" s="9">
        <v>49.28</v>
      </c>
      <c r="DT242" s="9">
        <v>12.5</v>
      </c>
      <c r="DU242" s="9">
        <v>180.91</v>
      </c>
      <c r="DV242" s="9">
        <v>135.97999999999999</v>
      </c>
      <c r="DW242" s="9">
        <v>30.28</v>
      </c>
      <c r="DX242" s="9">
        <v>121.76</v>
      </c>
      <c r="DY242" s="9">
        <v>70.87</v>
      </c>
      <c r="DZ242" s="9">
        <v>32.07</v>
      </c>
      <c r="EA242" s="9">
        <v>-254</v>
      </c>
      <c r="EB242" s="9">
        <v>-99</v>
      </c>
      <c r="EC242" s="9">
        <v>-133</v>
      </c>
      <c r="ED242" s="9">
        <v>-39</v>
      </c>
      <c r="EE242" s="9">
        <v>17</v>
      </c>
      <c r="EF242" s="9">
        <v>8</v>
      </c>
      <c r="EG242" s="9">
        <v>-110</v>
      </c>
      <c r="EH242" s="9">
        <v>-91</v>
      </c>
      <c r="EI242" s="9">
        <v>-5</v>
      </c>
      <c r="EJ242" s="9">
        <v>-1</v>
      </c>
      <c r="EK242" s="9">
        <v>-13</v>
      </c>
      <c r="EL242" s="9">
        <v>46</v>
      </c>
      <c r="EM242" s="9">
        <v>-91</v>
      </c>
      <c r="EN242" s="9">
        <v>4361.5964301353997</v>
      </c>
      <c r="EO242" s="9">
        <v>515.78052315000002</v>
      </c>
      <c r="EP242" s="9">
        <v>2569.9934439895001</v>
      </c>
      <c r="EQ242" s="9">
        <v>7.4744210076000002</v>
      </c>
      <c r="ER242" s="9">
        <v>49.265902234899997</v>
      </c>
      <c r="ES242" s="9">
        <v>1219.0821397534</v>
      </c>
      <c r="ET242" s="9">
        <v>0</v>
      </c>
      <c r="EU242">
        <v>2744.3822727273</v>
      </c>
      <c r="EV242" s="9"/>
      <c r="EW242" s="9"/>
      <c r="EX242" s="9"/>
      <c r="EY242" s="9"/>
      <c r="EZ242" s="9"/>
      <c r="FA242" s="9"/>
      <c r="FB242" s="9">
        <v>72.106168831199994</v>
      </c>
      <c r="FC242" s="9">
        <v>63.602173913000001</v>
      </c>
      <c r="FD242" s="9">
        <v>6031.2090909091003</v>
      </c>
      <c r="FE242" s="9">
        <v>95.217391304299994</v>
      </c>
      <c r="FF242" s="9">
        <v>1560.6727272727001</v>
      </c>
      <c r="FG242">
        <v>18311119.527600002</v>
      </c>
      <c r="FH242">
        <v>17918659.651300002</v>
      </c>
      <c r="FI242">
        <v>392459.8763</v>
      </c>
      <c r="FJ242" s="9">
        <v>23434218.400305171</v>
      </c>
      <c r="FK242">
        <v>18733139.524007171</v>
      </c>
      <c r="FL242" s="9">
        <v>4701078.8762980001</v>
      </c>
      <c r="FM242" s="9">
        <v>35222065.450000003</v>
      </c>
      <c r="FN242" s="9">
        <v>3049587.25</v>
      </c>
      <c r="FO242">
        <v>2751.57</v>
      </c>
      <c r="FP242">
        <v>0</v>
      </c>
      <c r="FQ242">
        <v>101.59</v>
      </c>
      <c r="FR242">
        <v>815.5</v>
      </c>
      <c r="FS242">
        <v>12.77</v>
      </c>
      <c r="FT242">
        <v>2425.46</v>
      </c>
      <c r="FU242">
        <v>287.75</v>
      </c>
      <c r="FV242">
        <v>324.3</v>
      </c>
      <c r="FW242">
        <v>22955.33</v>
      </c>
      <c r="FX242">
        <v>690.63</v>
      </c>
      <c r="HB242" s="6"/>
      <c r="HC242" s="6"/>
      <c r="HD242" s="6"/>
    </row>
    <row r="243" spans="1:212" x14ac:dyDescent="0.2">
      <c r="A243" s="8" t="s">
        <v>863</v>
      </c>
      <c r="B243" s="8" t="s">
        <v>491</v>
      </c>
      <c r="C243" s="8" t="s">
        <v>493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>
        <v>696691.1</v>
      </c>
      <c r="BO243" s="9">
        <v>598894.69999999995</v>
      </c>
      <c r="BP243" s="9">
        <v>289783.8</v>
      </c>
      <c r="BQ243" s="9">
        <v>215494.39999999999</v>
      </c>
      <c r="BR243" s="9">
        <v>74289.7</v>
      </c>
      <c r="BS243" s="9">
        <v>154991.29999999999</v>
      </c>
      <c r="BT243" s="9">
        <v>3696</v>
      </c>
      <c r="BU243" s="9">
        <v>57803.5</v>
      </c>
      <c r="BV243" s="9">
        <v>61947.6</v>
      </c>
      <c r="BW243" s="9">
        <v>761918.6</v>
      </c>
      <c r="BX243" s="9">
        <v>-5336.5</v>
      </c>
      <c r="BY243" s="9">
        <v>118824</v>
      </c>
      <c r="BZ243" s="9">
        <v>202355.8</v>
      </c>
      <c r="CA243" s="9">
        <v>58045.5</v>
      </c>
      <c r="CB243" s="9">
        <v>47483.5</v>
      </c>
      <c r="CC243" s="9">
        <v>11695.1</v>
      </c>
      <c r="CD243" s="9">
        <v>335209.90000000002</v>
      </c>
      <c r="CE243" s="9">
        <v>91394.9</v>
      </c>
      <c r="CF243" s="9">
        <v>3480068.9895982719</v>
      </c>
      <c r="CG243" s="9">
        <v>20601204.231945381</v>
      </c>
      <c r="CH243" s="9">
        <v>9.8109801671000003</v>
      </c>
      <c r="CI243" s="9">
        <v>3.7648411086000002</v>
      </c>
      <c r="CJ243" s="9">
        <v>16.7791213173</v>
      </c>
      <c r="CK243" s="9">
        <v>10.320735838099999</v>
      </c>
      <c r="CL243" s="9">
        <v>11</v>
      </c>
      <c r="CM243" s="9">
        <v>124.6208450813</v>
      </c>
      <c r="CN243" s="9">
        <v>33.389881768099997</v>
      </c>
      <c r="CO243" s="9">
        <v>5.2298134568999997</v>
      </c>
      <c r="CP243" s="9">
        <v>20.427599576199999</v>
      </c>
      <c r="CQ243" s="9">
        <v>12.434379767699999</v>
      </c>
      <c r="CR243" s="9">
        <v>5.8914259972999998</v>
      </c>
      <c r="CS243" s="9">
        <v>4.7091265192999998</v>
      </c>
      <c r="CT243" s="9">
        <v>17.0462489469</v>
      </c>
      <c r="CU243" s="9">
        <v>4.3087664228999998</v>
      </c>
      <c r="CV243" s="9">
        <v>3.9333284943</v>
      </c>
      <c r="CW243" s="9">
        <v>6.8192139509</v>
      </c>
      <c r="CX243" s="9">
        <v>3.7022586993000002</v>
      </c>
      <c r="CY243" s="9">
        <v>6.7288014814999997</v>
      </c>
      <c r="CZ243" s="9">
        <v>312</v>
      </c>
      <c r="DA243" s="9">
        <v>288</v>
      </c>
      <c r="DB243" s="9">
        <v>80</v>
      </c>
      <c r="DC243" s="9">
        <v>105</v>
      </c>
      <c r="DD243" s="9">
        <v>43</v>
      </c>
      <c r="DE243" s="9">
        <v>18</v>
      </c>
      <c r="DF243" s="9">
        <v>26</v>
      </c>
      <c r="DG243" s="9">
        <v>0</v>
      </c>
      <c r="DH243" s="9">
        <v>10</v>
      </c>
      <c r="DI243" s="9">
        <v>1</v>
      </c>
      <c r="DJ243" s="9">
        <v>1</v>
      </c>
      <c r="DK243" s="9">
        <v>6</v>
      </c>
      <c r="DL243" s="9">
        <v>1</v>
      </c>
      <c r="DM243" s="9">
        <v>14</v>
      </c>
      <c r="DN243" s="9">
        <v>0</v>
      </c>
      <c r="DO243" s="9">
        <v>276.73</v>
      </c>
      <c r="DP243" s="9">
        <v>86.78</v>
      </c>
      <c r="DQ243" s="9">
        <v>49.92</v>
      </c>
      <c r="DR243" s="9">
        <v>36.86</v>
      </c>
      <c r="DS243" s="9">
        <v>39.96</v>
      </c>
      <c r="DT243" s="9">
        <v>12.82</v>
      </c>
      <c r="DU243" s="9">
        <v>88.94</v>
      </c>
      <c r="DV243" s="9">
        <v>65.98</v>
      </c>
      <c r="DW243" s="9">
        <v>15.77</v>
      </c>
      <c r="DX243" s="9">
        <v>60.77</v>
      </c>
      <c r="DY243" s="9">
        <v>33.18</v>
      </c>
      <c r="DZ243" s="9">
        <v>13.73</v>
      </c>
      <c r="EA243" s="9">
        <v>-146</v>
      </c>
      <c r="EB243" s="9">
        <v>-13</v>
      </c>
      <c r="EC243" s="9">
        <v>-135</v>
      </c>
      <c r="ED243" s="9">
        <v>-46</v>
      </c>
      <c r="EE243" s="9">
        <v>47</v>
      </c>
      <c r="EF243" s="9">
        <v>8</v>
      </c>
      <c r="EG243" s="9">
        <v>-173</v>
      </c>
      <c r="EH243" s="9">
        <v>-77</v>
      </c>
      <c r="EI243" s="9">
        <v>-18</v>
      </c>
      <c r="EJ243" s="9">
        <v>1</v>
      </c>
      <c r="EK243" s="9">
        <v>-78</v>
      </c>
      <c r="EL243" s="9">
        <v>-27</v>
      </c>
      <c r="EM243" s="9">
        <v>8</v>
      </c>
      <c r="EN243" s="9">
        <v>4371.3101573657004</v>
      </c>
      <c r="EO243" s="9">
        <v>517.82574520000003</v>
      </c>
      <c r="EP243" s="9">
        <v>2574.6856695432998</v>
      </c>
      <c r="EQ243" s="9">
        <v>7.4452560548999998</v>
      </c>
      <c r="ER243" s="9">
        <v>47.939626139200001</v>
      </c>
      <c r="ES243" s="9">
        <v>1223.4138604284001</v>
      </c>
      <c r="ET243" s="9">
        <v>0</v>
      </c>
      <c r="EU243">
        <v>2756.5188235293999</v>
      </c>
      <c r="EV243" s="9"/>
      <c r="EW243" s="9"/>
      <c r="EX243" s="9"/>
      <c r="EY243" s="9"/>
      <c r="EZ243" s="9"/>
      <c r="FA243" s="9"/>
      <c r="FB243" s="9">
        <v>71.050178571399996</v>
      </c>
      <c r="FC243" s="9">
        <v>55.003500000000003</v>
      </c>
      <c r="FD243" s="9">
        <v>5687.75</v>
      </c>
      <c r="FE243" s="9">
        <v>87.625</v>
      </c>
      <c r="FF243" s="9">
        <v>1597.1025</v>
      </c>
      <c r="FG243">
        <v>17582767.069699999</v>
      </c>
      <c r="FH243">
        <v>17189443.8763</v>
      </c>
      <c r="FI243">
        <v>393323.19339999999</v>
      </c>
      <c r="FJ243" s="9">
        <v>23519881.837810393</v>
      </c>
      <c r="FK243">
        <v>18638366.37543039</v>
      </c>
      <c r="FL243" s="9">
        <v>4881515.4623799995</v>
      </c>
      <c r="FM243" s="9">
        <v>35146790.539999999</v>
      </c>
      <c r="FN243" s="9">
        <v>3044639.93</v>
      </c>
      <c r="FO243">
        <v>2762.71</v>
      </c>
      <c r="FP243">
        <v>1556</v>
      </c>
      <c r="FQ243">
        <v>90.68</v>
      </c>
      <c r="FR243">
        <v>611.95000000000005</v>
      </c>
      <c r="FS243">
        <v>13.68</v>
      </c>
      <c r="FT243">
        <v>354.94</v>
      </c>
      <c r="FU243">
        <v>0</v>
      </c>
      <c r="FV243">
        <v>208.89</v>
      </c>
      <c r="FW243">
        <v>22701.56</v>
      </c>
      <c r="FX243">
        <v>502.63</v>
      </c>
      <c r="HB243" s="6"/>
      <c r="HC243" s="6"/>
      <c r="HD243" s="6"/>
    </row>
    <row r="244" spans="1:212" x14ac:dyDescent="0.2">
      <c r="A244" s="8" t="s">
        <v>863</v>
      </c>
      <c r="B244" s="8" t="s">
        <v>491</v>
      </c>
      <c r="C244" s="8" t="s">
        <v>494</v>
      </c>
      <c r="D244" s="9">
        <v>7525526.8799999999</v>
      </c>
      <c r="E244" s="9">
        <v>272038.52399999998</v>
      </c>
      <c r="F244" s="9">
        <v>1730584.8810000001</v>
      </c>
      <c r="G244" s="9">
        <v>781234.47400000005</v>
      </c>
      <c r="H244" s="9">
        <v>231253.609</v>
      </c>
      <c r="I244" s="9">
        <v>85621.712</v>
      </c>
      <c r="J244" s="9">
        <v>601260.09400000004</v>
      </c>
      <c r="K244" s="9">
        <v>330296.62599999999</v>
      </c>
      <c r="L244" s="9">
        <v>141675.52799999999</v>
      </c>
      <c r="M244" s="9">
        <v>2537029.0049999999</v>
      </c>
      <c r="N244" s="9">
        <v>814532.42700000003</v>
      </c>
      <c r="O244" s="9">
        <v>4720726.7089999998</v>
      </c>
      <c r="P244" s="9">
        <v>228373.13200000001</v>
      </c>
      <c r="Q244" s="9">
        <v>641400.82200000004</v>
      </c>
      <c r="R244" s="9">
        <v>321443.55699999997</v>
      </c>
      <c r="S244" s="9">
        <v>208238.674</v>
      </c>
      <c r="T244" s="9">
        <v>70577.106</v>
      </c>
      <c r="U244" s="9">
        <v>502436.71799999999</v>
      </c>
      <c r="V244" s="9">
        <v>184321.75200000001</v>
      </c>
      <c r="W244" s="9">
        <v>135951.77299999999</v>
      </c>
      <c r="X244" s="9">
        <v>1836058.747</v>
      </c>
      <c r="Y244" s="9">
        <v>591924.42799999996</v>
      </c>
      <c r="Z244" s="9">
        <v>7181928.3289999999</v>
      </c>
      <c r="AA244" s="9">
        <v>5205843.4850000003</v>
      </c>
      <c r="AB244" s="9">
        <v>1126111.5290000001</v>
      </c>
      <c r="AC244" s="9">
        <v>2165001.5120000001</v>
      </c>
      <c r="AD244" s="9">
        <v>216039.29569999999</v>
      </c>
      <c r="AE244" s="9">
        <v>2872568.8859999999</v>
      </c>
      <c r="AF244" s="9">
        <v>4403636.3779999996</v>
      </c>
      <c r="AG244" s="9">
        <v>5081565.7</v>
      </c>
      <c r="AH244" s="9">
        <v>4637542.7</v>
      </c>
      <c r="AI244" s="9">
        <v>1061495.7</v>
      </c>
      <c r="AJ244" s="9">
        <v>1367896.5</v>
      </c>
      <c r="AK244" s="9">
        <v>105936.7</v>
      </c>
      <c r="AL244" s="9">
        <v>1716918.8</v>
      </c>
      <c r="AM244" s="9">
        <v>3808224.7</v>
      </c>
      <c r="AN244" s="9">
        <v>1170455</v>
      </c>
      <c r="AO244" s="9">
        <v>613969</v>
      </c>
      <c r="AP244" s="9">
        <v>556486</v>
      </c>
      <c r="AQ244" s="9">
        <v>82667</v>
      </c>
      <c r="AR244" s="9">
        <v>50496</v>
      </c>
      <c r="AS244" s="9">
        <v>32171</v>
      </c>
      <c r="AT244" s="9">
        <v>871987</v>
      </c>
      <c r="AU244" s="9">
        <v>325065</v>
      </c>
      <c r="AV244" s="9">
        <v>546922</v>
      </c>
      <c r="AW244" s="9">
        <v>1259.7</v>
      </c>
      <c r="AX244" s="9">
        <v>956.3</v>
      </c>
      <c r="AY244" s="9">
        <v>3163</v>
      </c>
      <c r="AZ244" s="9">
        <v>1246.5999999999999</v>
      </c>
      <c r="BA244" s="9">
        <v>1774.3</v>
      </c>
      <c r="BB244" s="9">
        <v>986.7</v>
      </c>
      <c r="BC244" s="9">
        <v>1316.4</v>
      </c>
      <c r="BD244" s="9">
        <v>1008.5</v>
      </c>
      <c r="BE244" s="9">
        <v>1222.8</v>
      </c>
      <c r="BF244" s="9">
        <v>765.1</v>
      </c>
      <c r="BG244" s="9">
        <v>1182.2</v>
      </c>
      <c r="BH244" s="9">
        <v>1503.3</v>
      </c>
      <c r="BI244" s="9">
        <v>1374.2</v>
      </c>
      <c r="BJ244" s="9">
        <v>1020.4</v>
      </c>
      <c r="BK244" s="9">
        <v>1069.7</v>
      </c>
      <c r="BL244" s="9">
        <v>847.9</v>
      </c>
      <c r="BM244" s="9">
        <v>1010.3</v>
      </c>
      <c r="BN244" s="9">
        <v>760190.3</v>
      </c>
      <c r="BO244" s="9">
        <v>657316.6</v>
      </c>
      <c r="BP244" s="9">
        <v>142135</v>
      </c>
      <c r="BQ244" s="9">
        <v>61468.4</v>
      </c>
      <c r="BR244" s="9">
        <v>80965.7</v>
      </c>
      <c r="BS244" s="9">
        <v>160099.4</v>
      </c>
      <c r="BT244" s="9">
        <v>190266.5</v>
      </c>
      <c r="BU244" s="9">
        <v>48521.5</v>
      </c>
      <c r="BV244" s="9">
        <v>47203</v>
      </c>
      <c r="BW244" s="9">
        <v>806663</v>
      </c>
      <c r="BX244" s="9">
        <v>-15473.2</v>
      </c>
      <c r="BY244" s="9">
        <v>141921.79999999999</v>
      </c>
      <c r="BZ244" s="9">
        <v>225685</v>
      </c>
      <c r="CA244" s="9">
        <v>99655.3</v>
      </c>
      <c r="CB244" s="9">
        <v>32955.800000000003</v>
      </c>
      <c r="CC244" s="9">
        <v>15209.6</v>
      </c>
      <c r="CD244" s="9">
        <v>306445.2</v>
      </c>
      <c r="CE244" s="9">
        <v>69358.899999999994</v>
      </c>
      <c r="CF244" s="9">
        <v>3465216.0805859761</v>
      </c>
      <c r="CG244" s="9">
        <v>20450761.237443391</v>
      </c>
      <c r="CH244" s="9">
        <v>11.1298637065</v>
      </c>
      <c r="CI244" s="9">
        <v>5.4092254525000003</v>
      </c>
      <c r="CJ244" s="9">
        <v>16.556159902800001</v>
      </c>
      <c r="CK244" s="9">
        <v>10.4921940309</v>
      </c>
      <c r="CL244" s="9">
        <v>10</v>
      </c>
      <c r="CM244" s="9">
        <v>125.5465137753</v>
      </c>
      <c r="CN244" s="9">
        <v>34.069776326400003</v>
      </c>
      <c r="CO244" s="9">
        <v>5.2868520038</v>
      </c>
      <c r="CP244" s="9">
        <v>20.506568846099999</v>
      </c>
      <c r="CQ244" s="9">
        <v>12.4327435587</v>
      </c>
      <c r="CR244" s="9">
        <v>5.9110909965999996</v>
      </c>
      <c r="CS244" s="9">
        <v>4.7266409061000001</v>
      </c>
      <c r="CT244" s="9">
        <v>17.0550932481</v>
      </c>
      <c r="CU244" s="9">
        <v>4.3087664228999998</v>
      </c>
      <c r="CV244" s="9">
        <v>3.9442272870999999</v>
      </c>
      <c r="CW244" s="9">
        <v>6.8192139509</v>
      </c>
      <c r="CX244" s="9">
        <v>3.7326089658999999</v>
      </c>
      <c r="CY244" s="9">
        <v>6.7529312627999998</v>
      </c>
      <c r="CZ244" s="9">
        <v>265</v>
      </c>
      <c r="DA244" s="9">
        <v>246</v>
      </c>
      <c r="DB244" s="9">
        <v>0</v>
      </c>
      <c r="DC244" s="9">
        <v>132</v>
      </c>
      <c r="DD244" s="9">
        <v>42</v>
      </c>
      <c r="DE244" s="9">
        <v>13</v>
      </c>
      <c r="DF244" s="9">
        <v>24</v>
      </c>
      <c r="DG244" s="9">
        <v>1</v>
      </c>
      <c r="DH244" s="9">
        <v>8</v>
      </c>
      <c r="DI244" s="9">
        <v>0</v>
      </c>
      <c r="DJ244" s="9">
        <v>1</v>
      </c>
      <c r="DK244" s="9">
        <v>4</v>
      </c>
      <c r="DL244" s="9">
        <v>2</v>
      </c>
      <c r="DM244" s="9">
        <v>10</v>
      </c>
      <c r="DN244" s="9">
        <v>0</v>
      </c>
      <c r="DO244" s="9">
        <v>411.54</v>
      </c>
      <c r="DP244" s="9">
        <v>109.5</v>
      </c>
      <c r="DQ244" s="9">
        <v>58.71</v>
      </c>
      <c r="DR244" s="9">
        <v>50.8</v>
      </c>
      <c r="DS244" s="9">
        <v>54.18</v>
      </c>
      <c r="DT244" s="9">
        <v>12.41</v>
      </c>
      <c r="DU244" s="9">
        <v>191.05</v>
      </c>
      <c r="DV244" s="9">
        <v>121.26</v>
      </c>
      <c r="DW244" s="9">
        <v>51.06</v>
      </c>
      <c r="DX244" s="9">
        <v>56.08</v>
      </c>
      <c r="DY244" s="9">
        <v>21.21</v>
      </c>
      <c r="DZ244" s="9">
        <v>17.61</v>
      </c>
      <c r="EA244" s="9">
        <v>-323</v>
      </c>
      <c r="EB244" s="9">
        <v>-185</v>
      </c>
      <c r="EC244" s="9">
        <v>-105</v>
      </c>
      <c r="ED244" s="9">
        <v>-44</v>
      </c>
      <c r="EE244" s="9">
        <v>12</v>
      </c>
      <c r="EF244" s="9">
        <v>9</v>
      </c>
      <c r="EG244" s="9">
        <v>-23</v>
      </c>
      <c r="EH244" s="9">
        <v>-201</v>
      </c>
      <c r="EI244" s="9">
        <v>-18</v>
      </c>
      <c r="EJ244" s="9">
        <v>0</v>
      </c>
      <c r="EK244" s="9">
        <v>196</v>
      </c>
      <c r="EL244" s="9">
        <v>24</v>
      </c>
      <c r="EM244" s="9">
        <v>-267</v>
      </c>
      <c r="EN244" s="9">
        <v>4094.1923087120999</v>
      </c>
      <c r="EO244" s="9">
        <v>520.56185555000002</v>
      </c>
      <c r="EP244" s="9">
        <v>2298.7229447482</v>
      </c>
      <c r="EQ244" s="9">
        <v>7.4236329770999996</v>
      </c>
      <c r="ER244" s="9">
        <v>47.800396237800001</v>
      </c>
      <c r="ES244" s="9">
        <v>1219.683479199</v>
      </c>
      <c r="ET244" s="9">
        <v>0</v>
      </c>
      <c r="EU244">
        <v>2769.0313636363999</v>
      </c>
      <c r="EV244" s="9">
        <v>30517.37</v>
      </c>
      <c r="EW244" s="9">
        <v>7301.73</v>
      </c>
      <c r="EX244" s="9">
        <v>1973.46</v>
      </c>
      <c r="EY244" s="9">
        <v>2212.4699999999998</v>
      </c>
      <c r="EZ244" s="9">
        <v>8371.4500000000007</v>
      </c>
      <c r="FA244" s="9">
        <v>10658.26</v>
      </c>
      <c r="FB244" s="9">
        <v>70.204870129900002</v>
      </c>
      <c r="FC244" s="9">
        <v>32.981818181800001</v>
      </c>
      <c r="FD244" s="9">
        <v>5182.6318181817996</v>
      </c>
      <c r="FE244" s="9">
        <v>88.659090909100001</v>
      </c>
      <c r="FF244" s="9">
        <v>1591.9272727273001</v>
      </c>
      <c r="FG244">
        <v>17382897.6118</v>
      </c>
      <c r="FH244">
        <v>16988558.879099999</v>
      </c>
      <c r="FI244">
        <v>394338.73269999999</v>
      </c>
      <c r="FJ244" s="9">
        <v>23464670.805645809</v>
      </c>
      <c r="FK244">
        <v>18625892.628955811</v>
      </c>
      <c r="FL244" s="9">
        <v>4838778.1766900001</v>
      </c>
      <c r="FM244" s="9">
        <v>34970594.729999997</v>
      </c>
      <c r="FN244" s="9">
        <v>2958075.21</v>
      </c>
      <c r="FO244">
        <v>2777.74</v>
      </c>
      <c r="FP244">
        <v>0</v>
      </c>
      <c r="FQ244">
        <v>114.31</v>
      </c>
      <c r="FR244">
        <v>634.38</v>
      </c>
      <c r="FS244">
        <v>10.44</v>
      </c>
      <c r="FT244">
        <v>341.24</v>
      </c>
      <c r="FU244">
        <v>34.58</v>
      </c>
      <c r="FV244">
        <v>0.28999999999999998</v>
      </c>
      <c r="FW244">
        <v>31866.1</v>
      </c>
      <c r="FX244">
        <v>403.19</v>
      </c>
      <c r="HB244" s="6"/>
      <c r="HC244" s="6"/>
      <c r="HD244" s="6"/>
    </row>
    <row r="245" spans="1:212" x14ac:dyDescent="0.2">
      <c r="A245" s="8" t="s">
        <v>863</v>
      </c>
      <c r="B245" s="8" t="s">
        <v>495</v>
      </c>
      <c r="C245" s="8" t="s">
        <v>496</v>
      </c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>
        <v>642397.1</v>
      </c>
      <c r="BO245" s="9">
        <v>540629.30000000005</v>
      </c>
      <c r="BP245" s="9">
        <v>134655.4</v>
      </c>
      <c r="BQ245" s="9">
        <v>73414</v>
      </c>
      <c r="BR245" s="9">
        <v>67509.399999999994</v>
      </c>
      <c r="BS245" s="9">
        <v>106480.2</v>
      </c>
      <c r="BT245" s="9">
        <v>146999</v>
      </c>
      <c r="BU245" s="9">
        <v>33600.400000000001</v>
      </c>
      <c r="BV245" s="9">
        <v>62326</v>
      </c>
      <c r="BW245" s="9">
        <v>809552.4</v>
      </c>
      <c r="BX245" s="9">
        <v>19958.2</v>
      </c>
      <c r="BY245" s="9">
        <v>184483.9</v>
      </c>
      <c r="BZ245" s="9">
        <v>216770.1</v>
      </c>
      <c r="CA245" s="9">
        <v>82908.5</v>
      </c>
      <c r="CB245" s="9">
        <v>28494.2</v>
      </c>
      <c r="CC245" s="9">
        <v>18219.7</v>
      </c>
      <c r="CD245" s="9">
        <v>276615.2</v>
      </c>
      <c r="CE245" s="9">
        <v>140941.5</v>
      </c>
      <c r="CF245" s="9">
        <v>3425454.1187359309</v>
      </c>
      <c r="CG245" s="9">
        <v>20230813.364251319</v>
      </c>
      <c r="CH245" s="9">
        <v>10.9374609317</v>
      </c>
      <c r="CI245" s="9">
        <v>5.3170103522999996</v>
      </c>
      <c r="CJ245" s="9">
        <v>16.588044763799999</v>
      </c>
      <c r="CK245" s="9">
        <v>10.5881252766</v>
      </c>
      <c r="CL245" s="9">
        <v>9</v>
      </c>
      <c r="CM245" s="9">
        <v>124.7567422011</v>
      </c>
      <c r="CN245" s="9">
        <v>34.180276760399998</v>
      </c>
      <c r="CO245" s="9">
        <v>5.3254317468999997</v>
      </c>
      <c r="CP245" s="9">
        <v>20.416541788699998</v>
      </c>
      <c r="CQ245" s="9">
        <v>12.400974682299999</v>
      </c>
      <c r="CR245" s="9">
        <v>5.8803656183999999</v>
      </c>
      <c r="CS245" s="9">
        <v>4.7365151892000004</v>
      </c>
      <c r="CT245" s="9">
        <v>16.282817144799999</v>
      </c>
      <c r="CU245" s="9">
        <v>4.3086640913999998</v>
      </c>
      <c r="CV245" s="9">
        <v>3.9342312330000002</v>
      </c>
      <c r="CW245" s="9">
        <v>6.8192139509</v>
      </c>
      <c r="CX245" s="9">
        <v>3.7355011331000001</v>
      </c>
      <c r="CY245" s="9">
        <v>6.7362088619999998</v>
      </c>
      <c r="CZ245" s="9">
        <v>338</v>
      </c>
      <c r="DA245" s="9">
        <v>320</v>
      </c>
      <c r="DB245" s="9">
        <v>0</v>
      </c>
      <c r="DC245" s="9">
        <v>135</v>
      </c>
      <c r="DD245" s="9">
        <v>48</v>
      </c>
      <c r="DE245" s="9">
        <v>14</v>
      </c>
      <c r="DF245" s="9">
        <v>82</v>
      </c>
      <c r="DG245" s="9">
        <v>3</v>
      </c>
      <c r="DH245" s="9">
        <v>6</v>
      </c>
      <c r="DI245" s="9">
        <v>0</v>
      </c>
      <c r="DJ245" s="9">
        <v>1</v>
      </c>
      <c r="DK245" s="9">
        <v>3</v>
      </c>
      <c r="DL245" s="9">
        <v>1</v>
      </c>
      <c r="DM245" s="9">
        <v>11</v>
      </c>
      <c r="DN245" s="9">
        <v>0</v>
      </c>
      <c r="DO245" s="9">
        <v>424.76</v>
      </c>
      <c r="DP245" s="9">
        <v>126.34</v>
      </c>
      <c r="DQ245" s="9">
        <v>71.709999999999994</v>
      </c>
      <c r="DR245" s="9">
        <v>54.63</v>
      </c>
      <c r="DS245" s="9">
        <v>55.15</v>
      </c>
      <c r="DT245" s="9">
        <v>10.59</v>
      </c>
      <c r="DU245" s="9">
        <v>195.41</v>
      </c>
      <c r="DV245" s="9">
        <v>119.38</v>
      </c>
      <c r="DW245" s="9">
        <v>61.68</v>
      </c>
      <c r="DX245" s="9">
        <v>47.54</v>
      </c>
      <c r="DY245" s="9">
        <v>23.44</v>
      </c>
      <c r="DZ245" s="9">
        <v>12.67</v>
      </c>
      <c r="EA245" s="9">
        <v>-270</v>
      </c>
      <c r="EB245" s="9">
        <v>-123</v>
      </c>
      <c r="EC245" s="9">
        <v>-94</v>
      </c>
      <c r="ED245" s="9">
        <v>-70</v>
      </c>
      <c r="EE245" s="9">
        <v>17</v>
      </c>
      <c r="EF245" s="9">
        <v>9</v>
      </c>
      <c r="EG245" s="9">
        <v>32</v>
      </c>
      <c r="EH245" s="9">
        <v>-138</v>
      </c>
      <c r="EI245" s="9">
        <v>55</v>
      </c>
      <c r="EJ245" s="9">
        <v>-1</v>
      </c>
      <c r="EK245" s="9">
        <v>116</v>
      </c>
      <c r="EL245" s="9">
        <v>-22</v>
      </c>
      <c r="EM245" s="9">
        <v>-315</v>
      </c>
      <c r="EN245" s="9">
        <v>3844.2210948928</v>
      </c>
      <c r="EO245" s="9">
        <v>562.61100943999998</v>
      </c>
      <c r="EP245" s="9">
        <v>1942.5866235777</v>
      </c>
      <c r="EQ245" s="9">
        <v>7.4247701528999999</v>
      </c>
      <c r="ER245" s="9">
        <v>47.829522216500003</v>
      </c>
      <c r="ES245" s="9">
        <v>1283.7691695057999</v>
      </c>
      <c r="ET245" s="9">
        <v>0</v>
      </c>
      <c r="EU245">
        <v>2783.1554545455001</v>
      </c>
      <c r="EV245" s="9"/>
      <c r="EW245" s="9"/>
      <c r="EX245" s="9"/>
      <c r="EY245" s="9"/>
      <c r="EZ245" s="9"/>
      <c r="FA245" s="9"/>
      <c r="FB245" s="9">
        <v>64.62</v>
      </c>
      <c r="FC245" s="9">
        <v>23.3372727273</v>
      </c>
      <c r="FD245" s="9">
        <v>5057.9719999999998</v>
      </c>
      <c r="FE245" s="9">
        <v>83.75</v>
      </c>
      <c r="FF245" s="9">
        <v>1682.93</v>
      </c>
      <c r="FG245">
        <v>17391391.243500002</v>
      </c>
      <c r="FH245">
        <v>16996074.871100001</v>
      </c>
      <c r="FI245">
        <v>395316.37239999999</v>
      </c>
      <c r="FJ245" s="9">
        <v>23139305.302023247</v>
      </c>
      <c r="FK245">
        <v>18471770.813933253</v>
      </c>
      <c r="FL245" s="9">
        <v>4667534.4880900001</v>
      </c>
      <c r="FM245" s="9">
        <v>34689860.969999999</v>
      </c>
      <c r="FN245" s="9">
        <v>2940550.7089999998</v>
      </c>
      <c r="FO245">
        <v>2788.91</v>
      </c>
      <c r="FP245">
        <v>0</v>
      </c>
      <c r="FQ245">
        <v>122.85</v>
      </c>
      <c r="FR245">
        <v>674.65</v>
      </c>
      <c r="FS245">
        <v>13.26</v>
      </c>
      <c r="FT245">
        <v>997.78</v>
      </c>
      <c r="FU245">
        <v>165.75</v>
      </c>
      <c r="FV245">
        <v>0.01</v>
      </c>
      <c r="FW245">
        <v>32536.25</v>
      </c>
      <c r="FX245">
        <v>192.47</v>
      </c>
      <c r="HB245" s="6"/>
      <c r="HC245" s="6"/>
      <c r="HD245" s="6"/>
    </row>
    <row r="246" spans="1:212" x14ac:dyDescent="0.2">
      <c r="A246" s="8" t="s">
        <v>863</v>
      </c>
      <c r="B246" s="8" t="s">
        <v>495</v>
      </c>
      <c r="C246" s="8" t="s">
        <v>497</v>
      </c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>
        <v>697027.1</v>
      </c>
      <c r="BO246" s="9">
        <v>602370.4</v>
      </c>
      <c r="BP246" s="9">
        <v>92463.7</v>
      </c>
      <c r="BQ246" s="9">
        <v>44448.1</v>
      </c>
      <c r="BR246" s="9">
        <v>65290.3</v>
      </c>
      <c r="BS246" s="9">
        <v>120049.2</v>
      </c>
      <c r="BT246" s="9">
        <v>191215.9</v>
      </c>
      <c r="BU246" s="9">
        <v>66866.7</v>
      </c>
      <c r="BV246" s="9">
        <v>64285.4</v>
      </c>
      <c r="BW246" s="9">
        <v>1134805</v>
      </c>
      <c r="BX246" s="9">
        <v>23293.9</v>
      </c>
      <c r="BY246" s="9">
        <v>164084.6</v>
      </c>
      <c r="BZ246" s="9">
        <v>200984.8</v>
      </c>
      <c r="CA246" s="9">
        <v>69724.3</v>
      </c>
      <c r="CB246" s="9">
        <v>226707.5</v>
      </c>
      <c r="CC246" s="9">
        <v>-5051.3999999999996</v>
      </c>
      <c r="CD246" s="9">
        <v>478355.20000000001</v>
      </c>
      <c r="CE246" s="9">
        <v>443903.6</v>
      </c>
      <c r="CF246" s="9">
        <v>3628084.5759659158</v>
      </c>
      <c r="CG246" s="9">
        <v>20642963.356641039</v>
      </c>
      <c r="CH246" s="9">
        <v>10.7283772812</v>
      </c>
      <c r="CI246" s="9">
        <v>3.4881411351999998</v>
      </c>
      <c r="CJ246" s="9">
        <v>16.333113138200002</v>
      </c>
      <c r="CK246" s="9">
        <v>10.7331457735</v>
      </c>
      <c r="CL246" s="9">
        <v>9</v>
      </c>
      <c r="CM246" s="9">
        <v>124.9368982332</v>
      </c>
      <c r="CN246" s="9">
        <v>34.608690607699998</v>
      </c>
      <c r="CO246" s="9">
        <v>5.3360225162999999</v>
      </c>
      <c r="CP246" s="9">
        <v>20.467131291099999</v>
      </c>
      <c r="CQ246" s="9">
        <v>12.420137414799999</v>
      </c>
      <c r="CR246" s="9">
        <v>5.9113160932</v>
      </c>
      <c r="CS246" s="9">
        <v>4.7506489308999997</v>
      </c>
      <c r="CT246" s="9">
        <v>15.8614925986</v>
      </c>
      <c r="CU246" s="9">
        <v>4.3091874174999996</v>
      </c>
      <c r="CV246" s="9">
        <v>3.9365581567999999</v>
      </c>
      <c r="CW246" s="9">
        <v>6.8192139509</v>
      </c>
      <c r="CX246" s="9">
        <v>3.7562864377</v>
      </c>
      <c r="CY246" s="9">
        <v>6.7602128178000003</v>
      </c>
      <c r="CZ246" s="9">
        <v>633</v>
      </c>
      <c r="DA246" s="9">
        <v>595</v>
      </c>
      <c r="DB246" s="9">
        <v>185</v>
      </c>
      <c r="DC246" s="9">
        <v>128</v>
      </c>
      <c r="DD246" s="9">
        <v>46</v>
      </c>
      <c r="DE246" s="9">
        <v>8</v>
      </c>
      <c r="DF246" s="9">
        <v>179</v>
      </c>
      <c r="DG246" s="9">
        <v>4</v>
      </c>
      <c r="DH246" s="9">
        <v>28</v>
      </c>
      <c r="DI246" s="9">
        <v>0</v>
      </c>
      <c r="DJ246" s="9">
        <v>0</v>
      </c>
      <c r="DK246" s="9">
        <v>27</v>
      </c>
      <c r="DL246" s="9">
        <v>1</v>
      </c>
      <c r="DM246" s="9">
        <v>8</v>
      </c>
      <c r="DN246" s="9">
        <v>0</v>
      </c>
      <c r="DO246" s="9">
        <v>406.08</v>
      </c>
      <c r="DP246" s="9">
        <v>129.75</v>
      </c>
      <c r="DQ246" s="9">
        <v>81.2</v>
      </c>
      <c r="DR246" s="9">
        <v>48.55</v>
      </c>
      <c r="DS246" s="9">
        <v>69.95</v>
      </c>
      <c r="DT246" s="9">
        <v>10.89</v>
      </c>
      <c r="DU246" s="9">
        <v>166.11</v>
      </c>
      <c r="DV246" s="9">
        <v>87.83</v>
      </c>
      <c r="DW246" s="9">
        <v>62.75</v>
      </c>
      <c r="DX246" s="9">
        <v>40.1</v>
      </c>
      <c r="DY246" s="9">
        <v>19.989999999999998</v>
      </c>
      <c r="DZ246" s="9">
        <v>11.29</v>
      </c>
      <c r="EA246" s="9">
        <v>25</v>
      </c>
      <c r="EB246" s="9">
        <v>211</v>
      </c>
      <c r="EC246" s="9">
        <v>-139</v>
      </c>
      <c r="ED246" s="9">
        <v>-66</v>
      </c>
      <c r="EE246" s="9">
        <v>19</v>
      </c>
      <c r="EF246" s="9">
        <v>8</v>
      </c>
      <c r="EG246" s="9">
        <v>278</v>
      </c>
      <c r="EH246" s="9">
        <v>-110</v>
      </c>
      <c r="EI246" s="9">
        <v>513</v>
      </c>
      <c r="EJ246" s="9">
        <v>-5</v>
      </c>
      <c r="EK246" s="9">
        <v>-120</v>
      </c>
      <c r="EL246" s="9">
        <v>-221</v>
      </c>
      <c r="EM246" s="9">
        <v>-466</v>
      </c>
      <c r="EN246" s="9">
        <v>3202.8939625816001</v>
      </c>
      <c r="EO246" s="9">
        <v>514.44522974999995</v>
      </c>
      <c r="EP246" s="9">
        <v>1523.1007045097999</v>
      </c>
      <c r="EQ246" s="9">
        <v>7.4229747221000002</v>
      </c>
      <c r="ER246" s="9">
        <v>46.957725040200003</v>
      </c>
      <c r="ES246" s="9">
        <v>1110.9673285594999</v>
      </c>
      <c r="ET246" s="9">
        <v>0</v>
      </c>
      <c r="EU246">
        <v>2797.2509090909002</v>
      </c>
      <c r="EV246" s="9"/>
      <c r="EW246" s="9"/>
      <c r="EX246" s="9"/>
      <c r="EY246" s="9"/>
      <c r="EZ246" s="9"/>
      <c r="FA246" s="9"/>
      <c r="FB246" s="9">
        <v>54.148308270699999</v>
      </c>
      <c r="FC246" s="9">
        <v>31.024761904799998</v>
      </c>
      <c r="FD246" s="9">
        <v>5239.8263157894999</v>
      </c>
      <c r="FE246" s="9">
        <v>91.333333333300004</v>
      </c>
      <c r="FF246" s="9">
        <v>1716.3815789473999</v>
      </c>
      <c r="FG246">
        <v>17409428.8849</v>
      </c>
      <c r="FH246">
        <v>17012761.296999998</v>
      </c>
      <c r="FI246">
        <v>396667.58789999998</v>
      </c>
      <c r="FJ246" s="9">
        <v>23308637.933729228</v>
      </c>
      <c r="FK246">
        <v>18884659.407039229</v>
      </c>
      <c r="FL246" s="9">
        <v>4423978.5266899997</v>
      </c>
      <c r="FM246" s="9">
        <v>33391762.27</v>
      </c>
      <c r="FN246" s="9">
        <v>2986435.7450000001</v>
      </c>
      <c r="FO246">
        <v>2805.97</v>
      </c>
      <c r="FP246">
        <v>3362</v>
      </c>
      <c r="FQ246">
        <v>126.59</v>
      </c>
      <c r="FR246">
        <v>712.5</v>
      </c>
      <c r="FS246">
        <v>8.1300000000000008</v>
      </c>
      <c r="FT246">
        <v>2171.52</v>
      </c>
      <c r="FU246">
        <v>175.76</v>
      </c>
      <c r="FV246">
        <v>0</v>
      </c>
      <c r="FW246">
        <v>15732.1</v>
      </c>
      <c r="FX246">
        <v>870.97</v>
      </c>
      <c r="HB246" s="6"/>
      <c r="HC246" s="6"/>
      <c r="HD246" s="6"/>
    </row>
    <row r="247" spans="1:212" x14ac:dyDescent="0.2">
      <c r="A247" s="8" t="s">
        <v>863</v>
      </c>
      <c r="B247" s="8" t="s">
        <v>495</v>
      </c>
      <c r="C247" s="8" t="s">
        <v>498</v>
      </c>
      <c r="D247" s="9">
        <v>9299373.0329999998</v>
      </c>
      <c r="E247" s="9">
        <v>2243454.6570000001</v>
      </c>
      <c r="F247" s="9">
        <v>1363920.04</v>
      </c>
      <c r="G247" s="9">
        <v>517823.41200000001</v>
      </c>
      <c r="H247" s="9">
        <v>194231.87</v>
      </c>
      <c r="I247" s="9">
        <v>281344.41100000002</v>
      </c>
      <c r="J247" s="9">
        <v>651872.58700000006</v>
      </c>
      <c r="K247" s="9">
        <v>318822.24599999998</v>
      </c>
      <c r="L247" s="9">
        <v>147361.967</v>
      </c>
      <c r="M247" s="9">
        <v>2641149.5279999999</v>
      </c>
      <c r="N247" s="9">
        <v>939392.31599999999</v>
      </c>
      <c r="O247" s="9">
        <v>7090270.1370000001</v>
      </c>
      <c r="P247" s="9">
        <v>1828988.237</v>
      </c>
      <c r="Q247" s="9">
        <v>665069.63</v>
      </c>
      <c r="R247" s="9">
        <v>422483.5</v>
      </c>
      <c r="S247" s="9">
        <v>132953.76800000001</v>
      </c>
      <c r="T247" s="9">
        <v>252175.288</v>
      </c>
      <c r="U247" s="9">
        <v>661825.61800000002</v>
      </c>
      <c r="V247" s="9">
        <v>176246.272</v>
      </c>
      <c r="W247" s="9">
        <v>166083.56599999999</v>
      </c>
      <c r="X247" s="9">
        <v>1878894.327</v>
      </c>
      <c r="Y247" s="9">
        <v>905549.93</v>
      </c>
      <c r="Z247" s="9">
        <v>9697166.25</v>
      </c>
      <c r="AA247" s="9">
        <v>5383242.8169999998</v>
      </c>
      <c r="AB247" s="9">
        <v>1334626.4850000001</v>
      </c>
      <c r="AC247" s="9">
        <v>2492580.1869999999</v>
      </c>
      <c r="AD247" s="9">
        <v>62513.104449999999</v>
      </c>
      <c r="AE247" s="9">
        <v>5275938.9579999996</v>
      </c>
      <c r="AF247" s="9">
        <v>4851735.3020000001</v>
      </c>
      <c r="AG247" s="9">
        <v>6750041.7000000002</v>
      </c>
      <c r="AH247" s="9">
        <v>4528747.0999999996</v>
      </c>
      <c r="AI247" s="9">
        <v>1243372.8</v>
      </c>
      <c r="AJ247" s="9">
        <v>1675376.4</v>
      </c>
      <c r="AK247" s="9">
        <v>159295.20000000001</v>
      </c>
      <c r="AL247" s="9">
        <v>3403475.7</v>
      </c>
      <c r="AM247" s="9">
        <v>4260225.5</v>
      </c>
      <c r="AN247" s="9">
        <v>1185205</v>
      </c>
      <c r="AO247" s="9">
        <v>633760</v>
      </c>
      <c r="AP247" s="9">
        <v>551445</v>
      </c>
      <c r="AQ247" s="9">
        <v>83673</v>
      </c>
      <c r="AR247" s="9">
        <v>43203</v>
      </c>
      <c r="AS247" s="9">
        <v>40470</v>
      </c>
      <c r="AT247" s="9">
        <v>854529</v>
      </c>
      <c r="AU247" s="9">
        <v>313264</v>
      </c>
      <c r="AV247" s="9">
        <v>541265</v>
      </c>
      <c r="AW247" s="9">
        <v>1261.3</v>
      </c>
      <c r="AX247" s="9">
        <v>979.2</v>
      </c>
      <c r="AY247" s="9">
        <v>2924.8</v>
      </c>
      <c r="AZ247" s="9">
        <v>1236.9000000000001</v>
      </c>
      <c r="BA247" s="9">
        <v>1635.3</v>
      </c>
      <c r="BB247" s="9">
        <v>1007.4</v>
      </c>
      <c r="BC247" s="9">
        <v>1206</v>
      </c>
      <c r="BD247" s="9">
        <v>1049.5</v>
      </c>
      <c r="BE247" s="9">
        <v>1221.2</v>
      </c>
      <c r="BF247" s="9">
        <v>765.3</v>
      </c>
      <c r="BG247" s="9">
        <v>1285.5999999999999</v>
      </c>
      <c r="BH247" s="9">
        <v>1533</v>
      </c>
      <c r="BI247" s="9">
        <v>1381.2</v>
      </c>
      <c r="BJ247" s="9">
        <v>1043.9000000000001</v>
      </c>
      <c r="BK247" s="9">
        <v>1143.4000000000001</v>
      </c>
      <c r="BL247" s="9">
        <v>866.4</v>
      </c>
      <c r="BM247" s="9">
        <v>1111.9000000000001</v>
      </c>
      <c r="BN247" s="9">
        <v>794715.3</v>
      </c>
      <c r="BO247" s="9">
        <v>687317.1</v>
      </c>
      <c r="BP247" s="9">
        <v>145775.9</v>
      </c>
      <c r="BQ247" s="9">
        <v>87840.7</v>
      </c>
      <c r="BR247" s="9">
        <v>67052</v>
      </c>
      <c r="BS247" s="9">
        <v>100143.1</v>
      </c>
      <c r="BT247" s="9">
        <v>222644.3</v>
      </c>
      <c r="BU247" s="9">
        <v>85251.3</v>
      </c>
      <c r="BV247" s="9">
        <v>69549.7</v>
      </c>
      <c r="BW247" s="9">
        <v>973811.1</v>
      </c>
      <c r="BX247" s="9">
        <v>-825.9</v>
      </c>
      <c r="BY247" s="9">
        <v>130702.3</v>
      </c>
      <c r="BZ247" s="9">
        <v>300541.8</v>
      </c>
      <c r="CA247" s="9">
        <v>87292.800000000003</v>
      </c>
      <c r="CB247" s="9">
        <v>33138</v>
      </c>
      <c r="CC247" s="9">
        <v>43338.5</v>
      </c>
      <c r="CD247" s="9">
        <v>378797.8</v>
      </c>
      <c r="CE247" s="9">
        <v>403060.9</v>
      </c>
      <c r="CF247" s="9">
        <v>3576642.3373319958</v>
      </c>
      <c r="CG247" s="9">
        <v>21347474.6328035</v>
      </c>
      <c r="CH247" s="9">
        <v>10.029931159</v>
      </c>
      <c r="CI247" s="9">
        <v>3.2738059661999999</v>
      </c>
      <c r="CJ247" s="9">
        <v>16.315709765200001</v>
      </c>
      <c r="CK247" s="9">
        <v>10.343462752300001</v>
      </c>
      <c r="CL247" s="9">
        <v>9</v>
      </c>
      <c r="CM247" s="9">
        <v>125.36797231209999</v>
      </c>
      <c r="CN247" s="9">
        <v>35.024946900499998</v>
      </c>
      <c r="CO247" s="9">
        <v>5.3416713826000004</v>
      </c>
      <c r="CP247" s="9">
        <v>20.498309992700001</v>
      </c>
      <c r="CQ247" s="9">
        <v>12.445940564400001</v>
      </c>
      <c r="CR247" s="9">
        <v>5.9272417666999999</v>
      </c>
      <c r="CS247" s="9">
        <v>4.7598067671999997</v>
      </c>
      <c r="CT247" s="9">
        <v>15.734754071199999</v>
      </c>
      <c r="CU247" s="9">
        <v>4.3091874174999996</v>
      </c>
      <c r="CV247" s="9">
        <v>3.9364233849999999</v>
      </c>
      <c r="CW247" s="9">
        <v>6.8192139509</v>
      </c>
      <c r="CX247" s="9">
        <v>3.7793446835000002</v>
      </c>
      <c r="CY247" s="9">
        <v>6.7911314299000001</v>
      </c>
      <c r="CZ247" s="9">
        <v>822</v>
      </c>
      <c r="DA247" s="9">
        <v>744</v>
      </c>
      <c r="DB247" s="9">
        <v>341</v>
      </c>
      <c r="DC247" s="9">
        <v>127</v>
      </c>
      <c r="DD247" s="9">
        <v>49</v>
      </c>
      <c r="DE247" s="9">
        <v>9</v>
      </c>
      <c r="DF247" s="9">
        <v>177</v>
      </c>
      <c r="DG247" s="9">
        <v>9</v>
      </c>
      <c r="DH247" s="9">
        <v>60</v>
      </c>
      <c r="DI247" s="9">
        <v>6</v>
      </c>
      <c r="DJ247" s="9">
        <v>0</v>
      </c>
      <c r="DK247" s="9">
        <v>54</v>
      </c>
      <c r="DL247" s="9">
        <v>1</v>
      </c>
      <c r="DM247" s="9">
        <v>16</v>
      </c>
      <c r="DN247" s="9">
        <v>0</v>
      </c>
      <c r="DO247" s="9">
        <v>467.73</v>
      </c>
      <c r="DP247" s="9">
        <v>149.51</v>
      </c>
      <c r="DQ247" s="9">
        <v>80.13</v>
      </c>
      <c r="DR247" s="9">
        <v>69.38</v>
      </c>
      <c r="DS247" s="9">
        <v>55.99</v>
      </c>
      <c r="DT247" s="9">
        <v>10.029999999999999</v>
      </c>
      <c r="DU247" s="9">
        <v>194.68</v>
      </c>
      <c r="DV247" s="9">
        <v>108.17</v>
      </c>
      <c r="DW247" s="9">
        <v>58.09</v>
      </c>
      <c r="DX247" s="9">
        <v>67.28</v>
      </c>
      <c r="DY247" s="9">
        <v>36.36</v>
      </c>
      <c r="DZ247" s="9">
        <v>17.5</v>
      </c>
      <c r="EA247" s="9">
        <v>86</v>
      </c>
      <c r="EB247" s="9">
        <v>354</v>
      </c>
      <c r="EC247" s="9">
        <v>-105</v>
      </c>
      <c r="ED247" s="9">
        <v>-181</v>
      </c>
      <c r="EE247" s="9">
        <v>18</v>
      </c>
      <c r="EF247" s="9">
        <v>9</v>
      </c>
      <c r="EG247" s="9">
        <v>-423</v>
      </c>
      <c r="EH247" s="9">
        <v>-307</v>
      </c>
      <c r="EI247" s="9">
        <v>1</v>
      </c>
      <c r="EJ247" s="9">
        <v>4</v>
      </c>
      <c r="EK247" s="9">
        <v>-120</v>
      </c>
      <c r="EL247" s="9">
        <v>-66</v>
      </c>
      <c r="EM247" s="9">
        <v>452</v>
      </c>
      <c r="EN247" s="9">
        <v>3555.9239477244</v>
      </c>
      <c r="EO247" s="9">
        <v>519.02043380999999</v>
      </c>
      <c r="EP247" s="9">
        <v>1973.7878680166</v>
      </c>
      <c r="EQ247" s="9">
        <v>7.4924525276000002</v>
      </c>
      <c r="ER247" s="9">
        <v>46.898078055799999</v>
      </c>
      <c r="ES247" s="9">
        <v>1008.7251153144</v>
      </c>
      <c r="ET247" s="9">
        <v>0</v>
      </c>
      <c r="EU247">
        <v>2816.2615789473998</v>
      </c>
      <c r="EV247" s="9">
        <v>30855.97</v>
      </c>
      <c r="EW247" s="9">
        <v>7896.21</v>
      </c>
      <c r="EX247" s="9">
        <v>2083.9</v>
      </c>
      <c r="EY247" s="9">
        <v>1703.66</v>
      </c>
      <c r="EZ247" s="9">
        <v>8141.98</v>
      </c>
      <c r="FA247" s="9">
        <v>11030.23</v>
      </c>
      <c r="FB247" s="9">
        <v>55.0027597403</v>
      </c>
      <c r="FC247" s="9">
        <v>39.9272727273</v>
      </c>
      <c r="FD247" s="9">
        <v>5754.5954545454997</v>
      </c>
      <c r="FE247" s="9">
        <v>103.3409090909</v>
      </c>
      <c r="FF247" s="9">
        <v>1732.2181818182</v>
      </c>
      <c r="FG247">
        <v>17639510.8444</v>
      </c>
      <c r="FH247">
        <v>17200169.623100001</v>
      </c>
      <c r="FI247">
        <v>439341.22129999998</v>
      </c>
      <c r="FJ247" s="9">
        <v>23906607.935738999</v>
      </c>
      <c r="FK247">
        <v>19619648.364719</v>
      </c>
      <c r="FL247" s="9">
        <v>4286959.5710199997</v>
      </c>
      <c r="FM247" s="9">
        <v>34304032.100000001</v>
      </c>
      <c r="FN247" s="9">
        <v>3051459.5109999999</v>
      </c>
      <c r="FO247">
        <v>2823.89</v>
      </c>
      <c r="FP247">
        <v>6056</v>
      </c>
      <c r="FQ247">
        <v>119.85</v>
      </c>
      <c r="FR247">
        <v>675.29</v>
      </c>
      <c r="FS247">
        <v>8.32</v>
      </c>
      <c r="FT247">
        <v>2362.31</v>
      </c>
      <c r="FU247">
        <v>287.31</v>
      </c>
      <c r="FV247">
        <v>2819.56</v>
      </c>
      <c r="FW247">
        <v>5402.36</v>
      </c>
      <c r="FX247">
        <v>1832.24</v>
      </c>
      <c r="HB247" s="6"/>
      <c r="HC247" s="6"/>
      <c r="HD247" s="6"/>
    </row>
    <row r="248" spans="1:212" x14ac:dyDescent="0.2">
      <c r="A248" s="8" t="s">
        <v>863</v>
      </c>
      <c r="B248" s="8" t="s">
        <v>499</v>
      </c>
      <c r="C248" s="8" t="s">
        <v>500</v>
      </c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>
        <v>902938.3</v>
      </c>
      <c r="BO248" s="9">
        <v>752731.1</v>
      </c>
      <c r="BP248" s="9">
        <v>239601.1</v>
      </c>
      <c r="BQ248" s="9">
        <v>183420.5</v>
      </c>
      <c r="BR248" s="9">
        <v>57266.6</v>
      </c>
      <c r="BS248" s="9">
        <v>114186.9</v>
      </c>
      <c r="BT248" s="9">
        <v>173515.2</v>
      </c>
      <c r="BU248" s="9">
        <v>68460.2</v>
      </c>
      <c r="BV248" s="9">
        <v>47259.7</v>
      </c>
      <c r="BW248" s="9">
        <v>1054920.8</v>
      </c>
      <c r="BX248" s="9">
        <v>12664.9</v>
      </c>
      <c r="BY248" s="9">
        <v>161697.5</v>
      </c>
      <c r="BZ248" s="9">
        <v>176032.6</v>
      </c>
      <c r="CA248" s="9">
        <v>34069.9</v>
      </c>
      <c r="CB248" s="9">
        <v>-147792.70000000001</v>
      </c>
      <c r="CC248" s="9">
        <v>8165.8</v>
      </c>
      <c r="CD248" s="9">
        <v>569880.6</v>
      </c>
      <c r="CE248" s="9">
        <v>252867</v>
      </c>
      <c r="CF248" s="9">
        <v>3461912.8034191029</v>
      </c>
      <c r="CG248" s="9">
        <v>21464482.757877231</v>
      </c>
      <c r="CH248" s="9">
        <v>10.5310982397</v>
      </c>
      <c r="CI248" s="9">
        <v>3.2479914006000001</v>
      </c>
      <c r="CJ248" s="9">
        <v>15.7550587923</v>
      </c>
      <c r="CK248" s="9">
        <v>10.627210060499999</v>
      </c>
      <c r="CL248" s="9">
        <v>9</v>
      </c>
      <c r="CM248" s="9">
        <v>126.0426150548</v>
      </c>
      <c r="CN248" s="9">
        <v>35.470640252599999</v>
      </c>
      <c r="CO248" s="9">
        <v>5.3485206084000003</v>
      </c>
      <c r="CP248" s="9">
        <v>20.548505539800001</v>
      </c>
      <c r="CQ248" s="9">
        <v>12.4676876217</v>
      </c>
      <c r="CR248" s="9">
        <v>5.9447695041999999</v>
      </c>
      <c r="CS248" s="9">
        <v>4.7690410283000002</v>
      </c>
      <c r="CT248" s="9">
        <v>15.8313660579</v>
      </c>
      <c r="CU248" s="9">
        <v>4.3105595714999998</v>
      </c>
      <c r="CV248" s="9">
        <v>3.9365309424000001</v>
      </c>
      <c r="CW248" s="9">
        <v>6.8192139509</v>
      </c>
      <c r="CX248" s="9">
        <v>3.7853124101</v>
      </c>
      <c r="CY248" s="9">
        <v>6.8104675670999999</v>
      </c>
      <c r="CZ248" s="9">
        <v>960</v>
      </c>
      <c r="DA248" s="9">
        <v>920</v>
      </c>
      <c r="DB248" s="9">
        <v>474</v>
      </c>
      <c r="DC248" s="9">
        <v>135</v>
      </c>
      <c r="DD248" s="9">
        <v>62</v>
      </c>
      <c r="DE248" s="9">
        <v>12</v>
      </c>
      <c r="DF248" s="9">
        <v>189</v>
      </c>
      <c r="DG248" s="9">
        <v>12</v>
      </c>
      <c r="DH248" s="9">
        <v>22</v>
      </c>
      <c r="DI248" s="9">
        <v>1</v>
      </c>
      <c r="DJ248" s="9">
        <v>0</v>
      </c>
      <c r="DK248" s="9">
        <v>19</v>
      </c>
      <c r="DL248" s="9">
        <v>1</v>
      </c>
      <c r="DM248" s="9">
        <v>17</v>
      </c>
      <c r="DN248" s="9">
        <v>0</v>
      </c>
      <c r="DO248" s="9">
        <v>481.91</v>
      </c>
      <c r="DP248" s="9">
        <v>131.71</v>
      </c>
      <c r="DQ248" s="9">
        <v>72.31</v>
      </c>
      <c r="DR248" s="9">
        <v>59.41</v>
      </c>
      <c r="DS248" s="9">
        <v>52.9</v>
      </c>
      <c r="DT248" s="9">
        <v>11.07</v>
      </c>
      <c r="DU248" s="9">
        <v>234.9</v>
      </c>
      <c r="DV248" s="9">
        <v>136.47999999999999</v>
      </c>
      <c r="DW248" s="9">
        <v>61.13</v>
      </c>
      <c r="DX248" s="9">
        <v>62.02</v>
      </c>
      <c r="DY248" s="9">
        <v>29.72</v>
      </c>
      <c r="DZ248" s="9">
        <v>16.73</v>
      </c>
      <c r="EA248" s="9">
        <v>273</v>
      </c>
      <c r="EB248" s="9">
        <v>448</v>
      </c>
      <c r="EC248" s="9">
        <v>-97</v>
      </c>
      <c r="ED248" s="9">
        <v>-96</v>
      </c>
      <c r="EE248" s="9">
        <v>19</v>
      </c>
      <c r="EF248" s="9">
        <v>9</v>
      </c>
      <c r="EG248" s="9">
        <v>-123</v>
      </c>
      <c r="EH248" s="9">
        <v>-104</v>
      </c>
      <c r="EI248" s="9">
        <v>-4</v>
      </c>
      <c r="EJ248" s="9">
        <v>-1</v>
      </c>
      <c r="EK248" s="9">
        <v>-14</v>
      </c>
      <c r="EL248" s="9">
        <v>-70</v>
      </c>
      <c r="EM248" s="9">
        <v>336</v>
      </c>
      <c r="EN248" s="9">
        <v>3620.7458273938</v>
      </c>
      <c r="EO248" s="9">
        <v>571.27354476999994</v>
      </c>
      <c r="EP248" s="9">
        <v>2265.4172370061001</v>
      </c>
      <c r="EQ248" s="9">
        <v>7.6470727335999999</v>
      </c>
      <c r="ER248" s="9">
        <v>47.865904073199999</v>
      </c>
      <c r="ES248" s="9">
        <v>728.54206881089999</v>
      </c>
      <c r="ET248" s="9">
        <v>0</v>
      </c>
      <c r="EU248">
        <v>2836.4095000000002</v>
      </c>
      <c r="EV248" s="9"/>
      <c r="EW248" s="9"/>
      <c r="EX248" s="9"/>
      <c r="EY248" s="9"/>
      <c r="EZ248" s="9"/>
      <c r="FA248" s="9"/>
      <c r="FB248" s="9">
        <v>51.672204968899997</v>
      </c>
      <c r="FC248" s="9">
        <v>42.813478260899998</v>
      </c>
      <c r="FD248" s="9">
        <v>6372.4608695651996</v>
      </c>
      <c r="FE248" s="9">
        <v>108.02173913039999</v>
      </c>
      <c r="FF248" s="9">
        <v>1843.3130434783</v>
      </c>
      <c r="FG248">
        <v>17601069.510099996</v>
      </c>
      <c r="FH248">
        <v>17159679.612499997</v>
      </c>
      <c r="FI248">
        <v>441389.89760000003</v>
      </c>
      <c r="FJ248" s="9">
        <v>23956050.66495901</v>
      </c>
      <c r="FK248">
        <v>19837662.055158999</v>
      </c>
      <c r="FL248" s="9">
        <v>4118388.6098000002</v>
      </c>
      <c r="FM248" s="9">
        <v>34417383.560000002</v>
      </c>
      <c r="FN248" s="9">
        <v>3085135.63</v>
      </c>
      <c r="FO248">
        <v>2844.7</v>
      </c>
      <c r="FP248">
        <v>7936</v>
      </c>
      <c r="FQ248">
        <v>118.48</v>
      </c>
      <c r="FR248">
        <v>779.76</v>
      </c>
      <c r="FS248">
        <v>10.6</v>
      </c>
      <c r="FT248">
        <v>2555.56</v>
      </c>
      <c r="FU248">
        <v>330.74</v>
      </c>
      <c r="FV248">
        <v>551.86</v>
      </c>
      <c r="FW248">
        <v>3857</v>
      </c>
      <c r="FX248">
        <v>683.77</v>
      </c>
      <c r="HB248" s="6"/>
      <c r="HC248" s="6"/>
      <c r="HD248" s="6"/>
    </row>
    <row r="249" spans="1:212" x14ac:dyDescent="0.2">
      <c r="A249" s="8" t="s">
        <v>863</v>
      </c>
      <c r="B249" s="8" t="s">
        <v>499</v>
      </c>
      <c r="C249" s="8" t="s">
        <v>501</v>
      </c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>
        <v>822714.2</v>
      </c>
      <c r="BO249" s="9">
        <v>664511.5</v>
      </c>
      <c r="BP249" s="9">
        <v>121264.5</v>
      </c>
      <c r="BQ249" s="9">
        <v>77542.2</v>
      </c>
      <c r="BR249" s="9">
        <v>44552.7</v>
      </c>
      <c r="BS249" s="9">
        <v>113811.4</v>
      </c>
      <c r="BT249" s="9">
        <v>230797.1</v>
      </c>
      <c r="BU249" s="9">
        <v>70051.3</v>
      </c>
      <c r="BV249" s="9">
        <v>134636.70000000001</v>
      </c>
      <c r="BW249" s="9">
        <v>737573.5</v>
      </c>
      <c r="BX249" s="9">
        <v>-21835</v>
      </c>
      <c r="BY249" s="9">
        <v>162738.20000000001</v>
      </c>
      <c r="BZ249" s="9">
        <v>162738.5</v>
      </c>
      <c r="CA249" s="9">
        <v>23275.1</v>
      </c>
      <c r="CB249" s="9">
        <v>18663.7</v>
      </c>
      <c r="CC249" s="9">
        <v>17897.2</v>
      </c>
      <c r="CD249" s="9">
        <v>379252.1</v>
      </c>
      <c r="CE249" s="9">
        <v>274327.59999999998</v>
      </c>
      <c r="CF249" s="9">
        <v>3391228.0942372531</v>
      </c>
      <c r="CG249" s="9">
        <v>21500939.626222041</v>
      </c>
      <c r="CH249" s="9">
        <v>10.4259371571</v>
      </c>
      <c r="CI249" s="9">
        <v>3.3249492682000001</v>
      </c>
      <c r="CJ249" s="9">
        <v>16.4840057583</v>
      </c>
      <c r="CK249" s="9">
        <v>11.2317009861</v>
      </c>
      <c r="CL249" s="9">
        <v>9</v>
      </c>
      <c r="CM249" s="9">
        <v>124.7823127245</v>
      </c>
      <c r="CN249" s="9">
        <v>33.923589517499998</v>
      </c>
      <c r="CO249" s="9">
        <v>5.3515958360999996</v>
      </c>
      <c r="CP249" s="9">
        <v>20.607036739200002</v>
      </c>
      <c r="CQ249" s="9">
        <v>12.4824799481</v>
      </c>
      <c r="CR249" s="9">
        <v>5.9599452501999997</v>
      </c>
      <c r="CS249" s="9">
        <v>4.7757355611000003</v>
      </c>
      <c r="CT249" s="9">
        <v>15.906843914</v>
      </c>
      <c r="CU249" s="9">
        <v>4.3105595714999998</v>
      </c>
      <c r="CV249" s="9">
        <v>3.9471797421999999</v>
      </c>
      <c r="CW249" s="9">
        <v>6.8424870575999996</v>
      </c>
      <c r="CX249" s="9">
        <v>3.7898465043999998</v>
      </c>
      <c r="CY249" s="9">
        <v>6.8850130825000004</v>
      </c>
      <c r="CZ249" s="9">
        <v>690</v>
      </c>
      <c r="DA249" s="9">
        <v>626</v>
      </c>
      <c r="DB249" s="9">
        <v>66</v>
      </c>
      <c r="DC249" s="9">
        <v>135</v>
      </c>
      <c r="DD249" s="9">
        <v>57</v>
      </c>
      <c r="DE249" s="9">
        <v>14</v>
      </c>
      <c r="DF249" s="9">
        <v>288</v>
      </c>
      <c r="DG249" s="9">
        <v>21</v>
      </c>
      <c r="DH249" s="9">
        <v>42</v>
      </c>
      <c r="DI249" s="9">
        <v>4</v>
      </c>
      <c r="DJ249" s="9">
        <v>0</v>
      </c>
      <c r="DK249" s="9">
        <v>36</v>
      </c>
      <c r="DL249" s="9">
        <v>1</v>
      </c>
      <c r="DM249" s="9">
        <v>22</v>
      </c>
      <c r="DN249" s="9">
        <v>0</v>
      </c>
      <c r="DO249" s="9">
        <v>511.17</v>
      </c>
      <c r="DP249" s="9">
        <v>119.92</v>
      </c>
      <c r="DQ249" s="9">
        <v>70.900000000000006</v>
      </c>
      <c r="DR249" s="9">
        <v>49.02</v>
      </c>
      <c r="DS249" s="9">
        <v>51.52</v>
      </c>
      <c r="DT249" s="9">
        <v>12.32</v>
      </c>
      <c r="DU249" s="9">
        <v>268.27</v>
      </c>
      <c r="DV249" s="9">
        <v>162</v>
      </c>
      <c r="DW249" s="9">
        <v>69.400000000000006</v>
      </c>
      <c r="DX249" s="9">
        <v>70.989999999999995</v>
      </c>
      <c r="DY249" s="9">
        <v>39.380000000000003</v>
      </c>
      <c r="DZ249" s="9">
        <v>19.61</v>
      </c>
      <c r="EA249" s="9">
        <v>-79</v>
      </c>
      <c r="EB249" s="9">
        <v>157.9</v>
      </c>
      <c r="EC249" s="9">
        <v>-98.9</v>
      </c>
      <c r="ED249" s="9">
        <v>-157.69999999999999</v>
      </c>
      <c r="EE249" s="9">
        <v>19.600000000000001</v>
      </c>
      <c r="EF249" s="9">
        <v>7.1</v>
      </c>
      <c r="EG249" s="9">
        <v>-135</v>
      </c>
      <c r="EH249" s="9">
        <v>-89.3</v>
      </c>
      <c r="EI249" s="9">
        <v>-22.4</v>
      </c>
      <c r="EJ249" s="9">
        <v>1</v>
      </c>
      <c r="EK249" s="9">
        <v>-24.4</v>
      </c>
      <c r="EL249" s="9">
        <v>-118</v>
      </c>
      <c r="EM249" s="9">
        <v>-54.9</v>
      </c>
      <c r="EN249" s="9">
        <v>3652.0452757947</v>
      </c>
      <c r="EO249" s="9">
        <v>566.52433327000006</v>
      </c>
      <c r="EP249" s="9">
        <v>2221.3186574568999</v>
      </c>
      <c r="EQ249" s="9">
        <v>7.6771378240999999</v>
      </c>
      <c r="ER249" s="9">
        <v>46.809424700800001</v>
      </c>
      <c r="ES249" s="9">
        <v>809.71572254290004</v>
      </c>
      <c r="ET249" s="9">
        <v>0</v>
      </c>
      <c r="EU249">
        <v>2849.1052380952001</v>
      </c>
      <c r="EV249" s="9"/>
      <c r="EW249" s="9"/>
      <c r="EX249" s="9"/>
      <c r="EY249" s="9"/>
      <c r="EZ249" s="9"/>
      <c r="FA249" s="9"/>
      <c r="FB249" s="9">
        <v>51.3825</v>
      </c>
      <c r="FC249" s="9">
        <v>44.2571428571</v>
      </c>
      <c r="FD249" s="9">
        <v>6508.3928571428996</v>
      </c>
      <c r="FE249" s="9">
        <v>120.07142857140001</v>
      </c>
      <c r="FF249" s="9">
        <v>1968.0309523809999</v>
      </c>
      <c r="FG249">
        <v>17655043.381730001</v>
      </c>
      <c r="FH249">
        <v>17212956.499030001</v>
      </c>
      <c r="FI249">
        <v>442086.88270000002</v>
      </c>
      <c r="FJ249" s="9">
        <v>23942744.166043304</v>
      </c>
      <c r="FK249">
        <v>19990020.8795733</v>
      </c>
      <c r="FL249" s="9">
        <v>3952723.2864700002</v>
      </c>
      <c r="FM249" s="9">
        <v>34485653.850000001</v>
      </c>
      <c r="FN249" s="9">
        <v>3093603.83</v>
      </c>
      <c r="FO249">
        <v>2852.94</v>
      </c>
      <c r="FP249">
        <v>1024</v>
      </c>
      <c r="FQ249">
        <v>111.05</v>
      </c>
      <c r="FR249">
        <v>685.15</v>
      </c>
      <c r="FS249">
        <v>11.62</v>
      </c>
      <c r="FT249">
        <v>3966.02</v>
      </c>
      <c r="FU249">
        <v>548.92999999999995</v>
      </c>
      <c r="FV249">
        <v>2335</v>
      </c>
      <c r="FW249">
        <v>2635.79</v>
      </c>
      <c r="FX249">
        <v>1201.04</v>
      </c>
      <c r="HB249" s="6"/>
      <c r="HC249" s="6"/>
      <c r="HD249" s="6"/>
    </row>
    <row r="250" spans="1:212" x14ac:dyDescent="0.2">
      <c r="A250" s="8" t="s">
        <v>863</v>
      </c>
      <c r="B250" s="8" t="s">
        <v>499</v>
      </c>
      <c r="C250" s="8" t="s">
        <v>502</v>
      </c>
      <c r="D250" s="9">
        <v>9621324.7850000001</v>
      </c>
      <c r="E250" s="9">
        <v>1039034.662</v>
      </c>
      <c r="F250" s="9">
        <v>2109349.6069999998</v>
      </c>
      <c r="G250" s="9">
        <v>971318.58499999996</v>
      </c>
      <c r="H250" s="9">
        <v>140771.53899999999</v>
      </c>
      <c r="I250" s="9">
        <v>295176.82299999997</v>
      </c>
      <c r="J250" s="9">
        <v>694576.33600000001</v>
      </c>
      <c r="K250" s="9">
        <v>437962.23599999998</v>
      </c>
      <c r="L250" s="9">
        <v>215752.014</v>
      </c>
      <c r="M250" s="9">
        <v>2551981.108</v>
      </c>
      <c r="N250" s="9">
        <v>1165401.875</v>
      </c>
      <c r="O250" s="9">
        <v>7024671.9029999999</v>
      </c>
      <c r="P250" s="9">
        <v>1156188.8729999999</v>
      </c>
      <c r="Q250" s="9">
        <v>1017928.713</v>
      </c>
      <c r="R250" s="9">
        <v>516021.72100000002</v>
      </c>
      <c r="S250" s="9">
        <v>117080.274</v>
      </c>
      <c r="T250" s="9">
        <v>218374.60800000001</v>
      </c>
      <c r="U250" s="9">
        <v>702617.07400000002</v>
      </c>
      <c r="V250" s="9">
        <v>360182.06800000003</v>
      </c>
      <c r="W250" s="9">
        <v>166584.21799999999</v>
      </c>
      <c r="X250" s="9">
        <v>1875623.023</v>
      </c>
      <c r="Y250" s="9">
        <v>894071.33</v>
      </c>
      <c r="Z250" s="9">
        <v>9927940.1380000003</v>
      </c>
      <c r="AA250" s="9">
        <v>5510581.767</v>
      </c>
      <c r="AB250" s="9">
        <v>1154122.871</v>
      </c>
      <c r="AC250" s="9">
        <v>3387565.9589999998</v>
      </c>
      <c r="AD250" s="9">
        <v>-1360358.612</v>
      </c>
      <c r="AE250" s="9">
        <v>6779423.1919999998</v>
      </c>
      <c r="AF250" s="9">
        <v>5543395.0389999999</v>
      </c>
      <c r="AG250" s="9">
        <v>7096971.4000000004</v>
      </c>
      <c r="AH250" s="9">
        <v>4728260.5</v>
      </c>
      <c r="AI250" s="9">
        <v>1077625.7</v>
      </c>
      <c r="AJ250" s="9">
        <v>2327924</v>
      </c>
      <c r="AK250" s="9">
        <v>-579438.69999999995</v>
      </c>
      <c r="AL250" s="9">
        <v>3940492.4</v>
      </c>
      <c r="AM250" s="9">
        <v>4397892.5999999996</v>
      </c>
      <c r="AN250" s="9">
        <v>1175986</v>
      </c>
      <c r="AO250" s="9">
        <v>607873</v>
      </c>
      <c r="AP250" s="9">
        <v>568113</v>
      </c>
      <c r="AQ250" s="9">
        <v>92616</v>
      </c>
      <c r="AR250" s="9">
        <v>51746</v>
      </c>
      <c r="AS250" s="9">
        <v>40870</v>
      </c>
      <c r="AT250" s="9">
        <v>881374</v>
      </c>
      <c r="AU250" s="9">
        <v>335204</v>
      </c>
      <c r="AV250" s="9">
        <v>546170</v>
      </c>
      <c r="AW250" s="9">
        <v>1269.0999999999999</v>
      </c>
      <c r="AX250" s="9">
        <v>1000</v>
      </c>
      <c r="AY250" s="9">
        <v>2934</v>
      </c>
      <c r="AZ250" s="9">
        <v>1243</v>
      </c>
      <c r="BA250" s="9">
        <v>1611.2</v>
      </c>
      <c r="BB250" s="9">
        <v>1026.0999999999999</v>
      </c>
      <c r="BC250" s="9">
        <v>1253.0999999999999</v>
      </c>
      <c r="BD250" s="9">
        <v>1089.3</v>
      </c>
      <c r="BE250" s="9">
        <v>1240.7</v>
      </c>
      <c r="BF250" s="9">
        <v>799.7</v>
      </c>
      <c r="BG250" s="9">
        <v>1333.9</v>
      </c>
      <c r="BH250" s="9">
        <v>1543.2</v>
      </c>
      <c r="BI250" s="9">
        <v>1572.2</v>
      </c>
      <c r="BJ250" s="9">
        <v>992.7</v>
      </c>
      <c r="BK250" s="9">
        <v>1154.7</v>
      </c>
      <c r="BL250" s="9">
        <v>861.9</v>
      </c>
      <c r="BM250" s="9">
        <v>1115.3</v>
      </c>
      <c r="BN250" s="9">
        <v>1232355.8</v>
      </c>
      <c r="BO250" s="9">
        <v>930559.8</v>
      </c>
      <c r="BP250" s="9">
        <v>174058.3</v>
      </c>
      <c r="BQ250" s="9">
        <v>93235.199999999997</v>
      </c>
      <c r="BR250" s="9">
        <v>81527.8</v>
      </c>
      <c r="BS250" s="9">
        <v>216707</v>
      </c>
      <c r="BT250" s="9">
        <v>260967.3</v>
      </c>
      <c r="BU250" s="9">
        <v>76776.399999999994</v>
      </c>
      <c r="BV250" s="9">
        <v>71463.5</v>
      </c>
      <c r="BW250" s="9">
        <v>906564.3</v>
      </c>
      <c r="BX250" s="9">
        <v>3950.9</v>
      </c>
      <c r="BY250" s="9">
        <v>161215.9</v>
      </c>
      <c r="BZ250" s="9">
        <v>220253.8</v>
      </c>
      <c r="CA250" s="9">
        <v>96167.4</v>
      </c>
      <c r="CB250" s="9">
        <v>24304.400000000001</v>
      </c>
      <c r="CC250" s="9">
        <v>5223.7</v>
      </c>
      <c r="CD250" s="9">
        <v>399399.1</v>
      </c>
      <c r="CE250" s="9">
        <v>174256.6</v>
      </c>
      <c r="CF250" s="9">
        <v>3560538.2140449551</v>
      </c>
      <c r="CG250" s="9">
        <v>22425904.901262742</v>
      </c>
      <c r="CH250" s="9">
        <v>9.9532319886000007</v>
      </c>
      <c r="CI250" s="9">
        <v>2.9968384633</v>
      </c>
      <c r="CJ250" s="9">
        <v>16.420120668399999</v>
      </c>
      <c r="CK250" s="9">
        <v>10.9545060394</v>
      </c>
      <c r="CL250" s="9">
        <v>8</v>
      </c>
      <c r="CM250" s="9">
        <v>124.3466376099</v>
      </c>
      <c r="CN250" s="9">
        <v>33.135828661399998</v>
      </c>
      <c r="CO250" s="9">
        <v>5.3645740568000004</v>
      </c>
      <c r="CP250" s="9">
        <v>20.686232177600001</v>
      </c>
      <c r="CQ250" s="9">
        <v>12.6452891659</v>
      </c>
      <c r="CR250" s="9">
        <v>5.9899691894</v>
      </c>
      <c r="CS250" s="9">
        <v>4.7922443173999998</v>
      </c>
      <c r="CT250" s="9">
        <v>15.891528592</v>
      </c>
      <c r="CU250" s="9">
        <v>4.3120994242000004</v>
      </c>
      <c r="CV250" s="9">
        <v>3.9617261192000002</v>
      </c>
      <c r="CW250" s="9">
        <v>6.8440943042000004</v>
      </c>
      <c r="CX250" s="9">
        <v>3.7908956520000001</v>
      </c>
      <c r="CY250" s="9">
        <v>6.9321559496000003</v>
      </c>
      <c r="CZ250" s="9">
        <v>668</v>
      </c>
      <c r="DA250" s="9">
        <v>609</v>
      </c>
      <c r="DB250" s="9">
        <v>20</v>
      </c>
      <c r="DC250" s="9">
        <v>155</v>
      </c>
      <c r="DD250" s="9">
        <v>61</v>
      </c>
      <c r="DE250" s="9">
        <v>18</v>
      </c>
      <c r="DF250" s="9">
        <v>309</v>
      </c>
      <c r="DG250" s="9">
        <v>19</v>
      </c>
      <c r="DH250" s="9">
        <v>34</v>
      </c>
      <c r="DI250" s="9">
        <v>6</v>
      </c>
      <c r="DJ250" s="9">
        <v>0</v>
      </c>
      <c r="DK250" s="9">
        <v>24</v>
      </c>
      <c r="DL250" s="9">
        <v>1</v>
      </c>
      <c r="DM250" s="9">
        <v>24</v>
      </c>
      <c r="DN250" s="9">
        <v>0</v>
      </c>
      <c r="DO250" s="9">
        <v>474.91</v>
      </c>
      <c r="DP250" s="9">
        <v>135.01</v>
      </c>
      <c r="DQ250" s="9">
        <v>78.48</v>
      </c>
      <c r="DR250" s="9">
        <v>56.53</v>
      </c>
      <c r="DS250" s="9">
        <v>54.29</v>
      </c>
      <c r="DT250" s="9">
        <v>11.66</v>
      </c>
      <c r="DU250" s="9">
        <v>228.41</v>
      </c>
      <c r="DV250" s="9">
        <v>138.55000000000001</v>
      </c>
      <c r="DW250" s="9">
        <v>69.94</v>
      </c>
      <c r="DX250" s="9">
        <v>56.76</v>
      </c>
      <c r="DY250" s="9">
        <v>30.37</v>
      </c>
      <c r="DZ250" s="9">
        <v>16.95</v>
      </c>
      <c r="EA250" s="9">
        <v>-44.4</v>
      </c>
      <c r="EB250" s="9">
        <v>117.3</v>
      </c>
      <c r="EC250" s="9">
        <v>-148.1</v>
      </c>
      <c r="ED250" s="9">
        <v>-64.599999999999994</v>
      </c>
      <c r="EE250" s="9">
        <v>51</v>
      </c>
      <c r="EF250" s="9">
        <v>9.6999999999999993</v>
      </c>
      <c r="EG250" s="9">
        <v>146.9</v>
      </c>
      <c r="EH250" s="9">
        <v>-117.4</v>
      </c>
      <c r="EI250" s="9">
        <v>10.9</v>
      </c>
      <c r="EJ250" s="9">
        <v>-2.5</v>
      </c>
      <c r="EK250" s="9">
        <v>255.9</v>
      </c>
      <c r="EL250" s="9">
        <v>107.8</v>
      </c>
      <c r="EM250" s="9">
        <v>-73.900000000000006</v>
      </c>
      <c r="EN250" s="9">
        <v>3697.8419930498999</v>
      </c>
      <c r="EO250" s="9">
        <v>730.50821098120002</v>
      </c>
      <c r="EP250" s="9">
        <v>1982.6086736074001</v>
      </c>
      <c r="EQ250" s="9">
        <v>7.6460143917999996</v>
      </c>
      <c r="ER250" s="9">
        <v>46.619657369199999</v>
      </c>
      <c r="ES250" s="9">
        <v>930.45943670040003</v>
      </c>
      <c r="ET250" s="9">
        <v>0</v>
      </c>
      <c r="EU250">
        <v>2854.1681818182001</v>
      </c>
      <c r="EV250" s="9">
        <v>31445.87</v>
      </c>
      <c r="EW250" s="9">
        <v>8059.69</v>
      </c>
      <c r="EX250" s="9">
        <v>2154.4499999999998</v>
      </c>
      <c r="EY250" s="9">
        <v>1764.14</v>
      </c>
      <c r="EZ250" s="9">
        <v>8267.74</v>
      </c>
      <c r="FA250" s="9">
        <v>11199.85</v>
      </c>
      <c r="FB250" s="9">
        <v>52.005681818200003</v>
      </c>
      <c r="FC250" s="9">
        <v>41.085454545499999</v>
      </c>
      <c r="FD250" s="9">
        <v>6704.9</v>
      </c>
      <c r="FE250" s="9">
        <v>123</v>
      </c>
      <c r="FF250" s="9">
        <v>1922.2136363636</v>
      </c>
      <c r="FG250">
        <v>17651542.824990001</v>
      </c>
      <c r="FH250">
        <v>17182054.811190002</v>
      </c>
      <c r="FI250">
        <v>469488.01380000002</v>
      </c>
      <c r="FJ250" s="9">
        <v>24765556.462850202</v>
      </c>
      <c r="FK250">
        <v>20859605.030200198</v>
      </c>
      <c r="FL250" s="9">
        <v>3905951.4326499999</v>
      </c>
      <c r="FM250" s="9">
        <v>35363947.490000002</v>
      </c>
      <c r="FN250" s="9">
        <v>2984836.15</v>
      </c>
      <c r="FO250">
        <v>2854.72</v>
      </c>
      <c r="FP250">
        <v>313</v>
      </c>
      <c r="FQ250">
        <v>115.34</v>
      </c>
      <c r="FR250">
        <v>663.36</v>
      </c>
      <c r="FS250">
        <v>13.9</v>
      </c>
      <c r="FT250">
        <v>4646.8999999999996</v>
      </c>
      <c r="FU250">
        <v>548.85</v>
      </c>
      <c r="FV250">
        <v>3117.33</v>
      </c>
      <c r="FW250">
        <v>2940.7</v>
      </c>
      <c r="FX250">
        <v>834.76</v>
      </c>
      <c r="HB250" s="6"/>
      <c r="HC250" s="6"/>
      <c r="HD250" s="6"/>
    </row>
    <row r="251" spans="1:212" x14ac:dyDescent="0.2">
      <c r="A251" s="8" t="s">
        <v>863</v>
      </c>
      <c r="B251" s="8" t="s">
        <v>503</v>
      </c>
      <c r="C251" s="8" t="s">
        <v>504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>
        <v>940324</v>
      </c>
      <c r="BO251" s="9">
        <v>774314</v>
      </c>
      <c r="BP251" s="9">
        <v>289649.09999999998</v>
      </c>
      <c r="BQ251" s="9">
        <v>223759.6</v>
      </c>
      <c r="BR251" s="9">
        <v>65888.100000000006</v>
      </c>
      <c r="BS251" s="9">
        <v>29602.7</v>
      </c>
      <c r="BT251" s="9">
        <v>211966.6</v>
      </c>
      <c r="BU251" s="9">
        <v>66687.100000000006</v>
      </c>
      <c r="BV251" s="9">
        <v>80568.600000000006</v>
      </c>
      <c r="BW251" s="9">
        <v>1138173.8</v>
      </c>
      <c r="BX251" s="9">
        <v>16386.099999999999</v>
      </c>
      <c r="BY251" s="9">
        <v>248754.7</v>
      </c>
      <c r="BZ251" s="9">
        <v>226479.1</v>
      </c>
      <c r="CA251" s="9">
        <v>224425.60000000001</v>
      </c>
      <c r="CB251" s="9">
        <v>28523.9</v>
      </c>
      <c r="CC251" s="9">
        <v>20166</v>
      </c>
      <c r="CD251" s="9">
        <v>389824.4</v>
      </c>
      <c r="CE251" s="9">
        <v>220046.5</v>
      </c>
      <c r="CF251" s="9">
        <v>3630786.4562705546</v>
      </c>
      <c r="CG251" s="9">
        <v>22531243.98835193</v>
      </c>
      <c r="CH251" s="9">
        <v>10.4211249756</v>
      </c>
      <c r="CI251" s="9">
        <v>3.3803827861000002</v>
      </c>
      <c r="CJ251" s="9">
        <v>15.9574605408</v>
      </c>
      <c r="CK251" s="9">
        <v>10.093749301700001</v>
      </c>
      <c r="CL251" s="9">
        <v>8</v>
      </c>
      <c r="CM251" s="9">
        <v>124.8059786325</v>
      </c>
      <c r="CN251" s="9">
        <v>33.0545444089</v>
      </c>
      <c r="CO251" s="9">
        <v>5.3657656532000004</v>
      </c>
      <c r="CP251" s="9">
        <v>20.921420614999999</v>
      </c>
      <c r="CQ251" s="9">
        <v>12.673075402</v>
      </c>
      <c r="CR251" s="9">
        <v>6.0170494227000004</v>
      </c>
      <c r="CS251" s="9">
        <v>4.8137796753000002</v>
      </c>
      <c r="CT251" s="9">
        <v>16.055955296299999</v>
      </c>
      <c r="CU251" s="9">
        <v>4.3120994242000004</v>
      </c>
      <c r="CV251" s="9">
        <v>3.9645562275000001</v>
      </c>
      <c r="CW251" s="9">
        <v>6.8444230712999996</v>
      </c>
      <c r="CX251" s="9">
        <v>3.8302553303</v>
      </c>
      <c r="CY251" s="9">
        <v>6.9530541057999997</v>
      </c>
      <c r="CZ251" s="9">
        <v>839</v>
      </c>
      <c r="DA251" s="9">
        <v>767</v>
      </c>
      <c r="DB251" s="9">
        <v>156</v>
      </c>
      <c r="DC251" s="9">
        <v>179</v>
      </c>
      <c r="DD251" s="9">
        <v>64</v>
      </c>
      <c r="DE251" s="9">
        <v>17</v>
      </c>
      <c r="DF251" s="9">
        <v>297</v>
      </c>
      <c r="DG251" s="9">
        <v>19</v>
      </c>
      <c r="DH251" s="9">
        <v>40</v>
      </c>
      <c r="DI251" s="9">
        <v>11</v>
      </c>
      <c r="DJ251" s="9">
        <v>0</v>
      </c>
      <c r="DK251" s="9">
        <v>25</v>
      </c>
      <c r="DL251" s="9">
        <v>1</v>
      </c>
      <c r="DM251" s="9">
        <v>31</v>
      </c>
      <c r="DN251" s="9">
        <v>0</v>
      </c>
      <c r="DO251" s="9">
        <v>508.88</v>
      </c>
      <c r="DP251" s="9">
        <v>154.99</v>
      </c>
      <c r="DQ251" s="9">
        <v>89.12</v>
      </c>
      <c r="DR251" s="9">
        <v>65.86</v>
      </c>
      <c r="DS251" s="9">
        <v>50.81</v>
      </c>
      <c r="DT251" s="9">
        <v>11.45</v>
      </c>
      <c r="DU251" s="9">
        <v>229.02</v>
      </c>
      <c r="DV251" s="9">
        <v>126.36</v>
      </c>
      <c r="DW251" s="9">
        <v>60.72</v>
      </c>
      <c r="DX251" s="9">
        <v>64.099999999999994</v>
      </c>
      <c r="DY251" s="9">
        <v>33.08</v>
      </c>
      <c r="DZ251" s="9">
        <v>17.21</v>
      </c>
      <c r="EA251" s="9">
        <v>10.199999999999999</v>
      </c>
      <c r="EB251" s="9">
        <v>237.6</v>
      </c>
      <c r="EC251" s="9">
        <v>-134.6</v>
      </c>
      <c r="ED251" s="9">
        <v>-113</v>
      </c>
      <c r="EE251" s="9">
        <v>20.100000000000001</v>
      </c>
      <c r="EF251" s="9">
        <v>7.9</v>
      </c>
      <c r="EG251" s="9">
        <v>-197.1</v>
      </c>
      <c r="EH251" s="9">
        <v>-81</v>
      </c>
      <c r="EI251" s="9">
        <v>41.8</v>
      </c>
      <c r="EJ251" s="9">
        <v>0.5</v>
      </c>
      <c r="EK251" s="9">
        <v>-158.4</v>
      </c>
      <c r="EL251" s="9">
        <v>-37</v>
      </c>
      <c r="EM251" s="9">
        <v>178.2</v>
      </c>
      <c r="EN251" s="9">
        <v>3723.0128038242001</v>
      </c>
      <c r="EO251" s="9">
        <v>840.90151303159996</v>
      </c>
      <c r="EP251" s="9">
        <v>2054.2424588721001</v>
      </c>
      <c r="EQ251" s="9">
        <v>7.6753392453</v>
      </c>
      <c r="ER251" s="9">
        <v>46.798458317700003</v>
      </c>
      <c r="ES251" s="9">
        <v>773.39503435749998</v>
      </c>
      <c r="ET251" s="9">
        <v>0</v>
      </c>
      <c r="EU251">
        <v>2853.6023809523999</v>
      </c>
      <c r="EV251" s="9"/>
      <c r="EW251" s="9"/>
      <c r="EX251" s="9"/>
      <c r="EY251" s="9"/>
      <c r="EZ251" s="9"/>
      <c r="FA251" s="9"/>
      <c r="FB251" s="9">
        <v>58.069480519499997</v>
      </c>
      <c r="FC251" s="9">
        <v>40.47</v>
      </c>
      <c r="FD251" s="9">
        <v>6713.8113636363996</v>
      </c>
      <c r="FE251" s="9">
        <v>119.25</v>
      </c>
      <c r="FF251" s="9">
        <v>1900.2750000000001</v>
      </c>
      <c r="FG251">
        <v>17512262.261149999</v>
      </c>
      <c r="FH251">
        <v>17042920.970149998</v>
      </c>
      <c r="FI251">
        <v>469341.29100000003</v>
      </c>
      <c r="FJ251" s="9">
        <v>24768357.299303997</v>
      </c>
      <c r="FK251">
        <v>20985386.878944002</v>
      </c>
      <c r="FL251" s="9">
        <v>3782970.4203599999</v>
      </c>
      <c r="FM251" s="9">
        <v>35020021.689999998</v>
      </c>
      <c r="FN251" s="9">
        <v>2988576.3250000002</v>
      </c>
      <c r="FO251">
        <v>2851.99</v>
      </c>
      <c r="FP251">
        <v>2538</v>
      </c>
      <c r="FQ251">
        <v>118.81</v>
      </c>
      <c r="FR251">
        <v>692.07</v>
      </c>
      <c r="FS251">
        <v>12.89</v>
      </c>
      <c r="FT251">
        <v>4043.03</v>
      </c>
      <c r="FU251">
        <v>548.51</v>
      </c>
      <c r="FV251">
        <v>5435.41</v>
      </c>
      <c r="FW251">
        <v>4365.75</v>
      </c>
      <c r="FX251">
        <v>846.29</v>
      </c>
      <c r="HB251" s="6"/>
      <c r="HC251" s="6"/>
      <c r="HD251" s="6"/>
    </row>
    <row r="252" spans="1:212" x14ac:dyDescent="0.2">
      <c r="A252" s="8" t="s">
        <v>863</v>
      </c>
      <c r="B252" s="8" t="s">
        <v>503</v>
      </c>
      <c r="C252" s="8" t="s">
        <v>505</v>
      </c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>
        <v>811308.3</v>
      </c>
      <c r="BO252" s="9">
        <v>631800.30000000005</v>
      </c>
      <c r="BP252" s="9">
        <v>144465.60000000001</v>
      </c>
      <c r="BQ252" s="9">
        <v>80998.899999999994</v>
      </c>
      <c r="BR252" s="9">
        <v>63463.8</v>
      </c>
      <c r="BS252" s="9">
        <v>102075.3</v>
      </c>
      <c r="BT252" s="9">
        <v>205616.8</v>
      </c>
      <c r="BU252" s="9">
        <v>61449.9</v>
      </c>
      <c r="BV252" s="9">
        <v>62617.9</v>
      </c>
      <c r="BW252" s="9">
        <v>921095.3</v>
      </c>
      <c r="BX252" s="9">
        <v>13397</v>
      </c>
      <c r="BY252" s="9">
        <v>225571.5</v>
      </c>
      <c r="BZ252" s="9">
        <v>220252.3</v>
      </c>
      <c r="CA252" s="9">
        <v>46049.7</v>
      </c>
      <c r="CB252" s="9">
        <v>25312.9</v>
      </c>
      <c r="CC252" s="9">
        <v>13918.5</v>
      </c>
      <c r="CD252" s="9">
        <v>389990.2</v>
      </c>
      <c r="CE252" s="9">
        <v>212022.5</v>
      </c>
      <c r="CF252" s="9">
        <v>3914974.439511741</v>
      </c>
      <c r="CG252" s="9">
        <v>23271506.37890223</v>
      </c>
      <c r="CH252" s="9">
        <v>10.1596788255</v>
      </c>
      <c r="CI252" s="9">
        <v>2.6998634941000001</v>
      </c>
      <c r="CJ252" s="9">
        <v>15.7947249135</v>
      </c>
      <c r="CK252" s="9">
        <v>10.225175841</v>
      </c>
      <c r="CL252" s="9">
        <v>6</v>
      </c>
      <c r="CM252" s="9">
        <v>125.5306399649</v>
      </c>
      <c r="CN252" s="9">
        <v>33.559662809099997</v>
      </c>
      <c r="CO252" s="9">
        <v>5.3755871912000002</v>
      </c>
      <c r="CP252" s="9">
        <v>20.9364754269</v>
      </c>
      <c r="CQ252" s="9">
        <v>12.8441604502</v>
      </c>
      <c r="CR252" s="9">
        <v>6.0257493964000002</v>
      </c>
      <c r="CS252" s="9">
        <v>4.8336327569000002</v>
      </c>
      <c r="CT252" s="9">
        <v>16.0404490954</v>
      </c>
      <c r="CU252" s="9">
        <v>4.3122520461000002</v>
      </c>
      <c r="CV252" s="9">
        <v>3.9668623436999999</v>
      </c>
      <c r="CW252" s="9">
        <v>6.8444230712999996</v>
      </c>
      <c r="CX252" s="9">
        <v>3.8305372446999999</v>
      </c>
      <c r="CY252" s="9">
        <v>6.9608481328999998</v>
      </c>
      <c r="CZ252" s="9">
        <v>869</v>
      </c>
      <c r="DA252" s="9">
        <v>829</v>
      </c>
      <c r="DB252" s="9">
        <v>303</v>
      </c>
      <c r="DC252" s="9">
        <v>183</v>
      </c>
      <c r="DD252" s="9">
        <v>58</v>
      </c>
      <c r="DE252" s="9">
        <v>11</v>
      </c>
      <c r="DF252" s="9">
        <v>230</v>
      </c>
      <c r="DG252" s="9">
        <v>23</v>
      </c>
      <c r="DH252" s="9">
        <v>16</v>
      </c>
      <c r="DI252" s="9">
        <v>8</v>
      </c>
      <c r="DJ252" s="9">
        <v>0</v>
      </c>
      <c r="DK252" s="9">
        <v>5</v>
      </c>
      <c r="DL252" s="9">
        <v>3</v>
      </c>
      <c r="DM252" s="9">
        <v>22</v>
      </c>
      <c r="DN252" s="9">
        <v>0</v>
      </c>
      <c r="DO252" s="9">
        <v>449.61</v>
      </c>
      <c r="DP252" s="9">
        <v>139.69</v>
      </c>
      <c r="DQ252" s="9">
        <v>89.71</v>
      </c>
      <c r="DR252" s="9">
        <v>49.98</v>
      </c>
      <c r="DS252" s="9">
        <v>48.64</v>
      </c>
      <c r="DT252" s="9">
        <v>12.16</v>
      </c>
      <c r="DU252" s="9">
        <v>165.23</v>
      </c>
      <c r="DV252" s="9">
        <v>110.7</v>
      </c>
      <c r="DW252" s="9">
        <v>38.06</v>
      </c>
      <c r="DX252" s="9">
        <v>95.57</v>
      </c>
      <c r="DY252" s="9">
        <v>48</v>
      </c>
      <c r="DZ252" s="9">
        <v>31.33</v>
      </c>
      <c r="EA252" s="9">
        <v>132.9</v>
      </c>
      <c r="EB252" s="9">
        <v>393.9</v>
      </c>
      <c r="EC252" s="9">
        <v>-126.3</v>
      </c>
      <c r="ED252" s="9">
        <v>-152</v>
      </c>
      <c r="EE252" s="9">
        <v>17.399999999999999</v>
      </c>
      <c r="EF252" s="9">
        <v>9.6999999999999993</v>
      </c>
      <c r="EG252" s="9">
        <v>24.5</v>
      </c>
      <c r="EH252" s="9">
        <v>-138.69999999999999</v>
      </c>
      <c r="EI252" s="9">
        <v>7.9</v>
      </c>
      <c r="EJ252" s="9">
        <v>-1.19746</v>
      </c>
      <c r="EK252" s="9">
        <v>156.4648</v>
      </c>
      <c r="EL252" s="9">
        <v>185.52770000000001</v>
      </c>
      <c r="EM252" s="9">
        <v>303.59899999999999</v>
      </c>
      <c r="EN252" s="9">
        <v>3869.9330980210002</v>
      </c>
      <c r="EO252" s="9">
        <v>823.68706170200005</v>
      </c>
      <c r="EP252" s="9">
        <v>2382.3556532245002</v>
      </c>
      <c r="EQ252" s="9">
        <v>7.7475466440999998</v>
      </c>
      <c r="ER252" s="9">
        <v>45.668756573899998</v>
      </c>
      <c r="ES252" s="9">
        <v>610.47407987639997</v>
      </c>
      <c r="ET252" s="9">
        <v>0</v>
      </c>
      <c r="EU252">
        <v>2850.0436842105</v>
      </c>
      <c r="EV252" s="9"/>
      <c r="EW252" s="9"/>
      <c r="EX252" s="9"/>
      <c r="EY252" s="9"/>
      <c r="EZ252" s="9"/>
      <c r="FA252" s="9"/>
      <c r="FB252" s="9">
        <v>62.946428571399998</v>
      </c>
      <c r="FC252" s="9">
        <v>43.224285714300002</v>
      </c>
      <c r="FD252" s="9">
        <v>7068.9071428570996</v>
      </c>
      <c r="FE252" s="9">
        <v>123.5238095238</v>
      </c>
      <c r="FF252" s="9">
        <v>1863.4928571429</v>
      </c>
      <c r="FG252">
        <v>17275057.834739998</v>
      </c>
      <c r="FH252">
        <v>16828617.560939997</v>
      </c>
      <c r="FI252">
        <v>446440.27380000002</v>
      </c>
      <c r="FJ252" s="9">
        <v>25422603.402492002</v>
      </c>
      <c r="FK252">
        <v>21669671.144621998</v>
      </c>
      <c r="FL252" s="9">
        <v>3752932.2578699999</v>
      </c>
      <c r="FM252" s="9">
        <v>35912619</v>
      </c>
      <c r="FN252" s="9">
        <v>3054531</v>
      </c>
      <c r="FO252">
        <v>2849.66</v>
      </c>
      <c r="FP252">
        <v>4919</v>
      </c>
      <c r="FQ252">
        <v>116.77</v>
      </c>
      <c r="FR252">
        <v>672.94</v>
      </c>
      <c r="FS252">
        <v>7.84</v>
      </c>
      <c r="FT252">
        <v>3133.19</v>
      </c>
      <c r="FU252">
        <v>634.54999999999995</v>
      </c>
      <c r="FV252">
        <v>4406.25</v>
      </c>
      <c r="FW252">
        <v>3818.71</v>
      </c>
      <c r="FX252">
        <v>159.19999999999999</v>
      </c>
      <c r="HB252" s="6"/>
      <c r="HC252" s="6"/>
      <c r="HD252" s="6"/>
    </row>
    <row r="253" spans="1:212" x14ac:dyDescent="0.2">
      <c r="A253" s="8" t="s">
        <v>863</v>
      </c>
      <c r="B253" s="8" t="s">
        <v>503</v>
      </c>
      <c r="C253" s="8" t="s">
        <v>506</v>
      </c>
      <c r="D253" s="9">
        <v>10512325.358999999</v>
      </c>
      <c r="E253" s="9">
        <v>904299.01199999999</v>
      </c>
      <c r="F253" s="9">
        <v>2790142.2340000002</v>
      </c>
      <c r="G253" s="9">
        <v>1676445.149</v>
      </c>
      <c r="H253" s="9">
        <v>276952.87300000002</v>
      </c>
      <c r="I253" s="9">
        <v>698433.73300000001</v>
      </c>
      <c r="J253" s="9">
        <v>1353891.3870000001</v>
      </c>
      <c r="K253" s="9">
        <v>305102.82199999999</v>
      </c>
      <c r="L253" s="9">
        <v>169872.946</v>
      </c>
      <c r="M253" s="9">
        <v>1700625.956</v>
      </c>
      <c r="N253" s="9">
        <v>636559.24800000002</v>
      </c>
      <c r="O253" s="9">
        <v>7819707.9780000001</v>
      </c>
      <c r="P253" s="9">
        <v>805127.54</v>
      </c>
      <c r="Q253" s="9">
        <v>1342646.7749999999</v>
      </c>
      <c r="R253" s="9">
        <v>967304.08900000004</v>
      </c>
      <c r="S253" s="9">
        <v>214849.647</v>
      </c>
      <c r="T253" s="9">
        <v>528840.32400000002</v>
      </c>
      <c r="U253" s="9">
        <v>930384.31299999997</v>
      </c>
      <c r="V253" s="9">
        <v>543863.26500000001</v>
      </c>
      <c r="W253" s="9">
        <v>140041.24299999999</v>
      </c>
      <c r="X253" s="9">
        <v>1885321.1159999999</v>
      </c>
      <c r="Y253" s="9">
        <v>461329.66499999998</v>
      </c>
      <c r="Z253" s="9">
        <v>10522511.029999999</v>
      </c>
      <c r="AA253" s="9">
        <v>5090159.8899999997</v>
      </c>
      <c r="AB253" s="9">
        <v>1825589.26</v>
      </c>
      <c r="AC253" s="9">
        <v>2514837.6660000002</v>
      </c>
      <c r="AD253" s="9">
        <v>-403116.77399999998</v>
      </c>
      <c r="AE253" s="9">
        <v>6863004.5990000004</v>
      </c>
      <c r="AF253" s="9">
        <v>5367963.6109999996</v>
      </c>
      <c r="AG253" s="9">
        <v>7694143.7999999998</v>
      </c>
      <c r="AH253" s="9">
        <v>4258646.2</v>
      </c>
      <c r="AI253" s="9">
        <v>1515487.7</v>
      </c>
      <c r="AJ253" s="9">
        <v>1481314.3</v>
      </c>
      <c r="AK253" s="9">
        <v>23069.7</v>
      </c>
      <c r="AL253" s="9">
        <v>4573142.7</v>
      </c>
      <c r="AM253" s="9">
        <v>4157517</v>
      </c>
      <c r="AN253" s="9">
        <v>1124564</v>
      </c>
      <c r="AO253" s="9">
        <v>594863</v>
      </c>
      <c r="AP253" s="9">
        <v>529701</v>
      </c>
      <c r="AQ253" s="9">
        <v>92085</v>
      </c>
      <c r="AR253" s="9">
        <v>46653</v>
      </c>
      <c r="AS253" s="9">
        <v>45432</v>
      </c>
      <c r="AT253" s="9">
        <v>918068</v>
      </c>
      <c r="AU253" s="9">
        <v>343696</v>
      </c>
      <c r="AV253" s="9">
        <v>574372</v>
      </c>
      <c r="AW253" s="9">
        <v>1328.1</v>
      </c>
      <c r="AX253" s="9">
        <v>1052</v>
      </c>
      <c r="AY253" s="9">
        <v>3296</v>
      </c>
      <c r="AZ253" s="9">
        <v>1256.8</v>
      </c>
      <c r="BA253" s="9">
        <v>1688.2</v>
      </c>
      <c r="BB253" s="9">
        <v>1064.9000000000001</v>
      </c>
      <c r="BC253" s="9">
        <v>1226.8</v>
      </c>
      <c r="BD253" s="9">
        <v>1072.4000000000001</v>
      </c>
      <c r="BE253" s="9">
        <v>1301.8</v>
      </c>
      <c r="BF253" s="9">
        <v>745.2</v>
      </c>
      <c r="BG253" s="9">
        <v>1324.5</v>
      </c>
      <c r="BH253" s="9">
        <v>1458.7</v>
      </c>
      <c r="BI253" s="9">
        <v>1430</v>
      </c>
      <c r="BJ253" s="9">
        <v>1125.9000000000001</v>
      </c>
      <c r="BK253" s="9">
        <v>1247.4000000000001</v>
      </c>
      <c r="BL253" s="9">
        <v>946.8</v>
      </c>
      <c r="BM253" s="9">
        <v>1121.8</v>
      </c>
      <c r="BN253" s="9">
        <v>1333730.3999999999</v>
      </c>
      <c r="BO253" s="9">
        <v>1005000</v>
      </c>
      <c r="BP253" s="9">
        <v>331852.7</v>
      </c>
      <c r="BQ253" s="9">
        <v>202068</v>
      </c>
      <c r="BR253" s="9">
        <v>129773.4</v>
      </c>
      <c r="BS253" s="9">
        <v>225543.6</v>
      </c>
      <c r="BT253" s="9">
        <v>168734.5</v>
      </c>
      <c r="BU253" s="9">
        <v>68227</v>
      </c>
      <c r="BV253" s="9">
        <v>165898.29999999999</v>
      </c>
      <c r="BW253" s="9">
        <v>2004633.5</v>
      </c>
      <c r="BX253" s="9">
        <v>-5689.9</v>
      </c>
      <c r="BY253" s="9">
        <v>469437.5</v>
      </c>
      <c r="BZ253" s="9">
        <v>303163.09999999998</v>
      </c>
      <c r="CA253" s="9">
        <v>110188.3</v>
      </c>
      <c r="CB253" s="9">
        <v>48330.400000000001</v>
      </c>
      <c r="CC253" s="9">
        <v>31465.3</v>
      </c>
      <c r="CD253" s="9">
        <v>352769.9</v>
      </c>
      <c r="CE253" s="9">
        <v>689278.9</v>
      </c>
      <c r="CF253" s="9">
        <v>4197435.133597468</v>
      </c>
      <c r="CG253" s="9">
        <v>24220049.126076151</v>
      </c>
      <c r="CH253" s="9">
        <v>8.3617912586000003</v>
      </c>
      <c r="CI253" s="9">
        <v>3.7032771309000001</v>
      </c>
      <c r="CJ253" s="9">
        <v>14.7517365647</v>
      </c>
      <c r="CK253" s="9">
        <v>9.8308559992000006</v>
      </c>
      <c r="CL253" s="9">
        <v>6</v>
      </c>
      <c r="CM253" s="9">
        <v>124.8075639856</v>
      </c>
      <c r="CN253" s="9">
        <v>34.060050595200003</v>
      </c>
      <c r="CO253" s="9">
        <v>5.3783118787999999</v>
      </c>
      <c r="CP253" s="9">
        <v>21.0330160026</v>
      </c>
      <c r="CQ253" s="9">
        <v>11.4656567231</v>
      </c>
      <c r="CR253" s="9">
        <v>6.0410725139999997</v>
      </c>
      <c r="CS253" s="9">
        <v>4.8525386625999998</v>
      </c>
      <c r="CT253" s="9">
        <v>16.038487546500001</v>
      </c>
      <c r="CU253" s="9">
        <v>4.3139825094999997</v>
      </c>
      <c r="CV253" s="9">
        <v>3.9668623436999999</v>
      </c>
      <c r="CW253" s="9">
        <v>6.8444230712999996</v>
      </c>
      <c r="CX253" s="9">
        <v>3.8305633563999999</v>
      </c>
      <c r="CY253" s="9">
        <v>6.9825987819000002</v>
      </c>
      <c r="CZ253" s="9">
        <v>721</v>
      </c>
      <c r="DA253" s="9">
        <v>663</v>
      </c>
      <c r="DB253" s="9">
        <v>163</v>
      </c>
      <c r="DC253" s="9">
        <v>250</v>
      </c>
      <c r="DD253" s="9">
        <v>54</v>
      </c>
      <c r="DE253" s="9">
        <v>15</v>
      </c>
      <c r="DF253" s="9">
        <v>121</v>
      </c>
      <c r="DG253" s="9">
        <v>23</v>
      </c>
      <c r="DH253" s="9">
        <v>17</v>
      </c>
      <c r="DI253" s="9">
        <v>4</v>
      </c>
      <c r="DJ253" s="9">
        <v>0</v>
      </c>
      <c r="DK253" s="9">
        <v>10</v>
      </c>
      <c r="DL253" s="9">
        <v>3</v>
      </c>
      <c r="DM253" s="9">
        <v>39</v>
      </c>
      <c r="DN253" s="9">
        <v>0</v>
      </c>
      <c r="DO253" s="9">
        <v>407.33</v>
      </c>
      <c r="DP253" s="9">
        <v>138.33000000000001</v>
      </c>
      <c r="DQ253" s="9">
        <v>69.959999999999994</v>
      </c>
      <c r="DR253" s="9">
        <v>68.37</v>
      </c>
      <c r="DS253" s="9">
        <v>51.8</v>
      </c>
      <c r="DT253" s="9">
        <v>13.77</v>
      </c>
      <c r="DU253" s="9">
        <v>142.27000000000001</v>
      </c>
      <c r="DV253" s="9">
        <v>101.46</v>
      </c>
      <c r="DW253" s="9">
        <v>20.5</v>
      </c>
      <c r="DX253" s="9">
        <v>73.88</v>
      </c>
      <c r="DY253" s="9">
        <v>46.82</v>
      </c>
      <c r="DZ253" s="9">
        <v>14.95</v>
      </c>
      <c r="EA253" s="9">
        <v>-84.9</v>
      </c>
      <c r="EB253" s="9">
        <v>256.2</v>
      </c>
      <c r="EC253" s="9">
        <v>-134.69999999999999</v>
      </c>
      <c r="ED253" s="9">
        <v>-224.2</v>
      </c>
      <c r="EE253" s="9">
        <v>17.8</v>
      </c>
      <c r="EF253" s="9">
        <v>8.8000000000000007</v>
      </c>
      <c r="EG253" s="9">
        <v>-801</v>
      </c>
      <c r="EH253" s="9">
        <v>-238.2</v>
      </c>
      <c r="EI253" s="9">
        <v>1.3</v>
      </c>
      <c r="EJ253" s="9">
        <v>-0.2</v>
      </c>
      <c r="EK253" s="9">
        <v>-563.9</v>
      </c>
      <c r="EL253" s="9">
        <v>52.8</v>
      </c>
      <c r="EM253" s="9">
        <v>777.6</v>
      </c>
      <c r="EN253" s="9">
        <v>4534.2338810077999</v>
      </c>
      <c r="EO253" s="9">
        <v>2365.8800719350002</v>
      </c>
      <c r="EP253" s="9">
        <v>1621.6473718730999</v>
      </c>
      <c r="EQ253" s="9">
        <v>7.8290600074999999</v>
      </c>
      <c r="ER253" s="9">
        <v>46.149245962499997</v>
      </c>
      <c r="ES253" s="9">
        <v>492.7281312298</v>
      </c>
      <c r="ET253" s="9">
        <v>0</v>
      </c>
      <c r="EU253">
        <v>2849.5486363636001</v>
      </c>
      <c r="EV253" s="9">
        <v>32361.83</v>
      </c>
      <c r="EW253" s="9">
        <v>8653.84</v>
      </c>
      <c r="EX253" s="9">
        <v>2220.9899999999998</v>
      </c>
      <c r="EY253" s="9">
        <v>1650.9</v>
      </c>
      <c r="EZ253" s="9">
        <v>8430.23</v>
      </c>
      <c r="FA253" s="9">
        <v>11405.87</v>
      </c>
      <c r="FB253" s="9">
        <v>80.5897959184</v>
      </c>
      <c r="FC253" s="9">
        <v>49.854347826100003</v>
      </c>
      <c r="FD253" s="9">
        <v>7772.2380952381</v>
      </c>
      <c r="FE253" s="9">
        <v>153.0652173913</v>
      </c>
      <c r="FF253" s="9">
        <v>1855.9552631578999</v>
      </c>
      <c r="FG253">
        <v>17476186.681919999</v>
      </c>
      <c r="FH253">
        <v>17034251.745620001</v>
      </c>
      <c r="FI253">
        <v>441934.9363</v>
      </c>
      <c r="FJ253" s="9">
        <v>26309572.774653997</v>
      </c>
      <c r="FK253">
        <v>22433902.702213999</v>
      </c>
      <c r="FL253" s="9">
        <v>3875670.0724399998</v>
      </c>
      <c r="FM253" s="9">
        <v>36685492</v>
      </c>
      <c r="FN253" s="9">
        <v>3058623</v>
      </c>
      <c r="FO253">
        <v>2849.89</v>
      </c>
      <c r="FP253">
        <v>2787</v>
      </c>
      <c r="FQ253">
        <v>138.74</v>
      </c>
      <c r="FR253">
        <v>584.76</v>
      </c>
      <c r="FS253">
        <v>10.62</v>
      </c>
      <c r="FT253">
        <v>1589.15</v>
      </c>
      <c r="FU253">
        <v>507.81</v>
      </c>
      <c r="FV253">
        <v>1764.67</v>
      </c>
      <c r="FW253">
        <v>9360.02</v>
      </c>
      <c r="FX253">
        <v>626.36</v>
      </c>
      <c r="HB253" s="6"/>
      <c r="HC253" s="6"/>
      <c r="HD253" s="6"/>
    </row>
    <row r="254" spans="1:212" x14ac:dyDescent="0.2">
      <c r="A254" s="8" t="s">
        <v>825</v>
      </c>
      <c r="B254" s="8" t="s">
        <v>507</v>
      </c>
      <c r="C254" s="8" t="s">
        <v>508</v>
      </c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>
        <v>711326.1</v>
      </c>
      <c r="BO254" s="9">
        <v>604294.9</v>
      </c>
      <c r="BP254" s="9">
        <v>112835.7</v>
      </c>
      <c r="BQ254" s="9">
        <v>57533.5</v>
      </c>
      <c r="BR254" s="9">
        <v>55300.1</v>
      </c>
      <c r="BS254" s="9">
        <v>122609.1</v>
      </c>
      <c r="BT254" s="9">
        <v>169414.8</v>
      </c>
      <c r="BU254" s="9">
        <v>63264.4</v>
      </c>
      <c r="BV254" s="9">
        <v>61763.199999999997</v>
      </c>
      <c r="BW254" s="9">
        <v>692538.1</v>
      </c>
      <c r="BX254" s="9">
        <v>-1620.3</v>
      </c>
      <c r="BY254" s="9">
        <v>73441.600000000006</v>
      </c>
      <c r="BZ254" s="9">
        <v>180480.8</v>
      </c>
      <c r="CA254" s="9">
        <v>32132.2</v>
      </c>
      <c r="CB254" s="9">
        <v>32132.2</v>
      </c>
      <c r="CC254" s="9">
        <v>35971.300000000003</v>
      </c>
      <c r="CD254" s="9">
        <v>368726.7</v>
      </c>
      <c r="CE254" s="9">
        <v>93594.2</v>
      </c>
      <c r="CF254" s="9">
        <v>3885372.2611479321</v>
      </c>
      <c r="CG254" s="9">
        <v>24229948.457983982</v>
      </c>
      <c r="CH254" s="9">
        <v>7.9</v>
      </c>
      <c r="CI254" s="9">
        <v>2</v>
      </c>
      <c r="CJ254" s="9">
        <v>15.430643313699999</v>
      </c>
      <c r="CK254" s="9">
        <v>9.0307374527000004</v>
      </c>
      <c r="CL254" s="9">
        <v>6</v>
      </c>
      <c r="CM254" s="9">
        <v>126.0630097048</v>
      </c>
      <c r="CN254" s="9">
        <v>34.996967214800001</v>
      </c>
      <c r="CO254" s="9">
        <v>5.3864368030999996</v>
      </c>
      <c r="CP254" s="9">
        <v>21.052163695200001</v>
      </c>
      <c r="CQ254" s="9">
        <v>11.6377203869</v>
      </c>
      <c r="CR254" s="9">
        <v>6.085932057</v>
      </c>
      <c r="CS254" s="9">
        <v>4.8687620859000003</v>
      </c>
      <c r="CT254" s="9">
        <v>16.064525008099999</v>
      </c>
      <c r="CU254" s="9">
        <v>4.3139825094999997</v>
      </c>
      <c r="CV254" s="9">
        <v>3.9670167015</v>
      </c>
      <c r="CW254" s="9">
        <v>6.8444230712999996</v>
      </c>
      <c r="CX254" s="9">
        <v>3.8416450950000001</v>
      </c>
      <c r="CY254" s="9">
        <v>7.0034350765999998</v>
      </c>
      <c r="CZ254" s="9">
        <v>640</v>
      </c>
      <c r="DA254" s="9">
        <v>559</v>
      </c>
      <c r="DB254" s="9">
        <v>0</v>
      </c>
      <c r="DC254" s="9">
        <v>194</v>
      </c>
      <c r="DD254" s="9">
        <v>73</v>
      </c>
      <c r="DE254" s="9">
        <v>18</v>
      </c>
      <c r="DF254" s="9">
        <v>221</v>
      </c>
      <c r="DG254" s="9">
        <v>25</v>
      </c>
      <c r="DH254" s="9">
        <v>16</v>
      </c>
      <c r="DI254" s="9">
        <v>5</v>
      </c>
      <c r="DJ254" s="9">
        <v>0</v>
      </c>
      <c r="DK254" s="9">
        <v>9</v>
      </c>
      <c r="DL254" s="9">
        <v>1</v>
      </c>
      <c r="DM254" s="9">
        <v>63</v>
      </c>
      <c r="DN254" s="9">
        <v>0</v>
      </c>
      <c r="DO254" s="9">
        <v>458.82</v>
      </c>
      <c r="DP254" s="9">
        <v>142.69</v>
      </c>
      <c r="DQ254" s="9">
        <v>79.75</v>
      </c>
      <c r="DR254" s="9">
        <v>62.93</v>
      </c>
      <c r="DS254" s="9">
        <v>68.88</v>
      </c>
      <c r="DT254" s="9">
        <v>13.61</v>
      </c>
      <c r="DU254" s="9">
        <v>165.31</v>
      </c>
      <c r="DV254" s="9">
        <v>120.99</v>
      </c>
      <c r="DW254" s="9">
        <v>28.76</v>
      </c>
      <c r="DX254" s="9">
        <v>81.06</v>
      </c>
      <c r="DY254" s="9">
        <v>51.17</v>
      </c>
      <c r="DZ254" s="9">
        <v>19.66</v>
      </c>
      <c r="EA254" s="9">
        <v>-52</v>
      </c>
      <c r="EB254" s="9">
        <v>153.9</v>
      </c>
      <c r="EC254" s="9">
        <v>-75.400000000000006</v>
      </c>
      <c r="ED254" s="9">
        <v>-144.1</v>
      </c>
      <c r="EE254" s="9">
        <v>13.5</v>
      </c>
      <c r="EF254" s="9">
        <v>9.5</v>
      </c>
      <c r="EG254" s="9">
        <v>73.099999999999994</v>
      </c>
      <c r="EH254" s="9">
        <v>-118.6</v>
      </c>
      <c r="EI254" s="9">
        <v>-1.1000000000000001</v>
      </c>
      <c r="EJ254" s="9">
        <v>0.8</v>
      </c>
      <c r="EK254" s="9">
        <v>192.1</v>
      </c>
      <c r="EL254" s="9">
        <v>-45.1</v>
      </c>
      <c r="EM254" s="9">
        <v>-160.69999999999999</v>
      </c>
      <c r="EN254" s="9">
        <v>4367.5655527892004</v>
      </c>
      <c r="EO254" s="9">
        <v>854.95304095100005</v>
      </c>
      <c r="EP254" s="9">
        <v>2972.8176644106002</v>
      </c>
      <c r="EQ254" s="9">
        <v>7.8203085630000002</v>
      </c>
      <c r="ER254" s="9">
        <v>46.0976596207</v>
      </c>
      <c r="ES254" s="9">
        <v>485.87687924390002</v>
      </c>
      <c r="ET254" s="9">
        <v>0</v>
      </c>
      <c r="EU254">
        <v>2849.8150000000001</v>
      </c>
      <c r="EV254" s="9"/>
      <c r="EW254" s="9"/>
      <c r="EX254" s="9"/>
      <c r="EY254" s="9"/>
      <c r="EZ254" s="9"/>
      <c r="FA254" s="9"/>
      <c r="FB254" s="9">
        <v>90.995357142900005</v>
      </c>
      <c r="FC254" s="9">
        <v>54.551428571400002</v>
      </c>
      <c r="FD254" s="9">
        <v>7972.1475</v>
      </c>
      <c r="FE254" s="9">
        <v>166.73809523809999</v>
      </c>
      <c r="FF254" s="9">
        <v>1866.9849999999999</v>
      </c>
      <c r="FG254">
        <v>17501338.838989999</v>
      </c>
      <c r="FH254">
        <v>17059364.369589999</v>
      </c>
      <c r="FI254">
        <v>441974.4694</v>
      </c>
      <c r="FJ254" s="9">
        <v>26344536.672555</v>
      </c>
      <c r="FK254">
        <v>22514384.501254998</v>
      </c>
      <c r="FL254" s="9">
        <v>3830152.1713</v>
      </c>
      <c r="FM254" s="9">
        <v>36485458.960000001</v>
      </c>
      <c r="FN254" s="9">
        <v>3080489.1919999998</v>
      </c>
      <c r="FO254">
        <v>2850.12</v>
      </c>
      <c r="FP254">
        <v>0</v>
      </c>
      <c r="FQ254">
        <v>109.55</v>
      </c>
      <c r="FR254">
        <v>644.58000000000004</v>
      </c>
      <c r="FS254">
        <v>11.79</v>
      </c>
      <c r="FT254">
        <v>2498.6999999999998</v>
      </c>
      <c r="FU254">
        <v>519.26</v>
      </c>
      <c r="FV254">
        <v>2513.2800000000002</v>
      </c>
      <c r="FW254">
        <v>10295.709999999999</v>
      </c>
      <c r="FX254">
        <v>480.19</v>
      </c>
      <c r="HB254" s="6"/>
      <c r="HC254" s="6"/>
      <c r="HD254" s="6"/>
    </row>
    <row r="255" spans="1:212" x14ac:dyDescent="0.2">
      <c r="A255" s="8" t="s">
        <v>825</v>
      </c>
      <c r="B255" s="8" t="s">
        <v>507</v>
      </c>
      <c r="C255" s="8" t="s">
        <v>509</v>
      </c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>
        <v>1009224.5</v>
      </c>
      <c r="BO255" s="9">
        <v>872606</v>
      </c>
      <c r="BP255" s="9">
        <v>357113</v>
      </c>
      <c r="BQ255" s="9">
        <v>280668.5</v>
      </c>
      <c r="BR255" s="9">
        <v>76445.8</v>
      </c>
      <c r="BS255" s="9">
        <v>151679.5</v>
      </c>
      <c r="BT255" s="9">
        <v>208087.6</v>
      </c>
      <c r="BU255" s="9">
        <v>59093.4</v>
      </c>
      <c r="BV255" s="9">
        <v>88907</v>
      </c>
      <c r="BW255" s="9">
        <v>830152.9</v>
      </c>
      <c r="BX255" s="9">
        <v>7887.3</v>
      </c>
      <c r="BY255" s="9">
        <v>94056.7</v>
      </c>
      <c r="BZ255" s="9">
        <v>196121.7</v>
      </c>
      <c r="CA255" s="9">
        <v>10504.4</v>
      </c>
      <c r="CB255" s="9">
        <v>48165.9</v>
      </c>
      <c r="CC255" s="9">
        <v>50616.2</v>
      </c>
      <c r="CD255" s="9">
        <v>430688</v>
      </c>
      <c r="CE255" s="9">
        <v>117788.9</v>
      </c>
      <c r="CF255" s="9">
        <v>4102637.1733985329</v>
      </c>
      <c r="CG255" s="9">
        <v>24634262.232545801</v>
      </c>
      <c r="CH255" s="9">
        <v>7.1306092437000004</v>
      </c>
      <c r="CI255" s="9">
        <v>2.2930710406000001</v>
      </c>
      <c r="CJ255" s="9">
        <v>15.396286419699999</v>
      </c>
      <c r="CK255" s="9">
        <v>9.3304841284000002</v>
      </c>
      <c r="CL255" s="9">
        <v>6</v>
      </c>
      <c r="CM255" s="9">
        <v>127.8358831381</v>
      </c>
      <c r="CN255" s="9">
        <v>36.3451212059</v>
      </c>
      <c r="CO255" s="9">
        <v>5.4201138417000001</v>
      </c>
      <c r="CP255" s="9">
        <v>21.042175694200001</v>
      </c>
      <c r="CQ255" s="9">
        <v>11.770018894</v>
      </c>
      <c r="CR255" s="9">
        <v>6.1406207217000004</v>
      </c>
      <c r="CS255" s="9">
        <v>4.9199229881999997</v>
      </c>
      <c r="CT255" s="9">
        <v>16.141455775800001</v>
      </c>
      <c r="CU255" s="9">
        <v>4.3179807321999997</v>
      </c>
      <c r="CV255" s="9">
        <v>3.9712208421000001</v>
      </c>
      <c r="CW255" s="9">
        <v>6.8444230712999996</v>
      </c>
      <c r="CX255" s="9">
        <v>3.8767752449000001</v>
      </c>
      <c r="CY255" s="9">
        <v>7.0460541261999996</v>
      </c>
      <c r="CZ255" s="9">
        <v>694.66</v>
      </c>
      <c r="DA255" s="9">
        <v>638.08000000000004</v>
      </c>
      <c r="DB255" s="9">
        <v>25.66</v>
      </c>
      <c r="DC255" s="9">
        <v>242.53</v>
      </c>
      <c r="DD255" s="9">
        <v>74.040000000000006</v>
      </c>
      <c r="DE255" s="9">
        <v>14.79</v>
      </c>
      <c r="DF255" s="9">
        <v>226.35</v>
      </c>
      <c r="DG255" s="9">
        <v>24.63</v>
      </c>
      <c r="DH255" s="9">
        <v>12.07</v>
      </c>
      <c r="DI255" s="9">
        <v>0.97</v>
      </c>
      <c r="DJ255" s="9">
        <v>0.55000000000000004</v>
      </c>
      <c r="DK255" s="9">
        <v>6.98</v>
      </c>
      <c r="DL255" s="9">
        <v>0.72</v>
      </c>
      <c r="DM255" s="9">
        <v>43.7</v>
      </c>
      <c r="DN255" s="9">
        <v>0.1</v>
      </c>
      <c r="DO255" s="9">
        <v>463.45</v>
      </c>
      <c r="DP255" s="9">
        <v>130.87</v>
      </c>
      <c r="DQ255" s="9">
        <v>75.69</v>
      </c>
      <c r="DR255" s="9">
        <v>55.18</v>
      </c>
      <c r="DS255" s="9">
        <v>72.31</v>
      </c>
      <c r="DT255" s="9">
        <v>13.59</v>
      </c>
      <c r="DU255" s="9">
        <v>192.28</v>
      </c>
      <c r="DV255" s="9">
        <v>149.72999999999999</v>
      </c>
      <c r="DW255" s="9">
        <v>28.58</v>
      </c>
      <c r="DX255" s="9">
        <v>66.09</v>
      </c>
      <c r="DY255" s="9">
        <v>40.75</v>
      </c>
      <c r="DZ255" s="9">
        <v>13.72</v>
      </c>
      <c r="EA255" s="9">
        <v>-64.8</v>
      </c>
      <c r="EB255" s="9">
        <v>134.4</v>
      </c>
      <c r="EC255" s="9">
        <v>-100.4</v>
      </c>
      <c r="ED255" s="9">
        <v>-116.1</v>
      </c>
      <c r="EE255" s="9">
        <v>17.3</v>
      </c>
      <c r="EF255" s="9">
        <v>7.1</v>
      </c>
      <c r="EG255" s="9">
        <v>-217.1</v>
      </c>
      <c r="EH255" s="9">
        <v>-137.9</v>
      </c>
      <c r="EI255" s="9">
        <v>-82.4</v>
      </c>
      <c r="EJ255" s="9">
        <v>0.9</v>
      </c>
      <c r="EK255" s="9">
        <v>2.2999999999999998</v>
      </c>
      <c r="EL255" s="9">
        <v>8.3000000000000007</v>
      </c>
      <c r="EM255" s="9">
        <v>167.7</v>
      </c>
      <c r="EN255" s="9">
        <v>4512.8011212615002</v>
      </c>
      <c r="EO255" s="9">
        <v>851.50966410119997</v>
      </c>
      <c r="EP255" s="9">
        <v>3144.2609958901999</v>
      </c>
      <c r="EQ255" s="9">
        <v>7.8637545907000002</v>
      </c>
      <c r="ER255" s="9">
        <v>44.753537893699999</v>
      </c>
      <c r="ES255" s="9">
        <v>464.41316878570001</v>
      </c>
      <c r="ET255" s="9">
        <v>0</v>
      </c>
      <c r="EU255">
        <v>2849.7289473684</v>
      </c>
      <c r="EV255" s="9"/>
      <c r="EW255" s="9"/>
      <c r="EX255" s="9"/>
      <c r="EY255" s="9"/>
      <c r="EZ255" s="9"/>
      <c r="FA255" s="9"/>
      <c r="FB255" s="9">
        <v>92.485714285699999</v>
      </c>
      <c r="FC255" s="9">
        <v>61.963500000000003</v>
      </c>
      <c r="FD255" s="9">
        <v>8470.94</v>
      </c>
      <c r="FE255" s="9">
        <v>162.32499999999999</v>
      </c>
      <c r="FF255" s="9">
        <v>1808.175</v>
      </c>
      <c r="FG255">
        <v>17446910.621070001</v>
      </c>
      <c r="FH255">
        <v>16972923.306770001</v>
      </c>
      <c r="FI255">
        <v>473987.31430000003</v>
      </c>
      <c r="FJ255" s="9">
        <v>26792425.052063003</v>
      </c>
      <c r="FK255">
        <v>22768726.004542999</v>
      </c>
      <c r="FL255" s="9">
        <v>4023699.04752</v>
      </c>
      <c r="FM255" s="9">
        <v>37199874.109999999</v>
      </c>
      <c r="FN255" s="9">
        <v>3111590.1290000002</v>
      </c>
      <c r="FO255">
        <v>2849.27</v>
      </c>
      <c r="FP255">
        <v>442.59</v>
      </c>
      <c r="FQ255">
        <v>116.36</v>
      </c>
      <c r="FR255">
        <v>565.64</v>
      </c>
      <c r="FS255">
        <v>10.06</v>
      </c>
      <c r="FT255">
        <v>2028.6</v>
      </c>
      <c r="FU255">
        <v>435.56</v>
      </c>
      <c r="FV255">
        <v>545</v>
      </c>
      <c r="FW255">
        <v>9213.89</v>
      </c>
      <c r="FX255">
        <v>633.22</v>
      </c>
      <c r="HB255" s="6"/>
      <c r="HC255" s="6"/>
      <c r="HD255" s="6"/>
    </row>
    <row r="256" spans="1:212" x14ac:dyDescent="0.2">
      <c r="A256" s="8" t="s">
        <v>825</v>
      </c>
      <c r="B256" s="8" t="s">
        <v>507</v>
      </c>
      <c r="C256" s="8" t="s">
        <v>510</v>
      </c>
      <c r="D256" s="9">
        <v>9219260.3000000007</v>
      </c>
      <c r="E256" s="9">
        <v>278905.929</v>
      </c>
      <c r="F256" s="9">
        <v>2707780.3369999998</v>
      </c>
      <c r="G256" s="9">
        <v>963998.89399999997</v>
      </c>
      <c r="H256" s="9">
        <v>253198.122</v>
      </c>
      <c r="I256" s="9">
        <v>86173.188999999998</v>
      </c>
      <c r="J256" s="9">
        <v>670116.97699999996</v>
      </c>
      <c r="K256" s="9">
        <v>333718.34899999999</v>
      </c>
      <c r="L256" s="9">
        <v>158480.53700000001</v>
      </c>
      <c r="M256" s="9">
        <v>2545768.182</v>
      </c>
      <c r="N256" s="9">
        <v>1221119.7830000001</v>
      </c>
      <c r="O256" s="9">
        <v>5419030.0700000003</v>
      </c>
      <c r="P256" s="9">
        <v>218123.66699999999</v>
      </c>
      <c r="Q256" s="9">
        <v>893189.32400000002</v>
      </c>
      <c r="R256" s="9">
        <v>400507.36800000002</v>
      </c>
      <c r="S256" s="9">
        <v>222465.16099999999</v>
      </c>
      <c r="T256" s="9">
        <v>66144.415999999997</v>
      </c>
      <c r="U256" s="9">
        <v>543209.66099999996</v>
      </c>
      <c r="V256" s="9">
        <v>206681.79500000001</v>
      </c>
      <c r="W256" s="9">
        <v>147316.46900000001</v>
      </c>
      <c r="X256" s="9">
        <v>1855077.399</v>
      </c>
      <c r="Y256" s="9">
        <v>866314.81099999999</v>
      </c>
      <c r="Z256" s="9">
        <v>8803987</v>
      </c>
      <c r="AA256" s="9">
        <v>4857123.9000000004</v>
      </c>
      <c r="AB256" s="9">
        <v>1047460</v>
      </c>
      <c r="AC256" s="9">
        <v>2441470.7000000002</v>
      </c>
      <c r="AD256" s="9">
        <v>180059.9</v>
      </c>
      <c r="AE256" s="9">
        <v>5930010.7000000002</v>
      </c>
      <c r="AF256" s="9">
        <v>5652138.2999999998</v>
      </c>
      <c r="AG256" s="9">
        <v>5849126.2000000002</v>
      </c>
      <c r="AH256" s="9">
        <v>4098657.4</v>
      </c>
      <c r="AI256" s="9">
        <v>948841.5</v>
      </c>
      <c r="AJ256" s="9">
        <v>1534359</v>
      </c>
      <c r="AK256" s="9">
        <v>370091.1</v>
      </c>
      <c r="AL256" s="9">
        <v>3123039.8</v>
      </c>
      <c r="AM256" s="9">
        <v>4225862.7</v>
      </c>
      <c r="AN256" s="9">
        <v>1054889</v>
      </c>
      <c r="AO256" s="9">
        <v>553828</v>
      </c>
      <c r="AP256" s="9">
        <v>501061</v>
      </c>
      <c r="AQ256" s="9">
        <v>101161</v>
      </c>
      <c r="AR256" s="9">
        <v>59844</v>
      </c>
      <c r="AS256" s="9">
        <v>41317</v>
      </c>
      <c r="AT256" s="9">
        <v>949670</v>
      </c>
      <c r="AU256" s="9">
        <v>361692</v>
      </c>
      <c r="AV256" s="9">
        <v>587978</v>
      </c>
      <c r="AW256" s="9">
        <v>1314.9</v>
      </c>
      <c r="AX256" s="9">
        <v>1010.1</v>
      </c>
      <c r="AY256" s="9">
        <v>3395.5</v>
      </c>
      <c r="AZ256" s="9">
        <v>1302.2</v>
      </c>
      <c r="BA256" s="9">
        <v>1860.3</v>
      </c>
      <c r="BB256" s="9">
        <v>1042.7</v>
      </c>
      <c r="BC256" s="9">
        <v>1293</v>
      </c>
      <c r="BD256" s="9">
        <v>1084.5999999999999</v>
      </c>
      <c r="BE256" s="9">
        <v>1330.1</v>
      </c>
      <c r="BF256" s="9">
        <v>775.3</v>
      </c>
      <c r="BG256" s="9">
        <v>1309.4000000000001</v>
      </c>
      <c r="BH256" s="9">
        <v>1520.3</v>
      </c>
      <c r="BI256" s="9">
        <v>1402.4</v>
      </c>
      <c r="BJ256" s="9">
        <v>1001.1</v>
      </c>
      <c r="BK256" s="9">
        <v>1108.3</v>
      </c>
      <c r="BL256" s="9">
        <v>847.8</v>
      </c>
      <c r="BM256" s="9">
        <v>1094.5999999999999</v>
      </c>
      <c r="BN256" s="9">
        <v>1155541.7</v>
      </c>
      <c r="BO256" s="9">
        <v>924680.7</v>
      </c>
      <c r="BP256" s="9">
        <v>181194.6</v>
      </c>
      <c r="BQ256" s="9">
        <v>82416.7</v>
      </c>
      <c r="BR256" s="9">
        <v>98778.6</v>
      </c>
      <c r="BS256" s="9">
        <v>182382.9</v>
      </c>
      <c r="BT256" s="9">
        <v>276845</v>
      </c>
      <c r="BU256" s="9">
        <v>89855.3</v>
      </c>
      <c r="BV256" s="9">
        <v>75622.2</v>
      </c>
      <c r="BW256" s="9">
        <v>969368.4</v>
      </c>
      <c r="BX256" s="9">
        <v>14437.4</v>
      </c>
      <c r="BY256" s="9">
        <v>128500.8</v>
      </c>
      <c r="BZ256" s="9">
        <v>208012.6</v>
      </c>
      <c r="CA256" s="9">
        <v>89751.5</v>
      </c>
      <c r="CB256" s="9">
        <v>29086.9</v>
      </c>
      <c r="CC256" s="9">
        <v>41081.599999999999</v>
      </c>
      <c r="CD256" s="9">
        <v>381895</v>
      </c>
      <c r="CE256" s="9">
        <v>91040</v>
      </c>
      <c r="CF256" s="9">
        <v>4328027.735767426</v>
      </c>
      <c r="CG256" s="9">
        <v>25135959.95048723</v>
      </c>
      <c r="CH256" s="9">
        <v>6.8939208358000004</v>
      </c>
      <c r="CI256" s="9">
        <v>2.2456539953000001</v>
      </c>
      <c r="CJ256" s="9">
        <v>15.363993713399999</v>
      </c>
      <c r="CK256" s="9">
        <v>8.5756415856999997</v>
      </c>
      <c r="CL256" s="9">
        <v>6</v>
      </c>
      <c r="CM256" s="9">
        <v>128.64653449369999</v>
      </c>
      <c r="CN256" s="9">
        <v>36.840004555999997</v>
      </c>
      <c r="CO256" s="9">
        <v>5.4280458245999998</v>
      </c>
      <c r="CP256" s="9">
        <v>21.0690727711</v>
      </c>
      <c r="CQ256" s="9">
        <v>11.7720721929</v>
      </c>
      <c r="CR256" s="9">
        <v>6.1598135866000003</v>
      </c>
      <c r="CS256" s="9">
        <v>4.9255433671000004</v>
      </c>
      <c r="CT256" s="9">
        <v>16.181997543200001</v>
      </c>
      <c r="CU256" s="9">
        <v>4.3206942521</v>
      </c>
      <c r="CV256" s="9">
        <v>3.9723124031000001</v>
      </c>
      <c r="CW256" s="9">
        <v>6.8734993906000001</v>
      </c>
      <c r="CX256" s="9">
        <v>4.0183422451000004</v>
      </c>
      <c r="CY256" s="9">
        <v>7.0851363611</v>
      </c>
      <c r="CZ256" s="9">
        <v>665.85</v>
      </c>
      <c r="DA256" s="9">
        <v>596.02</v>
      </c>
      <c r="DB256" s="9">
        <v>0</v>
      </c>
      <c r="DC256" s="9">
        <v>184.27</v>
      </c>
      <c r="DD256" s="9">
        <v>91.41</v>
      </c>
      <c r="DE256" s="9">
        <v>13.94</v>
      </c>
      <c r="DF256" s="9">
        <v>241.59</v>
      </c>
      <c r="DG256" s="9">
        <v>28.31</v>
      </c>
      <c r="DH256" s="9">
        <v>20.21</v>
      </c>
      <c r="DI256" s="9">
        <v>3.35</v>
      </c>
      <c r="DJ256" s="9">
        <v>1.1499999999999999</v>
      </c>
      <c r="DK256" s="9">
        <v>12.65</v>
      </c>
      <c r="DL256" s="9">
        <v>0.63</v>
      </c>
      <c r="DM256" s="9">
        <v>48.92</v>
      </c>
      <c r="DN256" s="9">
        <v>0.06</v>
      </c>
      <c r="DO256" s="9">
        <v>601.41999999999996</v>
      </c>
      <c r="DP256" s="9">
        <v>172.35</v>
      </c>
      <c r="DQ256" s="9">
        <v>96.44</v>
      </c>
      <c r="DR256" s="9">
        <v>75.91</v>
      </c>
      <c r="DS256" s="9">
        <v>68.650000000000006</v>
      </c>
      <c r="DT256" s="9">
        <v>14</v>
      </c>
      <c r="DU256" s="9">
        <v>276.2</v>
      </c>
      <c r="DV256" s="9">
        <v>198.1</v>
      </c>
      <c r="DW256" s="9">
        <v>49.81</v>
      </c>
      <c r="DX256" s="9">
        <v>82.77</v>
      </c>
      <c r="DY256" s="9">
        <v>43.86</v>
      </c>
      <c r="DZ256" s="9">
        <v>16.829999999999998</v>
      </c>
      <c r="EA256" s="9">
        <v>-90.6</v>
      </c>
      <c r="EB256" s="9">
        <v>81.099999999999994</v>
      </c>
      <c r="EC256" s="9">
        <v>-70.7</v>
      </c>
      <c r="ED256" s="9">
        <v>-124.3</v>
      </c>
      <c r="EE256" s="9">
        <v>23.3</v>
      </c>
      <c r="EF256" s="9">
        <v>14.3</v>
      </c>
      <c r="EG256" s="9">
        <v>-264.5</v>
      </c>
      <c r="EH256" s="9">
        <v>-338.6</v>
      </c>
      <c r="EI256" s="9">
        <v>12</v>
      </c>
      <c r="EJ256" s="9">
        <v>5</v>
      </c>
      <c r="EK256" s="9">
        <v>57.2</v>
      </c>
      <c r="EL256" s="9">
        <v>-24.8</v>
      </c>
      <c r="EM256" s="9">
        <v>163.4</v>
      </c>
      <c r="EN256" s="9">
        <v>4774.6640780997996</v>
      </c>
      <c r="EO256" s="9">
        <v>872.07923561320001</v>
      </c>
      <c r="EP256" s="9">
        <v>3274.1807587097001</v>
      </c>
      <c r="EQ256" s="9">
        <v>7.7197324860999998</v>
      </c>
      <c r="ER256" s="9">
        <v>43.933891420499997</v>
      </c>
      <c r="ES256" s="9">
        <v>576.75045987019996</v>
      </c>
      <c r="ET256" s="9">
        <v>0</v>
      </c>
      <c r="EU256">
        <v>2849.6381818181999</v>
      </c>
      <c r="EV256" s="9">
        <v>32487.054540000001</v>
      </c>
      <c r="EW256" s="9">
        <v>8450.5439110000007</v>
      </c>
      <c r="EX256" s="9">
        <v>2191.2672360000001</v>
      </c>
      <c r="EY256" s="9">
        <v>1669.3900759999999</v>
      </c>
      <c r="EZ256" s="9">
        <v>8404.4120280000006</v>
      </c>
      <c r="FA256" s="9">
        <v>11771.441290000001</v>
      </c>
      <c r="FB256" s="9">
        <v>95.230900621100005</v>
      </c>
      <c r="FC256" s="9">
        <v>65.186956521699997</v>
      </c>
      <c r="FD256" s="9">
        <v>8988.2478260869993</v>
      </c>
      <c r="FE256" s="9">
        <v>166.73913043479999</v>
      </c>
      <c r="FF256" s="9">
        <v>1718.2282608696</v>
      </c>
      <c r="FG256">
        <v>17953342.692089997</v>
      </c>
      <c r="FH256">
        <v>17467085.566089999</v>
      </c>
      <c r="FI256">
        <v>486257.12599999999</v>
      </c>
      <c r="FJ256" s="9">
        <v>27070673.247055002</v>
      </c>
      <c r="FK256">
        <v>23298781.961984999</v>
      </c>
      <c r="FL256" s="9">
        <v>3771891.2850700002</v>
      </c>
      <c r="FM256" s="9">
        <v>37335413.240000002</v>
      </c>
      <c r="FN256" s="9">
        <v>3154487.2930000001</v>
      </c>
      <c r="FO256">
        <v>2849.81</v>
      </c>
      <c r="FP256">
        <v>0</v>
      </c>
      <c r="FQ256">
        <v>90.42</v>
      </c>
      <c r="FR256">
        <v>702.33</v>
      </c>
      <c r="FS256">
        <v>9.14</v>
      </c>
      <c r="FT256">
        <v>2144.5100000000002</v>
      </c>
      <c r="FU256">
        <v>467.31</v>
      </c>
      <c r="FV256">
        <v>1704.75</v>
      </c>
      <c r="FW256">
        <v>15616.7</v>
      </c>
      <c r="FX256">
        <v>1055.9000000000001</v>
      </c>
      <c r="HB256" s="6"/>
      <c r="HC256" s="6"/>
      <c r="HD256" s="6"/>
    </row>
    <row r="257" spans="1:212" x14ac:dyDescent="0.2">
      <c r="A257" s="8" t="s">
        <v>825</v>
      </c>
      <c r="B257" s="8" t="s">
        <v>511</v>
      </c>
      <c r="C257" s="8" t="s">
        <v>512</v>
      </c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>
        <v>1975054.3</v>
      </c>
      <c r="BO257" s="9">
        <v>1384125.1</v>
      </c>
      <c r="BP257" s="9">
        <v>824916.8</v>
      </c>
      <c r="BQ257" s="9">
        <v>737767.3</v>
      </c>
      <c r="BR257" s="9">
        <v>92158</v>
      </c>
      <c r="BS257" s="9">
        <v>158005.4</v>
      </c>
      <c r="BT257" s="9">
        <v>129911.5</v>
      </c>
      <c r="BU257" s="9">
        <v>47942.8</v>
      </c>
      <c r="BV257" s="9">
        <v>432910.7</v>
      </c>
      <c r="BW257" s="9">
        <v>1960317.3</v>
      </c>
      <c r="BX257" s="9">
        <v>1998.4</v>
      </c>
      <c r="BY257" s="9">
        <v>140646.39999999999</v>
      </c>
      <c r="BZ257" s="9">
        <v>211331.4</v>
      </c>
      <c r="CA257" s="9">
        <v>108018.8</v>
      </c>
      <c r="CB257" s="9">
        <v>31526.9</v>
      </c>
      <c r="CC257" s="9">
        <v>83520.2</v>
      </c>
      <c r="CD257" s="9">
        <v>1385273.7</v>
      </c>
      <c r="CE257" s="9">
        <v>248831.1</v>
      </c>
      <c r="CF257" s="9">
        <v>5201593.1706816284</v>
      </c>
      <c r="CG257" s="9">
        <v>26761810.37824009</v>
      </c>
      <c r="CH257" s="9">
        <v>5.9086629651999996</v>
      </c>
      <c r="CI257" s="9">
        <v>2.6939777813000001</v>
      </c>
      <c r="CJ257" s="9">
        <v>14.9694818581</v>
      </c>
      <c r="CK257" s="9">
        <v>8.8717765898999996</v>
      </c>
      <c r="CL257" s="9">
        <v>6</v>
      </c>
      <c r="CM257" s="9">
        <v>131.70957136339999</v>
      </c>
      <c r="CN257" s="9">
        <v>38.421237681400001</v>
      </c>
      <c r="CO257" s="9">
        <v>5.4401874081999999</v>
      </c>
      <c r="CP257" s="9">
        <v>21.070116826700001</v>
      </c>
      <c r="CQ257" s="9">
        <v>13.179560084</v>
      </c>
      <c r="CR257" s="9">
        <v>6.1744609588000001</v>
      </c>
      <c r="CS257" s="9">
        <v>4.9392319231000004</v>
      </c>
      <c r="CT257" s="9">
        <v>16.201620095700001</v>
      </c>
      <c r="CU257" s="9">
        <v>4.3206942521</v>
      </c>
      <c r="CV257" s="9">
        <v>3.9723124031000001</v>
      </c>
      <c r="CW257" s="9">
        <v>6.8734993906000001</v>
      </c>
      <c r="CX257" s="9">
        <v>4.0189609705000002</v>
      </c>
      <c r="CY257" s="9">
        <v>7.0976893692000003</v>
      </c>
      <c r="CZ257" s="9">
        <v>496.27</v>
      </c>
      <c r="DA257" s="9">
        <v>432.12</v>
      </c>
      <c r="DB257" s="9">
        <v>24.46</v>
      </c>
      <c r="DC257" s="9">
        <v>152.91</v>
      </c>
      <c r="DD257" s="9">
        <v>97.79</v>
      </c>
      <c r="DE257" s="9">
        <v>18.71</v>
      </c>
      <c r="DF257" s="9">
        <v>69.97</v>
      </c>
      <c r="DG257" s="9">
        <v>27.38</v>
      </c>
      <c r="DH257" s="9">
        <v>32.33</v>
      </c>
      <c r="DI257" s="9">
        <v>0.83</v>
      </c>
      <c r="DJ257" s="9">
        <v>0.59</v>
      </c>
      <c r="DK257" s="9">
        <v>27.97</v>
      </c>
      <c r="DL257" s="9">
        <v>0.63</v>
      </c>
      <c r="DM257" s="9">
        <v>31.17</v>
      </c>
      <c r="DN257" s="9">
        <v>0.02</v>
      </c>
      <c r="DO257" s="9">
        <v>437.54</v>
      </c>
      <c r="DP257" s="9">
        <v>151.97999999999999</v>
      </c>
      <c r="DQ257" s="9">
        <v>106.24</v>
      </c>
      <c r="DR257" s="9">
        <v>45.74</v>
      </c>
      <c r="DS257" s="9">
        <v>52.68</v>
      </c>
      <c r="DT257" s="9">
        <v>9.9499999999999993</v>
      </c>
      <c r="DU257" s="9">
        <v>158.97</v>
      </c>
      <c r="DV257" s="9">
        <v>101.44</v>
      </c>
      <c r="DW257" s="9">
        <v>37.549999999999997</v>
      </c>
      <c r="DX257" s="9">
        <v>73.08</v>
      </c>
      <c r="DY257" s="9">
        <v>43.19</v>
      </c>
      <c r="DZ257" s="9">
        <v>11.92</v>
      </c>
      <c r="EA257" s="9">
        <v>-171.55905042239999</v>
      </c>
      <c r="EB257" s="9">
        <v>-36.403804206099998</v>
      </c>
      <c r="EC257" s="9">
        <v>-35.832678498</v>
      </c>
      <c r="ED257" s="9">
        <v>-116.8902782697</v>
      </c>
      <c r="EE257" s="9">
        <v>17.567710551400001</v>
      </c>
      <c r="EF257" s="9">
        <v>10.3902174505</v>
      </c>
      <c r="EG257" s="9">
        <v>-161.4220850145</v>
      </c>
      <c r="EH257" s="9">
        <v>-137.40535124210001</v>
      </c>
      <c r="EI257" s="9">
        <v>181.3402550564</v>
      </c>
      <c r="EJ257" s="9">
        <v>-1.0412358581000001</v>
      </c>
      <c r="EK257" s="9">
        <v>-204.3157529707</v>
      </c>
      <c r="EL257" s="9">
        <v>74.332285759900003</v>
      </c>
      <c r="EM257" s="9">
        <v>74.585537802399998</v>
      </c>
      <c r="EN257" s="9">
        <v>4891.6526370265001</v>
      </c>
      <c r="EO257" s="9">
        <v>848.26496147420005</v>
      </c>
      <c r="EP257" s="9">
        <v>3382.8130471507002</v>
      </c>
      <c r="EQ257" s="9">
        <v>7.7982840910000002</v>
      </c>
      <c r="ER257" s="9">
        <v>44.380937699</v>
      </c>
      <c r="ES257" s="9">
        <v>608.39540661160004</v>
      </c>
      <c r="ET257" s="9">
        <v>0</v>
      </c>
      <c r="EU257">
        <v>2849.8886363636002</v>
      </c>
      <c r="EV257" s="9"/>
      <c r="EW257" s="9"/>
      <c r="EX257" s="9"/>
      <c r="EY257" s="9"/>
      <c r="EZ257" s="9"/>
      <c r="FA257" s="9"/>
      <c r="FB257" s="9">
        <v>97.847678571399996</v>
      </c>
      <c r="FC257" s="9">
        <v>64.77</v>
      </c>
      <c r="FD257" s="9">
        <v>9324.8174999999992</v>
      </c>
      <c r="FE257" s="9">
        <v>178.25</v>
      </c>
      <c r="FF257" s="9">
        <v>1761.6775</v>
      </c>
      <c r="FG257">
        <v>17936098.303420004</v>
      </c>
      <c r="FH257">
        <v>17487066.366320003</v>
      </c>
      <c r="FI257">
        <v>449031.93709999998</v>
      </c>
      <c r="FJ257" s="9">
        <v>28452355.126426004</v>
      </c>
      <c r="FK257">
        <v>24940052.051066</v>
      </c>
      <c r="FL257" s="9">
        <v>3512303.0753599997</v>
      </c>
      <c r="FM257" s="9">
        <v>38734218.079999998</v>
      </c>
      <c r="FN257" s="9">
        <v>3162818</v>
      </c>
      <c r="FO257">
        <v>2850.01</v>
      </c>
      <c r="FP257">
        <v>437.77</v>
      </c>
      <c r="FQ257">
        <v>74.48</v>
      </c>
      <c r="FR257">
        <v>702.58</v>
      </c>
      <c r="FS257">
        <v>12</v>
      </c>
      <c r="FT257">
        <v>641.1</v>
      </c>
      <c r="FU257">
        <v>468.04</v>
      </c>
      <c r="FV257">
        <v>415</v>
      </c>
      <c r="FW257">
        <v>22204.91</v>
      </c>
      <c r="FX257">
        <v>1086.51</v>
      </c>
      <c r="HB257" s="6"/>
      <c r="HC257" s="6"/>
      <c r="HD257" s="6"/>
    </row>
    <row r="258" spans="1:212" x14ac:dyDescent="0.2">
      <c r="A258" s="8" t="s">
        <v>825</v>
      </c>
      <c r="B258" s="8" t="s">
        <v>511</v>
      </c>
      <c r="C258" s="8" t="s">
        <v>513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>
        <v>1002996.6</v>
      </c>
      <c r="BO258" s="9">
        <v>777815.2</v>
      </c>
      <c r="BP258" s="9">
        <v>148055.5</v>
      </c>
      <c r="BQ258" s="9">
        <v>84278.3</v>
      </c>
      <c r="BR258" s="9">
        <v>87695.7</v>
      </c>
      <c r="BS258" s="9">
        <v>171517.1</v>
      </c>
      <c r="BT258" s="9">
        <v>266795.59999999998</v>
      </c>
      <c r="BU258" s="9">
        <v>56352.9</v>
      </c>
      <c r="BV258" s="9">
        <v>83051</v>
      </c>
      <c r="BW258" s="9">
        <v>1099050.4339999999</v>
      </c>
      <c r="BX258" s="9">
        <v>16713.8</v>
      </c>
      <c r="BY258" s="9">
        <v>176482.4351</v>
      </c>
      <c r="BZ258" s="9">
        <v>202698.128</v>
      </c>
      <c r="CA258" s="9">
        <v>101450.8912</v>
      </c>
      <c r="CB258" s="9">
        <v>60380.2</v>
      </c>
      <c r="CC258" s="9">
        <v>67397.5</v>
      </c>
      <c r="CD258" s="9">
        <v>490641.3</v>
      </c>
      <c r="CE258" s="9">
        <v>120945.7</v>
      </c>
      <c r="CF258" s="9">
        <v>5761264.4097433696</v>
      </c>
      <c r="CG258" s="9">
        <v>26917763.631510399</v>
      </c>
      <c r="CH258" s="9">
        <v>6.4894555741</v>
      </c>
      <c r="CI258" s="9">
        <v>1.5886609708999999</v>
      </c>
      <c r="CJ258" s="9">
        <v>14.791469753399999</v>
      </c>
      <c r="CK258" s="9">
        <v>8.5312845315000008</v>
      </c>
      <c r="CL258" s="9">
        <v>6</v>
      </c>
      <c r="CM258" s="9">
        <v>132.67469042330001</v>
      </c>
      <c r="CN258" s="9">
        <v>39.129662140100002</v>
      </c>
      <c r="CO258" s="9">
        <v>5.4660910194000003</v>
      </c>
      <c r="CP258" s="9">
        <v>21.105303105699999</v>
      </c>
      <c r="CQ258" s="9">
        <v>13.0359642369</v>
      </c>
      <c r="CR258" s="9">
        <v>6.2014816658000003</v>
      </c>
      <c r="CS258" s="9">
        <v>4.9651029754999998</v>
      </c>
      <c r="CT258" s="9">
        <v>16.3703737228</v>
      </c>
      <c r="CU258" s="9">
        <v>4.3206942521</v>
      </c>
      <c r="CV258" s="9">
        <v>3.9801957851999998</v>
      </c>
      <c r="CW258" s="9">
        <v>6.8734993906000001</v>
      </c>
      <c r="CX258" s="9">
        <v>4.0923350701999999</v>
      </c>
      <c r="CY258" s="9">
        <v>7.1339870589999999</v>
      </c>
      <c r="CZ258" s="9">
        <v>827.29</v>
      </c>
      <c r="DA258" s="9">
        <v>721.4</v>
      </c>
      <c r="DB258" s="9">
        <v>112.46</v>
      </c>
      <c r="DC258" s="9">
        <v>227.13</v>
      </c>
      <c r="DD258" s="9">
        <v>110.07</v>
      </c>
      <c r="DE258" s="9">
        <v>20.010000000000002</v>
      </c>
      <c r="DF258" s="9">
        <v>174.72</v>
      </c>
      <c r="DG258" s="9">
        <v>30.33</v>
      </c>
      <c r="DH258" s="9">
        <v>76.36</v>
      </c>
      <c r="DI258" s="9">
        <v>4.88</v>
      </c>
      <c r="DJ258" s="9">
        <v>1.27</v>
      </c>
      <c r="DK258" s="9">
        <v>68.2</v>
      </c>
      <c r="DL258" s="9">
        <v>0.59</v>
      </c>
      <c r="DM258" s="9">
        <v>28.86</v>
      </c>
      <c r="DN258" s="9">
        <v>0.08</v>
      </c>
      <c r="DO258" s="9">
        <v>640.36</v>
      </c>
      <c r="DP258" s="9">
        <v>216.54</v>
      </c>
      <c r="DQ258" s="9">
        <v>144.33000000000001</v>
      </c>
      <c r="DR258" s="9">
        <v>72.209999999999994</v>
      </c>
      <c r="DS258" s="9">
        <v>63.94</v>
      </c>
      <c r="DT258" s="9">
        <v>12.49</v>
      </c>
      <c r="DU258" s="9">
        <v>300.81</v>
      </c>
      <c r="DV258" s="9">
        <v>207.53</v>
      </c>
      <c r="DW258" s="9">
        <v>63.31</v>
      </c>
      <c r="DX258" s="9">
        <v>57.99</v>
      </c>
      <c r="DY258" s="9">
        <v>28.42</v>
      </c>
      <c r="DZ258" s="9">
        <v>18.29</v>
      </c>
      <c r="EA258" s="9">
        <v>-143.53320696079999</v>
      </c>
      <c r="EB258" s="9">
        <v>67.125362709100003</v>
      </c>
      <c r="EC258" s="9">
        <v>-94.702062405299998</v>
      </c>
      <c r="ED258" s="9">
        <v>-142.68913192209999</v>
      </c>
      <c r="EE258" s="9">
        <v>26.732624657500001</v>
      </c>
      <c r="EF258" s="9">
        <v>15.233482564799999</v>
      </c>
      <c r="EG258" s="9">
        <v>-129.83201148520001</v>
      </c>
      <c r="EH258" s="9">
        <v>-126.35288828580001</v>
      </c>
      <c r="EI258" s="9">
        <v>35.1742553809</v>
      </c>
      <c r="EJ258" s="9">
        <v>5.6800819400000001E-2</v>
      </c>
      <c r="EK258" s="9">
        <v>-38.710179399700003</v>
      </c>
      <c r="EL258" s="9">
        <v>-14.922931714400001</v>
      </c>
      <c r="EM258" s="9">
        <v>-13.3906446252</v>
      </c>
      <c r="EN258" s="9">
        <v>4879.1076774714002</v>
      </c>
      <c r="EO258" s="9">
        <v>849.70279893309998</v>
      </c>
      <c r="EP258" s="9">
        <v>3375.6837580493002</v>
      </c>
      <c r="EQ258" s="9">
        <v>7.8529778715000003</v>
      </c>
      <c r="ER258" s="9">
        <v>43.1703316372</v>
      </c>
      <c r="ES258" s="9">
        <v>602.69781098019996</v>
      </c>
      <c r="ET258" s="9">
        <v>0</v>
      </c>
      <c r="EU258">
        <v>2849.5715</v>
      </c>
      <c r="EV258" s="9"/>
      <c r="EW258" s="9"/>
      <c r="EX258" s="9"/>
      <c r="EY258" s="9"/>
      <c r="EZ258" s="9"/>
      <c r="FA258" s="9"/>
      <c r="FB258" s="9">
        <v>104.2071428571</v>
      </c>
      <c r="FC258" s="9">
        <v>68.043333333299998</v>
      </c>
      <c r="FD258" s="9">
        <v>10166.285</v>
      </c>
      <c r="FE258" s="9">
        <v>202.8571428571</v>
      </c>
      <c r="FF258" s="9">
        <v>1855.56</v>
      </c>
      <c r="FG258">
        <v>18509094.39669</v>
      </c>
      <c r="FH258">
        <v>18067142.033089999</v>
      </c>
      <c r="FI258">
        <v>441952.36359999998</v>
      </c>
      <c r="FJ258" s="9">
        <v>28382841.722140998</v>
      </c>
      <c r="FK258">
        <v>25062366.559571002</v>
      </c>
      <c r="FL258" s="9">
        <v>3320475.1625699997</v>
      </c>
      <c r="FM258" s="9">
        <v>39152871.630000003</v>
      </c>
      <c r="FN258" s="9">
        <v>3257809.73</v>
      </c>
      <c r="FO258">
        <v>2849.25</v>
      </c>
      <c r="FP258">
        <v>1866.21</v>
      </c>
      <c r="FQ258">
        <v>100.2</v>
      </c>
      <c r="FR258">
        <v>764.61</v>
      </c>
      <c r="FS258">
        <v>12.9</v>
      </c>
      <c r="FT258">
        <v>1322.11</v>
      </c>
      <c r="FU258">
        <v>487.66</v>
      </c>
      <c r="FV258">
        <v>2432.5</v>
      </c>
      <c r="FW258">
        <v>54350.6</v>
      </c>
      <c r="FX258">
        <v>1956.82</v>
      </c>
      <c r="HB258" s="6"/>
      <c r="HC258" s="6"/>
      <c r="HD258" s="6"/>
    </row>
    <row r="259" spans="1:212" x14ac:dyDescent="0.2">
      <c r="A259" s="8" t="s">
        <v>825</v>
      </c>
      <c r="B259" s="8" t="s">
        <v>511</v>
      </c>
      <c r="C259" s="8" t="s">
        <v>514</v>
      </c>
      <c r="D259" s="9">
        <v>10486167.357000001</v>
      </c>
      <c r="E259" s="9">
        <v>2505934.0890000002</v>
      </c>
      <c r="F259" s="9">
        <v>1909630.7</v>
      </c>
      <c r="G259" s="9">
        <v>567791.071</v>
      </c>
      <c r="H259" s="9">
        <v>229600.465</v>
      </c>
      <c r="I259" s="9">
        <v>193500.155</v>
      </c>
      <c r="J259" s="9">
        <v>783194.64500000002</v>
      </c>
      <c r="K259" s="9">
        <v>305489.51500000001</v>
      </c>
      <c r="L259" s="9">
        <v>188694.33499999999</v>
      </c>
      <c r="M259" s="9">
        <v>2741933.321</v>
      </c>
      <c r="N259" s="9">
        <v>1060399.061</v>
      </c>
      <c r="O259" s="9">
        <v>7130933.0460000001</v>
      </c>
      <c r="P259" s="9">
        <v>1745471.46</v>
      </c>
      <c r="Q259" s="9">
        <v>730946.25699999998</v>
      </c>
      <c r="R259" s="9">
        <v>438116.04</v>
      </c>
      <c r="S259" s="9">
        <v>150226.13</v>
      </c>
      <c r="T259" s="9">
        <v>128531.65700000001</v>
      </c>
      <c r="U259" s="9">
        <v>712372.62399999995</v>
      </c>
      <c r="V259" s="9">
        <v>162870.97200000001</v>
      </c>
      <c r="W259" s="9">
        <v>192910.43599999999</v>
      </c>
      <c r="X259" s="9">
        <v>1886542.9339999999</v>
      </c>
      <c r="Y259" s="9">
        <v>982944.53599999996</v>
      </c>
      <c r="Z259" s="9">
        <v>10478924.699999999</v>
      </c>
      <c r="AA259" s="9">
        <v>5638804.0999999996</v>
      </c>
      <c r="AB259" s="9">
        <v>1427228.9</v>
      </c>
      <c r="AC259" s="9">
        <v>2822969</v>
      </c>
      <c r="AD259" s="9">
        <v>1238836.2</v>
      </c>
      <c r="AE259" s="9">
        <v>5394977.7000000002</v>
      </c>
      <c r="AF259" s="9">
        <v>6043891.2000000002</v>
      </c>
      <c r="AG259" s="9">
        <v>6713329.7999999998</v>
      </c>
      <c r="AH259" s="9">
        <v>4221948.8</v>
      </c>
      <c r="AI259" s="9">
        <v>1177464.2</v>
      </c>
      <c r="AJ259" s="9">
        <v>1891895.2</v>
      </c>
      <c r="AK259" s="9">
        <v>990264.2</v>
      </c>
      <c r="AL259" s="9">
        <v>2713213.4</v>
      </c>
      <c r="AM259" s="9">
        <v>4281456</v>
      </c>
      <c r="AN259" s="9">
        <v>1105720</v>
      </c>
      <c r="AO259" s="9">
        <v>592667</v>
      </c>
      <c r="AP259" s="9">
        <v>513053</v>
      </c>
      <c r="AQ259" s="9">
        <v>101278</v>
      </c>
      <c r="AR259" s="9">
        <v>52930</v>
      </c>
      <c r="AS259" s="9">
        <v>48348</v>
      </c>
      <c r="AT259" s="9">
        <v>916950</v>
      </c>
      <c r="AU259" s="9">
        <v>337433</v>
      </c>
      <c r="AV259" s="9">
        <v>579517</v>
      </c>
      <c r="AW259" s="9">
        <v>1330.4</v>
      </c>
      <c r="AX259" s="9">
        <v>1021.2</v>
      </c>
      <c r="AY259" s="9">
        <v>3053.8</v>
      </c>
      <c r="AZ259" s="9">
        <v>1253</v>
      </c>
      <c r="BA259" s="9">
        <v>1710.7</v>
      </c>
      <c r="BB259" s="9">
        <v>1048.2</v>
      </c>
      <c r="BC259" s="9">
        <v>1283.8</v>
      </c>
      <c r="BD259" s="9">
        <v>1101.5</v>
      </c>
      <c r="BE259" s="9">
        <v>1289.5</v>
      </c>
      <c r="BF259" s="9">
        <v>795.6</v>
      </c>
      <c r="BG259" s="9">
        <v>1376.4</v>
      </c>
      <c r="BH259" s="9">
        <v>1544.7</v>
      </c>
      <c r="BI259" s="9">
        <v>1393.3</v>
      </c>
      <c r="BJ259" s="9">
        <v>1137.0999999999999</v>
      </c>
      <c r="BK259" s="9">
        <v>1285.4000000000001</v>
      </c>
      <c r="BL259" s="9">
        <v>874.4</v>
      </c>
      <c r="BM259" s="9">
        <v>1187.2</v>
      </c>
      <c r="BN259" s="9">
        <v>1251987.8999999999</v>
      </c>
      <c r="BO259" s="9">
        <v>1024862.5</v>
      </c>
      <c r="BP259" s="9">
        <v>224110.2</v>
      </c>
      <c r="BQ259" s="9">
        <v>113560.5</v>
      </c>
      <c r="BR259" s="9">
        <v>113292.5</v>
      </c>
      <c r="BS259" s="9">
        <v>208307.20000000001</v>
      </c>
      <c r="BT259" s="9">
        <v>297716.2</v>
      </c>
      <c r="BU259" s="9">
        <v>79639</v>
      </c>
      <c r="BV259" s="9">
        <v>98052.1</v>
      </c>
      <c r="BW259" s="9">
        <v>1099241.3999999999</v>
      </c>
      <c r="BX259" s="9">
        <v>39486.800000000003</v>
      </c>
      <c r="BY259" s="9">
        <v>147760.9</v>
      </c>
      <c r="BZ259" s="9">
        <v>296784.59999999998</v>
      </c>
      <c r="CA259" s="9">
        <v>78287.600000000006</v>
      </c>
      <c r="CB259" s="9">
        <v>31757.4</v>
      </c>
      <c r="CC259" s="9">
        <v>106894.7</v>
      </c>
      <c r="CD259" s="9">
        <v>437756.3</v>
      </c>
      <c r="CE259" s="9">
        <v>187332.2</v>
      </c>
      <c r="CF259" s="9">
        <v>5962813.1043151636</v>
      </c>
      <c r="CG259" s="9">
        <v>27719356.45824616</v>
      </c>
      <c r="CH259" s="9">
        <v>6.0525126915999996</v>
      </c>
      <c r="CI259" s="9">
        <v>1.6438402887000001</v>
      </c>
      <c r="CJ259" s="9">
        <v>14.7569318817</v>
      </c>
      <c r="CK259" s="9">
        <v>7.6244752694000004</v>
      </c>
      <c r="CL259" s="9">
        <v>6</v>
      </c>
      <c r="CM259" s="9">
        <v>133.58121267659999</v>
      </c>
      <c r="CN259" s="9">
        <v>39.556076331500002</v>
      </c>
      <c r="CO259" s="9">
        <v>5.4940685881000002</v>
      </c>
      <c r="CP259" s="9">
        <v>21.166322299699999</v>
      </c>
      <c r="CQ259" s="9">
        <v>13.047544373299999</v>
      </c>
      <c r="CR259" s="9">
        <v>6.2275799277999999</v>
      </c>
      <c r="CS259" s="9">
        <v>5.0066628107</v>
      </c>
      <c r="CT259" s="9">
        <v>16.5127269539</v>
      </c>
      <c r="CU259" s="9">
        <v>4.3230259364999997</v>
      </c>
      <c r="CV259" s="9">
        <v>3.9840555155000001</v>
      </c>
      <c r="CW259" s="9">
        <v>6.8736149161000002</v>
      </c>
      <c r="CX259" s="9">
        <v>4.2355221446</v>
      </c>
      <c r="CY259" s="9">
        <v>7.1540128787999997</v>
      </c>
      <c r="CZ259" s="9">
        <v>787.34</v>
      </c>
      <c r="DA259" s="9">
        <v>651.84</v>
      </c>
      <c r="DB259" s="9">
        <v>55.46</v>
      </c>
      <c r="DC259" s="9">
        <v>311.74</v>
      </c>
      <c r="DD259" s="9">
        <v>104.45</v>
      </c>
      <c r="DE259" s="9">
        <v>15.93</v>
      </c>
      <c r="DF259" s="9">
        <v>83.7</v>
      </c>
      <c r="DG259" s="9">
        <v>32.22</v>
      </c>
      <c r="DH259" s="9">
        <v>110.88</v>
      </c>
      <c r="DI259" s="9">
        <v>1.04</v>
      </c>
      <c r="DJ259" s="9">
        <v>0.63</v>
      </c>
      <c r="DK259" s="9">
        <v>106.58</v>
      </c>
      <c r="DL259" s="9">
        <v>0.61</v>
      </c>
      <c r="DM259" s="9">
        <v>23.97</v>
      </c>
      <c r="DN259" s="9">
        <v>0.04</v>
      </c>
      <c r="DO259" s="9">
        <v>659.52</v>
      </c>
      <c r="DP259" s="9">
        <v>187.92</v>
      </c>
      <c r="DQ259" s="9">
        <v>116.72</v>
      </c>
      <c r="DR259" s="9">
        <v>71.2</v>
      </c>
      <c r="DS259" s="9">
        <v>56.6</v>
      </c>
      <c r="DT259" s="9">
        <v>11.01</v>
      </c>
      <c r="DU259" s="9">
        <v>315.63</v>
      </c>
      <c r="DV259" s="9">
        <v>199.3</v>
      </c>
      <c r="DW259" s="9">
        <v>84.08</v>
      </c>
      <c r="DX259" s="9">
        <v>98.51</v>
      </c>
      <c r="DY259" s="9">
        <v>55.75</v>
      </c>
      <c r="DZ259" s="9">
        <v>21.59</v>
      </c>
      <c r="EA259" s="9">
        <v>-412.4</v>
      </c>
      <c r="EB259" s="9">
        <v>-37.299999999999997</v>
      </c>
      <c r="EC259" s="9">
        <v>-90.6</v>
      </c>
      <c r="ED259" s="9">
        <v>-301.60000000000002</v>
      </c>
      <c r="EE259" s="9">
        <v>17.100000000000001</v>
      </c>
      <c r="EF259" s="9">
        <v>7</v>
      </c>
      <c r="EG259" s="9">
        <v>-68.900000000000006</v>
      </c>
      <c r="EH259" s="9">
        <v>-131</v>
      </c>
      <c r="EI259" s="9">
        <v>-12.8</v>
      </c>
      <c r="EJ259" s="9">
        <v>5.9</v>
      </c>
      <c r="EK259" s="9">
        <v>69.099999999999994</v>
      </c>
      <c r="EL259" s="9">
        <v>50.7</v>
      </c>
      <c r="EM259" s="9">
        <v>-285.8</v>
      </c>
      <c r="EN259" s="9">
        <v>4731.8232210975002</v>
      </c>
      <c r="EO259" s="9">
        <v>848.54580835030004</v>
      </c>
      <c r="EP259" s="9">
        <v>3082.9825783647002</v>
      </c>
      <c r="EQ259" s="9">
        <v>7.7656174260000004</v>
      </c>
      <c r="ER259" s="9">
        <v>42.688913299100001</v>
      </c>
      <c r="ES259" s="9">
        <v>749.8403036574</v>
      </c>
      <c r="ET259" s="9">
        <v>0</v>
      </c>
      <c r="EU259">
        <v>2849.5258787879002</v>
      </c>
      <c r="EV259" s="9">
        <v>32958.080000000002</v>
      </c>
      <c r="EW259" s="9">
        <v>8447.2199999999993</v>
      </c>
      <c r="EX259" s="9">
        <v>2194.73</v>
      </c>
      <c r="EY259" s="9">
        <v>1619.81</v>
      </c>
      <c r="EZ259" s="9">
        <v>8693.9599999999991</v>
      </c>
      <c r="FA259" s="9">
        <v>12002.36</v>
      </c>
      <c r="FB259" s="9">
        <v>132.1529220779</v>
      </c>
      <c r="FC259" s="9">
        <v>73.067272727299994</v>
      </c>
      <c r="FD259" s="9">
        <v>9631.5</v>
      </c>
      <c r="FE259" s="9">
        <v>215.81578947369999</v>
      </c>
      <c r="FF259" s="9">
        <v>1834.5659090909</v>
      </c>
      <c r="FG259">
        <v>19486181.570859998</v>
      </c>
      <c r="FH259">
        <v>18966106.68406</v>
      </c>
      <c r="FI259">
        <v>520074.88679999998</v>
      </c>
      <c r="FJ259" s="9">
        <v>29337032.320910003</v>
      </c>
      <c r="FK259">
        <v>25877036.556639999</v>
      </c>
      <c r="FL259" s="9">
        <v>3459995.7642700002</v>
      </c>
      <c r="FM259" s="9">
        <v>40076681.32</v>
      </c>
      <c r="FN259" s="9">
        <v>3171399.08</v>
      </c>
      <c r="FO259">
        <v>2848.87</v>
      </c>
      <c r="FP259">
        <v>910</v>
      </c>
      <c r="FQ259">
        <v>123.87</v>
      </c>
      <c r="FR259">
        <v>648.83000000000004</v>
      </c>
      <c r="FS259">
        <v>10.76</v>
      </c>
      <c r="FT259">
        <v>652.58000000000004</v>
      </c>
      <c r="FU259">
        <v>480.7</v>
      </c>
      <c r="FV259">
        <v>560</v>
      </c>
      <c r="FW259">
        <v>24196.01</v>
      </c>
      <c r="FX259">
        <v>2115.11</v>
      </c>
      <c r="HB259" s="6"/>
      <c r="HC259" s="6"/>
      <c r="HD259" s="6"/>
    </row>
    <row r="260" spans="1:212" x14ac:dyDescent="0.2">
      <c r="A260" s="52" t="s">
        <v>825</v>
      </c>
      <c r="B260" s="52" t="s">
        <v>797</v>
      </c>
      <c r="C260" s="52" t="s">
        <v>798</v>
      </c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  <c r="BK260" s="53"/>
      <c r="BL260" s="53"/>
      <c r="BM260" s="53"/>
      <c r="BN260" s="53">
        <v>1560544.4</v>
      </c>
      <c r="BO260" s="53">
        <v>1155218.7</v>
      </c>
      <c r="BP260" s="53">
        <v>513527</v>
      </c>
      <c r="BQ260" s="53">
        <v>425019.8</v>
      </c>
      <c r="BR260" s="53">
        <v>88718.5</v>
      </c>
      <c r="BS260" s="53">
        <v>180808.6</v>
      </c>
      <c r="BT260" s="53">
        <v>197012.6</v>
      </c>
      <c r="BU260" s="53">
        <v>82070.5</v>
      </c>
      <c r="BV260" s="53">
        <v>75066</v>
      </c>
      <c r="BW260" s="53">
        <v>836541.5</v>
      </c>
      <c r="BX260" s="53">
        <v>21248.6</v>
      </c>
      <c r="BY260" s="53">
        <v>124638.5</v>
      </c>
      <c r="BZ260" s="53">
        <v>161296.29999999999</v>
      </c>
      <c r="CA260" s="53">
        <v>32662.5</v>
      </c>
      <c r="CB260" s="53">
        <v>23273.5</v>
      </c>
      <c r="CC260" s="53">
        <v>77733.399999999994</v>
      </c>
      <c r="CD260" s="53">
        <v>416937.3</v>
      </c>
      <c r="CE260" s="53">
        <v>133644.4</v>
      </c>
      <c r="CF260" s="53">
        <v>5584875.7234558742</v>
      </c>
      <c r="CG260" s="53">
        <v>27148514.280667491</v>
      </c>
      <c r="CH260" s="53">
        <v>6.7062955428000004</v>
      </c>
      <c r="CI260" s="53">
        <v>3.2732500927000001</v>
      </c>
      <c r="CJ260" s="53">
        <v>14.579319504600001</v>
      </c>
      <c r="CK260" s="53">
        <v>9.6352225566000005</v>
      </c>
      <c r="CL260" s="53">
        <v>6</v>
      </c>
      <c r="CM260" s="53">
        <v>135.34837321149999</v>
      </c>
      <c r="CN260" s="53">
        <v>39.442480138999997</v>
      </c>
      <c r="CO260" s="53">
        <v>5.5280722272</v>
      </c>
      <c r="CP260" s="53">
        <v>21.2873891403</v>
      </c>
      <c r="CQ260" s="53">
        <v>13.083793032199999</v>
      </c>
      <c r="CR260" s="53">
        <v>6.3108710041</v>
      </c>
      <c r="CS260" s="53">
        <v>5.0346090318999996</v>
      </c>
      <c r="CT260" s="53">
        <v>17.998472371599998</v>
      </c>
      <c r="CU260" s="53">
        <v>4.3263014697999997</v>
      </c>
      <c r="CV260" s="53">
        <v>4.0283319246999998</v>
      </c>
      <c r="CW260" s="53">
        <v>6.8736149161000002</v>
      </c>
      <c r="CX260" s="53">
        <v>4.2436125529000002</v>
      </c>
      <c r="CY260" s="53">
        <v>7.1908254016999997</v>
      </c>
      <c r="CZ260" s="53">
        <v>630.32000000000005</v>
      </c>
      <c r="DA260" s="53">
        <v>607.64</v>
      </c>
      <c r="DB260" s="53">
        <v>0</v>
      </c>
      <c r="DC260" s="53">
        <v>325.39</v>
      </c>
      <c r="DD260" s="53">
        <v>114.38</v>
      </c>
      <c r="DE260" s="53">
        <v>13.18</v>
      </c>
      <c r="DF260" s="53">
        <v>83.73</v>
      </c>
      <c r="DG260" s="53">
        <v>28.61</v>
      </c>
      <c r="DH260" s="53">
        <v>9.3000000000000007</v>
      </c>
      <c r="DI260" s="53">
        <v>0.26</v>
      </c>
      <c r="DJ260" s="53">
        <v>0.39</v>
      </c>
      <c r="DK260" s="53">
        <v>6.93</v>
      </c>
      <c r="DL260" s="53">
        <v>0.01</v>
      </c>
      <c r="DM260" s="53">
        <v>13.33</v>
      </c>
      <c r="DN260" s="53">
        <v>0.04</v>
      </c>
      <c r="DO260" s="53">
        <v>577.05999999999995</v>
      </c>
      <c r="DP260" s="53">
        <v>192.69</v>
      </c>
      <c r="DQ260" s="53">
        <v>105.43</v>
      </c>
      <c r="DR260" s="53">
        <v>87.26</v>
      </c>
      <c r="DS260" s="53">
        <v>57.94</v>
      </c>
      <c r="DT260" s="53">
        <v>12.83</v>
      </c>
      <c r="DU260" s="53">
        <v>218.14</v>
      </c>
      <c r="DV260" s="53">
        <v>117</v>
      </c>
      <c r="DW260" s="53">
        <v>81.95</v>
      </c>
      <c r="DX260" s="53">
        <v>107.74</v>
      </c>
      <c r="DY260" s="53">
        <v>54.6</v>
      </c>
      <c r="DZ260" s="53">
        <v>31.5</v>
      </c>
      <c r="EA260" s="53">
        <v>-356.94159864340003</v>
      </c>
      <c r="EB260" s="53">
        <v>-44.283266302599998</v>
      </c>
      <c r="EC260" s="53">
        <v>-178.94704009930001</v>
      </c>
      <c r="ED260" s="53">
        <v>-149.0309038572</v>
      </c>
      <c r="EE260" s="53">
        <v>15.3196116157</v>
      </c>
      <c r="EF260" s="53">
        <v>8.6552115804999996</v>
      </c>
      <c r="EG260" s="53">
        <v>-148.82750270989999</v>
      </c>
      <c r="EH260" s="53">
        <v>-129.82685837380001</v>
      </c>
      <c r="EI260" s="53">
        <v>-11.6545500758</v>
      </c>
      <c r="EJ260" s="53">
        <v>-1.9444905218999999</v>
      </c>
      <c r="EK260" s="53">
        <v>-5.4016037384000004</v>
      </c>
      <c r="EL260" s="53">
        <v>-46.462898768599999</v>
      </c>
      <c r="EM260" s="53">
        <v>-245.9217831217</v>
      </c>
      <c r="EN260" s="53">
        <v>4576.7582478082004</v>
      </c>
      <c r="EO260" s="53">
        <v>755.67823205000002</v>
      </c>
      <c r="EP260" s="53">
        <v>2931.0439197912001</v>
      </c>
      <c r="EQ260" s="53">
        <v>7.759615739</v>
      </c>
      <c r="ER260" s="53">
        <v>42.8347345432</v>
      </c>
      <c r="ES260" s="53">
        <v>839.44174568480003</v>
      </c>
      <c r="ET260" s="53">
        <v>0</v>
      </c>
      <c r="EU260">
        <v>2848.9744444444</v>
      </c>
      <c r="EV260" s="53"/>
      <c r="EW260" s="53"/>
      <c r="EX260" s="53"/>
      <c r="EY260" s="53"/>
      <c r="EZ260" s="53"/>
      <c r="FA260" s="53"/>
      <c r="FB260" s="53">
        <v>153.1982142857</v>
      </c>
      <c r="FC260" s="53">
        <v>74.386818181799995</v>
      </c>
      <c r="FD260" s="53">
        <v>9450.8204545454992</v>
      </c>
      <c r="FE260" s="53">
        <v>214.3409090909</v>
      </c>
      <c r="FF260" s="53">
        <v>1807.0931818182</v>
      </c>
      <c r="FG260">
        <v>19783101.70885</v>
      </c>
      <c r="FH260">
        <v>19263060.730149999</v>
      </c>
      <c r="FI260">
        <v>520040.97869999998</v>
      </c>
      <c r="FJ260" s="53">
        <v>28564542.349770002</v>
      </c>
      <c r="FK260">
        <v>25436315.99391</v>
      </c>
      <c r="FL260" s="53">
        <v>3128226.3558599995</v>
      </c>
      <c r="FM260" s="53">
        <v>39739621.090000004</v>
      </c>
      <c r="FN260" s="53">
        <v>3154130.91</v>
      </c>
      <c r="FO260">
        <v>2849.12</v>
      </c>
      <c r="FP260">
        <v>0</v>
      </c>
      <c r="FQ260">
        <v>132.63999999999999</v>
      </c>
      <c r="FR260">
        <v>679.47</v>
      </c>
      <c r="FS260">
        <v>8.58</v>
      </c>
      <c r="FT260">
        <v>648.63</v>
      </c>
      <c r="FU260">
        <v>422.47</v>
      </c>
      <c r="FV260">
        <v>239.3</v>
      </c>
      <c r="FW260">
        <v>1309.01</v>
      </c>
      <c r="FX260">
        <v>34.31</v>
      </c>
      <c r="FY260" s="7"/>
      <c r="FZ260" s="7"/>
      <c r="GA260" s="7"/>
      <c r="HB260" s="6"/>
      <c r="HC260" s="6"/>
      <c r="HD260" s="6"/>
    </row>
    <row r="261" spans="1:212" x14ac:dyDescent="0.2">
      <c r="A261" s="52" t="s">
        <v>825</v>
      </c>
      <c r="B261" s="52" t="s">
        <v>797</v>
      </c>
      <c r="C261" s="52" t="s">
        <v>824</v>
      </c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>
        <v>1126364.2</v>
      </c>
      <c r="BO261" s="53">
        <v>782920.3</v>
      </c>
      <c r="BP261" s="53">
        <v>97402.9</v>
      </c>
      <c r="BQ261" s="53">
        <v>9199.6</v>
      </c>
      <c r="BR261" s="53">
        <v>88346.9</v>
      </c>
      <c r="BS261" s="53">
        <v>178225.1</v>
      </c>
      <c r="BT261" s="53">
        <v>245785.7</v>
      </c>
      <c r="BU261" s="53">
        <v>91588.1</v>
      </c>
      <c r="BV261" s="53">
        <v>80107.7</v>
      </c>
      <c r="BW261" s="53">
        <v>834485.1</v>
      </c>
      <c r="BX261" s="53">
        <v>15833.1</v>
      </c>
      <c r="BY261" s="53">
        <v>105659.7</v>
      </c>
      <c r="BZ261" s="53">
        <v>163470.9</v>
      </c>
      <c r="CA261" s="53">
        <v>36153.699999999997</v>
      </c>
      <c r="CB261" s="53">
        <v>34682.300000000003</v>
      </c>
      <c r="CC261" s="53">
        <v>100421.4</v>
      </c>
      <c r="CD261" s="53">
        <v>394097.1</v>
      </c>
      <c r="CE261" s="53">
        <v>223899.2</v>
      </c>
      <c r="CF261" s="53">
        <v>5695974.5750569794</v>
      </c>
      <c r="CG261" s="53">
        <v>27146659.373588853</v>
      </c>
      <c r="CH261" s="53">
        <v>7.5546760169000002</v>
      </c>
      <c r="CI261" s="53">
        <v>2.1552354713000001</v>
      </c>
      <c r="CJ261" s="53">
        <v>14.404796753199999</v>
      </c>
      <c r="CK261" s="53">
        <v>8.3460147400999993</v>
      </c>
      <c r="CL261" s="53">
        <v>6</v>
      </c>
      <c r="CM261" s="53">
        <v>135.88547901539999</v>
      </c>
      <c r="CN261" s="53">
        <v>38.576749714999998</v>
      </c>
      <c r="CO261" s="53">
        <v>5.5544172417000004</v>
      </c>
      <c r="CP261" s="53">
        <v>21.422054832099999</v>
      </c>
      <c r="CQ261" s="53">
        <v>13.360762231200001</v>
      </c>
      <c r="CR261" s="53">
        <v>6.3657080931000003</v>
      </c>
      <c r="CS261" s="53">
        <v>5.0810200213999996</v>
      </c>
      <c r="CT261" s="53">
        <v>18.4922221488</v>
      </c>
      <c r="CU261" s="53">
        <v>4.3267936046999997</v>
      </c>
      <c r="CV261" s="53">
        <v>4.0607883004999996</v>
      </c>
      <c r="CW261" s="53">
        <v>7.0524562583000003</v>
      </c>
      <c r="CX261" s="53">
        <v>4.2960064520000003</v>
      </c>
      <c r="CY261" s="53">
        <v>7.2965001164999999</v>
      </c>
      <c r="CZ261" s="53">
        <v>885.19</v>
      </c>
      <c r="DA261" s="53">
        <v>850.88</v>
      </c>
      <c r="DB261" s="53">
        <v>120.33</v>
      </c>
      <c r="DC261" s="53">
        <v>354.78</v>
      </c>
      <c r="DD261" s="53">
        <v>102.91</v>
      </c>
      <c r="DE261" s="53">
        <v>16.72</v>
      </c>
      <c r="DF261" s="53">
        <v>191.67</v>
      </c>
      <c r="DG261" s="53">
        <v>21.79</v>
      </c>
      <c r="DH261" s="53">
        <v>11.79</v>
      </c>
      <c r="DI261" s="53">
        <v>0.19</v>
      </c>
      <c r="DJ261" s="53">
        <v>0.12</v>
      </c>
      <c r="DK261" s="53">
        <v>8.61</v>
      </c>
      <c r="DL261" s="53">
        <v>0.02</v>
      </c>
      <c r="DM261" s="53">
        <v>22.46</v>
      </c>
      <c r="DN261" s="53">
        <v>0.05</v>
      </c>
      <c r="DO261" s="53">
        <v>635.76</v>
      </c>
      <c r="DP261" s="53">
        <v>175.66</v>
      </c>
      <c r="DQ261" s="53">
        <v>103.31</v>
      </c>
      <c r="DR261" s="53">
        <v>72.34</v>
      </c>
      <c r="DS261" s="53">
        <v>72.819999999999993</v>
      </c>
      <c r="DT261" s="53">
        <v>12.88</v>
      </c>
      <c r="DU261" s="53">
        <v>289.02</v>
      </c>
      <c r="DV261" s="53">
        <v>153.87</v>
      </c>
      <c r="DW261" s="53">
        <v>117.09</v>
      </c>
      <c r="DX261" s="53">
        <v>97.69</v>
      </c>
      <c r="DY261" s="53">
        <v>49.36</v>
      </c>
      <c r="DZ261" s="53">
        <v>41.65</v>
      </c>
      <c r="EA261" s="53">
        <v>-167.6164555531</v>
      </c>
      <c r="EB261" s="53">
        <v>102.6773374126</v>
      </c>
      <c r="EC261" s="53">
        <v>-90.096025527099997</v>
      </c>
      <c r="ED261" s="53">
        <v>-202.90168132479999</v>
      </c>
      <c r="EE261" s="53">
        <v>22.703913886199999</v>
      </c>
      <c r="EF261" s="53">
        <v>11.204046162599999</v>
      </c>
      <c r="EG261" s="53">
        <v>-217.67543269039999</v>
      </c>
      <c r="EH261" s="53">
        <v>-110.8433925006</v>
      </c>
      <c r="EI261" s="53">
        <v>-16.7865536294</v>
      </c>
      <c r="EJ261" s="53">
        <v>-0.14803300859999999</v>
      </c>
      <c r="EK261" s="53">
        <v>-89.897453551799998</v>
      </c>
      <c r="EL261" s="53">
        <v>-172.3518011139</v>
      </c>
      <c r="EM261" s="53">
        <v>-111.088777814</v>
      </c>
      <c r="EN261" s="53">
        <v>4433.9916702391001</v>
      </c>
      <c r="EO261" s="53">
        <v>827.10408825729996</v>
      </c>
      <c r="EP261" s="53">
        <v>2649.8085519575002</v>
      </c>
      <c r="EQ261" s="53">
        <v>7.6983435139000003</v>
      </c>
      <c r="ER261" s="53">
        <v>139.10131021199999</v>
      </c>
      <c r="ES261" s="53">
        <v>810.27937629840005</v>
      </c>
      <c r="ET261" s="53">
        <v>0</v>
      </c>
      <c r="EU261">
        <v>2848.9077272727</v>
      </c>
      <c r="EV261" s="53"/>
      <c r="EW261" s="53"/>
      <c r="EX261" s="53"/>
      <c r="EY261" s="53"/>
      <c r="EZ261" s="53"/>
      <c r="FA261" s="53"/>
      <c r="FB261" s="53">
        <v>173.5683673469</v>
      </c>
      <c r="FC261" s="53">
        <v>70.020909090900005</v>
      </c>
      <c r="FD261" s="53">
        <v>9370.1385714286007</v>
      </c>
      <c r="FE261" s="53">
        <v>162.0909090909</v>
      </c>
      <c r="FF261" s="53">
        <v>1783.9690476190001</v>
      </c>
      <c r="FG261">
        <v>20238298.399640001</v>
      </c>
      <c r="FH261">
        <v>19689944.83464</v>
      </c>
      <c r="FI261">
        <v>548353.56499999994</v>
      </c>
      <c r="FJ261" s="53">
        <v>28466263.030473001</v>
      </c>
      <c r="FK261">
        <v>25415784.523842998</v>
      </c>
      <c r="FL261" s="53">
        <v>3050478.5066299997</v>
      </c>
      <c r="FM261" s="53">
        <v>39892007.090000004</v>
      </c>
      <c r="FN261" s="53">
        <v>3183719.04</v>
      </c>
      <c r="FO261">
        <v>2849.48</v>
      </c>
      <c r="FP261">
        <v>2102</v>
      </c>
      <c r="FQ261">
        <v>145.87</v>
      </c>
      <c r="FR261">
        <v>626.65</v>
      </c>
      <c r="FS261">
        <v>10.24</v>
      </c>
      <c r="FT261">
        <v>1047.02</v>
      </c>
      <c r="FU261">
        <v>344.2</v>
      </c>
      <c r="FV261">
        <v>64.819999999999993</v>
      </c>
      <c r="FW261">
        <v>2601.2399999999998</v>
      </c>
      <c r="FX261">
        <v>146.59</v>
      </c>
      <c r="FY261" s="7"/>
      <c r="FZ261" s="7"/>
      <c r="GA261" s="7"/>
      <c r="HB261" s="6"/>
      <c r="HC261" s="6"/>
      <c r="HD261" s="6"/>
    </row>
    <row r="262" spans="1:212" x14ac:dyDescent="0.2">
      <c r="A262" s="52" t="s">
        <v>825</v>
      </c>
      <c r="B262" s="52" t="s">
        <v>797</v>
      </c>
      <c r="C262" s="52" t="s">
        <v>864</v>
      </c>
      <c r="D262" s="53">
        <v>9904517.2949999999</v>
      </c>
      <c r="E262" s="53">
        <v>1201658.5560000001</v>
      </c>
      <c r="F262" s="53">
        <v>2100181.7820000001</v>
      </c>
      <c r="G262" s="53">
        <v>672516.50199999998</v>
      </c>
      <c r="H262" s="53">
        <v>159304.799</v>
      </c>
      <c r="I262" s="53">
        <v>264950.033</v>
      </c>
      <c r="J262" s="53">
        <v>867184.25</v>
      </c>
      <c r="K262" s="53">
        <v>388406.90100000001</v>
      </c>
      <c r="L262" s="53">
        <v>248567.62599999999</v>
      </c>
      <c r="M262" s="53">
        <v>2813668.8650000002</v>
      </c>
      <c r="N262" s="53">
        <v>1188077.983</v>
      </c>
      <c r="O262" s="53">
        <v>6959703.0599999996</v>
      </c>
      <c r="P262" s="53">
        <v>1100274.196</v>
      </c>
      <c r="Q262" s="53">
        <v>971909.848</v>
      </c>
      <c r="R262" s="53">
        <v>501851.39899999998</v>
      </c>
      <c r="S262" s="53">
        <v>127255.924</v>
      </c>
      <c r="T262" s="53">
        <v>144077.31299999999</v>
      </c>
      <c r="U262" s="53">
        <v>764753.83</v>
      </c>
      <c r="V262" s="53">
        <v>291940.576</v>
      </c>
      <c r="W262" s="53">
        <v>175919.204</v>
      </c>
      <c r="X262" s="53">
        <v>1984227.2</v>
      </c>
      <c r="Y262" s="53">
        <v>897493.56799999997</v>
      </c>
      <c r="Z262" s="53">
        <v>11342501.6</v>
      </c>
      <c r="AA262" s="53">
        <v>5847755.4000000004</v>
      </c>
      <c r="AB262" s="53">
        <v>1196420.6000000001</v>
      </c>
      <c r="AC262" s="53">
        <v>3203829</v>
      </c>
      <c r="AD262" s="53">
        <v>2440576</v>
      </c>
      <c r="AE262" s="53">
        <v>5840611.2000000002</v>
      </c>
      <c r="AF262" s="53">
        <v>7186690.7000000002</v>
      </c>
      <c r="AG262" s="53">
        <v>7009694.4000000004</v>
      </c>
      <c r="AH262" s="53">
        <v>4409894</v>
      </c>
      <c r="AI262" s="53">
        <v>985060.5</v>
      </c>
      <c r="AJ262" s="53">
        <v>2093956.5</v>
      </c>
      <c r="AK262" s="53">
        <v>2129366.4</v>
      </c>
      <c r="AL262" s="53">
        <v>2405944.6</v>
      </c>
      <c r="AM262" s="53">
        <v>5014527.5999999996</v>
      </c>
      <c r="AN262" s="53">
        <v>1135898</v>
      </c>
      <c r="AO262" s="53">
        <v>596327</v>
      </c>
      <c r="AP262" s="53">
        <v>539571</v>
      </c>
      <c r="AQ262" s="53">
        <v>90894</v>
      </c>
      <c r="AR262" s="53">
        <v>47981</v>
      </c>
      <c r="AS262" s="53">
        <v>42913</v>
      </c>
      <c r="AT262" s="53">
        <v>893807</v>
      </c>
      <c r="AU262" s="53">
        <v>324419</v>
      </c>
      <c r="AV262" s="53">
        <v>569388</v>
      </c>
      <c r="AW262" s="53">
        <v>1335.1</v>
      </c>
      <c r="AX262" s="53">
        <v>1063.8</v>
      </c>
      <c r="AY262" s="53">
        <v>3062.9</v>
      </c>
      <c r="AZ262" s="53">
        <v>1307.9000000000001</v>
      </c>
      <c r="BA262" s="53">
        <v>1612.6</v>
      </c>
      <c r="BB262" s="53">
        <v>1053.9000000000001</v>
      </c>
      <c r="BC262" s="53">
        <v>1295</v>
      </c>
      <c r="BD262" s="53">
        <v>1145.8</v>
      </c>
      <c r="BE262" s="53">
        <v>1362.6</v>
      </c>
      <c r="BF262" s="53">
        <v>890.8</v>
      </c>
      <c r="BG262" s="53">
        <v>1417.2</v>
      </c>
      <c r="BH262" s="53">
        <v>1624.2</v>
      </c>
      <c r="BI262" s="53">
        <v>1502.6</v>
      </c>
      <c r="BJ262" s="53">
        <v>987.8</v>
      </c>
      <c r="BK262" s="53">
        <v>1399.8</v>
      </c>
      <c r="BL262" s="53">
        <v>901.1</v>
      </c>
      <c r="BM262" s="53">
        <v>1142.0999999999999</v>
      </c>
      <c r="BN262" s="53">
        <v>1341776.5</v>
      </c>
      <c r="BO262" s="53">
        <v>978275.9</v>
      </c>
      <c r="BP262" s="53">
        <v>207102.2</v>
      </c>
      <c r="BQ262" s="53">
        <v>114394.8</v>
      </c>
      <c r="BR262" s="53">
        <v>93013.4</v>
      </c>
      <c r="BS262" s="53">
        <v>182933.8</v>
      </c>
      <c r="BT262" s="53">
        <v>292730</v>
      </c>
      <c r="BU262" s="53">
        <v>67587</v>
      </c>
      <c r="BV262" s="53">
        <v>166422.9</v>
      </c>
      <c r="BW262" s="53">
        <v>1040064.8</v>
      </c>
      <c r="BX262" s="53">
        <v>-13654.9</v>
      </c>
      <c r="BY262" s="53">
        <v>152876.9</v>
      </c>
      <c r="BZ262" s="53">
        <v>207813.7</v>
      </c>
      <c r="CA262" s="53">
        <v>91249.7</v>
      </c>
      <c r="CB262" s="53">
        <v>40035.199999999997</v>
      </c>
      <c r="CC262" s="53">
        <v>132009.4</v>
      </c>
      <c r="CD262" s="53">
        <v>416079.8</v>
      </c>
      <c r="CE262" s="53">
        <v>354353.7</v>
      </c>
      <c r="CF262" s="53">
        <v>5601838.0534420367</v>
      </c>
      <c r="CG262" s="53">
        <v>26996932.654169433</v>
      </c>
      <c r="CH262" s="53">
        <v>6.7448019341999998</v>
      </c>
      <c r="CI262" s="53">
        <v>1.6222305079999999</v>
      </c>
      <c r="CJ262" s="53">
        <v>14.4266971465</v>
      </c>
      <c r="CK262" s="53">
        <v>8.8658535582999995</v>
      </c>
      <c r="CL262" s="53">
        <v>6</v>
      </c>
      <c r="CM262" s="53">
        <v>136.23128991510001</v>
      </c>
      <c r="CN262" s="53">
        <v>38.244575087900003</v>
      </c>
      <c r="CO262" s="53">
        <v>5.5683043513000001</v>
      </c>
      <c r="CP262" s="53">
        <v>21.5337627125</v>
      </c>
      <c r="CQ262" s="53">
        <v>13.548347871000001</v>
      </c>
      <c r="CR262" s="53">
        <v>6.3982901880999998</v>
      </c>
      <c r="CS262" s="53">
        <v>5.1109291941999997</v>
      </c>
      <c r="CT262" s="53">
        <v>18.647427815099999</v>
      </c>
      <c r="CU262" s="53">
        <v>4.3652954899000003</v>
      </c>
      <c r="CV262" s="53">
        <v>4.0731285017000003</v>
      </c>
      <c r="CW262" s="53">
        <v>7.0524562583000003</v>
      </c>
      <c r="CX262" s="53">
        <v>4.3055931520000001</v>
      </c>
      <c r="CY262" s="53">
        <v>7.3831792929000004</v>
      </c>
      <c r="CZ262" s="53">
        <v>806.27</v>
      </c>
      <c r="DA262" s="53">
        <v>775.31</v>
      </c>
      <c r="DB262" s="53">
        <v>121.67</v>
      </c>
      <c r="DC262" s="53">
        <v>314.3</v>
      </c>
      <c r="DD262" s="53">
        <v>79.63</v>
      </c>
      <c r="DE262" s="53">
        <v>11.87</v>
      </c>
      <c r="DF262" s="53">
        <v>209.13</v>
      </c>
      <c r="DG262" s="53">
        <v>5.56</v>
      </c>
      <c r="DH262" s="53">
        <v>11.98</v>
      </c>
      <c r="DI262" s="53">
        <v>3.52</v>
      </c>
      <c r="DJ262" s="53">
        <v>0</v>
      </c>
      <c r="DK262" s="53">
        <v>7.66</v>
      </c>
      <c r="DL262" s="53">
        <v>0.11</v>
      </c>
      <c r="DM262" s="53">
        <v>18.829999999999998</v>
      </c>
      <c r="DN262" s="53">
        <v>0.05</v>
      </c>
      <c r="DO262" s="53">
        <v>652.63</v>
      </c>
      <c r="DP262" s="53">
        <v>191.12</v>
      </c>
      <c r="DQ262" s="53">
        <v>113.28</v>
      </c>
      <c r="DR262" s="53">
        <v>77.84</v>
      </c>
      <c r="DS262" s="53">
        <v>61.4</v>
      </c>
      <c r="DT262" s="53">
        <v>12.48</v>
      </c>
      <c r="DU262" s="53">
        <v>326.14</v>
      </c>
      <c r="DV262" s="53">
        <v>205.41</v>
      </c>
      <c r="DW262" s="53">
        <v>97.87</v>
      </c>
      <c r="DX262" s="53">
        <v>73.430000000000007</v>
      </c>
      <c r="DY262" s="53">
        <v>38.950000000000003</v>
      </c>
      <c r="DZ262" s="53">
        <v>24.84</v>
      </c>
      <c r="EA262" s="53">
        <v>-123.2</v>
      </c>
      <c r="EB262" s="53">
        <v>41</v>
      </c>
      <c r="EC262" s="53">
        <v>-154.19999999999999</v>
      </c>
      <c r="ED262" s="53">
        <v>-105.2</v>
      </c>
      <c r="EE262" s="53">
        <v>95.2</v>
      </c>
      <c r="EF262" s="53">
        <v>23.2</v>
      </c>
      <c r="EG262" s="53">
        <v>-41.2</v>
      </c>
      <c r="EH262" s="53">
        <v>-97.9</v>
      </c>
      <c r="EI262" s="53">
        <v>-19.2</v>
      </c>
      <c r="EJ262" s="53">
        <v>-0.1</v>
      </c>
      <c r="EK262" s="53">
        <v>76</v>
      </c>
      <c r="EL262" s="53">
        <v>-110.1</v>
      </c>
      <c r="EM262" s="53">
        <v>-169</v>
      </c>
      <c r="EN262" s="53">
        <v>4180.9224689511002</v>
      </c>
      <c r="EO262" s="53">
        <v>930.48634076610006</v>
      </c>
      <c r="EP262" s="53">
        <v>2374.6149185562999</v>
      </c>
      <c r="EQ262" s="53">
        <v>7.6935721516999998</v>
      </c>
      <c r="ER262" s="53">
        <v>139.0150965043</v>
      </c>
      <c r="ES262" s="53">
        <v>729.11254097259996</v>
      </c>
      <c r="ET262" s="53">
        <v>0</v>
      </c>
      <c r="EU262">
        <v>2848.9422727273</v>
      </c>
      <c r="EV262" s="53">
        <v>33319.85</v>
      </c>
      <c r="EW262" s="53">
        <v>8449.1280000000006</v>
      </c>
      <c r="EX262" s="53">
        <v>2272.598</v>
      </c>
      <c r="EY262" s="53">
        <v>1672.1220000000001</v>
      </c>
      <c r="EZ262" s="53">
        <v>8783.3410000000003</v>
      </c>
      <c r="FA262" s="53">
        <v>12142.66</v>
      </c>
      <c r="FB262" s="53">
        <v>188.12288961039999</v>
      </c>
      <c r="FC262" s="53">
        <v>74.598181818200004</v>
      </c>
      <c r="FD262" s="53">
        <v>9324.7095454545997</v>
      </c>
      <c r="FE262" s="53">
        <v>113.71875</v>
      </c>
      <c r="FF262" s="53">
        <v>1777.2522727272999</v>
      </c>
      <c r="FG262">
        <v>20566411.234999999</v>
      </c>
      <c r="FH262">
        <v>20018192.050799999</v>
      </c>
      <c r="FI262">
        <v>548219.18420000002</v>
      </c>
      <c r="FJ262" s="53">
        <v>28242755.453547001</v>
      </c>
      <c r="FK262">
        <v>25240016.954197001</v>
      </c>
      <c r="FL262" s="53">
        <v>3002738.4993500002</v>
      </c>
      <c r="FM262" s="53">
        <v>39684106.189999998</v>
      </c>
      <c r="FN262" s="53">
        <v>3230435.25</v>
      </c>
      <c r="FO262">
        <v>2849.2</v>
      </c>
      <c r="FP262">
        <v>2115</v>
      </c>
      <c r="FQ262">
        <v>127.51</v>
      </c>
      <c r="FR262">
        <v>612.97</v>
      </c>
      <c r="FS262">
        <v>6.98</v>
      </c>
      <c r="FT262">
        <v>1006.21</v>
      </c>
      <c r="FU262">
        <v>81.59</v>
      </c>
      <c r="FV262">
        <v>245.89</v>
      </c>
      <c r="FW262">
        <v>0</v>
      </c>
      <c r="FX262">
        <v>101.79</v>
      </c>
    </row>
    <row r="263" spans="1:212" x14ac:dyDescent="0.2">
      <c r="A263" s="52" t="s">
        <v>825</v>
      </c>
      <c r="B263" s="52" t="s">
        <v>865</v>
      </c>
      <c r="C263" s="52" t="s">
        <v>866</v>
      </c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  <c r="BK263" s="53"/>
      <c r="BL263" s="53"/>
      <c r="BM263" s="53"/>
      <c r="BN263" s="53">
        <v>1100948</v>
      </c>
      <c r="BO263" s="53">
        <v>898903</v>
      </c>
      <c r="BP263" s="53">
        <v>295169.7</v>
      </c>
      <c r="BQ263" s="53">
        <v>197520.4</v>
      </c>
      <c r="BR263" s="53">
        <v>97648.3</v>
      </c>
      <c r="BS263" s="53">
        <v>194578.6</v>
      </c>
      <c r="BT263" s="53">
        <v>203175.9</v>
      </c>
      <c r="BU263" s="53">
        <v>58384.6</v>
      </c>
      <c r="BV263" s="53">
        <v>89092.1</v>
      </c>
      <c r="BW263" s="53">
        <v>1056485.1000000001</v>
      </c>
      <c r="BX263" s="53">
        <v>-5467.8</v>
      </c>
      <c r="BY263" s="53">
        <v>200233.8</v>
      </c>
      <c r="BZ263" s="53">
        <v>209734</v>
      </c>
      <c r="CA263" s="53">
        <v>82496.5</v>
      </c>
      <c r="CB263" s="53">
        <v>40019.1</v>
      </c>
      <c r="CC263" s="53">
        <v>105262.6</v>
      </c>
      <c r="CD263" s="53">
        <v>418739</v>
      </c>
      <c r="CE263" s="53">
        <v>207230.3</v>
      </c>
      <c r="CF263" s="53">
        <v>5669091.0609505689</v>
      </c>
      <c r="CG263" s="53">
        <v>26811453.212599788</v>
      </c>
      <c r="CH263" s="53">
        <v>6.7401210464999997</v>
      </c>
      <c r="CI263" s="53">
        <v>1.3701019934000001</v>
      </c>
      <c r="CJ263" s="53">
        <v>14.3424073895</v>
      </c>
      <c r="CK263" s="53">
        <v>8.2431360401999996</v>
      </c>
      <c r="CL263" s="53">
        <v>6</v>
      </c>
      <c r="CM263" s="53">
        <v>136.8563363431</v>
      </c>
      <c r="CN263" s="53">
        <v>39.074866997999997</v>
      </c>
      <c r="CO263" s="53">
        <v>5.6138127043999999</v>
      </c>
      <c r="CP263" s="53">
        <v>21.787404334800001</v>
      </c>
      <c r="CQ263" s="53">
        <v>12.8038512996</v>
      </c>
      <c r="CR263" s="53">
        <v>6.4432433440999999</v>
      </c>
      <c r="CS263" s="53">
        <v>5.1494167108999997</v>
      </c>
      <c r="CT263" s="53">
        <v>18.715753657499999</v>
      </c>
      <c r="CU263" s="53">
        <v>4.3800411136999999</v>
      </c>
      <c r="CV263" s="53">
        <v>4.0782689423000003</v>
      </c>
      <c r="CW263" s="53">
        <v>7.0935375421</v>
      </c>
      <c r="CX263" s="53">
        <v>4.3065773749999998</v>
      </c>
      <c r="CY263" s="53">
        <v>7.4095623207000001</v>
      </c>
      <c r="CZ263" s="53">
        <v>1124.038370519</v>
      </c>
      <c r="DA263" s="53">
        <v>1092.9384275279999</v>
      </c>
      <c r="DB263" s="53">
        <v>167.9529</v>
      </c>
      <c r="DC263" s="53">
        <v>316.94349999999997</v>
      </c>
      <c r="DD263" s="53">
        <v>58.484200000000001</v>
      </c>
      <c r="DE263" s="53">
        <v>17.899100000000001</v>
      </c>
      <c r="DF263" s="53">
        <v>470.42430000000002</v>
      </c>
      <c r="DG263" s="53">
        <v>25.371500000000001</v>
      </c>
      <c r="DH263" s="53">
        <v>10.267269808</v>
      </c>
      <c r="DI263" s="53">
        <v>1.2561899999999999</v>
      </c>
      <c r="DJ263" s="53">
        <v>9.1400579999999995E-2</v>
      </c>
      <c r="DK263" s="53">
        <v>6.5216800849999998</v>
      </c>
      <c r="DL263" s="53">
        <v>0.18419221099999999</v>
      </c>
      <c r="DM263" s="53">
        <v>20.598176327000001</v>
      </c>
      <c r="DN263" s="53">
        <v>5.0304645000000002E-2</v>
      </c>
      <c r="DO263" s="53">
        <v>518.58000000000004</v>
      </c>
      <c r="DP263" s="53">
        <v>176.02789999999999</v>
      </c>
      <c r="DQ263" s="53">
        <v>114.4329</v>
      </c>
      <c r="DR263" s="53">
        <v>61.594999999999999</v>
      </c>
      <c r="DS263" s="53">
        <v>59.226430000000001</v>
      </c>
      <c r="DT263" s="53">
        <v>16.741219999999998</v>
      </c>
      <c r="DU263" s="53">
        <v>194.2038</v>
      </c>
      <c r="DV263" s="53">
        <v>123.0971</v>
      </c>
      <c r="DW263" s="53">
        <v>59.505949999999999</v>
      </c>
      <c r="DX263" s="53">
        <v>88.594999999999999</v>
      </c>
      <c r="DY263" s="53">
        <v>43.624000000000002</v>
      </c>
      <c r="DZ263" s="53">
        <v>35.532499999999999</v>
      </c>
      <c r="EA263" s="53">
        <v>244.58508707690001</v>
      </c>
      <c r="EB263" s="53">
        <v>510.46251299620002</v>
      </c>
      <c r="EC263" s="53">
        <v>-112.30699464129999</v>
      </c>
      <c r="ED263" s="53">
        <v>-171.7505699859</v>
      </c>
      <c r="EE263" s="53">
        <v>18.180138707899999</v>
      </c>
      <c r="EF263" s="53">
        <v>6.1066589328000003</v>
      </c>
      <c r="EG263" s="53">
        <v>135.68175782579999</v>
      </c>
      <c r="EH263" s="53">
        <v>-155.79235844409999</v>
      </c>
      <c r="EI263" s="53">
        <v>-1.1457056551</v>
      </c>
      <c r="EJ263" s="53">
        <v>-1.8839946976999999</v>
      </c>
      <c r="EK263" s="53">
        <v>294.5038166228</v>
      </c>
      <c r="EL263" s="53">
        <v>-103.1238991922</v>
      </c>
      <c r="EM263" s="53">
        <v>11.886088991699999</v>
      </c>
      <c r="EN263" s="53">
        <v>4201.2336027263</v>
      </c>
      <c r="EO263" s="53">
        <v>823.33152697770004</v>
      </c>
      <c r="EP263" s="53">
        <v>2496.8664597142001</v>
      </c>
      <c r="EQ263" s="53">
        <v>7.6835318664000001</v>
      </c>
      <c r="ER263" s="53">
        <v>138.83367866719999</v>
      </c>
      <c r="ES263" s="53">
        <v>734.51840550079999</v>
      </c>
      <c r="ET263" s="53">
        <v>0</v>
      </c>
      <c r="EU263">
        <v>2848.9676190475998</v>
      </c>
      <c r="EV263" s="53"/>
      <c r="EW263" s="53"/>
      <c r="EX263" s="53"/>
      <c r="EY263" s="53"/>
      <c r="EZ263" s="53"/>
      <c r="FA263" s="53"/>
      <c r="FB263" s="53">
        <v>240.7321428571</v>
      </c>
      <c r="FC263" s="53">
        <v>83.65</v>
      </c>
      <c r="FD263" s="53">
        <v>9829.2190476190008</v>
      </c>
      <c r="FE263" s="53">
        <v>114.4761904762</v>
      </c>
      <c r="FF263" s="53">
        <v>1776.8547619047999</v>
      </c>
      <c r="FG263">
        <v>20424226.489600003</v>
      </c>
      <c r="FH263">
        <v>19875978.887600001</v>
      </c>
      <c r="FI263">
        <v>548247.60199999996</v>
      </c>
      <c r="FJ263" s="53">
        <v>28005612.319143999</v>
      </c>
      <c r="FK263">
        <v>25064210.983253997</v>
      </c>
      <c r="FL263" s="53">
        <v>2941401.3358900002</v>
      </c>
      <c r="FM263" s="53">
        <v>39863842.32</v>
      </c>
      <c r="FN263" s="53">
        <v>3230099.6</v>
      </c>
      <c r="FO263">
        <v>2848.85</v>
      </c>
      <c r="FP263">
        <v>2931</v>
      </c>
      <c r="FQ263">
        <v>137.94</v>
      </c>
      <c r="FR263">
        <v>610.09</v>
      </c>
      <c r="FS263">
        <v>11.05</v>
      </c>
      <c r="FT263">
        <v>1467.98</v>
      </c>
      <c r="FU263">
        <v>329.57</v>
      </c>
      <c r="FV263">
        <v>293.87</v>
      </c>
      <c r="FW263">
        <v>3960</v>
      </c>
      <c r="FX263">
        <v>104.28</v>
      </c>
    </row>
    <row r="264" spans="1:212" x14ac:dyDescent="0.2">
      <c r="A264" s="52" t="s">
        <v>825</v>
      </c>
      <c r="B264" s="52" t="s">
        <v>865</v>
      </c>
      <c r="C264" s="52" t="s">
        <v>867</v>
      </c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>
        <v>1126577.5</v>
      </c>
      <c r="BO264" s="53">
        <v>939055.6</v>
      </c>
      <c r="BP264" s="53">
        <v>217980.7</v>
      </c>
      <c r="BQ264" s="53">
        <v>121954.4</v>
      </c>
      <c r="BR264" s="53">
        <v>96160.2</v>
      </c>
      <c r="BS264" s="53">
        <v>215469.5</v>
      </c>
      <c r="BT264" s="53">
        <v>280226.8</v>
      </c>
      <c r="BU264" s="53">
        <v>87770.7</v>
      </c>
      <c r="BV264" s="53">
        <v>80290.8</v>
      </c>
      <c r="BW264" s="53">
        <v>1108191.7</v>
      </c>
      <c r="BX264" s="53">
        <v>2702.4</v>
      </c>
      <c r="BY264" s="53">
        <v>300716.79999999999</v>
      </c>
      <c r="BZ264" s="53">
        <v>208730.6</v>
      </c>
      <c r="CA264" s="53">
        <v>77676.800000000003</v>
      </c>
      <c r="CB264" s="53">
        <v>35331.5</v>
      </c>
      <c r="CC264" s="53">
        <v>81803.8</v>
      </c>
      <c r="CD264" s="53">
        <v>403932.3</v>
      </c>
      <c r="CE264" s="53">
        <v>247638.3</v>
      </c>
      <c r="CF264" s="53">
        <v>5868700.2016848633</v>
      </c>
      <c r="CG264" s="53">
        <v>26988997.358566806</v>
      </c>
      <c r="CH264" s="53">
        <v>5.4</v>
      </c>
      <c r="CI264" s="53">
        <v>1.6</v>
      </c>
      <c r="CJ264" s="53">
        <v>14.5</v>
      </c>
      <c r="CK264" s="53">
        <v>8.3000000000000007</v>
      </c>
      <c r="CL264" s="53">
        <v>6</v>
      </c>
      <c r="CM264" s="53">
        <v>138.68539778159999</v>
      </c>
      <c r="CN264" s="53">
        <v>39.843801202000002</v>
      </c>
      <c r="CO264" s="53">
        <v>5.7056276178000003</v>
      </c>
      <c r="CP264" s="53">
        <v>21.986120577400001</v>
      </c>
      <c r="CQ264" s="53">
        <v>12.9772339693</v>
      </c>
      <c r="CR264" s="53">
        <v>6.4917558590000004</v>
      </c>
      <c r="CS264" s="53">
        <v>5.1640727731</v>
      </c>
      <c r="CT264" s="53">
        <v>19.173142430399999</v>
      </c>
      <c r="CU264" s="53">
        <v>4.4090452774999997</v>
      </c>
      <c r="CV264" s="53">
        <v>4.0853520092000002</v>
      </c>
      <c r="CW264" s="53">
        <v>7.0944901760999999</v>
      </c>
      <c r="CX264" s="53">
        <v>4.3086859462999998</v>
      </c>
      <c r="CY264" s="53">
        <v>7.4460699434000004</v>
      </c>
      <c r="CZ264" s="53">
        <v>1306.268055685</v>
      </c>
      <c r="DA264" s="53">
        <v>1254.243640725</v>
      </c>
      <c r="DB264" s="53">
        <v>296.84100000000001</v>
      </c>
      <c r="DC264" s="53">
        <v>211.04669999999999</v>
      </c>
      <c r="DD264" s="53">
        <v>44.300699999999999</v>
      </c>
      <c r="DE264" s="53">
        <v>15.638299999999999</v>
      </c>
      <c r="DF264" s="53">
        <v>626.04769999999996</v>
      </c>
      <c r="DG264" s="53">
        <v>23.666399999999999</v>
      </c>
      <c r="DH264" s="53">
        <v>22.849329596</v>
      </c>
      <c r="DI264" s="53">
        <v>1.242586</v>
      </c>
      <c r="DJ264" s="53">
        <v>0.13369088000000001</v>
      </c>
      <c r="DK264" s="53">
        <v>20.739264584000001</v>
      </c>
      <c r="DL264" s="53">
        <v>0.32129660599999998</v>
      </c>
      <c r="DM264" s="53">
        <v>28.793114858999999</v>
      </c>
      <c r="DN264" s="53">
        <v>6.0673899000000003E-2</v>
      </c>
      <c r="DO264" s="53">
        <v>542.79999999999995</v>
      </c>
      <c r="DP264" s="53">
        <v>213.55879999999999</v>
      </c>
      <c r="DQ264" s="53">
        <v>118.8896</v>
      </c>
      <c r="DR264" s="53">
        <v>94.66919</v>
      </c>
      <c r="DS264" s="53">
        <v>57.233150000000002</v>
      </c>
      <c r="DT264" s="53">
        <v>17.106670000000001</v>
      </c>
      <c r="DU264" s="53">
        <v>115.6187</v>
      </c>
      <c r="DV264" s="53">
        <v>68.471090000000004</v>
      </c>
      <c r="DW264" s="53">
        <v>32.921999999999997</v>
      </c>
      <c r="DX264" s="53">
        <v>155.57849999999999</v>
      </c>
      <c r="DY264" s="53">
        <v>62.872399999999999</v>
      </c>
      <c r="DZ264" s="53">
        <v>69.536600000000007</v>
      </c>
      <c r="EA264" s="53">
        <v>464.42927277019999</v>
      </c>
      <c r="EB264" s="53">
        <v>707.19824146329995</v>
      </c>
      <c r="EC264" s="53">
        <v>-92.437989754399993</v>
      </c>
      <c r="ED264" s="53">
        <v>-162.52143748</v>
      </c>
      <c r="EE264" s="53">
        <v>12.1904585412</v>
      </c>
      <c r="EF264" s="53">
        <v>9.8997624049000006</v>
      </c>
      <c r="EG264" s="53">
        <v>392.07748164319997</v>
      </c>
      <c r="EH264" s="53">
        <v>-147.66001689340001</v>
      </c>
      <c r="EI264" s="53">
        <v>-16.116720590100002</v>
      </c>
      <c r="EJ264" s="53">
        <v>5.5800135000000001E-2</v>
      </c>
      <c r="EK264" s="53">
        <v>555.79841899170003</v>
      </c>
      <c r="EL264" s="53">
        <v>49.679176716199997</v>
      </c>
      <c r="EM264" s="53">
        <v>131.93073024820001</v>
      </c>
      <c r="EN264" s="53">
        <v>4165.1806336655</v>
      </c>
      <c r="EO264" s="53">
        <v>776.63852747010003</v>
      </c>
      <c r="EP264" s="53">
        <v>2669.8017715018</v>
      </c>
      <c r="EQ264" s="53">
        <v>7.5770292074999999</v>
      </c>
      <c r="ER264" s="53">
        <v>135.3991845235</v>
      </c>
      <c r="ES264" s="53">
        <v>575.76412096260003</v>
      </c>
      <c r="ET264" s="53">
        <v>0</v>
      </c>
      <c r="EU264">
        <v>2848.9470000000001</v>
      </c>
      <c r="EV264" s="53"/>
      <c r="EW264" s="53"/>
      <c r="EX264" s="53"/>
      <c r="EY264" s="53"/>
      <c r="EZ264" s="53"/>
      <c r="FA264" s="53"/>
      <c r="FB264" s="53">
        <v>177.80162337659999</v>
      </c>
      <c r="FC264" s="53">
        <v>80.766363636400001</v>
      </c>
      <c r="FD264" s="53">
        <v>9728.9045454544994</v>
      </c>
      <c r="FE264" s="53">
        <v>90.131578947400001</v>
      </c>
      <c r="FF264" s="53">
        <v>1820.2340909090999</v>
      </c>
      <c r="FG264">
        <v>20597588.674799997</v>
      </c>
      <c r="FH264">
        <v>20049344.254199997</v>
      </c>
      <c r="FI264">
        <v>548244.42059999995</v>
      </c>
      <c r="FJ264" s="53">
        <v>28274085.568793997</v>
      </c>
      <c r="FK264">
        <v>25277259.683499999</v>
      </c>
      <c r="FL264" s="53">
        <v>2996825.8852940002</v>
      </c>
      <c r="FM264" s="53">
        <v>40092736.149999999</v>
      </c>
      <c r="FN264" s="53">
        <v>3252597.29</v>
      </c>
      <c r="FO264">
        <v>2849.21</v>
      </c>
      <c r="FP264">
        <v>5070</v>
      </c>
      <c r="FQ264">
        <v>97.830799999999996</v>
      </c>
      <c r="FR264">
        <v>534.12239999999997</v>
      </c>
      <c r="FS264">
        <v>9.1196400000000004</v>
      </c>
      <c r="FT264">
        <v>1709.6220000000001</v>
      </c>
      <c r="FU264">
        <v>312.55189999999999</v>
      </c>
      <c r="FV264">
        <v>454.065</v>
      </c>
      <c r="FW264">
        <v>5939.402</v>
      </c>
      <c r="FX264">
        <v>346.50869999999998</v>
      </c>
    </row>
    <row r="265" spans="1:212" x14ac:dyDescent="0.2">
      <c r="A265" s="52" t="s">
        <v>825</v>
      </c>
      <c r="B265" s="52" t="s">
        <v>865</v>
      </c>
      <c r="C265" s="52" t="s">
        <v>868</v>
      </c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  <c r="BK265" s="53"/>
      <c r="BL265" s="53"/>
      <c r="BM265" s="53"/>
      <c r="BN265" s="53">
        <v>1015333.8</v>
      </c>
      <c r="BO265" s="53">
        <v>920018.6</v>
      </c>
      <c r="BP265" s="53">
        <v>137784.20000000001</v>
      </c>
      <c r="BQ265" s="53">
        <v>-12591.8</v>
      </c>
      <c r="BR265" s="53">
        <v>150390.70000000001</v>
      </c>
      <c r="BS265" s="53">
        <v>312641.8</v>
      </c>
      <c r="BT265" s="53">
        <v>272501.59999999998</v>
      </c>
      <c r="BU265" s="53">
        <v>43432.7</v>
      </c>
      <c r="BV265" s="53">
        <v>95315.199999999997</v>
      </c>
      <c r="BW265" s="53">
        <v>1319011.2</v>
      </c>
      <c r="BX265" s="53">
        <v>-302815.3</v>
      </c>
      <c r="BY265" s="53">
        <v>486619.1</v>
      </c>
      <c r="BZ265" s="53">
        <v>281991.90000000002</v>
      </c>
      <c r="CA265" s="53">
        <v>87266.9</v>
      </c>
      <c r="CB265" s="53">
        <v>77633.7</v>
      </c>
      <c r="CC265" s="53">
        <v>24942.5</v>
      </c>
      <c r="CD265" s="53">
        <v>360557</v>
      </c>
      <c r="CE265" s="53">
        <v>1020574.6</v>
      </c>
      <c r="CF265" s="53">
        <v>6507208.5091906833</v>
      </c>
      <c r="CG265" s="53">
        <v>27863476.539423864</v>
      </c>
      <c r="CH265" s="53">
        <v>5.7579074472</v>
      </c>
      <c r="CI265" s="53">
        <v>3.4347061659000002</v>
      </c>
      <c r="CJ265" s="53">
        <v>14.2864994621</v>
      </c>
      <c r="CK265" s="53">
        <v>7.7648719800999997</v>
      </c>
      <c r="CL265" s="53">
        <v>6</v>
      </c>
      <c r="CM265" s="53">
        <v>141.5807177888</v>
      </c>
      <c r="CN265" s="53">
        <v>41.019241596000001</v>
      </c>
      <c r="CO265" s="53">
        <v>5.7475981818999999</v>
      </c>
      <c r="CP265" s="53">
        <v>22.422695355199998</v>
      </c>
      <c r="CQ265" s="53">
        <v>13.218879578399999</v>
      </c>
      <c r="CR265" s="53">
        <v>6.6151910575999997</v>
      </c>
      <c r="CS265" s="53">
        <v>5.2145553626999996</v>
      </c>
      <c r="CT265" s="53">
        <v>19.502961441299998</v>
      </c>
      <c r="CU265" s="53">
        <v>4.4154211995999999</v>
      </c>
      <c r="CV265" s="53">
        <v>4.1148088263</v>
      </c>
      <c r="CW265" s="53">
        <v>7.0993382616999998</v>
      </c>
      <c r="CX265" s="53">
        <v>4.5581081557000003</v>
      </c>
      <c r="CY265" s="53">
        <v>7.6519187721000002</v>
      </c>
      <c r="CZ265" s="53">
        <v>417.925303617</v>
      </c>
      <c r="DA265" s="53">
        <v>329.20172331100002</v>
      </c>
      <c r="DB265" s="53">
        <v>79.689700000000002</v>
      </c>
      <c r="DC265" s="53">
        <v>64.537300000000002</v>
      </c>
      <c r="DD265" s="53">
        <v>1.6476</v>
      </c>
      <c r="DE265" s="53">
        <v>0</v>
      </c>
      <c r="DF265" s="53">
        <v>165.88910000000001</v>
      </c>
      <c r="DG265" s="53">
        <v>0</v>
      </c>
      <c r="DH265" s="53">
        <v>66.584597419999994</v>
      </c>
      <c r="DI265" s="53">
        <v>0.99425743300000002</v>
      </c>
      <c r="DJ265" s="53">
        <v>9.4744063000000003E-2</v>
      </c>
      <c r="DK265" s="53">
        <v>61.940489900999999</v>
      </c>
      <c r="DL265" s="53">
        <v>0.196362444</v>
      </c>
      <c r="DM265" s="53">
        <v>21.882387194</v>
      </c>
      <c r="DN265" s="53">
        <v>6.0233248000000003E-2</v>
      </c>
      <c r="DO265" s="53">
        <v>660.69604592999997</v>
      </c>
      <c r="DP265" s="53">
        <v>232.70810105000001</v>
      </c>
      <c r="DQ265" s="53">
        <v>140.67447405999999</v>
      </c>
      <c r="DR265" s="53">
        <v>92.033626990000002</v>
      </c>
      <c r="DS265" s="53">
        <v>70.057811779999994</v>
      </c>
      <c r="DT265" s="53">
        <v>14.648452949999999</v>
      </c>
      <c r="DU265" s="53">
        <v>207.79102512</v>
      </c>
      <c r="DV265" s="53">
        <v>126.36405987000001</v>
      </c>
      <c r="DW265" s="53">
        <v>45.277222440000003</v>
      </c>
      <c r="DX265" s="53">
        <v>149.22460000000001</v>
      </c>
      <c r="DY265" s="53">
        <v>77.561400000000006</v>
      </c>
      <c r="DZ265" s="53">
        <v>47.9925</v>
      </c>
      <c r="EA265" s="53">
        <v>-722.76078430999996</v>
      </c>
      <c r="EB265" s="53">
        <v>-276.83742181000002</v>
      </c>
      <c r="EC265" s="53">
        <v>-208.18355137</v>
      </c>
      <c r="ED265" s="53">
        <v>-260.81672244999999</v>
      </c>
      <c r="EE265" s="53">
        <v>23.07691131</v>
      </c>
      <c r="EF265" s="53">
        <v>10.14773847</v>
      </c>
      <c r="EG265" s="53">
        <v>-877.49707224999997</v>
      </c>
      <c r="EH265" s="53">
        <v>-141.32310985000001</v>
      </c>
      <c r="EI265" s="53">
        <v>-4.1066809400000004</v>
      </c>
      <c r="EJ265" s="53">
        <v>-0.17646550999999999</v>
      </c>
      <c r="EK265" s="53">
        <v>-731.89081596000005</v>
      </c>
      <c r="EL265" s="53">
        <v>49.926807009999997</v>
      </c>
      <c r="EM265" s="53">
        <v>214.81083340999999</v>
      </c>
      <c r="EN265" s="53">
        <v>4366.0649671878</v>
      </c>
      <c r="EO265" s="53">
        <v>2166.2906440223001</v>
      </c>
      <c r="EP265" s="53">
        <v>1496.6381298314</v>
      </c>
      <c r="EQ265" s="53">
        <v>7.6079527885999996</v>
      </c>
      <c r="ER265" s="53">
        <v>135.9517794189</v>
      </c>
      <c r="ES265" s="53">
        <v>559.57646112659995</v>
      </c>
      <c r="ET265" s="53">
        <v>0</v>
      </c>
      <c r="EU265">
        <v>2848.9645454544998</v>
      </c>
      <c r="EV265" s="53"/>
      <c r="EW265" s="53"/>
      <c r="EX265" s="53"/>
      <c r="EY265" s="53"/>
      <c r="EZ265" s="53"/>
      <c r="FA265" s="53"/>
      <c r="FB265" s="53"/>
      <c r="FC265" s="53"/>
      <c r="FD265" s="53"/>
      <c r="FE265" s="53"/>
      <c r="FF265" s="53"/>
      <c r="FG265">
        <v>21205175.737199999</v>
      </c>
      <c r="FH265">
        <v>20667355.0024</v>
      </c>
      <c r="FI265">
        <v>537820.73479999998</v>
      </c>
      <c r="FJ265" s="53">
        <v>28860494.065536998</v>
      </c>
      <c r="FK265">
        <v>25685162.448721997</v>
      </c>
      <c r="FL265" s="53">
        <v>3175331.6168149998</v>
      </c>
      <c r="FM265" s="53">
        <v>41011727.420000002</v>
      </c>
      <c r="FN265" s="53">
        <v>3425470.04</v>
      </c>
      <c r="FO265">
        <v>2849.34</v>
      </c>
      <c r="FP265">
        <v>1375</v>
      </c>
      <c r="FQ265">
        <v>25.840499999999999</v>
      </c>
      <c r="FR265">
        <v>14.34455</v>
      </c>
      <c r="FS265">
        <v>0</v>
      </c>
      <c r="FT265">
        <v>541.01980000000003</v>
      </c>
      <c r="FU265">
        <v>0</v>
      </c>
      <c r="FV265">
        <v>439.91500000000002</v>
      </c>
      <c r="FW265">
        <v>1603.72</v>
      </c>
      <c r="FX265">
        <v>1326.7539999999999</v>
      </c>
    </row>
    <row r="266" spans="1:212" x14ac:dyDescent="0.2">
      <c r="A266" s="52" t="s">
        <v>869</v>
      </c>
      <c r="B266" s="52" t="s">
        <v>870</v>
      </c>
      <c r="C266" s="52" t="s">
        <v>871</v>
      </c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/>
      <c r="BO266" s="53"/>
      <c r="BP266" s="53"/>
      <c r="BQ266" s="53"/>
      <c r="BR266" s="53"/>
      <c r="BS266" s="53"/>
      <c r="BT266" s="53"/>
      <c r="BU266" s="53"/>
      <c r="BV266" s="53"/>
      <c r="BW266" s="53"/>
      <c r="BX266" s="53"/>
      <c r="BY266" s="53"/>
      <c r="BZ266" s="53"/>
      <c r="CA266" s="53"/>
      <c r="CB266" s="53"/>
      <c r="CC266" s="53"/>
      <c r="CD266" s="53"/>
      <c r="CE266" s="53"/>
      <c r="CF266" s="53"/>
      <c r="CG266" s="53"/>
      <c r="CH266" s="53"/>
      <c r="CI266" s="53"/>
      <c r="CJ266" s="53"/>
      <c r="CK266" s="53"/>
      <c r="CL266" s="53"/>
      <c r="CM266" s="53"/>
      <c r="CN266" s="53"/>
      <c r="CO266" s="53"/>
      <c r="CP266" s="53"/>
      <c r="CQ266" s="53"/>
      <c r="CR266" s="53"/>
      <c r="CS266" s="53"/>
      <c r="CT266" s="53"/>
      <c r="CU266" s="53"/>
      <c r="CV266" s="53"/>
      <c r="CW266" s="53"/>
      <c r="CX266" s="53"/>
      <c r="CY266" s="53"/>
      <c r="CZ266" s="53"/>
      <c r="DA266" s="53"/>
      <c r="DB266" s="53"/>
      <c r="DC266" s="53"/>
      <c r="DD266" s="53"/>
      <c r="DE266" s="53"/>
      <c r="DF266" s="53"/>
      <c r="DG266" s="53"/>
      <c r="DH266" s="53"/>
      <c r="DI266" s="53"/>
      <c r="DJ266" s="53"/>
      <c r="DK266" s="53"/>
      <c r="DL266" s="53"/>
      <c r="DM266" s="53"/>
      <c r="DN266" s="53"/>
      <c r="DO266" s="53"/>
      <c r="DP266" s="53"/>
      <c r="DQ266" s="53"/>
      <c r="DR266" s="53"/>
      <c r="DS266" s="53"/>
      <c r="DT266" s="53"/>
      <c r="DU266" s="53"/>
      <c r="DV266" s="53"/>
      <c r="DW266" s="53"/>
      <c r="DX266" s="53"/>
      <c r="DY266" s="53"/>
      <c r="DZ266" s="53"/>
      <c r="EA266" s="53"/>
      <c r="EB266" s="53"/>
      <c r="EC266" s="53"/>
      <c r="ED266" s="53"/>
      <c r="EE266" s="53"/>
      <c r="EF266" s="53"/>
      <c r="EG266" s="53"/>
      <c r="EH266" s="53"/>
      <c r="EI266" s="53"/>
      <c r="EJ266" s="53"/>
      <c r="EK266" s="53"/>
      <c r="EL266" s="53"/>
      <c r="EM266" s="53"/>
      <c r="EN266" s="53"/>
      <c r="EO266" s="53"/>
      <c r="EP266" s="53"/>
      <c r="EQ266" s="53"/>
      <c r="ER266" s="53"/>
      <c r="ES266" s="53"/>
      <c r="ET266" s="53"/>
      <c r="EU266"/>
      <c r="EV266" s="53"/>
      <c r="EW266" s="53"/>
      <c r="EX266" s="53"/>
      <c r="EY266" s="53"/>
      <c r="EZ266" s="53"/>
      <c r="FA266" s="53"/>
      <c r="FB266" s="53"/>
      <c r="FC266" s="53"/>
      <c r="FD266" s="53"/>
      <c r="FE266" s="53"/>
      <c r="FF266" s="53"/>
      <c r="FG266"/>
      <c r="FH266"/>
      <c r="FI266"/>
      <c r="FJ266" s="53"/>
      <c r="FK266"/>
      <c r="FL266" s="53"/>
      <c r="FM266" s="53"/>
      <c r="FN266" s="53"/>
      <c r="FO266"/>
      <c r="FP266"/>
      <c r="FQ266"/>
      <c r="FR266"/>
      <c r="FS266"/>
      <c r="FT266"/>
      <c r="FU266"/>
      <c r="FV266"/>
      <c r="FW266"/>
      <c r="FX266"/>
    </row>
    <row r="267" spans="1:212" x14ac:dyDescent="0.2">
      <c r="A267" s="2"/>
      <c r="B267" s="2"/>
      <c r="C267" s="2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</row>
    <row r="268" spans="1:212" x14ac:dyDescent="0.2">
      <c r="A268" s="2"/>
      <c r="B268" s="2"/>
      <c r="C268" s="2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</row>
    <row r="269" spans="1:212" x14ac:dyDescent="0.2">
      <c r="A269" s="2"/>
      <c r="B269" s="2"/>
      <c r="C269" s="2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</row>
    <row r="270" spans="1:212" x14ac:dyDescent="0.2">
      <c r="A270" s="2"/>
      <c r="B270" s="2"/>
      <c r="C270" s="2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</row>
    <row r="271" spans="1:212" x14ac:dyDescent="0.2">
      <c r="A271" s="2"/>
      <c r="B271" s="2"/>
      <c r="C271" s="2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</row>
    <row r="272" spans="1:212" x14ac:dyDescent="0.2">
      <c r="A272" s="2"/>
      <c r="B272" s="2"/>
      <c r="C272" s="2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</row>
    <row r="273" spans="1:162" x14ac:dyDescent="0.2">
      <c r="A273" s="2"/>
      <c r="B273" s="2"/>
      <c r="C273" s="2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</row>
    <row r="274" spans="1:162" x14ac:dyDescent="0.2">
      <c r="A274" s="2"/>
      <c r="B274" s="2"/>
      <c r="C274" s="2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</row>
    <row r="275" spans="1:162" x14ac:dyDescent="0.2">
      <c r="A275" s="2"/>
      <c r="B275" s="2"/>
      <c r="C275" s="2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</row>
    <row r="276" spans="1:162" x14ac:dyDescent="0.2">
      <c r="A276" s="2"/>
      <c r="B276" s="2"/>
      <c r="C276" s="2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</row>
    <row r="277" spans="1:162" x14ac:dyDescent="0.2">
      <c r="A277" s="2"/>
      <c r="B277" s="2"/>
      <c r="C277" s="2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</row>
    <row r="278" spans="1:162" x14ac:dyDescent="0.2">
      <c r="A278" s="2"/>
      <c r="B278" s="2"/>
      <c r="C278" s="2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</row>
    <row r="279" spans="1:162" x14ac:dyDescent="0.2">
      <c r="A279" s="2"/>
      <c r="B279" s="2"/>
      <c r="C279" s="2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</row>
    <row r="280" spans="1:162" x14ac:dyDescent="0.2">
      <c r="A280" s="2"/>
      <c r="B280" s="2"/>
      <c r="C280" s="2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</row>
    <row r="281" spans="1:162" x14ac:dyDescent="0.2">
      <c r="A281" s="2"/>
      <c r="B281" s="2"/>
      <c r="C281" s="2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</row>
    <row r="282" spans="1:162" x14ac:dyDescent="0.2">
      <c r="A282" s="2"/>
      <c r="B282" s="2"/>
      <c r="C282" s="2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</row>
    <row r="283" spans="1:162" x14ac:dyDescent="0.2">
      <c r="A283" s="2"/>
      <c r="B283" s="2"/>
      <c r="C283" s="2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</row>
    <row r="284" spans="1:162" x14ac:dyDescent="0.2">
      <c r="A284" s="2"/>
      <c r="B284" s="2"/>
      <c r="C284" s="2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</row>
    <row r="285" spans="1:162" x14ac:dyDescent="0.2">
      <c r="A285" s="2"/>
      <c r="B285" s="2"/>
      <c r="C285" s="2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</row>
    <row r="286" spans="1:162" x14ac:dyDescent="0.2">
      <c r="A286" s="2"/>
      <c r="B286" s="2"/>
      <c r="C286" s="2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</row>
    <row r="287" spans="1:162" x14ac:dyDescent="0.2">
      <c r="A287" s="2"/>
      <c r="B287" s="2"/>
      <c r="C287" s="2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</row>
    <row r="288" spans="1:162" x14ac:dyDescent="0.2">
      <c r="A288" s="2"/>
      <c r="B288" s="2"/>
      <c r="C288" s="2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</row>
    <row r="289" spans="1:162" x14ac:dyDescent="0.2">
      <c r="A289" s="2"/>
      <c r="B289" s="2"/>
      <c r="C289" s="2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</row>
    <row r="290" spans="1:162" x14ac:dyDescent="0.2">
      <c r="A290" s="2"/>
      <c r="B290" s="2"/>
      <c r="C290" s="2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</row>
    <row r="291" spans="1:162" x14ac:dyDescent="0.2">
      <c r="A291" s="2"/>
      <c r="B291" s="2"/>
      <c r="C291" s="2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</row>
    <row r="292" spans="1:162" x14ac:dyDescent="0.2">
      <c r="A292" s="2"/>
      <c r="B292" s="2"/>
      <c r="C292" s="2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</row>
    <row r="293" spans="1:162" x14ac:dyDescent="0.2">
      <c r="A293" s="2"/>
      <c r="B293" s="2"/>
      <c r="C293" s="2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</row>
    <row r="294" spans="1:162" x14ac:dyDescent="0.2">
      <c r="A294" s="2"/>
      <c r="B294" s="2"/>
      <c r="C294" s="2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</row>
    <row r="295" spans="1:162" x14ac:dyDescent="0.2">
      <c r="A295" s="2"/>
      <c r="B295" s="2"/>
      <c r="C295" s="2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</row>
    <row r="296" spans="1:162" x14ac:dyDescent="0.2">
      <c r="A296" s="2"/>
      <c r="B296" s="2"/>
      <c r="C296" s="2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</row>
    <row r="297" spans="1:162" x14ac:dyDescent="0.2">
      <c r="A297" s="2"/>
      <c r="B297" s="2"/>
      <c r="C297" s="2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</row>
    <row r="298" spans="1:162" x14ac:dyDescent="0.2">
      <c r="A298" s="2"/>
      <c r="B298" s="2"/>
      <c r="C298" s="2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</row>
    <row r="299" spans="1:162" x14ac:dyDescent="0.2">
      <c r="A299" s="2"/>
      <c r="B299" s="2"/>
      <c r="C299" s="2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</row>
    <row r="300" spans="1:162" x14ac:dyDescent="0.2">
      <c r="A300" s="2"/>
      <c r="B300" s="2"/>
      <c r="C300" s="2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</row>
    <row r="301" spans="1:162" x14ac:dyDescent="0.2">
      <c r="A301" s="2"/>
      <c r="B301" s="2"/>
      <c r="C301" s="2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</row>
    <row r="302" spans="1:162" x14ac:dyDescent="0.2">
      <c r="A302" s="2"/>
      <c r="B302" s="2"/>
      <c r="C302" s="2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</row>
    <row r="303" spans="1:162" x14ac:dyDescent="0.2">
      <c r="A303" s="2"/>
      <c r="B303" s="2"/>
      <c r="C303" s="2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</row>
    <row r="304" spans="1:162" x14ac:dyDescent="0.2">
      <c r="A304" s="2"/>
      <c r="B304" s="2"/>
      <c r="C304" s="2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</row>
    <row r="305" spans="1:162" x14ac:dyDescent="0.2">
      <c r="A305" s="2"/>
      <c r="B305" s="2"/>
      <c r="C305" s="2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</row>
    <row r="306" spans="1:162" x14ac:dyDescent="0.2">
      <c r="A306" s="2"/>
      <c r="B306" s="2"/>
      <c r="C306" s="2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</row>
    <row r="307" spans="1:162" x14ac:dyDescent="0.2">
      <c r="A307" s="2"/>
      <c r="B307" s="2"/>
      <c r="C307" s="2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</row>
    <row r="308" spans="1:162" x14ac:dyDescent="0.2">
      <c r="A308" s="2"/>
      <c r="B308" s="2"/>
      <c r="C308" s="2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</row>
    <row r="309" spans="1:162" x14ac:dyDescent="0.2">
      <c r="A309" s="2"/>
      <c r="B309" s="2"/>
      <c r="C309" s="2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</row>
    <row r="310" spans="1:162" x14ac:dyDescent="0.2">
      <c r="A310" s="2"/>
      <c r="B310" s="2"/>
      <c r="C310" s="2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</row>
    <row r="311" spans="1:162" x14ac:dyDescent="0.2">
      <c r="A311" s="2"/>
      <c r="B311" s="2"/>
      <c r="C311" s="2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</row>
    <row r="312" spans="1:162" x14ac:dyDescent="0.2">
      <c r="A312" s="2"/>
      <c r="B312" s="2"/>
      <c r="C312" s="2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</row>
    <row r="313" spans="1:162" x14ac:dyDescent="0.2">
      <c r="A313" s="2"/>
      <c r="B313" s="2"/>
      <c r="C313" s="2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</row>
    <row r="314" spans="1:162" x14ac:dyDescent="0.2">
      <c r="A314" s="2"/>
      <c r="B314" s="2"/>
      <c r="C314" s="2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</row>
    <row r="315" spans="1:162" x14ac:dyDescent="0.2">
      <c r="A315" s="2"/>
      <c r="B315" s="2"/>
      <c r="C315" s="2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</row>
    <row r="316" spans="1:162" x14ac:dyDescent="0.2">
      <c r="A316" s="2"/>
      <c r="B316" s="2"/>
      <c r="C316" s="2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</row>
    <row r="317" spans="1:162" x14ac:dyDescent="0.2">
      <c r="A317" s="2"/>
      <c r="B317" s="2"/>
      <c r="C317" s="2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</row>
    <row r="318" spans="1:162" x14ac:dyDescent="0.2">
      <c r="A318" s="2"/>
      <c r="B318" s="2"/>
      <c r="C318" s="2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</row>
    <row r="319" spans="1:162" x14ac:dyDescent="0.2">
      <c r="A319" s="2"/>
      <c r="B319" s="2"/>
      <c r="C319" s="2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</row>
    <row r="320" spans="1:162" x14ac:dyDescent="0.2">
      <c r="A320" s="2"/>
      <c r="B320" s="2"/>
      <c r="C320" s="2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</row>
    <row r="321" spans="1:162" x14ac:dyDescent="0.2">
      <c r="A321" s="2"/>
      <c r="B321" s="2"/>
      <c r="C321" s="2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</row>
    <row r="322" spans="1:162" x14ac:dyDescent="0.2">
      <c r="A322" s="2"/>
      <c r="B322" s="2"/>
      <c r="C322" s="2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</row>
    <row r="323" spans="1:162" x14ac:dyDescent="0.2">
      <c r="A323" s="2"/>
      <c r="B323" s="2"/>
      <c r="C323" s="2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</row>
    <row r="324" spans="1:162" x14ac:dyDescent="0.2">
      <c r="A324" s="2"/>
      <c r="B324" s="2"/>
      <c r="C324" s="2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</row>
    <row r="325" spans="1:162" x14ac:dyDescent="0.2">
      <c r="A325" s="2"/>
      <c r="B325" s="2"/>
      <c r="C325" s="2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</row>
    <row r="326" spans="1:162" x14ac:dyDescent="0.2">
      <c r="A326" s="2"/>
      <c r="B326" s="2"/>
      <c r="C326" s="2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</row>
    <row r="327" spans="1:162" x14ac:dyDescent="0.2">
      <c r="A327" s="2"/>
      <c r="B327" s="2"/>
      <c r="C327" s="2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</row>
    <row r="328" spans="1:162" x14ac:dyDescent="0.2">
      <c r="A328" s="2"/>
      <c r="B328" s="2"/>
      <c r="C328" s="2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</row>
    <row r="329" spans="1:162" x14ac:dyDescent="0.2">
      <c r="A329" s="2"/>
      <c r="B329" s="2"/>
      <c r="C329" s="2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</row>
    <row r="330" spans="1:162" x14ac:dyDescent="0.2">
      <c r="A330" s="2"/>
      <c r="B330" s="2"/>
      <c r="C330" s="2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</row>
    <row r="331" spans="1:162" x14ac:dyDescent="0.2">
      <c r="A331" s="2"/>
      <c r="B331" s="2"/>
      <c r="C331" s="2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</row>
    <row r="332" spans="1:162" x14ac:dyDescent="0.2">
      <c r="A332" s="2"/>
      <c r="B332" s="2"/>
      <c r="C332" s="2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</row>
    <row r="333" spans="1:162" x14ac:dyDescent="0.2">
      <c r="A333" s="2"/>
      <c r="B333" s="2"/>
      <c r="C333" s="2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</row>
    <row r="334" spans="1:162" x14ac:dyDescent="0.2">
      <c r="A334" s="2"/>
      <c r="B334" s="2"/>
      <c r="C334" s="2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</row>
    <row r="335" spans="1:162" x14ac:dyDescent="0.2">
      <c r="A335" s="2"/>
      <c r="B335" s="2"/>
      <c r="C335" s="2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</row>
    <row r="336" spans="1:162" x14ac:dyDescent="0.2">
      <c r="A336" s="2"/>
      <c r="B336" s="2"/>
      <c r="C336" s="2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</row>
    <row r="337" spans="1:162" x14ac:dyDescent="0.2">
      <c r="A337" s="2"/>
      <c r="B337" s="2"/>
      <c r="C337" s="2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</row>
    <row r="338" spans="1:162" x14ac:dyDescent="0.2">
      <c r="A338" s="2"/>
      <c r="B338" s="2"/>
      <c r="C338" s="2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</row>
    <row r="339" spans="1:162" x14ac:dyDescent="0.2">
      <c r="A339" s="2"/>
      <c r="B339" s="2"/>
      <c r="C339" s="2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</row>
    <row r="340" spans="1:162" x14ac:dyDescent="0.2">
      <c r="A340" s="2"/>
      <c r="B340" s="2"/>
      <c r="C340" s="2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</row>
    <row r="341" spans="1:162" x14ac:dyDescent="0.2">
      <c r="A341" s="2"/>
      <c r="B341" s="2"/>
      <c r="C341" s="2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</row>
    <row r="342" spans="1:162" x14ac:dyDescent="0.2">
      <c r="A342" s="2"/>
      <c r="B342" s="2"/>
      <c r="C342" s="2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</row>
    <row r="343" spans="1:162" x14ac:dyDescent="0.2">
      <c r="A343" s="2"/>
      <c r="B343" s="2"/>
      <c r="C343" s="2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</row>
    <row r="344" spans="1:162" x14ac:dyDescent="0.2">
      <c r="A344" s="2"/>
      <c r="B344" s="2"/>
      <c r="C344" s="2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</row>
    <row r="345" spans="1:162" x14ac:dyDescent="0.2">
      <c r="A345" s="2"/>
      <c r="B345" s="2"/>
      <c r="C345" s="2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</row>
    <row r="346" spans="1:162" x14ac:dyDescent="0.2">
      <c r="A346" s="2"/>
      <c r="B346" s="2"/>
      <c r="C346" s="2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</row>
    <row r="347" spans="1:162" x14ac:dyDescent="0.2">
      <c r="A347" s="2"/>
      <c r="B347" s="2"/>
      <c r="C347" s="2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</row>
    <row r="348" spans="1:162" x14ac:dyDescent="0.2">
      <c r="A348" s="2"/>
      <c r="B348" s="2"/>
      <c r="C348" s="2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</row>
    <row r="349" spans="1:162" x14ac:dyDescent="0.2">
      <c r="A349" s="2"/>
      <c r="B349" s="2"/>
      <c r="C349" s="2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</row>
    <row r="350" spans="1:162" x14ac:dyDescent="0.2">
      <c r="A350" s="2"/>
      <c r="B350" s="2"/>
      <c r="C350" s="2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</row>
    <row r="351" spans="1:162" x14ac:dyDescent="0.2">
      <c r="A351" s="2"/>
      <c r="B351" s="2"/>
      <c r="C351" s="2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</row>
    <row r="352" spans="1:162" x14ac:dyDescent="0.2">
      <c r="A352" s="2"/>
      <c r="B352" s="2"/>
      <c r="C352" s="2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</row>
    <row r="353" spans="1:162" x14ac:dyDescent="0.2">
      <c r="A353" s="2"/>
      <c r="B353" s="2"/>
      <c r="C353" s="2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</row>
    <row r="354" spans="1:162" x14ac:dyDescent="0.2">
      <c r="A354" s="2"/>
      <c r="B354" s="2"/>
      <c r="C354" s="2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</row>
    <row r="355" spans="1:162" x14ac:dyDescent="0.2">
      <c r="A355" s="2"/>
      <c r="B355" s="2"/>
      <c r="C355" s="2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</row>
    <row r="356" spans="1:162" x14ac:dyDescent="0.2">
      <c r="A356" s="2"/>
      <c r="B356" s="2"/>
      <c r="C356" s="2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</row>
    <row r="357" spans="1:162" x14ac:dyDescent="0.2">
      <c r="A357" s="2"/>
      <c r="B357" s="2"/>
      <c r="C357" s="2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</row>
    <row r="358" spans="1:162" x14ac:dyDescent="0.2">
      <c r="A358" s="2"/>
      <c r="B358" s="2"/>
      <c r="C358" s="2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</row>
    <row r="359" spans="1:162" x14ac:dyDescent="0.2">
      <c r="A359" s="2"/>
      <c r="B359" s="2"/>
      <c r="C359" s="2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</row>
    <row r="360" spans="1:162" x14ac:dyDescent="0.2">
      <c r="A360" s="2"/>
      <c r="B360" s="2"/>
      <c r="C360" s="2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</row>
    <row r="361" spans="1:162" x14ac:dyDescent="0.2">
      <c r="A361" s="2"/>
      <c r="B361" s="2"/>
      <c r="C361" s="2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</row>
    <row r="362" spans="1:162" x14ac:dyDescent="0.2">
      <c r="A362" s="2"/>
      <c r="B362" s="2"/>
      <c r="C362" s="2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</row>
    <row r="363" spans="1:162" x14ac:dyDescent="0.2">
      <c r="A363" s="2"/>
      <c r="B363" s="2"/>
      <c r="C363" s="2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</row>
    <row r="364" spans="1:162" x14ac:dyDescent="0.2">
      <c r="A364" s="2"/>
      <c r="B364" s="2"/>
      <c r="C364" s="2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</row>
    <row r="365" spans="1:162" x14ac:dyDescent="0.2">
      <c r="A365" s="2"/>
      <c r="B365" s="2"/>
      <c r="C365" s="2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</row>
    <row r="366" spans="1:162" x14ac:dyDescent="0.2">
      <c r="A366" s="2"/>
      <c r="B366" s="2"/>
      <c r="C366" s="2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</row>
    <row r="367" spans="1:162" x14ac:dyDescent="0.2">
      <c r="A367" s="2"/>
      <c r="B367" s="2"/>
      <c r="C367" s="2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</row>
    <row r="368" spans="1:162" x14ac:dyDescent="0.2">
      <c r="A368" s="2"/>
      <c r="B368" s="2"/>
      <c r="C368" s="2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</row>
    <row r="369" spans="1:162" x14ac:dyDescent="0.2">
      <c r="A369" s="2"/>
      <c r="B369" s="2"/>
      <c r="C369" s="2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</row>
    <row r="370" spans="1:162" x14ac:dyDescent="0.2">
      <c r="A370" s="2"/>
      <c r="B370" s="2"/>
      <c r="C370" s="2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</row>
    <row r="371" spans="1:162" x14ac:dyDescent="0.2">
      <c r="A371" s="2"/>
      <c r="B371" s="2"/>
      <c r="C371" s="2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</row>
    <row r="372" spans="1:162" x14ac:dyDescent="0.2">
      <c r="A372" s="2"/>
      <c r="B372" s="2"/>
      <c r="C372" s="2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</row>
    <row r="373" spans="1:162" x14ac:dyDescent="0.2">
      <c r="A373" s="2"/>
      <c r="B373" s="2"/>
      <c r="C373" s="2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</row>
    <row r="374" spans="1:162" x14ac:dyDescent="0.2">
      <c r="A374" s="2"/>
      <c r="B374" s="2"/>
      <c r="C374" s="2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</row>
    <row r="375" spans="1:162" x14ac:dyDescent="0.2">
      <c r="A375" s="2"/>
      <c r="B375" s="2"/>
      <c r="C375" s="2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</row>
    <row r="376" spans="1:162" x14ac:dyDescent="0.2">
      <c r="A376" s="2"/>
      <c r="B376" s="2"/>
      <c r="C376" s="2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</row>
    <row r="377" spans="1:162" x14ac:dyDescent="0.2">
      <c r="A377" s="2"/>
      <c r="B377" s="2"/>
      <c r="C377" s="2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</row>
    <row r="378" spans="1:162" x14ac:dyDescent="0.2">
      <c r="A378" s="2"/>
      <c r="B378" s="2"/>
      <c r="C378" s="2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</row>
    <row r="379" spans="1:162" x14ac:dyDescent="0.2">
      <c r="A379" s="2"/>
      <c r="B379" s="2"/>
      <c r="C379" s="2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</row>
    <row r="380" spans="1:162" x14ac:dyDescent="0.2">
      <c r="A380" s="2"/>
      <c r="B380" s="2"/>
      <c r="C380" s="2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</row>
    <row r="381" spans="1:162" x14ac:dyDescent="0.2">
      <c r="A381" s="2"/>
      <c r="B381" s="2"/>
      <c r="C381" s="2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</row>
    <row r="382" spans="1:162" x14ac:dyDescent="0.2">
      <c r="A382" s="2"/>
      <c r="B382" s="2"/>
      <c r="C382" s="2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</row>
    <row r="383" spans="1:162" x14ac:dyDescent="0.2">
      <c r="A383" s="2"/>
      <c r="B383" s="2"/>
      <c r="C383" s="2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</row>
    <row r="384" spans="1:162" x14ac:dyDescent="0.2">
      <c r="A384" s="2"/>
      <c r="B384" s="2"/>
      <c r="C384" s="2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</row>
    <row r="385" spans="1:162" x14ac:dyDescent="0.2">
      <c r="A385" s="2"/>
      <c r="B385" s="2"/>
      <c r="C385" s="2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</row>
    <row r="386" spans="1:162" x14ac:dyDescent="0.2">
      <c r="A386" s="2"/>
      <c r="B386" s="2"/>
      <c r="C386" s="2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</row>
    <row r="387" spans="1:162" x14ac:dyDescent="0.2">
      <c r="A387" s="2"/>
      <c r="B387" s="2"/>
      <c r="C387" s="2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</row>
    <row r="388" spans="1:162" x14ac:dyDescent="0.2">
      <c r="A388" s="2"/>
      <c r="B388" s="2"/>
      <c r="C388" s="2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</row>
    <row r="389" spans="1:162" x14ac:dyDescent="0.2">
      <c r="A389" s="2"/>
      <c r="B389" s="2"/>
      <c r="C389" s="2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</row>
    <row r="390" spans="1:162" x14ac:dyDescent="0.2">
      <c r="A390" s="2"/>
      <c r="B390" s="2"/>
      <c r="C390" s="2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</row>
    <row r="391" spans="1:162" x14ac:dyDescent="0.2">
      <c r="A391" s="2"/>
      <c r="B391" s="2"/>
      <c r="C391" s="2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</row>
    <row r="392" spans="1:162" x14ac:dyDescent="0.2">
      <c r="A392" s="2"/>
      <c r="B392" s="2"/>
      <c r="C392" s="2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</row>
    <row r="393" spans="1:162" x14ac:dyDescent="0.2">
      <c r="A393" s="2"/>
      <c r="B393" s="2"/>
      <c r="C393" s="2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</row>
    <row r="394" spans="1:162" x14ac:dyDescent="0.2">
      <c r="A394" s="2"/>
      <c r="B394" s="2"/>
      <c r="C394" s="2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</row>
    <row r="395" spans="1:162" x14ac:dyDescent="0.2">
      <c r="A395" s="2"/>
      <c r="B395" s="2"/>
      <c r="C395" s="2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</row>
    <row r="396" spans="1:162" x14ac:dyDescent="0.2">
      <c r="A396" s="2"/>
      <c r="B396" s="2"/>
      <c r="C396" s="2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</row>
    <row r="397" spans="1:162" x14ac:dyDescent="0.2">
      <c r="A397" s="2"/>
      <c r="B397" s="2"/>
      <c r="C397" s="2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</row>
    <row r="398" spans="1:162" x14ac:dyDescent="0.2">
      <c r="A398" s="2"/>
      <c r="B398" s="2"/>
      <c r="C398" s="2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</row>
    <row r="399" spans="1:162" x14ac:dyDescent="0.2">
      <c r="A399" s="2"/>
      <c r="B399" s="2"/>
      <c r="C399" s="2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</row>
    <row r="400" spans="1:162" x14ac:dyDescent="0.2">
      <c r="A400" s="2"/>
      <c r="B400" s="2"/>
      <c r="C400" s="2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</row>
    <row r="401" spans="1:162" x14ac:dyDescent="0.2">
      <c r="A401" s="2"/>
      <c r="B401" s="2"/>
      <c r="C401" s="2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</row>
    <row r="402" spans="1:162" x14ac:dyDescent="0.2">
      <c r="A402" s="2"/>
      <c r="B402" s="2"/>
      <c r="C402" s="2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</row>
    <row r="403" spans="1:162" x14ac:dyDescent="0.2">
      <c r="A403" s="2"/>
      <c r="B403" s="2"/>
      <c r="C403" s="2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</row>
    <row r="404" spans="1:162" x14ac:dyDescent="0.2">
      <c r="A404" s="2"/>
      <c r="B404" s="2"/>
      <c r="C404" s="2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</row>
    <row r="405" spans="1:162" x14ac:dyDescent="0.2">
      <c r="A405" s="2"/>
      <c r="B405" s="2"/>
      <c r="C405" s="2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</row>
    <row r="406" spans="1:162" x14ac:dyDescent="0.2">
      <c r="A406" s="2"/>
      <c r="B406" s="2"/>
      <c r="C406" s="2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</row>
    <row r="407" spans="1:162" x14ac:dyDescent="0.2">
      <c r="A407" s="2"/>
      <c r="B407" s="2"/>
      <c r="C407" s="2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</row>
    <row r="408" spans="1:162" x14ac:dyDescent="0.2">
      <c r="A408" s="2"/>
      <c r="B408" s="2"/>
      <c r="C408" s="2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</row>
    <row r="409" spans="1:162" x14ac:dyDescent="0.2">
      <c r="A409" s="2"/>
      <c r="B409" s="2"/>
      <c r="C409" s="2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</row>
    <row r="410" spans="1:162" x14ac:dyDescent="0.2">
      <c r="A410" s="2"/>
      <c r="B410" s="2"/>
      <c r="C410" s="2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</row>
    <row r="411" spans="1:162" x14ac:dyDescent="0.2">
      <c r="A411" s="2"/>
      <c r="B411" s="2"/>
      <c r="C411" s="2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</row>
    <row r="412" spans="1:162" x14ac:dyDescent="0.2">
      <c r="A412" s="2"/>
      <c r="B412" s="2"/>
      <c r="C412" s="2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</row>
    <row r="413" spans="1:162" x14ac:dyDescent="0.2">
      <c r="A413" s="2"/>
      <c r="B413" s="2"/>
      <c r="C413" s="2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</row>
    <row r="414" spans="1:162" x14ac:dyDescent="0.2">
      <c r="A414" s="2"/>
      <c r="B414" s="2"/>
      <c r="C414" s="2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</row>
    <row r="415" spans="1:162" x14ac:dyDescent="0.2">
      <c r="A415" s="2"/>
      <c r="B415" s="2"/>
      <c r="C415" s="2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</row>
    <row r="416" spans="1:162" x14ac:dyDescent="0.2">
      <c r="A416" s="2"/>
      <c r="B416" s="2"/>
      <c r="C416" s="2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</row>
    <row r="417" spans="1:162" x14ac:dyDescent="0.2">
      <c r="A417" s="2"/>
      <c r="B417" s="2"/>
      <c r="C417" s="2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</row>
    <row r="418" spans="1:162" x14ac:dyDescent="0.2">
      <c r="A418" s="2"/>
      <c r="B418" s="2"/>
      <c r="C418" s="2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</row>
    <row r="419" spans="1:162" x14ac:dyDescent="0.2">
      <c r="A419" s="2"/>
      <c r="B419" s="2"/>
      <c r="C419" s="2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</row>
    <row r="420" spans="1:162" x14ac:dyDescent="0.2">
      <c r="A420" s="2"/>
      <c r="B420" s="2"/>
      <c r="C420" s="2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</row>
    <row r="421" spans="1:162" x14ac:dyDescent="0.2">
      <c r="A421" s="2"/>
      <c r="B421" s="2"/>
      <c r="C421" s="2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</row>
    <row r="422" spans="1:162" x14ac:dyDescent="0.2">
      <c r="A422" s="2"/>
      <c r="B422" s="2"/>
      <c r="C422" s="2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</row>
    <row r="423" spans="1:162" x14ac:dyDescent="0.2">
      <c r="A423" s="2"/>
      <c r="B423" s="2"/>
      <c r="C423" s="2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</row>
    <row r="424" spans="1:162" x14ac:dyDescent="0.2">
      <c r="A424" s="2"/>
      <c r="B424" s="2"/>
      <c r="C424" s="2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</row>
    <row r="425" spans="1:162" x14ac:dyDescent="0.2">
      <c r="A425" s="2"/>
      <c r="B425" s="2"/>
      <c r="C425" s="2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</row>
    <row r="426" spans="1:162" x14ac:dyDescent="0.2">
      <c r="A426" s="2"/>
      <c r="B426" s="2"/>
      <c r="C426" s="2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</row>
    <row r="427" spans="1:162" x14ac:dyDescent="0.2">
      <c r="A427" s="2"/>
      <c r="B427" s="2"/>
      <c r="C427" s="2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</row>
    <row r="428" spans="1:162" x14ac:dyDescent="0.2">
      <c r="A428" s="2"/>
      <c r="B428" s="2"/>
      <c r="C428" s="2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</row>
    <row r="429" spans="1:162" x14ac:dyDescent="0.2">
      <c r="A429" s="2"/>
      <c r="B429" s="2"/>
      <c r="C429" s="2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</row>
    <row r="430" spans="1:162" x14ac:dyDescent="0.2">
      <c r="A430" s="2"/>
      <c r="B430" s="2"/>
      <c r="C430" s="2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</row>
    <row r="431" spans="1:162" x14ac:dyDescent="0.2">
      <c r="A431" s="2"/>
      <c r="B431" s="2"/>
      <c r="C431" s="2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</row>
    <row r="432" spans="1:162" x14ac:dyDescent="0.2">
      <c r="A432" s="2"/>
      <c r="B432" s="2"/>
      <c r="C432" s="2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</row>
    <row r="433" spans="1:162" x14ac:dyDescent="0.2">
      <c r="A433" s="2"/>
      <c r="B433" s="2"/>
      <c r="C433" s="2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</row>
    <row r="434" spans="1:162" x14ac:dyDescent="0.2">
      <c r="A434" s="2"/>
      <c r="B434" s="2"/>
      <c r="C434" s="2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</row>
    <row r="435" spans="1:162" x14ac:dyDescent="0.2">
      <c r="A435" s="2"/>
      <c r="B435" s="2"/>
      <c r="C435" s="2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</row>
    <row r="436" spans="1:162" x14ac:dyDescent="0.2">
      <c r="A436" s="2"/>
      <c r="B436" s="2"/>
      <c r="C436" s="2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</row>
    <row r="437" spans="1:162" x14ac:dyDescent="0.2">
      <c r="A437" s="2"/>
      <c r="B437" s="2"/>
      <c r="C437" s="2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</row>
    <row r="438" spans="1:162" x14ac:dyDescent="0.2">
      <c r="A438" s="2"/>
      <c r="B438" s="2"/>
      <c r="C438" s="2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</row>
    <row r="439" spans="1:162" x14ac:dyDescent="0.2">
      <c r="A439" s="2"/>
      <c r="B439" s="2"/>
      <c r="C439" s="2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</row>
    <row r="440" spans="1:162" x14ac:dyDescent="0.2">
      <c r="A440" s="2"/>
      <c r="B440" s="2"/>
      <c r="C440" s="2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</row>
    <row r="441" spans="1:162" x14ac:dyDescent="0.2">
      <c r="A441" s="2"/>
      <c r="B441" s="2"/>
      <c r="C441" s="2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</row>
    <row r="442" spans="1:162" x14ac:dyDescent="0.2">
      <c r="A442" s="2"/>
      <c r="B442" s="2"/>
      <c r="C442" s="2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</row>
    <row r="443" spans="1:162" x14ac:dyDescent="0.2">
      <c r="A443" s="2"/>
      <c r="B443" s="2"/>
      <c r="C443" s="2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</row>
    <row r="444" spans="1:162" x14ac:dyDescent="0.2">
      <c r="A444" s="2"/>
      <c r="B444" s="2"/>
      <c r="C444" s="2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</row>
    <row r="445" spans="1:162" x14ac:dyDescent="0.2">
      <c r="A445" s="2"/>
      <c r="B445" s="2"/>
      <c r="C445" s="2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</row>
    <row r="446" spans="1:162" x14ac:dyDescent="0.2">
      <c r="A446" s="2"/>
      <c r="B446" s="2"/>
      <c r="C446" s="2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</row>
    <row r="447" spans="1:162" x14ac:dyDescent="0.2">
      <c r="A447" s="2"/>
      <c r="B447" s="2"/>
      <c r="C447" s="2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</row>
    <row r="448" spans="1:162" x14ac:dyDescent="0.2">
      <c r="A448" s="2"/>
      <c r="B448" s="2"/>
      <c r="C448" s="2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</row>
    <row r="449" spans="1:162" x14ac:dyDescent="0.2">
      <c r="A449" s="2"/>
      <c r="B449" s="2"/>
      <c r="C449" s="2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</row>
    <row r="450" spans="1:162" x14ac:dyDescent="0.2">
      <c r="A450" s="2"/>
      <c r="B450" s="2"/>
      <c r="C450" s="2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</row>
    <row r="451" spans="1:162" x14ac:dyDescent="0.2">
      <c r="A451" s="2"/>
      <c r="B451" s="2"/>
      <c r="C451" s="2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</row>
    <row r="452" spans="1:162" x14ac:dyDescent="0.2">
      <c r="A452" s="2"/>
      <c r="B452" s="2"/>
      <c r="C452" s="2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</row>
    <row r="453" spans="1:162" x14ac:dyDescent="0.2">
      <c r="A453" s="2"/>
      <c r="B453" s="2"/>
      <c r="C453" s="2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</row>
    <row r="454" spans="1:162" x14ac:dyDescent="0.2">
      <c r="A454" s="2"/>
      <c r="B454" s="2"/>
      <c r="C454" s="2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</row>
    <row r="455" spans="1:162" x14ac:dyDescent="0.2">
      <c r="A455" s="2"/>
      <c r="B455" s="2"/>
      <c r="C455" s="2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</row>
    <row r="456" spans="1:162" x14ac:dyDescent="0.2">
      <c r="A456" s="2"/>
      <c r="B456" s="2"/>
      <c r="C456" s="2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</row>
    <row r="457" spans="1:162" x14ac:dyDescent="0.2">
      <c r="A457" s="2"/>
      <c r="B457" s="2"/>
      <c r="C457" s="2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</row>
    <row r="458" spans="1:162" x14ac:dyDescent="0.2">
      <c r="A458" s="2"/>
      <c r="B458" s="2"/>
      <c r="C458" s="2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</row>
    <row r="459" spans="1:162" x14ac:dyDescent="0.2">
      <c r="A459" s="2"/>
      <c r="B459" s="2"/>
      <c r="C459" s="2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</row>
    <row r="460" spans="1:162" x14ac:dyDescent="0.2">
      <c r="A460" s="2"/>
      <c r="B460" s="2"/>
      <c r="C460" s="2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</row>
    <row r="461" spans="1:162" x14ac:dyDescent="0.2">
      <c r="A461" s="2"/>
      <c r="B461" s="2"/>
      <c r="C461" s="2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</row>
    <row r="462" spans="1:162" x14ac:dyDescent="0.2">
      <c r="A462" s="2"/>
      <c r="B462" s="2"/>
      <c r="C462" s="2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</row>
    <row r="463" spans="1:162" x14ac:dyDescent="0.2">
      <c r="A463" s="2"/>
      <c r="B463" s="2"/>
      <c r="C463" s="2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</row>
    <row r="464" spans="1:162" x14ac:dyDescent="0.2">
      <c r="A464" s="2"/>
      <c r="B464" s="2"/>
      <c r="C464" s="2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</row>
    <row r="465" spans="1:162" x14ac:dyDescent="0.2">
      <c r="A465" s="2"/>
      <c r="B465" s="2"/>
      <c r="C465" s="2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</row>
    <row r="466" spans="1:162" x14ac:dyDescent="0.2">
      <c r="A466" s="2"/>
      <c r="B466" s="2"/>
      <c r="C466" s="2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</row>
    <row r="467" spans="1:162" x14ac:dyDescent="0.2">
      <c r="A467" s="2"/>
      <c r="B467" s="2"/>
      <c r="C467" s="2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</row>
    <row r="468" spans="1:162" x14ac:dyDescent="0.2">
      <c r="A468" s="2"/>
      <c r="B468" s="2"/>
      <c r="C468" s="2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</row>
    <row r="469" spans="1:162" x14ac:dyDescent="0.2">
      <c r="A469" s="2"/>
      <c r="B469" s="2"/>
      <c r="C469" s="2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</row>
    <row r="470" spans="1:162" x14ac:dyDescent="0.2">
      <c r="A470" s="2"/>
      <c r="B470" s="2"/>
      <c r="C470" s="2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</row>
    <row r="471" spans="1:162" x14ac:dyDescent="0.2">
      <c r="A471" s="2"/>
      <c r="B471" s="2"/>
      <c r="C471" s="2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</row>
    <row r="472" spans="1:162" x14ac:dyDescent="0.2">
      <c r="A472" s="2"/>
      <c r="B472" s="2"/>
      <c r="C472" s="2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</row>
    <row r="473" spans="1:162" x14ac:dyDescent="0.2">
      <c r="A473" s="2"/>
      <c r="B473" s="2"/>
      <c r="C473" s="2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</row>
    <row r="474" spans="1:162" x14ac:dyDescent="0.2">
      <c r="A474" s="2"/>
      <c r="B474" s="2"/>
      <c r="C474" s="2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</row>
    <row r="475" spans="1:162" x14ac:dyDescent="0.2">
      <c r="A475" s="2"/>
      <c r="B475" s="2"/>
      <c r="C475" s="2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</row>
    <row r="476" spans="1:162" x14ac:dyDescent="0.2">
      <c r="A476" s="2"/>
      <c r="B476" s="2"/>
      <c r="C476" s="2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</row>
    <row r="477" spans="1:162" x14ac:dyDescent="0.2">
      <c r="A477" s="2"/>
      <c r="B477" s="2"/>
      <c r="C477" s="2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</row>
    <row r="478" spans="1:162" x14ac:dyDescent="0.2">
      <c r="A478" s="2"/>
      <c r="B478" s="2"/>
      <c r="C478" s="2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</row>
    <row r="479" spans="1:162" x14ac:dyDescent="0.2">
      <c r="A479" s="2"/>
      <c r="B479" s="2"/>
      <c r="C479" s="2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</row>
    <row r="480" spans="1:162" x14ac:dyDescent="0.2">
      <c r="A480" s="2"/>
      <c r="B480" s="2"/>
      <c r="C480" s="2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</row>
    <row r="481" spans="1:162" x14ac:dyDescent="0.2">
      <c r="A481" s="2"/>
      <c r="B481" s="2"/>
      <c r="C481" s="2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</row>
    <row r="482" spans="1:162" x14ac:dyDescent="0.2">
      <c r="A482" s="2"/>
      <c r="B482" s="2"/>
      <c r="C482" s="2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</row>
    <row r="483" spans="1:162" x14ac:dyDescent="0.2">
      <c r="A483" s="2"/>
      <c r="B483" s="2"/>
      <c r="C483" s="2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</row>
    <row r="484" spans="1:162" x14ac:dyDescent="0.2">
      <c r="A484" s="2"/>
      <c r="B484" s="2"/>
      <c r="C484" s="2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</row>
    <row r="485" spans="1:162" x14ac:dyDescent="0.2">
      <c r="A485" s="2"/>
      <c r="B485" s="2"/>
      <c r="C485" s="2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</row>
    <row r="486" spans="1:162" x14ac:dyDescent="0.2">
      <c r="A486" s="2"/>
      <c r="B486" s="2"/>
      <c r="C486" s="2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</row>
    <row r="487" spans="1:162" x14ac:dyDescent="0.2">
      <c r="A487" s="2"/>
      <c r="B487" s="2"/>
      <c r="C487" s="2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</row>
    <row r="488" spans="1:162" x14ac:dyDescent="0.2">
      <c r="A488" s="2"/>
      <c r="B488" s="2"/>
      <c r="C488" s="2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</row>
    <row r="489" spans="1:162" x14ac:dyDescent="0.2">
      <c r="A489" s="2"/>
      <c r="B489" s="2"/>
      <c r="C489" s="2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</row>
    <row r="490" spans="1:162" x14ac:dyDescent="0.2">
      <c r="A490" s="2"/>
      <c r="B490" s="2"/>
      <c r="C490" s="2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</row>
    <row r="491" spans="1:162" x14ac:dyDescent="0.2">
      <c r="A491" s="2"/>
      <c r="B491" s="2"/>
      <c r="C491" s="2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</row>
    <row r="492" spans="1:162" x14ac:dyDescent="0.2">
      <c r="A492" s="2"/>
      <c r="B492" s="2"/>
      <c r="C492" s="2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</row>
    <row r="493" spans="1:162" x14ac:dyDescent="0.2">
      <c r="A493" s="2"/>
      <c r="B493" s="2"/>
      <c r="C493" s="2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</row>
    <row r="494" spans="1:162" x14ac:dyDescent="0.2">
      <c r="A494" s="2"/>
      <c r="B494" s="2"/>
      <c r="C494" s="2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</row>
    <row r="495" spans="1:162" x14ac:dyDescent="0.2">
      <c r="A495" s="2"/>
      <c r="B495" s="2"/>
      <c r="C495" s="2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</row>
    <row r="496" spans="1:162" x14ac:dyDescent="0.2">
      <c r="A496" s="2"/>
      <c r="B496" s="2"/>
      <c r="C496" s="2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</row>
    <row r="497" spans="1:162" x14ac:dyDescent="0.2">
      <c r="A497" s="2"/>
      <c r="B497" s="2"/>
      <c r="C497" s="2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</row>
    <row r="498" spans="1:162" x14ac:dyDescent="0.2">
      <c r="A498" s="2"/>
      <c r="B498" s="2"/>
      <c r="C498" s="2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</row>
    <row r="499" spans="1:162" x14ac:dyDescent="0.2">
      <c r="A499" s="2"/>
      <c r="B499" s="2"/>
      <c r="C499" s="2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</row>
    <row r="500" spans="1:162" x14ac:dyDescent="0.2">
      <c r="A500" s="2"/>
      <c r="B500" s="2"/>
      <c r="C500" s="2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</row>
    <row r="501" spans="1:162" x14ac:dyDescent="0.2">
      <c r="A501" s="2"/>
      <c r="B501" s="2"/>
      <c r="C501" s="2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</row>
    <row r="502" spans="1:162" x14ac:dyDescent="0.2">
      <c r="A502" s="2"/>
      <c r="B502" s="2"/>
      <c r="C502" s="2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</row>
    <row r="503" spans="1:162" x14ac:dyDescent="0.2">
      <c r="A503" s="2"/>
      <c r="B503" s="2"/>
      <c r="C503" s="2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</row>
    <row r="504" spans="1:162" x14ac:dyDescent="0.2">
      <c r="A504" s="2"/>
      <c r="B504" s="2"/>
      <c r="C504" s="2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</row>
    <row r="505" spans="1:162" x14ac:dyDescent="0.2">
      <c r="A505" s="2"/>
      <c r="B505" s="2"/>
      <c r="C505" s="2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</row>
    <row r="506" spans="1:162" x14ac:dyDescent="0.2">
      <c r="A506" s="2"/>
      <c r="B506" s="2"/>
      <c r="C506" s="2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</row>
    <row r="507" spans="1:162" x14ac:dyDescent="0.2">
      <c r="A507" s="2"/>
      <c r="B507" s="2"/>
      <c r="C507" s="2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</row>
    <row r="508" spans="1:162" x14ac:dyDescent="0.2">
      <c r="A508" s="2"/>
      <c r="B508" s="2"/>
      <c r="C508" s="2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</row>
    <row r="509" spans="1:162" x14ac:dyDescent="0.2">
      <c r="A509" s="2"/>
      <c r="B509" s="2"/>
      <c r="C509" s="2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</row>
    <row r="510" spans="1:162" x14ac:dyDescent="0.2">
      <c r="A510" s="2"/>
      <c r="B510" s="2"/>
      <c r="C510" s="2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</row>
    <row r="511" spans="1:162" x14ac:dyDescent="0.2">
      <c r="A511" s="2"/>
      <c r="B511" s="2"/>
      <c r="C511" s="2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</row>
    <row r="512" spans="1:162" x14ac:dyDescent="0.2">
      <c r="A512" s="2"/>
      <c r="B512" s="2"/>
      <c r="C512" s="2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</row>
    <row r="513" spans="1:162" x14ac:dyDescent="0.2">
      <c r="A513" s="2"/>
      <c r="B513" s="2"/>
      <c r="C513" s="2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</row>
    <row r="514" spans="1:162" x14ac:dyDescent="0.2">
      <c r="A514" s="2"/>
      <c r="B514" s="2"/>
      <c r="C514" s="2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</row>
    <row r="515" spans="1:162" x14ac:dyDescent="0.2">
      <c r="A515" s="2"/>
      <c r="B515" s="2"/>
      <c r="C515" s="2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</row>
    <row r="516" spans="1:162" x14ac:dyDescent="0.2">
      <c r="A516" s="2"/>
      <c r="B516" s="2"/>
      <c r="C516" s="2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</row>
    <row r="517" spans="1:162" x14ac:dyDescent="0.2">
      <c r="A517" s="2"/>
      <c r="B517" s="2"/>
      <c r="C517" s="2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</row>
    <row r="518" spans="1:162" x14ac:dyDescent="0.2">
      <c r="A518" s="2"/>
      <c r="B518" s="2"/>
      <c r="C518" s="2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</row>
    <row r="519" spans="1:162" x14ac:dyDescent="0.2">
      <c r="A519" s="2"/>
      <c r="B519" s="2"/>
      <c r="C519" s="2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</row>
    <row r="520" spans="1:162" x14ac:dyDescent="0.2">
      <c r="A520" s="2"/>
      <c r="B520" s="2"/>
      <c r="C520" s="2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</row>
    <row r="521" spans="1:162" x14ac:dyDescent="0.2">
      <c r="A521" s="2"/>
      <c r="B521" s="2"/>
      <c r="C521" s="2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</row>
    <row r="522" spans="1:162" x14ac:dyDescent="0.2">
      <c r="A522" s="2"/>
      <c r="B522" s="2"/>
      <c r="C522" s="2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</row>
    <row r="523" spans="1:162" x14ac:dyDescent="0.2">
      <c r="A523" s="2"/>
      <c r="B523" s="2"/>
      <c r="C523" s="2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2B6E8-83B0-4964-9B03-A9E07BD00BDF}">
  <sheetPr codeName="Sheet2"/>
  <dimension ref="A1:F181"/>
  <sheetViews>
    <sheetView topLeftCell="A147" zoomScale="80" zoomScaleNormal="80" workbookViewId="0">
      <selection activeCell="D190" sqref="D190"/>
    </sheetView>
  </sheetViews>
  <sheetFormatPr defaultColWidth="9" defaultRowHeight="12" x14ac:dyDescent="0.2"/>
  <cols>
    <col min="1" max="1" width="30" style="1" bestFit="1" customWidth="1"/>
    <col min="2" max="2" width="11.75" style="1" bestFit="1" customWidth="1"/>
    <col min="3" max="3" width="15.25" style="1" bestFit="1" customWidth="1"/>
    <col min="4" max="4" width="55.5" style="1" bestFit="1" customWidth="1"/>
    <col min="5" max="5" width="14" style="1" bestFit="1" customWidth="1"/>
    <col min="6" max="6" width="10.25" style="1" bestFit="1" customWidth="1"/>
    <col min="7" max="16384" width="9" style="1"/>
  </cols>
  <sheetData>
    <row r="1" spans="1:6" ht="14.25" x14ac:dyDescent="0.2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</row>
    <row r="2" spans="1:6" ht="14.25" x14ac:dyDescent="0.2">
      <c r="A2" s="10" t="s">
        <v>6</v>
      </c>
      <c r="B2" s="10" t="s">
        <v>515</v>
      </c>
      <c r="C2" s="10" t="s">
        <v>516</v>
      </c>
      <c r="D2" s="10" t="s">
        <v>517</v>
      </c>
      <c r="E2" s="10" t="s">
        <v>518</v>
      </c>
      <c r="F2" s="10" t="s">
        <v>518</v>
      </c>
    </row>
    <row r="3" spans="1:6" ht="14.25" x14ac:dyDescent="0.2">
      <c r="A3" s="10" t="s">
        <v>7</v>
      </c>
      <c r="B3" s="10" t="s">
        <v>515</v>
      </c>
      <c r="C3" s="10" t="s">
        <v>519</v>
      </c>
      <c r="D3" s="10" t="s">
        <v>520</v>
      </c>
      <c r="E3" s="10" t="s">
        <v>518</v>
      </c>
      <c r="F3" s="10" t="s">
        <v>518</v>
      </c>
    </row>
    <row r="4" spans="1:6" ht="14.25" x14ac:dyDescent="0.2">
      <c r="A4" s="10" t="s">
        <v>8</v>
      </c>
      <c r="B4" s="10" t="s">
        <v>515</v>
      </c>
      <c r="C4" s="10" t="s">
        <v>521</v>
      </c>
      <c r="D4" s="10" t="s">
        <v>522</v>
      </c>
      <c r="E4" s="10" t="s">
        <v>518</v>
      </c>
      <c r="F4" s="10" t="s">
        <v>518</v>
      </c>
    </row>
    <row r="5" spans="1:6" ht="14.25" x14ac:dyDescent="0.2">
      <c r="A5" s="10" t="s">
        <v>9</v>
      </c>
      <c r="B5" s="10" t="s">
        <v>523</v>
      </c>
      <c r="C5" s="10" t="s">
        <v>519</v>
      </c>
      <c r="D5" s="10" t="s">
        <v>524</v>
      </c>
      <c r="E5" s="10" t="s">
        <v>525</v>
      </c>
      <c r="F5" s="10" t="s">
        <v>526</v>
      </c>
    </row>
    <row r="6" spans="1:6" ht="14.25" x14ac:dyDescent="0.2">
      <c r="A6" s="10" t="s">
        <v>10</v>
      </c>
      <c r="B6" s="10" t="s">
        <v>523</v>
      </c>
      <c r="C6" s="10" t="s">
        <v>519</v>
      </c>
      <c r="D6" s="10" t="s">
        <v>527</v>
      </c>
      <c r="E6" s="10" t="s">
        <v>525</v>
      </c>
      <c r="F6" s="10" t="s">
        <v>526</v>
      </c>
    </row>
    <row r="7" spans="1:6" ht="14.25" x14ac:dyDescent="0.2">
      <c r="A7" s="10" t="s">
        <v>11</v>
      </c>
      <c r="B7" s="10" t="s">
        <v>523</v>
      </c>
      <c r="C7" s="10" t="s">
        <v>519</v>
      </c>
      <c r="D7" s="10" t="s">
        <v>528</v>
      </c>
      <c r="E7" s="10" t="s">
        <v>525</v>
      </c>
      <c r="F7" s="10" t="s">
        <v>526</v>
      </c>
    </row>
    <row r="8" spans="1:6" ht="14.25" x14ac:dyDescent="0.2">
      <c r="A8" s="10" t="s">
        <v>12</v>
      </c>
      <c r="B8" s="10" t="s">
        <v>523</v>
      </c>
      <c r="C8" s="10" t="s">
        <v>519</v>
      </c>
      <c r="D8" s="10" t="s">
        <v>529</v>
      </c>
      <c r="E8" s="10" t="s">
        <v>525</v>
      </c>
      <c r="F8" s="10" t="s">
        <v>526</v>
      </c>
    </row>
    <row r="9" spans="1:6" ht="14.25" x14ac:dyDescent="0.2">
      <c r="A9" s="10" t="s">
        <v>13</v>
      </c>
      <c r="B9" s="10" t="s">
        <v>523</v>
      </c>
      <c r="C9" s="10" t="s">
        <v>519</v>
      </c>
      <c r="D9" s="10" t="s">
        <v>530</v>
      </c>
      <c r="E9" s="10" t="s">
        <v>525</v>
      </c>
      <c r="F9" s="10" t="s">
        <v>526</v>
      </c>
    </row>
    <row r="10" spans="1:6" ht="14.25" x14ac:dyDescent="0.2">
      <c r="A10" s="10" t="s">
        <v>14</v>
      </c>
      <c r="B10" s="10" t="s">
        <v>523</v>
      </c>
      <c r="C10" s="10" t="s">
        <v>519</v>
      </c>
      <c r="D10" s="10" t="s">
        <v>531</v>
      </c>
      <c r="E10" s="10" t="s">
        <v>525</v>
      </c>
      <c r="F10" s="10" t="s">
        <v>526</v>
      </c>
    </row>
    <row r="11" spans="1:6" ht="14.25" x14ac:dyDescent="0.2">
      <c r="A11" s="10" t="s">
        <v>15</v>
      </c>
      <c r="B11" s="10" t="s">
        <v>523</v>
      </c>
      <c r="C11" s="10" t="s">
        <v>519</v>
      </c>
      <c r="D11" s="10" t="s">
        <v>532</v>
      </c>
      <c r="E11" s="10" t="s">
        <v>525</v>
      </c>
      <c r="F11" s="10" t="s">
        <v>526</v>
      </c>
    </row>
    <row r="12" spans="1:6" ht="14.25" x14ac:dyDescent="0.2">
      <c r="A12" s="10" t="s">
        <v>16</v>
      </c>
      <c r="B12" s="10" t="s">
        <v>523</v>
      </c>
      <c r="C12" s="10" t="s">
        <v>519</v>
      </c>
      <c r="D12" s="10" t="s">
        <v>533</v>
      </c>
      <c r="E12" s="10" t="s">
        <v>525</v>
      </c>
      <c r="F12" s="10" t="s">
        <v>526</v>
      </c>
    </row>
    <row r="13" spans="1:6" ht="14.25" x14ac:dyDescent="0.2">
      <c r="A13" s="10" t="s">
        <v>17</v>
      </c>
      <c r="B13" s="10" t="s">
        <v>523</v>
      </c>
      <c r="C13" s="10" t="s">
        <v>519</v>
      </c>
      <c r="D13" s="10" t="s">
        <v>534</v>
      </c>
      <c r="E13" s="10" t="s">
        <v>525</v>
      </c>
      <c r="F13" s="10" t="s">
        <v>526</v>
      </c>
    </row>
    <row r="14" spans="1:6" ht="14.25" x14ac:dyDescent="0.2">
      <c r="A14" s="10" t="s">
        <v>18</v>
      </c>
      <c r="B14" s="10" t="s">
        <v>523</v>
      </c>
      <c r="C14" s="10" t="s">
        <v>519</v>
      </c>
      <c r="D14" s="10" t="s">
        <v>535</v>
      </c>
      <c r="E14" s="10" t="s">
        <v>525</v>
      </c>
      <c r="F14" s="10" t="s">
        <v>526</v>
      </c>
    </row>
    <row r="15" spans="1:6" ht="14.25" x14ac:dyDescent="0.2">
      <c r="A15" s="10" t="s">
        <v>19</v>
      </c>
      <c r="B15" s="10" t="s">
        <v>523</v>
      </c>
      <c r="C15" s="10" t="s">
        <v>519</v>
      </c>
      <c r="D15" s="10" t="s">
        <v>536</v>
      </c>
      <c r="E15" s="10" t="s">
        <v>525</v>
      </c>
      <c r="F15" s="10" t="s">
        <v>526</v>
      </c>
    </row>
    <row r="16" spans="1:6" ht="14.25" x14ac:dyDescent="0.2">
      <c r="A16" s="10" t="s">
        <v>20</v>
      </c>
      <c r="B16" s="10" t="s">
        <v>523</v>
      </c>
      <c r="C16" s="10" t="s">
        <v>519</v>
      </c>
      <c r="D16" s="10" t="s">
        <v>805</v>
      </c>
      <c r="E16" s="10" t="s">
        <v>525</v>
      </c>
      <c r="F16" s="10" t="s">
        <v>526</v>
      </c>
    </row>
    <row r="17" spans="1:6" ht="14.25" x14ac:dyDescent="0.2">
      <c r="A17" s="10" t="s">
        <v>21</v>
      </c>
      <c r="B17" s="10" t="s">
        <v>523</v>
      </c>
      <c r="C17" s="10" t="s">
        <v>519</v>
      </c>
      <c r="D17" s="10" t="s">
        <v>806</v>
      </c>
      <c r="E17" s="10" t="s">
        <v>525</v>
      </c>
      <c r="F17" s="10" t="s">
        <v>526</v>
      </c>
    </row>
    <row r="18" spans="1:6" ht="14.25" x14ac:dyDescent="0.2">
      <c r="A18" s="10" t="s">
        <v>22</v>
      </c>
      <c r="B18" s="10" t="s">
        <v>523</v>
      </c>
      <c r="C18" s="10" t="s">
        <v>519</v>
      </c>
      <c r="D18" s="10" t="s">
        <v>807</v>
      </c>
      <c r="E18" s="10" t="s">
        <v>525</v>
      </c>
      <c r="F18" s="10" t="s">
        <v>526</v>
      </c>
    </row>
    <row r="19" spans="1:6" ht="14.25" x14ac:dyDescent="0.2">
      <c r="A19" s="10" t="s">
        <v>23</v>
      </c>
      <c r="B19" s="10" t="s">
        <v>523</v>
      </c>
      <c r="C19" s="10" t="s">
        <v>519</v>
      </c>
      <c r="D19" s="10" t="s">
        <v>808</v>
      </c>
      <c r="E19" s="10" t="s">
        <v>525</v>
      </c>
      <c r="F19" s="10" t="s">
        <v>526</v>
      </c>
    </row>
    <row r="20" spans="1:6" ht="14.25" x14ac:dyDescent="0.2">
      <c r="A20" s="10" t="s">
        <v>24</v>
      </c>
      <c r="B20" s="10" t="s">
        <v>523</v>
      </c>
      <c r="C20" s="10" t="s">
        <v>519</v>
      </c>
      <c r="D20" s="10" t="s">
        <v>809</v>
      </c>
      <c r="E20" s="10" t="s">
        <v>525</v>
      </c>
      <c r="F20" s="10" t="s">
        <v>526</v>
      </c>
    </row>
    <row r="21" spans="1:6" ht="14.25" x14ac:dyDescent="0.2">
      <c r="A21" s="10" t="s">
        <v>25</v>
      </c>
      <c r="B21" s="10" t="s">
        <v>523</v>
      </c>
      <c r="C21" s="10" t="s">
        <v>519</v>
      </c>
      <c r="D21" s="10" t="s">
        <v>810</v>
      </c>
      <c r="E21" s="10" t="s">
        <v>525</v>
      </c>
      <c r="F21" s="10" t="s">
        <v>526</v>
      </c>
    </row>
    <row r="22" spans="1:6" ht="14.25" x14ac:dyDescent="0.2">
      <c r="A22" s="10" t="s">
        <v>26</v>
      </c>
      <c r="B22" s="10" t="s">
        <v>523</v>
      </c>
      <c r="C22" s="10" t="s">
        <v>519</v>
      </c>
      <c r="D22" s="10" t="s">
        <v>811</v>
      </c>
      <c r="E22" s="10" t="s">
        <v>525</v>
      </c>
      <c r="F22" s="10" t="s">
        <v>526</v>
      </c>
    </row>
    <row r="23" spans="1:6" ht="14.25" x14ac:dyDescent="0.2">
      <c r="A23" s="10" t="s">
        <v>27</v>
      </c>
      <c r="B23" s="10" t="s">
        <v>523</v>
      </c>
      <c r="C23" s="10" t="s">
        <v>519</v>
      </c>
      <c r="D23" s="10" t="s">
        <v>812</v>
      </c>
      <c r="E23" s="10" t="s">
        <v>525</v>
      </c>
      <c r="F23" s="10" t="s">
        <v>526</v>
      </c>
    </row>
    <row r="24" spans="1:6" ht="14.25" x14ac:dyDescent="0.2">
      <c r="A24" s="10" t="s">
        <v>28</v>
      </c>
      <c r="B24" s="10" t="s">
        <v>523</v>
      </c>
      <c r="C24" s="10" t="s">
        <v>519</v>
      </c>
      <c r="D24" s="10" t="s">
        <v>813</v>
      </c>
      <c r="E24" s="10" t="s">
        <v>525</v>
      </c>
      <c r="F24" s="10" t="s">
        <v>526</v>
      </c>
    </row>
    <row r="25" spans="1:6" ht="14.25" x14ac:dyDescent="0.2">
      <c r="A25" s="10" t="s">
        <v>29</v>
      </c>
      <c r="B25" s="10" t="s">
        <v>523</v>
      </c>
      <c r="C25" s="10" t="s">
        <v>519</v>
      </c>
      <c r="D25" s="10" t="s">
        <v>814</v>
      </c>
      <c r="E25" s="10" t="s">
        <v>525</v>
      </c>
      <c r="F25" s="10" t="s">
        <v>526</v>
      </c>
    </row>
    <row r="26" spans="1:6" ht="14.25" x14ac:dyDescent="0.2">
      <c r="A26" s="10" t="s">
        <v>30</v>
      </c>
      <c r="B26" s="10" t="s">
        <v>523</v>
      </c>
      <c r="C26" s="10" t="s">
        <v>519</v>
      </c>
      <c r="D26" s="10" t="s">
        <v>815</v>
      </c>
      <c r="E26" s="10" t="s">
        <v>525</v>
      </c>
      <c r="F26" s="10" t="s">
        <v>526</v>
      </c>
    </row>
    <row r="27" spans="1:6" ht="14.25" x14ac:dyDescent="0.2">
      <c r="A27" s="10" t="s">
        <v>31</v>
      </c>
      <c r="B27" s="10" t="s">
        <v>523</v>
      </c>
      <c r="C27" s="10" t="s">
        <v>519</v>
      </c>
      <c r="D27" s="10" t="s">
        <v>524</v>
      </c>
      <c r="E27" s="10" t="s">
        <v>525</v>
      </c>
      <c r="F27" s="10" t="s">
        <v>526</v>
      </c>
    </row>
    <row r="28" spans="1:6" ht="14.25" x14ac:dyDescent="0.2">
      <c r="A28" s="10" t="s">
        <v>32</v>
      </c>
      <c r="B28" s="10" t="s">
        <v>523</v>
      </c>
      <c r="C28" s="10" t="s">
        <v>519</v>
      </c>
      <c r="D28" s="10" t="s">
        <v>537</v>
      </c>
      <c r="E28" s="10" t="s">
        <v>525</v>
      </c>
      <c r="F28" s="10" t="s">
        <v>526</v>
      </c>
    </row>
    <row r="29" spans="1:6" ht="14.25" x14ac:dyDescent="0.2">
      <c r="A29" s="10" t="s">
        <v>33</v>
      </c>
      <c r="B29" s="10" t="s">
        <v>523</v>
      </c>
      <c r="C29" s="10" t="s">
        <v>519</v>
      </c>
      <c r="D29" s="10" t="s">
        <v>538</v>
      </c>
      <c r="E29" s="10" t="s">
        <v>525</v>
      </c>
      <c r="F29" s="10" t="s">
        <v>526</v>
      </c>
    </row>
    <row r="30" spans="1:6" ht="14.25" x14ac:dyDescent="0.2">
      <c r="A30" s="10" t="s">
        <v>34</v>
      </c>
      <c r="B30" s="10" t="s">
        <v>523</v>
      </c>
      <c r="C30" s="10" t="s">
        <v>519</v>
      </c>
      <c r="D30" s="10" t="s">
        <v>539</v>
      </c>
      <c r="E30" s="10" t="s">
        <v>525</v>
      </c>
      <c r="F30" s="10" t="s">
        <v>526</v>
      </c>
    </row>
    <row r="31" spans="1:6" ht="14.25" x14ac:dyDescent="0.2">
      <c r="A31" s="10" t="s">
        <v>35</v>
      </c>
      <c r="B31" s="10" t="s">
        <v>523</v>
      </c>
      <c r="C31" s="10" t="s">
        <v>519</v>
      </c>
      <c r="D31" s="10" t="s">
        <v>540</v>
      </c>
      <c r="E31" s="10" t="s">
        <v>525</v>
      </c>
      <c r="F31" s="10" t="s">
        <v>526</v>
      </c>
    </row>
    <row r="32" spans="1:6" ht="14.25" x14ac:dyDescent="0.2">
      <c r="A32" s="10" t="s">
        <v>36</v>
      </c>
      <c r="B32" s="10" t="s">
        <v>523</v>
      </c>
      <c r="C32" s="10" t="s">
        <v>519</v>
      </c>
      <c r="D32" s="10" t="s">
        <v>541</v>
      </c>
      <c r="E32" s="10" t="s">
        <v>525</v>
      </c>
      <c r="F32" s="10" t="s">
        <v>526</v>
      </c>
    </row>
    <row r="33" spans="1:6" ht="14.25" x14ac:dyDescent="0.2">
      <c r="A33" s="10" t="s">
        <v>37</v>
      </c>
      <c r="B33" s="10" t="s">
        <v>523</v>
      </c>
      <c r="C33" s="10" t="s">
        <v>519</v>
      </c>
      <c r="D33" s="10" t="s">
        <v>542</v>
      </c>
      <c r="E33" s="10" t="s">
        <v>525</v>
      </c>
      <c r="F33" s="10" t="s">
        <v>526</v>
      </c>
    </row>
    <row r="34" spans="1:6" ht="14.25" x14ac:dyDescent="0.2">
      <c r="A34" s="10" t="s">
        <v>38</v>
      </c>
      <c r="B34" s="10" t="s">
        <v>523</v>
      </c>
      <c r="C34" s="10" t="s">
        <v>519</v>
      </c>
      <c r="D34" s="10" t="s">
        <v>805</v>
      </c>
      <c r="E34" s="10" t="s">
        <v>525</v>
      </c>
      <c r="F34" s="10" t="s">
        <v>526</v>
      </c>
    </row>
    <row r="35" spans="1:6" ht="14.25" x14ac:dyDescent="0.2">
      <c r="A35" s="10" t="s">
        <v>39</v>
      </c>
      <c r="B35" s="10" t="s">
        <v>523</v>
      </c>
      <c r="C35" s="10" t="s">
        <v>519</v>
      </c>
      <c r="D35" s="10" t="s">
        <v>816</v>
      </c>
      <c r="E35" s="10" t="s">
        <v>525</v>
      </c>
      <c r="F35" s="10" t="s">
        <v>526</v>
      </c>
    </row>
    <row r="36" spans="1:6" ht="14.25" x14ac:dyDescent="0.2">
      <c r="A36" s="10" t="s">
        <v>40</v>
      </c>
      <c r="B36" s="10" t="s">
        <v>523</v>
      </c>
      <c r="C36" s="10" t="s">
        <v>519</v>
      </c>
      <c r="D36" s="10" t="s">
        <v>817</v>
      </c>
      <c r="E36" s="10" t="s">
        <v>525</v>
      </c>
      <c r="F36" s="10" t="s">
        <v>526</v>
      </c>
    </row>
    <row r="37" spans="1:6" ht="14.25" x14ac:dyDescent="0.2">
      <c r="A37" s="10" t="s">
        <v>41</v>
      </c>
      <c r="B37" s="10" t="s">
        <v>523</v>
      </c>
      <c r="C37" s="10" t="s">
        <v>519</v>
      </c>
      <c r="D37" s="10" t="s">
        <v>818</v>
      </c>
      <c r="E37" s="10" t="s">
        <v>525</v>
      </c>
      <c r="F37" s="10" t="s">
        <v>526</v>
      </c>
    </row>
    <row r="38" spans="1:6" ht="14.25" x14ac:dyDescent="0.2">
      <c r="A38" s="10" t="s">
        <v>42</v>
      </c>
      <c r="B38" s="10" t="s">
        <v>523</v>
      </c>
      <c r="C38" s="10" t="s">
        <v>519</v>
      </c>
      <c r="D38" s="10" t="s">
        <v>819</v>
      </c>
      <c r="E38" s="10" t="s">
        <v>525</v>
      </c>
      <c r="F38" s="10" t="s">
        <v>526</v>
      </c>
    </row>
    <row r="39" spans="1:6" ht="14.25" x14ac:dyDescent="0.2">
      <c r="A39" s="10" t="s">
        <v>43</v>
      </c>
      <c r="B39" s="10" t="s">
        <v>523</v>
      </c>
      <c r="C39" s="10" t="s">
        <v>519</v>
      </c>
      <c r="D39" s="10" t="s">
        <v>820</v>
      </c>
      <c r="E39" s="10" t="s">
        <v>525</v>
      </c>
      <c r="F39" s="10" t="s">
        <v>526</v>
      </c>
    </row>
    <row r="40" spans="1:6" ht="14.25" x14ac:dyDescent="0.2">
      <c r="A40" s="10" t="s">
        <v>44</v>
      </c>
      <c r="B40" s="10" t="s">
        <v>523</v>
      </c>
      <c r="C40" s="10" t="s">
        <v>519</v>
      </c>
      <c r="D40" s="10" t="s">
        <v>821</v>
      </c>
      <c r="E40" s="10" t="s">
        <v>525</v>
      </c>
      <c r="F40" s="10" t="s">
        <v>526</v>
      </c>
    </row>
    <row r="41" spans="1:6" ht="14.25" x14ac:dyDescent="0.2">
      <c r="A41" s="10" t="s">
        <v>45</v>
      </c>
      <c r="B41" s="10" t="s">
        <v>523</v>
      </c>
      <c r="C41" s="10" t="s">
        <v>519</v>
      </c>
      <c r="D41" s="10" t="s">
        <v>543</v>
      </c>
      <c r="E41" s="10" t="s">
        <v>544</v>
      </c>
      <c r="F41" s="10" t="s">
        <v>592</v>
      </c>
    </row>
    <row r="42" spans="1:6" ht="14.25" x14ac:dyDescent="0.2">
      <c r="A42" s="10" t="s">
        <v>46</v>
      </c>
      <c r="B42" s="10" t="s">
        <v>523</v>
      </c>
      <c r="C42" s="10" t="s">
        <v>519</v>
      </c>
      <c r="D42" s="10" t="s">
        <v>545</v>
      </c>
      <c r="E42" s="10" t="s">
        <v>544</v>
      </c>
      <c r="F42" s="10" t="s">
        <v>592</v>
      </c>
    </row>
    <row r="43" spans="1:6" ht="14.25" x14ac:dyDescent="0.2">
      <c r="A43" s="10" t="s">
        <v>47</v>
      </c>
      <c r="B43" s="10" t="s">
        <v>523</v>
      </c>
      <c r="C43" s="10" t="s">
        <v>519</v>
      </c>
      <c r="D43" s="10" t="s">
        <v>546</v>
      </c>
      <c r="E43" s="10" t="s">
        <v>544</v>
      </c>
      <c r="F43" s="10" t="s">
        <v>592</v>
      </c>
    </row>
    <row r="44" spans="1:6" ht="14.25" x14ac:dyDescent="0.2">
      <c r="A44" s="10" t="s">
        <v>48</v>
      </c>
      <c r="B44" s="10" t="s">
        <v>523</v>
      </c>
      <c r="C44" s="10" t="s">
        <v>519</v>
      </c>
      <c r="D44" s="10" t="s">
        <v>547</v>
      </c>
      <c r="E44" s="10" t="s">
        <v>544</v>
      </c>
      <c r="F44" s="10" t="s">
        <v>592</v>
      </c>
    </row>
    <row r="45" spans="1:6" ht="14.25" x14ac:dyDescent="0.2">
      <c r="A45" s="10" t="s">
        <v>49</v>
      </c>
      <c r="B45" s="10" t="s">
        <v>523</v>
      </c>
      <c r="C45" s="10" t="s">
        <v>519</v>
      </c>
      <c r="D45" s="10" t="s">
        <v>548</v>
      </c>
      <c r="E45" s="10" t="s">
        <v>544</v>
      </c>
      <c r="F45" s="10" t="s">
        <v>592</v>
      </c>
    </row>
    <row r="46" spans="1:6" ht="14.25" x14ac:dyDescent="0.2">
      <c r="A46" s="10" t="s">
        <v>50</v>
      </c>
      <c r="B46" s="10" t="s">
        <v>523</v>
      </c>
      <c r="C46" s="10" t="s">
        <v>519</v>
      </c>
      <c r="D46" s="10" t="s">
        <v>549</v>
      </c>
      <c r="E46" s="10" t="s">
        <v>544</v>
      </c>
      <c r="F46" s="10" t="s">
        <v>592</v>
      </c>
    </row>
    <row r="47" spans="1:6" ht="14.25" x14ac:dyDescent="0.2">
      <c r="A47" s="10" t="s">
        <v>51</v>
      </c>
      <c r="B47" s="10" t="s">
        <v>523</v>
      </c>
      <c r="C47" s="10" t="s">
        <v>519</v>
      </c>
      <c r="D47" s="10" t="s">
        <v>550</v>
      </c>
      <c r="E47" s="10" t="s">
        <v>544</v>
      </c>
      <c r="F47" s="10" t="s">
        <v>592</v>
      </c>
    </row>
    <row r="48" spans="1:6" ht="14.25" x14ac:dyDescent="0.2">
      <c r="A48" s="10" t="s">
        <v>52</v>
      </c>
      <c r="B48" s="10" t="s">
        <v>523</v>
      </c>
      <c r="C48" s="10" t="s">
        <v>519</v>
      </c>
      <c r="D48" s="10" t="s">
        <v>551</v>
      </c>
      <c r="E48" s="10" t="s">
        <v>544</v>
      </c>
      <c r="F48" s="10" t="s">
        <v>592</v>
      </c>
    </row>
    <row r="49" spans="1:6" ht="14.25" x14ac:dyDescent="0.2">
      <c r="A49" s="10" t="s">
        <v>53</v>
      </c>
      <c r="B49" s="10" t="s">
        <v>523</v>
      </c>
      <c r="C49" s="10" t="s">
        <v>519</v>
      </c>
      <c r="D49" s="10" t="s">
        <v>552</v>
      </c>
      <c r="E49" s="10" t="s">
        <v>544</v>
      </c>
      <c r="F49" s="10" t="s">
        <v>592</v>
      </c>
    </row>
    <row r="50" spans="1:6" ht="14.25" x14ac:dyDescent="0.2">
      <c r="A50" s="10" t="s">
        <v>54</v>
      </c>
      <c r="B50" s="10" t="s">
        <v>523</v>
      </c>
      <c r="C50" s="10" t="s">
        <v>519</v>
      </c>
      <c r="D50" s="10" t="s">
        <v>553</v>
      </c>
      <c r="E50" s="10" t="s">
        <v>554</v>
      </c>
      <c r="F50" s="10" t="s">
        <v>555</v>
      </c>
    </row>
    <row r="51" spans="1:6" ht="14.25" x14ac:dyDescent="0.2">
      <c r="A51" s="10" t="s">
        <v>55</v>
      </c>
      <c r="B51" s="10" t="s">
        <v>523</v>
      </c>
      <c r="C51" s="10" t="s">
        <v>519</v>
      </c>
      <c r="D51" s="10" t="s">
        <v>556</v>
      </c>
      <c r="E51" s="10" t="s">
        <v>554</v>
      </c>
      <c r="F51" s="10" t="s">
        <v>555</v>
      </c>
    </row>
    <row r="52" spans="1:6" ht="14.25" x14ac:dyDescent="0.2">
      <c r="A52" s="10" t="s">
        <v>56</v>
      </c>
      <c r="B52" s="10" t="s">
        <v>523</v>
      </c>
      <c r="C52" s="10" t="s">
        <v>519</v>
      </c>
      <c r="D52" s="10" t="s">
        <v>557</v>
      </c>
      <c r="E52" s="10" t="s">
        <v>554</v>
      </c>
      <c r="F52" s="10" t="s">
        <v>555</v>
      </c>
    </row>
    <row r="53" spans="1:6" ht="14.25" x14ac:dyDescent="0.2">
      <c r="A53" s="10" t="s">
        <v>57</v>
      </c>
      <c r="B53" s="10" t="s">
        <v>523</v>
      </c>
      <c r="C53" s="10" t="s">
        <v>519</v>
      </c>
      <c r="D53" s="10" t="s">
        <v>558</v>
      </c>
      <c r="E53" s="10" t="s">
        <v>554</v>
      </c>
      <c r="F53" s="10" t="s">
        <v>555</v>
      </c>
    </row>
    <row r="54" spans="1:6" ht="14.25" x14ac:dyDescent="0.2">
      <c r="A54" s="10" t="s">
        <v>58</v>
      </c>
      <c r="B54" s="10" t="s">
        <v>523</v>
      </c>
      <c r="C54" s="10" t="s">
        <v>519</v>
      </c>
      <c r="D54" s="10" t="s">
        <v>559</v>
      </c>
      <c r="E54" s="10" t="s">
        <v>554</v>
      </c>
      <c r="F54" s="10" t="s">
        <v>555</v>
      </c>
    </row>
    <row r="55" spans="1:6" ht="14.25" x14ac:dyDescent="0.2">
      <c r="A55" s="10" t="s">
        <v>59</v>
      </c>
      <c r="B55" s="10" t="s">
        <v>523</v>
      </c>
      <c r="C55" s="10" t="s">
        <v>519</v>
      </c>
      <c r="D55" s="10" t="s">
        <v>560</v>
      </c>
      <c r="E55" s="10" t="s">
        <v>554</v>
      </c>
      <c r="F55" s="10" t="s">
        <v>555</v>
      </c>
    </row>
    <row r="56" spans="1:6" ht="14.25" x14ac:dyDescent="0.2">
      <c r="A56" s="10" t="s">
        <v>60</v>
      </c>
      <c r="B56" s="10" t="s">
        <v>523</v>
      </c>
      <c r="C56" s="10" t="s">
        <v>519</v>
      </c>
      <c r="D56" s="10" t="s">
        <v>561</v>
      </c>
      <c r="E56" s="10" t="s">
        <v>554</v>
      </c>
      <c r="F56" s="10" t="s">
        <v>555</v>
      </c>
    </row>
    <row r="57" spans="1:6" ht="14.25" x14ac:dyDescent="0.2">
      <c r="A57" s="10" t="s">
        <v>61</v>
      </c>
      <c r="B57" s="10" t="s">
        <v>523</v>
      </c>
      <c r="C57" s="10" t="s">
        <v>519</v>
      </c>
      <c r="D57" s="10" t="s">
        <v>562</v>
      </c>
      <c r="E57" s="10" t="s">
        <v>554</v>
      </c>
      <c r="F57" s="10" t="s">
        <v>555</v>
      </c>
    </row>
    <row r="58" spans="1:6" ht="14.25" x14ac:dyDescent="0.2">
      <c r="A58" s="10" t="s">
        <v>62</v>
      </c>
      <c r="B58" s="10" t="s">
        <v>523</v>
      </c>
      <c r="C58" s="10" t="s">
        <v>519</v>
      </c>
      <c r="D58" s="10" t="s">
        <v>563</v>
      </c>
      <c r="E58" s="10" t="s">
        <v>554</v>
      </c>
      <c r="F58" s="10" t="s">
        <v>555</v>
      </c>
    </row>
    <row r="59" spans="1:6" ht="14.25" x14ac:dyDescent="0.2">
      <c r="A59" s="10" t="s">
        <v>63</v>
      </c>
      <c r="B59" s="10" t="s">
        <v>523</v>
      </c>
      <c r="C59" s="10" t="s">
        <v>519</v>
      </c>
      <c r="D59" s="10" t="s">
        <v>564</v>
      </c>
      <c r="E59" s="10" t="s">
        <v>554</v>
      </c>
      <c r="F59" s="10" t="s">
        <v>555</v>
      </c>
    </row>
    <row r="60" spans="1:6" ht="14.25" x14ac:dyDescent="0.2">
      <c r="A60" s="10" t="s">
        <v>64</v>
      </c>
      <c r="B60" s="10" t="s">
        <v>523</v>
      </c>
      <c r="C60" s="10" t="s">
        <v>519</v>
      </c>
      <c r="D60" s="10" t="s">
        <v>565</v>
      </c>
      <c r="E60" s="10" t="s">
        <v>554</v>
      </c>
      <c r="F60" s="10" t="s">
        <v>555</v>
      </c>
    </row>
    <row r="61" spans="1:6" ht="14.25" x14ac:dyDescent="0.2">
      <c r="A61" s="10" t="s">
        <v>65</v>
      </c>
      <c r="B61" s="10" t="s">
        <v>523</v>
      </c>
      <c r="C61" s="10" t="s">
        <v>519</v>
      </c>
      <c r="D61" s="10" t="s">
        <v>566</v>
      </c>
      <c r="E61" s="10" t="s">
        <v>554</v>
      </c>
      <c r="F61" s="10" t="s">
        <v>555</v>
      </c>
    </row>
    <row r="62" spans="1:6" ht="14.25" x14ac:dyDescent="0.2">
      <c r="A62" s="10" t="s">
        <v>66</v>
      </c>
      <c r="B62" s="10" t="s">
        <v>523</v>
      </c>
      <c r="C62" s="10" t="s">
        <v>519</v>
      </c>
      <c r="D62" s="10" t="s">
        <v>567</v>
      </c>
      <c r="E62" s="10" t="s">
        <v>554</v>
      </c>
      <c r="F62" s="10" t="s">
        <v>555</v>
      </c>
    </row>
    <row r="63" spans="1:6" ht="14.25" x14ac:dyDescent="0.2">
      <c r="A63" s="10" t="s">
        <v>67</v>
      </c>
      <c r="B63" s="10" t="s">
        <v>523</v>
      </c>
      <c r="C63" s="10" t="s">
        <v>519</v>
      </c>
      <c r="D63" s="10" t="s">
        <v>568</v>
      </c>
      <c r="E63" s="10" t="s">
        <v>554</v>
      </c>
      <c r="F63" s="10" t="s">
        <v>555</v>
      </c>
    </row>
    <row r="64" spans="1:6" ht="14.25" x14ac:dyDescent="0.2">
      <c r="A64" s="10" t="s">
        <v>68</v>
      </c>
      <c r="B64" s="10" t="s">
        <v>523</v>
      </c>
      <c r="C64" s="10" t="s">
        <v>519</v>
      </c>
      <c r="D64" s="10" t="s">
        <v>569</v>
      </c>
      <c r="E64" s="10" t="s">
        <v>554</v>
      </c>
      <c r="F64" s="10" t="s">
        <v>555</v>
      </c>
    </row>
    <row r="65" spans="1:6" ht="14.25" x14ac:dyDescent="0.2">
      <c r="A65" s="10" t="s">
        <v>69</v>
      </c>
      <c r="B65" s="10" t="s">
        <v>523</v>
      </c>
      <c r="C65" s="10" t="s">
        <v>519</v>
      </c>
      <c r="D65" s="10" t="s">
        <v>570</v>
      </c>
      <c r="E65" s="10" t="s">
        <v>554</v>
      </c>
      <c r="F65" s="10" t="s">
        <v>555</v>
      </c>
    </row>
    <row r="66" spans="1:6" ht="14.25" x14ac:dyDescent="0.2">
      <c r="A66" s="10" t="s">
        <v>70</v>
      </c>
      <c r="B66" s="10" t="s">
        <v>523</v>
      </c>
      <c r="C66" s="10" t="s">
        <v>519</v>
      </c>
      <c r="D66" s="10" t="s">
        <v>571</v>
      </c>
      <c r="E66" s="10" t="s">
        <v>554</v>
      </c>
      <c r="F66" s="10" t="s">
        <v>555</v>
      </c>
    </row>
    <row r="67" spans="1:6" ht="14.25" x14ac:dyDescent="0.2">
      <c r="A67" s="10" t="s">
        <v>71</v>
      </c>
      <c r="B67" s="10" t="s">
        <v>523</v>
      </c>
      <c r="C67" s="10" t="s">
        <v>521</v>
      </c>
      <c r="D67" s="10" t="s">
        <v>572</v>
      </c>
      <c r="E67" s="10" t="s">
        <v>525</v>
      </c>
      <c r="F67" s="10" t="s">
        <v>526</v>
      </c>
    </row>
    <row r="68" spans="1:6" ht="14.25" x14ac:dyDescent="0.2">
      <c r="A68" s="10" t="s">
        <v>72</v>
      </c>
      <c r="B68" s="10" t="s">
        <v>523</v>
      </c>
      <c r="C68" s="10" t="s">
        <v>521</v>
      </c>
      <c r="D68" s="10" t="s">
        <v>573</v>
      </c>
      <c r="E68" s="10" t="s">
        <v>525</v>
      </c>
      <c r="F68" s="10" t="s">
        <v>526</v>
      </c>
    </row>
    <row r="69" spans="1:6" ht="14.25" x14ac:dyDescent="0.2">
      <c r="A69" s="10" t="s">
        <v>73</v>
      </c>
      <c r="B69" s="10" t="s">
        <v>523</v>
      </c>
      <c r="C69" s="10" t="s">
        <v>521</v>
      </c>
      <c r="D69" s="10" t="s">
        <v>574</v>
      </c>
      <c r="E69" s="10" t="s">
        <v>525</v>
      </c>
      <c r="F69" s="10" t="s">
        <v>526</v>
      </c>
    </row>
    <row r="70" spans="1:6" ht="14.25" x14ac:dyDescent="0.2">
      <c r="A70" s="10" t="s">
        <v>74</v>
      </c>
      <c r="B70" s="10" t="s">
        <v>523</v>
      </c>
      <c r="C70" s="10" t="s">
        <v>521</v>
      </c>
      <c r="D70" s="10" t="s">
        <v>575</v>
      </c>
      <c r="E70" s="10" t="s">
        <v>525</v>
      </c>
      <c r="F70" s="10" t="s">
        <v>526</v>
      </c>
    </row>
    <row r="71" spans="1:6" ht="14.25" x14ac:dyDescent="0.2">
      <c r="A71" s="10" t="s">
        <v>75</v>
      </c>
      <c r="B71" s="10" t="s">
        <v>523</v>
      </c>
      <c r="C71" s="10" t="s">
        <v>521</v>
      </c>
      <c r="D71" s="10" t="s">
        <v>576</v>
      </c>
      <c r="E71" s="10" t="s">
        <v>525</v>
      </c>
      <c r="F71" s="10" t="s">
        <v>526</v>
      </c>
    </row>
    <row r="72" spans="1:6" ht="14.25" x14ac:dyDescent="0.2">
      <c r="A72" s="10" t="s">
        <v>76</v>
      </c>
      <c r="B72" s="10" t="s">
        <v>523</v>
      </c>
      <c r="C72" s="10" t="s">
        <v>521</v>
      </c>
      <c r="D72" s="10" t="s">
        <v>577</v>
      </c>
      <c r="E72" s="10" t="s">
        <v>525</v>
      </c>
      <c r="F72" s="10" t="s">
        <v>526</v>
      </c>
    </row>
    <row r="73" spans="1:6" ht="14.25" x14ac:dyDescent="0.2">
      <c r="A73" s="10" t="s">
        <v>77</v>
      </c>
      <c r="B73" s="10" t="s">
        <v>523</v>
      </c>
      <c r="C73" s="10" t="s">
        <v>521</v>
      </c>
      <c r="D73" s="10" t="s">
        <v>578</v>
      </c>
      <c r="E73" s="10" t="s">
        <v>525</v>
      </c>
      <c r="F73" s="10" t="s">
        <v>526</v>
      </c>
    </row>
    <row r="74" spans="1:6" ht="14.25" x14ac:dyDescent="0.2">
      <c r="A74" s="10" t="s">
        <v>78</v>
      </c>
      <c r="B74" s="10" t="s">
        <v>523</v>
      </c>
      <c r="C74" s="10" t="s">
        <v>521</v>
      </c>
      <c r="D74" s="10" t="s">
        <v>579</v>
      </c>
      <c r="E74" s="10" t="s">
        <v>525</v>
      </c>
      <c r="F74" s="10" t="s">
        <v>526</v>
      </c>
    </row>
    <row r="75" spans="1:6" ht="14.25" x14ac:dyDescent="0.2">
      <c r="A75" s="10" t="s">
        <v>79</v>
      </c>
      <c r="B75" s="10" t="s">
        <v>523</v>
      </c>
      <c r="C75" s="10" t="s">
        <v>521</v>
      </c>
      <c r="D75" s="10" t="s">
        <v>580</v>
      </c>
      <c r="E75" s="10" t="s">
        <v>525</v>
      </c>
      <c r="F75" s="10" t="s">
        <v>526</v>
      </c>
    </row>
    <row r="76" spans="1:6" ht="14.25" x14ac:dyDescent="0.2">
      <c r="A76" s="10" t="s">
        <v>80</v>
      </c>
      <c r="B76" s="10" t="s">
        <v>523</v>
      </c>
      <c r="C76" s="10" t="s">
        <v>521</v>
      </c>
      <c r="D76" s="10" t="s">
        <v>581</v>
      </c>
      <c r="E76" s="10" t="s">
        <v>525</v>
      </c>
      <c r="F76" s="10" t="s">
        <v>526</v>
      </c>
    </row>
    <row r="77" spans="1:6" ht="14.25" x14ac:dyDescent="0.2">
      <c r="A77" s="10" t="s">
        <v>81</v>
      </c>
      <c r="B77" s="10" t="s">
        <v>523</v>
      </c>
      <c r="C77" s="10" t="s">
        <v>521</v>
      </c>
      <c r="D77" s="10" t="s">
        <v>582</v>
      </c>
      <c r="E77" s="10" t="s">
        <v>525</v>
      </c>
      <c r="F77" s="10" t="s">
        <v>526</v>
      </c>
    </row>
    <row r="78" spans="1:6" ht="14.25" x14ac:dyDescent="0.2">
      <c r="A78" s="10" t="s">
        <v>82</v>
      </c>
      <c r="B78" s="10" t="s">
        <v>523</v>
      </c>
      <c r="C78" s="10" t="s">
        <v>521</v>
      </c>
      <c r="D78" s="10" t="s">
        <v>583</v>
      </c>
      <c r="E78" s="10" t="s">
        <v>525</v>
      </c>
      <c r="F78" s="10" t="s">
        <v>526</v>
      </c>
    </row>
    <row r="79" spans="1:6" ht="14.25" x14ac:dyDescent="0.2">
      <c r="A79" s="10" t="s">
        <v>83</v>
      </c>
      <c r="B79" s="10" t="s">
        <v>523</v>
      </c>
      <c r="C79" s="10" t="s">
        <v>521</v>
      </c>
      <c r="D79" s="10" t="s">
        <v>584</v>
      </c>
      <c r="E79" s="10" t="s">
        <v>525</v>
      </c>
      <c r="F79" s="10" t="s">
        <v>526</v>
      </c>
    </row>
    <row r="80" spans="1:6" ht="14.25" x14ac:dyDescent="0.2">
      <c r="A80" s="10" t="s">
        <v>84</v>
      </c>
      <c r="B80" s="10" t="s">
        <v>523</v>
      </c>
      <c r="C80" s="10" t="s">
        <v>521</v>
      </c>
      <c r="D80" s="10" t="s">
        <v>585</v>
      </c>
      <c r="E80" s="10" t="s">
        <v>525</v>
      </c>
      <c r="F80" s="10" t="s">
        <v>526</v>
      </c>
    </row>
    <row r="81" spans="1:6" ht="14.25" x14ac:dyDescent="0.2">
      <c r="A81" s="10" t="s">
        <v>85</v>
      </c>
      <c r="B81" s="10" t="s">
        <v>523</v>
      </c>
      <c r="C81" s="10" t="s">
        <v>521</v>
      </c>
      <c r="D81" s="10" t="s">
        <v>586</v>
      </c>
      <c r="E81" s="10" t="s">
        <v>525</v>
      </c>
      <c r="F81" s="10" t="s">
        <v>526</v>
      </c>
    </row>
    <row r="82" spans="1:6" ht="14.25" x14ac:dyDescent="0.2">
      <c r="A82" s="10" t="s">
        <v>86</v>
      </c>
      <c r="B82" s="10" t="s">
        <v>523</v>
      </c>
      <c r="C82" s="10" t="s">
        <v>521</v>
      </c>
      <c r="D82" s="10" t="s">
        <v>587</v>
      </c>
      <c r="E82" s="10" t="s">
        <v>525</v>
      </c>
      <c r="F82" s="10" t="s">
        <v>526</v>
      </c>
    </row>
    <row r="83" spans="1:6" ht="14.25" x14ac:dyDescent="0.2">
      <c r="A83" s="10" t="s">
        <v>87</v>
      </c>
      <c r="B83" s="10" t="s">
        <v>523</v>
      </c>
      <c r="C83" s="10" t="s">
        <v>521</v>
      </c>
      <c r="D83" s="10" t="s">
        <v>588</v>
      </c>
      <c r="E83" s="10" t="s">
        <v>525</v>
      </c>
      <c r="F83" s="10" t="s">
        <v>526</v>
      </c>
    </row>
    <row r="84" spans="1:6" ht="14.25" x14ac:dyDescent="0.2">
      <c r="A84" s="10" t="s">
        <v>88</v>
      </c>
      <c r="B84" s="10" t="s">
        <v>523</v>
      </c>
      <c r="C84" s="10" t="s">
        <v>521</v>
      </c>
      <c r="D84" s="10" t="s">
        <v>589</v>
      </c>
      <c r="E84" s="10" t="s">
        <v>525</v>
      </c>
      <c r="F84" s="10" t="s">
        <v>526</v>
      </c>
    </row>
    <row r="85" spans="1:6" ht="14.25" x14ac:dyDescent="0.2">
      <c r="A85" s="10" t="s">
        <v>89</v>
      </c>
      <c r="B85" s="10" t="s">
        <v>590</v>
      </c>
      <c r="C85" s="10" t="s">
        <v>521</v>
      </c>
      <c r="D85" s="10" t="s">
        <v>591</v>
      </c>
      <c r="E85" s="10" t="s">
        <v>525</v>
      </c>
      <c r="F85" s="10" t="s">
        <v>592</v>
      </c>
    </row>
    <row r="86" spans="1:6" ht="14.25" x14ac:dyDescent="0.2">
      <c r="A86" s="10" t="s">
        <v>90</v>
      </c>
      <c r="B86" s="10" t="s">
        <v>590</v>
      </c>
      <c r="C86" s="10" t="s">
        <v>521</v>
      </c>
      <c r="D86" s="10" t="s">
        <v>593</v>
      </c>
      <c r="E86" s="10" t="s">
        <v>525</v>
      </c>
      <c r="F86" s="10" t="s">
        <v>592</v>
      </c>
    </row>
    <row r="87" spans="1:6" ht="14.25" x14ac:dyDescent="0.2">
      <c r="A87" s="10" t="s">
        <v>91</v>
      </c>
      <c r="B87" s="10" t="s">
        <v>590</v>
      </c>
      <c r="C87" s="10" t="s">
        <v>521</v>
      </c>
      <c r="D87" s="10" t="s">
        <v>594</v>
      </c>
      <c r="E87" s="10" t="s">
        <v>595</v>
      </c>
      <c r="F87" s="10" t="s">
        <v>592</v>
      </c>
    </row>
    <row r="88" spans="1:6" ht="14.25" x14ac:dyDescent="0.2">
      <c r="A88" s="10" t="s">
        <v>92</v>
      </c>
      <c r="B88" s="10" t="s">
        <v>590</v>
      </c>
      <c r="C88" s="10" t="s">
        <v>521</v>
      </c>
      <c r="D88" s="10" t="s">
        <v>596</v>
      </c>
      <c r="E88" s="10" t="s">
        <v>595</v>
      </c>
      <c r="F88" s="10" t="s">
        <v>592</v>
      </c>
    </row>
    <row r="89" spans="1:6" ht="14.25" x14ac:dyDescent="0.2">
      <c r="A89" s="10" t="s">
        <v>93</v>
      </c>
      <c r="B89" s="10" t="s">
        <v>590</v>
      </c>
      <c r="C89" s="10" t="s">
        <v>521</v>
      </c>
      <c r="D89" s="10" t="s">
        <v>597</v>
      </c>
      <c r="E89" s="10" t="s">
        <v>595</v>
      </c>
      <c r="F89" s="10" t="s">
        <v>592</v>
      </c>
    </row>
    <row r="90" spans="1:6" ht="14.25" x14ac:dyDescent="0.2">
      <c r="A90" s="10" t="s">
        <v>94</v>
      </c>
      <c r="B90" s="10" t="s">
        <v>590</v>
      </c>
      <c r="C90" s="10" t="s">
        <v>521</v>
      </c>
      <c r="D90" s="10" t="s">
        <v>598</v>
      </c>
      <c r="E90" s="10" t="s">
        <v>595</v>
      </c>
      <c r="F90" s="10" t="s">
        <v>592</v>
      </c>
    </row>
    <row r="91" spans="1:6" ht="14.25" x14ac:dyDescent="0.2">
      <c r="A91" s="10" t="s">
        <v>95</v>
      </c>
      <c r="B91" s="10" t="s">
        <v>590</v>
      </c>
      <c r="C91" s="10" t="s">
        <v>521</v>
      </c>
      <c r="D91" s="10" t="s">
        <v>599</v>
      </c>
      <c r="E91" s="10" t="s">
        <v>595</v>
      </c>
      <c r="F91" s="10" t="s">
        <v>592</v>
      </c>
    </row>
    <row r="92" spans="1:6" ht="14.25" x14ac:dyDescent="0.2">
      <c r="A92" s="10" t="s">
        <v>96</v>
      </c>
      <c r="B92" s="10" t="s">
        <v>590</v>
      </c>
      <c r="C92" s="10" t="s">
        <v>521</v>
      </c>
      <c r="D92" s="10" t="s">
        <v>600</v>
      </c>
      <c r="E92" s="10" t="s">
        <v>601</v>
      </c>
      <c r="F92" s="10" t="s">
        <v>592</v>
      </c>
    </row>
    <row r="93" spans="1:6" ht="14.25" x14ac:dyDescent="0.2">
      <c r="A93" s="10" t="s">
        <v>97</v>
      </c>
      <c r="B93" s="10" t="s">
        <v>590</v>
      </c>
      <c r="C93" s="10" t="s">
        <v>521</v>
      </c>
      <c r="D93" s="10" t="s">
        <v>602</v>
      </c>
      <c r="E93" s="10" t="s">
        <v>601</v>
      </c>
      <c r="F93" s="10" t="s">
        <v>592</v>
      </c>
    </row>
    <row r="94" spans="1:6" ht="14.25" x14ac:dyDescent="0.2">
      <c r="A94" s="10" t="s">
        <v>98</v>
      </c>
      <c r="B94" s="10" t="s">
        <v>590</v>
      </c>
      <c r="C94" s="10" t="s">
        <v>521</v>
      </c>
      <c r="D94" s="10" t="s">
        <v>603</v>
      </c>
      <c r="E94" s="10" t="s">
        <v>601</v>
      </c>
      <c r="F94" s="10" t="s">
        <v>592</v>
      </c>
    </row>
    <row r="95" spans="1:6" ht="14.25" x14ac:dyDescent="0.2">
      <c r="A95" s="10" t="s">
        <v>99</v>
      </c>
      <c r="B95" s="10" t="s">
        <v>590</v>
      </c>
      <c r="C95" s="10" t="s">
        <v>521</v>
      </c>
      <c r="D95" s="10" t="s">
        <v>604</v>
      </c>
      <c r="E95" s="10" t="s">
        <v>601</v>
      </c>
      <c r="F95" s="10" t="s">
        <v>592</v>
      </c>
    </row>
    <row r="96" spans="1:6" ht="14.25" x14ac:dyDescent="0.2">
      <c r="A96" s="10" t="s">
        <v>100</v>
      </c>
      <c r="B96" s="10" t="s">
        <v>590</v>
      </c>
      <c r="C96" s="10" t="s">
        <v>521</v>
      </c>
      <c r="D96" s="10" t="s">
        <v>605</v>
      </c>
      <c r="E96" s="10" t="s">
        <v>601</v>
      </c>
      <c r="F96" s="10" t="s">
        <v>592</v>
      </c>
    </row>
    <row r="97" spans="1:6" ht="14.25" x14ac:dyDescent="0.2">
      <c r="A97" s="10" t="s">
        <v>101</v>
      </c>
      <c r="B97" s="10" t="s">
        <v>590</v>
      </c>
      <c r="C97" s="10" t="s">
        <v>521</v>
      </c>
      <c r="D97" s="10" t="s">
        <v>606</v>
      </c>
      <c r="E97" s="10" t="s">
        <v>601</v>
      </c>
      <c r="F97" s="10" t="s">
        <v>592</v>
      </c>
    </row>
    <row r="98" spans="1:6" ht="14.25" x14ac:dyDescent="0.2">
      <c r="A98" s="10" t="s">
        <v>102</v>
      </c>
      <c r="B98" s="10" t="s">
        <v>590</v>
      </c>
      <c r="C98" s="10" t="s">
        <v>521</v>
      </c>
      <c r="D98" s="10" t="s">
        <v>607</v>
      </c>
      <c r="E98" s="10" t="s">
        <v>601</v>
      </c>
      <c r="F98" s="10" t="s">
        <v>592</v>
      </c>
    </row>
    <row r="99" spans="1:6" ht="14.25" x14ac:dyDescent="0.2">
      <c r="A99" s="10" t="s">
        <v>103</v>
      </c>
      <c r="B99" s="10" t="s">
        <v>590</v>
      </c>
      <c r="C99" s="10" t="s">
        <v>521</v>
      </c>
      <c r="D99" s="10" t="s">
        <v>608</v>
      </c>
      <c r="E99" s="10" t="s">
        <v>601</v>
      </c>
      <c r="F99" s="10" t="s">
        <v>592</v>
      </c>
    </row>
    <row r="100" spans="1:6" ht="14.25" x14ac:dyDescent="0.2">
      <c r="A100" s="10" t="s">
        <v>104</v>
      </c>
      <c r="B100" s="10" t="s">
        <v>590</v>
      </c>
      <c r="C100" s="10" t="s">
        <v>521</v>
      </c>
      <c r="D100" s="10" t="s">
        <v>609</v>
      </c>
      <c r="E100" s="10" t="s">
        <v>601</v>
      </c>
      <c r="F100" s="10" t="s">
        <v>592</v>
      </c>
    </row>
    <row r="101" spans="1:6" ht="14.25" x14ac:dyDescent="0.2">
      <c r="A101" s="10" t="s">
        <v>105</v>
      </c>
      <c r="B101" s="10" t="s">
        <v>590</v>
      </c>
      <c r="C101" s="10" t="s">
        <v>521</v>
      </c>
      <c r="D101" s="10" t="s">
        <v>610</v>
      </c>
      <c r="E101" s="10" t="s">
        <v>601</v>
      </c>
      <c r="F101" s="10" t="s">
        <v>592</v>
      </c>
    </row>
    <row r="102" spans="1:6" ht="14.25" x14ac:dyDescent="0.2">
      <c r="A102" s="10" t="s">
        <v>106</v>
      </c>
      <c r="B102" s="10" t="s">
        <v>590</v>
      </c>
      <c r="C102" s="10" t="s">
        <v>521</v>
      </c>
      <c r="D102" s="10" t="s">
        <v>611</v>
      </c>
      <c r="E102" s="10" t="s">
        <v>601</v>
      </c>
      <c r="F102" s="10" t="s">
        <v>592</v>
      </c>
    </row>
    <row r="103" spans="1:6" ht="14.25" x14ac:dyDescent="0.2">
      <c r="A103" s="10" t="s">
        <v>107</v>
      </c>
      <c r="B103" s="10" t="s">
        <v>590</v>
      </c>
      <c r="C103" s="10" t="s">
        <v>521</v>
      </c>
      <c r="D103" s="10" t="s">
        <v>612</v>
      </c>
      <c r="E103" s="10" t="s">
        <v>601</v>
      </c>
      <c r="F103" s="10" t="s">
        <v>592</v>
      </c>
    </row>
    <row r="104" spans="1:6" ht="14.25" x14ac:dyDescent="0.2">
      <c r="A104" s="10" t="s">
        <v>108</v>
      </c>
      <c r="B104" s="10" t="s">
        <v>590</v>
      </c>
      <c r="C104" s="10" t="s">
        <v>521</v>
      </c>
      <c r="D104" s="10" t="s">
        <v>613</v>
      </c>
      <c r="E104" s="10" t="s">
        <v>601</v>
      </c>
      <c r="F104" s="10" t="s">
        <v>592</v>
      </c>
    </row>
    <row r="105" spans="1:6" ht="14.25" x14ac:dyDescent="0.2">
      <c r="A105" s="10" t="s">
        <v>109</v>
      </c>
      <c r="B105" s="10" t="s">
        <v>614</v>
      </c>
      <c r="C105" s="10" t="s">
        <v>521</v>
      </c>
      <c r="D105" s="10" t="s">
        <v>615</v>
      </c>
      <c r="E105" s="10" t="s">
        <v>616</v>
      </c>
      <c r="F105" s="10" t="s">
        <v>526</v>
      </c>
    </row>
    <row r="106" spans="1:6" ht="14.25" x14ac:dyDescent="0.2">
      <c r="A106" s="10" t="s">
        <v>110</v>
      </c>
      <c r="B106" s="10" t="s">
        <v>614</v>
      </c>
      <c r="C106" s="10" t="s">
        <v>521</v>
      </c>
      <c r="D106" s="10" t="s">
        <v>617</v>
      </c>
      <c r="E106" s="10" t="s">
        <v>616</v>
      </c>
      <c r="F106" s="10" t="s">
        <v>526</v>
      </c>
    </row>
    <row r="107" spans="1:6" ht="14.25" x14ac:dyDescent="0.2">
      <c r="A107" s="10" t="s">
        <v>111</v>
      </c>
      <c r="B107" s="10" t="s">
        <v>614</v>
      </c>
      <c r="C107" s="10" t="s">
        <v>521</v>
      </c>
      <c r="D107" s="10" t="s">
        <v>618</v>
      </c>
      <c r="E107" s="10" t="s">
        <v>616</v>
      </c>
      <c r="F107" s="10" t="s">
        <v>526</v>
      </c>
    </row>
    <row r="108" spans="1:6" ht="14.25" x14ac:dyDescent="0.2">
      <c r="A108" s="10" t="s">
        <v>112</v>
      </c>
      <c r="B108" s="10" t="s">
        <v>614</v>
      </c>
      <c r="C108" s="10" t="s">
        <v>521</v>
      </c>
      <c r="D108" s="10" t="s">
        <v>619</v>
      </c>
      <c r="E108" s="10" t="s">
        <v>616</v>
      </c>
      <c r="F108" s="10" t="s">
        <v>526</v>
      </c>
    </row>
    <row r="109" spans="1:6" ht="14.25" x14ac:dyDescent="0.2">
      <c r="A109" s="10" t="s">
        <v>113</v>
      </c>
      <c r="B109" s="10" t="s">
        <v>614</v>
      </c>
      <c r="C109" s="10" t="s">
        <v>521</v>
      </c>
      <c r="D109" s="10" t="s">
        <v>620</v>
      </c>
      <c r="E109" s="10" t="s">
        <v>616</v>
      </c>
      <c r="F109" s="10" t="s">
        <v>526</v>
      </c>
    </row>
    <row r="110" spans="1:6" ht="14.25" x14ac:dyDescent="0.2">
      <c r="A110" s="10" t="s">
        <v>114</v>
      </c>
      <c r="B110" s="10" t="s">
        <v>614</v>
      </c>
      <c r="C110" s="10" t="s">
        <v>521</v>
      </c>
      <c r="D110" s="10" t="s">
        <v>621</v>
      </c>
      <c r="E110" s="10" t="s">
        <v>616</v>
      </c>
      <c r="F110" s="10" t="s">
        <v>526</v>
      </c>
    </row>
    <row r="111" spans="1:6" ht="14.25" x14ac:dyDescent="0.2">
      <c r="A111" s="10" t="s">
        <v>115</v>
      </c>
      <c r="B111" s="10" t="s">
        <v>614</v>
      </c>
      <c r="C111" s="10" t="s">
        <v>521</v>
      </c>
      <c r="D111" s="10" t="s">
        <v>622</v>
      </c>
      <c r="E111" s="10" t="s">
        <v>616</v>
      </c>
      <c r="F111" s="10" t="s">
        <v>526</v>
      </c>
    </row>
    <row r="112" spans="1:6" ht="14.25" x14ac:dyDescent="0.2">
      <c r="A112" s="10" t="s">
        <v>116</v>
      </c>
      <c r="B112" s="10" t="s">
        <v>614</v>
      </c>
      <c r="C112" s="10" t="s">
        <v>521</v>
      </c>
      <c r="D112" s="10" t="s">
        <v>623</v>
      </c>
      <c r="E112" s="10" t="s">
        <v>616</v>
      </c>
      <c r="F112" s="10" t="s">
        <v>526</v>
      </c>
    </row>
    <row r="113" spans="1:6" ht="14.25" x14ac:dyDescent="0.2">
      <c r="A113" s="10" t="s">
        <v>117</v>
      </c>
      <c r="B113" s="10" t="s">
        <v>614</v>
      </c>
      <c r="C113" s="10" t="s">
        <v>521</v>
      </c>
      <c r="D113" s="10" t="s">
        <v>624</v>
      </c>
      <c r="E113" s="10" t="s">
        <v>616</v>
      </c>
      <c r="F113" s="10" t="s">
        <v>526</v>
      </c>
    </row>
    <row r="114" spans="1:6" ht="14.25" x14ac:dyDescent="0.2">
      <c r="A114" s="10" t="s">
        <v>118</v>
      </c>
      <c r="B114" s="10" t="s">
        <v>614</v>
      </c>
      <c r="C114" s="10" t="s">
        <v>521</v>
      </c>
      <c r="D114" s="10" t="s">
        <v>625</v>
      </c>
      <c r="E114" s="10" t="s">
        <v>616</v>
      </c>
      <c r="F114" s="10" t="s">
        <v>526</v>
      </c>
    </row>
    <row r="115" spans="1:6" ht="14.25" x14ac:dyDescent="0.2">
      <c r="A115" s="10" t="s">
        <v>119</v>
      </c>
      <c r="B115" s="10" t="s">
        <v>614</v>
      </c>
      <c r="C115" s="10" t="s">
        <v>521</v>
      </c>
      <c r="D115" s="10" t="s">
        <v>626</v>
      </c>
      <c r="E115" s="10" t="s">
        <v>616</v>
      </c>
      <c r="F115" s="10" t="s">
        <v>526</v>
      </c>
    </row>
    <row r="116" spans="1:6" ht="14.25" x14ac:dyDescent="0.2">
      <c r="A116" s="10" t="s">
        <v>120</v>
      </c>
      <c r="B116" s="10" t="s">
        <v>614</v>
      </c>
      <c r="C116" s="10" t="s">
        <v>521</v>
      </c>
      <c r="D116" s="10" t="s">
        <v>627</v>
      </c>
      <c r="E116" s="10" t="s">
        <v>616</v>
      </c>
      <c r="F116" s="10" t="s">
        <v>526</v>
      </c>
    </row>
    <row r="117" spans="1:6" ht="14.25" x14ac:dyDescent="0.2">
      <c r="A117" s="10" t="s">
        <v>121</v>
      </c>
      <c r="B117" s="10" t="s">
        <v>614</v>
      </c>
      <c r="C117" s="10" t="s">
        <v>521</v>
      </c>
      <c r="D117" s="10" t="s">
        <v>628</v>
      </c>
      <c r="E117" s="10" t="s">
        <v>616</v>
      </c>
      <c r="F117" s="10" t="s">
        <v>526</v>
      </c>
    </row>
    <row r="118" spans="1:6" ht="14.25" x14ac:dyDescent="0.2">
      <c r="A118" s="10" t="s">
        <v>122</v>
      </c>
      <c r="B118" s="10" t="s">
        <v>614</v>
      </c>
      <c r="C118" s="10" t="s">
        <v>521</v>
      </c>
      <c r="D118" s="10" t="s">
        <v>629</v>
      </c>
      <c r="E118" s="10" t="s">
        <v>616</v>
      </c>
      <c r="F118" s="10" t="s">
        <v>526</v>
      </c>
    </row>
    <row r="119" spans="1:6" ht="14.25" x14ac:dyDescent="0.2">
      <c r="A119" s="10" t="s">
        <v>123</v>
      </c>
      <c r="B119" s="10" t="s">
        <v>614</v>
      </c>
      <c r="C119" s="10" t="s">
        <v>521</v>
      </c>
      <c r="D119" s="10" t="s">
        <v>630</v>
      </c>
      <c r="E119" s="10" t="s">
        <v>616</v>
      </c>
      <c r="F119" s="10" t="s">
        <v>526</v>
      </c>
    </row>
    <row r="120" spans="1:6" ht="14.25" x14ac:dyDescent="0.2">
      <c r="A120" s="10" t="s">
        <v>124</v>
      </c>
      <c r="B120" s="10" t="s">
        <v>614</v>
      </c>
      <c r="C120" s="10" t="s">
        <v>521</v>
      </c>
      <c r="D120" s="10" t="s">
        <v>631</v>
      </c>
      <c r="E120" s="10" t="s">
        <v>616</v>
      </c>
      <c r="F120" s="10" t="s">
        <v>526</v>
      </c>
    </row>
    <row r="121" spans="1:6" ht="14.25" x14ac:dyDescent="0.2">
      <c r="A121" s="10" t="s">
        <v>125</v>
      </c>
      <c r="B121" s="10" t="s">
        <v>614</v>
      </c>
      <c r="C121" s="10" t="s">
        <v>521</v>
      </c>
      <c r="D121" s="10" t="s">
        <v>632</v>
      </c>
      <c r="E121" s="10" t="s">
        <v>616</v>
      </c>
      <c r="F121" s="10" t="s">
        <v>526</v>
      </c>
    </row>
    <row r="122" spans="1:6" ht="14.25" x14ac:dyDescent="0.2">
      <c r="A122" s="10" t="s">
        <v>126</v>
      </c>
      <c r="B122" s="10" t="s">
        <v>614</v>
      </c>
      <c r="C122" s="10" t="s">
        <v>521</v>
      </c>
      <c r="D122" s="10" t="s">
        <v>633</v>
      </c>
      <c r="E122" s="10" t="s">
        <v>616</v>
      </c>
      <c r="F122" s="10" t="s">
        <v>526</v>
      </c>
    </row>
    <row r="123" spans="1:6" ht="14.25" x14ac:dyDescent="0.2">
      <c r="A123" s="10" t="s">
        <v>127</v>
      </c>
      <c r="B123" s="10" t="s">
        <v>614</v>
      </c>
      <c r="C123" s="10" t="s">
        <v>521</v>
      </c>
      <c r="D123" s="10" t="s">
        <v>634</v>
      </c>
      <c r="E123" s="10" t="s">
        <v>616</v>
      </c>
      <c r="F123" s="10" t="s">
        <v>526</v>
      </c>
    </row>
    <row r="124" spans="1:6" ht="14.25" x14ac:dyDescent="0.2">
      <c r="A124" s="10" t="s">
        <v>128</v>
      </c>
      <c r="B124" s="10" t="s">
        <v>614</v>
      </c>
      <c r="C124" s="10" t="s">
        <v>521</v>
      </c>
      <c r="D124" s="10" t="s">
        <v>635</v>
      </c>
      <c r="E124" s="10" t="s">
        <v>616</v>
      </c>
      <c r="F124" s="10" t="s">
        <v>526</v>
      </c>
    </row>
    <row r="125" spans="1:6" ht="14.25" x14ac:dyDescent="0.2">
      <c r="A125" s="10" t="s">
        <v>129</v>
      </c>
      <c r="B125" s="10" t="s">
        <v>614</v>
      </c>
      <c r="C125" s="10" t="s">
        <v>521</v>
      </c>
      <c r="D125" s="10" t="s">
        <v>636</v>
      </c>
      <c r="E125" s="10" t="s">
        <v>616</v>
      </c>
      <c r="F125" s="10" t="s">
        <v>526</v>
      </c>
    </row>
    <row r="126" spans="1:6" ht="14.25" x14ac:dyDescent="0.2">
      <c r="A126" s="10" t="s">
        <v>130</v>
      </c>
      <c r="B126" s="10" t="s">
        <v>614</v>
      </c>
      <c r="C126" s="10" t="s">
        <v>521</v>
      </c>
      <c r="D126" s="10" t="s">
        <v>637</v>
      </c>
      <c r="E126" s="10" t="s">
        <v>616</v>
      </c>
      <c r="F126" s="10" t="s">
        <v>526</v>
      </c>
    </row>
    <row r="127" spans="1:6" ht="14.25" x14ac:dyDescent="0.2">
      <c r="A127" s="10" t="s">
        <v>131</v>
      </c>
      <c r="B127" s="10" t="s">
        <v>614</v>
      </c>
      <c r="C127" s="10" t="s">
        <v>521</v>
      </c>
      <c r="D127" s="10" t="s">
        <v>638</v>
      </c>
      <c r="E127" s="10" t="s">
        <v>616</v>
      </c>
      <c r="F127" s="10" t="s">
        <v>526</v>
      </c>
    </row>
    <row r="128" spans="1:6" ht="14.25" x14ac:dyDescent="0.2">
      <c r="A128" s="10" t="s">
        <v>132</v>
      </c>
      <c r="B128" s="10" t="s">
        <v>614</v>
      </c>
      <c r="C128" s="10" t="s">
        <v>521</v>
      </c>
      <c r="D128" s="10" t="s">
        <v>639</v>
      </c>
      <c r="E128" s="10" t="s">
        <v>616</v>
      </c>
      <c r="F128" s="10" t="s">
        <v>526</v>
      </c>
    </row>
    <row r="129" spans="1:6" ht="14.25" x14ac:dyDescent="0.2">
      <c r="A129" s="10" t="s">
        <v>133</v>
      </c>
      <c r="B129" s="10" t="s">
        <v>614</v>
      </c>
      <c r="C129" s="10" t="s">
        <v>521</v>
      </c>
      <c r="D129" s="10" t="s">
        <v>640</v>
      </c>
      <c r="E129" s="10" t="s">
        <v>616</v>
      </c>
      <c r="F129" s="10" t="s">
        <v>526</v>
      </c>
    </row>
    <row r="130" spans="1:6" ht="14.25" x14ac:dyDescent="0.2">
      <c r="A130" s="10" t="s">
        <v>134</v>
      </c>
      <c r="B130" s="10" t="s">
        <v>614</v>
      </c>
      <c r="C130" s="10" t="s">
        <v>521</v>
      </c>
      <c r="D130" s="10" t="s">
        <v>641</v>
      </c>
      <c r="E130" s="10" t="s">
        <v>616</v>
      </c>
      <c r="F130" s="10" t="s">
        <v>526</v>
      </c>
    </row>
    <row r="131" spans="1:6" ht="14.25" x14ac:dyDescent="0.2">
      <c r="A131" s="10" t="s">
        <v>135</v>
      </c>
      <c r="B131" s="10" t="s">
        <v>614</v>
      </c>
      <c r="C131" s="10" t="s">
        <v>521</v>
      </c>
      <c r="D131" s="10" t="s">
        <v>642</v>
      </c>
      <c r="E131" s="10" t="s">
        <v>616</v>
      </c>
      <c r="F131" s="10" t="s">
        <v>526</v>
      </c>
    </row>
    <row r="132" spans="1:6" ht="14.25" x14ac:dyDescent="0.2">
      <c r="A132" s="10" t="s">
        <v>136</v>
      </c>
      <c r="B132" s="10" t="s">
        <v>614</v>
      </c>
      <c r="C132" s="10" t="s">
        <v>521</v>
      </c>
      <c r="D132" s="10" t="s">
        <v>643</v>
      </c>
      <c r="E132" s="10" t="s">
        <v>616</v>
      </c>
      <c r="F132" s="10" t="s">
        <v>526</v>
      </c>
    </row>
    <row r="133" spans="1:6" ht="14.25" x14ac:dyDescent="0.2">
      <c r="A133" s="10" t="s">
        <v>137</v>
      </c>
      <c r="B133" s="10" t="s">
        <v>614</v>
      </c>
      <c r="C133" s="10" t="s">
        <v>521</v>
      </c>
      <c r="D133" s="10" t="s">
        <v>644</v>
      </c>
      <c r="E133" s="10" t="s">
        <v>616</v>
      </c>
      <c r="F133" s="10" t="s">
        <v>526</v>
      </c>
    </row>
    <row r="134" spans="1:6" ht="14.25" x14ac:dyDescent="0.2">
      <c r="A134" s="10" t="s">
        <v>138</v>
      </c>
      <c r="B134" s="10" t="s">
        <v>614</v>
      </c>
      <c r="C134" s="10" t="s">
        <v>521</v>
      </c>
      <c r="D134" s="10" t="s">
        <v>645</v>
      </c>
      <c r="E134" s="10" t="s">
        <v>616</v>
      </c>
      <c r="F134" s="10" t="s">
        <v>526</v>
      </c>
    </row>
    <row r="135" spans="1:6" ht="14.25" x14ac:dyDescent="0.2">
      <c r="A135" s="10" t="s">
        <v>139</v>
      </c>
      <c r="B135" s="10" t="s">
        <v>614</v>
      </c>
      <c r="C135" s="10" t="s">
        <v>521</v>
      </c>
      <c r="D135" s="10" t="s">
        <v>646</v>
      </c>
      <c r="E135" s="10" t="s">
        <v>616</v>
      </c>
      <c r="F135" s="10" t="s">
        <v>526</v>
      </c>
    </row>
    <row r="136" spans="1:6" ht="14.25" x14ac:dyDescent="0.2">
      <c r="A136" s="10" t="s">
        <v>140</v>
      </c>
      <c r="B136" s="10" t="s">
        <v>614</v>
      </c>
      <c r="C136" s="10" t="s">
        <v>521</v>
      </c>
      <c r="D136" s="10" t="s">
        <v>647</v>
      </c>
      <c r="E136" s="10" t="s">
        <v>616</v>
      </c>
      <c r="F136" s="10" t="s">
        <v>526</v>
      </c>
    </row>
    <row r="137" spans="1:6" ht="14.25" x14ac:dyDescent="0.2">
      <c r="A137" s="10" t="s">
        <v>141</v>
      </c>
      <c r="B137" s="10" t="s">
        <v>614</v>
      </c>
      <c r="C137" s="10" t="s">
        <v>521</v>
      </c>
      <c r="D137" s="10" t="s">
        <v>648</v>
      </c>
      <c r="E137" s="10" t="s">
        <v>616</v>
      </c>
      <c r="F137" s="10" t="s">
        <v>526</v>
      </c>
    </row>
    <row r="138" spans="1:6" ht="14.25" x14ac:dyDescent="0.2">
      <c r="A138" s="10" t="s">
        <v>142</v>
      </c>
      <c r="B138" s="10" t="s">
        <v>614</v>
      </c>
      <c r="C138" s="10" t="s">
        <v>521</v>
      </c>
      <c r="D138" s="10" t="s">
        <v>649</v>
      </c>
      <c r="E138" s="10" t="s">
        <v>616</v>
      </c>
      <c r="F138" s="10" t="s">
        <v>526</v>
      </c>
    </row>
    <row r="139" spans="1:6" ht="14.25" x14ac:dyDescent="0.2">
      <c r="A139" s="10" t="s">
        <v>143</v>
      </c>
      <c r="B139" s="10" t="s">
        <v>614</v>
      </c>
      <c r="C139" s="10" t="s">
        <v>521</v>
      </c>
      <c r="D139" s="10" t="s">
        <v>650</v>
      </c>
      <c r="E139" s="10" t="s">
        <v>616</v>
      </c>
      <c r="F139" s="10" t="s">
        <v>526</v>
      </c>
    </row>
    <row r="140" spans="1:6" ht="14.25" x14ac:dyDescent="0.2">
      <c r="A140" s="10" t="s">
        <v>144</v>
      </c>
      <c r="B140" s="10" t="s">
        <v>614</v>
      </c>
      <c r="C140" s="10" t="s">
        <v>521</v>
      </c>
      <c r="D140" s="10" t="s">
        <v>651</v>
      </c>
      <c r="E140" s="10" t="s">
        <v>616</v>
      </c>
      <c r="F140" s="10" t="s">
        <v>526</v>
      </c>
    </row>
    <row r="141" spans="1:6" ht="14.25" x14ac:dyDescent="0.2">
      <c r="A141" s="10" t="s">
        <v>145</v>
      </c>
      <c r="B141" s="10" t="s">
        <v>614</v>
      </c>
      <c r="C141" s="10" t="s">
        <v>521</v>
      </c>
      <c r="D141" s="10" t="s">
        <v>652</v>
      </c>
      <c r="E141" s="10" t="s">
        <v>616</v>
      </c>
      <c r="F141" s="10" t="s">
        <v>526</v>
      </c>
    </row>
    <row r="142" spans="1:6" ht="14.25" x14ac:dyDescent="0.2">
      <c r="A142" s="10" t="s">
        <v>146</v>
      </c>
      <c r="B142" s="10" t="s">
        <v>614</v>
      </c>
      <c r="C142" s="10" t="s">
        <v>521</v>
      </c>
      <c r="D142" s="10" t="s">
        <v>653</v>
      </c>
      <c r="E142" s="10" t="s">
        <v>616</v>
      </c>
      <c r="F142" s="10" t="s">
        <v>526</v>
      </c>
    </row>
    <row r="143" spans="1:6" ht="14.25" x14ac:dyDescent="0.2">
      <c r="A143" s="10" t="s">
        <v>147</v>
      </c>
      <c r="B143" s="10" t="s">
        <v>614</v>
      </c>
      <c r="C143" s="10" t="s">
        <v>521</v>
      </c>
      <c r="D143" s="10" t="s">
        <v>654</v>
      </c>
      <c r="E143" s="10" t="s">
        <v>616</v>
      </c>
      <c r="F143" s="10" t="s">
        <v>526</v>
      </c>
    </row>
    <row r="144" spans="1:6" ht="14.25" x14ac:dyDescent="0.2">
      <c r="A144" s="10" t="s">
        <v>148</v>
      </c>
      <c r="B144" s="10" t="s">
        <v>614</v>
      </c>
      <c r="C144" s="10" t="s">
        <v>521</v>
      </c>
      <c r="D144" s="10" t="s">
        <v>655</v>
      </c>
      <c r="E144" s="10" t="s">
        <v>616</v>
      </c>
      <c r="F144" s="10" t="s">
        <v>526</v>
      </c>
    </row>
    <row r="145" spans="1:6" ht="14.25" x14ac:dyDescent="0.2">
      <c r="A145" s="10" t="s">
        <v>149</v>
      </c>
      <c r="B145" s="10" t="s">
        <v>614</v>
      </c>
      <c r="C145" s="10" t="s">
        <v>521</v>
      </c>
      <c r="D145" s="10" t="s">
        <v>656</v>
      </c>
      <c r="E145" s="10" t="s">
        <v>616</v>
      </c>
      <c r="F145" s="10" t="s">
        <v>592</v>
      </c>
    </row>
    <row r="146" spans="1:6" ht="14.25" x14ac:dyDescent="0.2">
      <c r="A146" s="10" t="s">
        <v>150</v>
      </c>
      <c r="B146" s="10" t="s">
        <v>614</v>
      </c>
      <c r="C146" s="10" t="s">
        <v>521</v>
      </c>
      <c r="D146" s="10" t="s">
        <v>657</v>
      </c>
      <c r="E146" s="10" t="s">
        <v>616</v>
      </c>
      <c r="F146" s="10" t="s">
        <v>592</v>
      </c>
    </row>
    <row r="147" spans="1:6" ht="14.25" x14ac:dyDescent="0.2">
      <c r="A147" s="10" t="s">
        <v>151</v>
      </c>
      <c r="B147" s="10" t="s">
        <v>614</v>
      </c>
      <c r="C147" s="10" t="s">
        <v>521</v>
      </c>
      <c r="D147" s="10" t="s">
        <v>658</v>
      </c>
      <c r="E147" s="10" t="s">
        <v>616</v>
      </c>
      <c r="F147" s="10" t="s">
        <v>592</v>
      </c>
    </row>
    <row r="148" spans="1:6" ht="14.25" x14ac:dyDescent="0.2">
      <c r="A148" s="10" t="s">
        <v>152</v>
      </c>
      <c r="B148" s="10" t="s">
        <v>614</v>
      </c>
      <c r="C148" s="10" t="s">
        <v>521</v>
      </c>
      <c r="D148" s="10" t="s">
        <v>659</v>
      </c>
      <c r="E148" s="10" t="s">
        <v>616</v>
      </c>
      <c r="F148" s="10" t="s">
        <v>592</v>
      </c>
    </row>
    <row r="149" spans="1:6" ht="14.25" x14ac:dyDescent="0.2">
      <c r="A149" s="10" t="s">
        <v>153</v>
      </c>
      <c r="B149" s="10" t="s">
        <v>614</v>
      </c>
      <c r="C149" s="10" t="s">
        <v>521</v>
      </c>
      <c r="D149" s="10" t="s">
        <v>660</v>
      </c>
      <c r="E149" s="10" t="s">
        <v>616</v>
      </c>
      <c r="F149" s="10" t="s">
        <v>592</v>
      </c>
    </row>
    <row r="150" spans="1:6" ht="14.25" x14ac:dyDescent="0.2">
      <c r="A150" s="10" t="s">
        <v>154</v>
      </c>
      <c r="B150" s="10" t="s">
        <v>614</v>
      </c>
      <c r="C150" s="10" t="s">
        <v>521</v>
      </c>
      <c r="D150" s="10" t="s">
        <v>661</v>
      </c>
      <c r="E150" s="10" t="s">
        <v>616</v>
      </c>
      <c r="F150" s="10" t="s">
        <v>592</v>
      </c>
    </row>
    <row r="151" spans="1:6" ht="14.25" x14ac:dyDescent="0.2">
      <c r="A151" s="10" t="s">
        <v>155</v>
      </c>
      <c r="B151" s="10" t="s">
        <v>614</v>
      </c>
      <c r="C151" s="10" t="s">
        <v>521</v>
      </c>
      <c r="D151" s="10" t="s">
        <v>662</v>
      </c>
      <c r="E151" s="10" t="s">
        <v>616</v>
      </c>
      <c r="F151" s="10" t="s">
        <v>592</v>
      </c>
    </row>
    <row r="152" spans="1:6" ht="14.25" x14ac:dyDescent="0.2">
      <c r="A152" s="10" t="s">
        <v>826</v>
      </c>
      <c r="B152" s="10" t="s">
        <v>590</v>
      </c>
      <c r="C152" s="10" t="s">
        <v>521</v>
      </c>
      <c r="D152" s="10" t="s">
        <v>827</v>
      </c>
      <c r="E152" s="10" t="s">
        <v>663</v>
      </c>
      <c r="F152" s="10" t="s">
        <v>555</v>
      </c>
    </row>
    <row r="153" spans="1:6" ht="14.25" x14ac:dyDescent="0.2">
      <c r="A153" s="10" t="s">
        <v>156</v>
      </c>
      <c r="B153" s="10" t="s">
        <v>614</v>
      </c>
      <c r="C153" s="10" t="s">
        <v>519</v>
      </c>
      <c r="D153" s="10" t="s">
        <v>664</v>
      </c>
      <c r="E153" s="10" t="s">
        <v>616</v>
      </c>
      <c r="F153" s="10" t="s">
        <v>592</v>
      </c>
    </row>
    <row r="154" spans="1:6" ht="14.25" x14ac:dyDescent="0.2">
      <c r="A154" s="10" t="s">
        <v>157</v>
      </c>
      <c r="B154" s="10" t="s">
        <v>614</v>
      </c>
      <c r="C154" s="10" t="s">
        <v>519</v>
      </c>
      <c r="D154" s="10" t="s">
        <v>665</v>
      </c>
      <c r="E154" s="10" t="s">
        <v>616</v>
      </c>
      <c r="F154" s="10" t="s">
        <v>592</v>
      </c>
    </row>
    <row r="155" spans="1:6" ht="14.25" x14ac:dyDescent="0.2">
      <c r="A155" s="10" t="s">
        <v>158</v>
      </c>
      <c r="B155" s="10" t="s">
        <v>614</v>
      </c>
      <c r="C155" s="10" t="s">
        <v>519</v>
      </c>
      <c r="D155" s="10" t="s">
        <v>666</v>
      </c>
      <c r="E155" s="10" t="s">
        <v>616</v>
      </c>
      <c r="F155" s="10" t="s">
        <v>592</v>
      </c>
    </row>
    <row r="156" spans="1:6" ht="14.25" x14ac:dyDescent="0.2">
      <c r="A156" s="10" t="s">
        <v>159</v>
      </c>
      <c r="B156" s="10" t="s">
        <v>614</v>
      </c>
      <c r="C156" s="10" t="s">
        <v>519</v>
      </c>
      <c r="D156" s="10" t="s">
        <v>667</v>
      </c>
      <c r="E156" s="10" t="s">
        <v>616</v>
      </c>
      <c r="F156" s="10" t="s">
        <v>592</v>
      </c>
    </row>
    <row r="157" spans="1:6" ht="14.25" x14ac:dyDescent="0.2">
      <c r="A157" s="10" t="s">
        <v>160</v>
      </c>
      <c r="B157" s="10" t="s">
        <v>614</v>
      </c>
      <c r="C157" s="10" t="s">
        <v>519</v>
      </c>
      <c r="D157" s="10" t="s">
        <v>668</v>
      </c>
      <c r="E157" s="10" t="s">
        <v>616</v>
      </c>
      <c r="F157" s="10" t="s">
        <v>592</v>
      </c>
    </row>
    <row r="158" spans="1:6" ht="14.25" x14ac:dyDescent="0.2">
      <c r="A158" s="10" t="s">
        <v>161</v>
      </c>
      <c r="B158" s="10" t="s">
        <v>614</v>
      </c>
      <c r="C158" s="10" t="s">
        <v>519</v>
      </c>
      <c r="D158" s="10" t="s">
        <v>669</v>
      </c>
      <c r="E158" s="10" t="s">
        <v>616</v>
      </c>
      <c r="F158" s="10" t="s">
        <v>592</v>
      </c>
    </row>
    <row r="159" spans="1:6" ht="14.25" x14ac:dyDescent="0.2">
      <c r="A159" s="10" t="s">
        <v>162</v>
      </c>
      <c r="B159" s="10" t="s">
        <v>670</v>
      </c>
      <c r="C159" s="10" t="s">
        <v>521</v>
      </c>
      <c r="D159" s="10" t="s">
        <v>671</v>
      </c>
      <c r="E159" s="10" t="s">
        <v>672</v>
      </c>
      <c r="F159" s="10" t="s">
        <v>555</v>
      </c>
    </row>
    <row r="160" spans="1:6" ht="14.25" x14ac:dyDescent="0.2">
      <c r="A160" s="10" t="s">
        <v>163</v>
      </c>
      <c r="B160" s="10" t="s">
        <v>670</v>
      </c>
      <c r="C160" s="10" t="s">
        <v>521</v>
      </c>
      <c r="D160" s="10" t="s">
        <v>673</v>
      </c>
      <c r="E160" s="10" t="s">
        <v>674</v>
      </c>
      <c r="F160" s="10" t="s">
        <v>555</v>
      </c>
    </row>
    <row r="161" spans="1:6" ht="14.25" x14ac:dyDescent="0.2">
      <c r="A161" s="10" t="s">
        <v>164</v>
      </c>
      <c r="B161" s="10" t="s">
        <v>670</v>
      </c>
      <c r="C161" s="10" t="s">
        <v>521</v>
      </c>
      <c r="D161" s="10" t="s">
        <v>675</v>
      </c>
      <c r="E161" s="10" t="s">
        <v>672</v>
      </c>
      <c r="F161" s="10" t="s">
        <v>555</v>
      </c>
    </row>
    <row r="162" spans="1:6" ht="14.25" x14ac:dyDescent="0.2">
      <c r="A162" s="10" t="s">
        <v>165</v>
      </c>
      <c r="B162" s="10" t="s">
        <v>670</v>
      </c>
      <c r="C162" s="10" t="s">
        <v>521</v>
      </c>
      <c r="D162" s="10" t="s">
        <v>676</v>
      </c>
      <c r="E162" s="10" t="s">
        <v>672</v>
      </c>
      <c r="F162" s="10" t="s">
        <v>555</v>
      </c>
    </row>
    <row r="163" spans="1:6" ht="14.25" x14ac:dyDescent="0.2">
      <c r="A163" s="10" t="s">
        <v>166</v>
      </c>
      <c r="B163" s="10" t="s">
        <v>670</v>
      </c>
      <c r="C163" s="10" t="s">
        <v>521</v>
      </c>
      <c r="D163" s="10" t="s">
        <v>677</v>
      </c>
      <c r="E163" s="10" t="s">
        <v>678</v>
      </c>
      <c r="F163" s="10" t="s">
        <v>555</v>
      </c>
    </row>
    <row r="164" spans="1:6" ht="14.25" x14ac:dyDescent="0.2">
      <c r="A164" s="10" t="s">
        <v>830</v>
      </c>
      <c r="B164" s="10" t="s">
        <v>614</v>
      </c>
      <c r="C164" s="10" t="s">
        <v>521</v>
      </c>
      <c r="D164" s="10" t="s">
        <v>679</v>
      </c>
      <c r="E164" s="10" t="s">
        <v>525</v>
      </c>
      <c r="F164" s="10" t="s">
        <v>592</v>
      </c>
    </row>
    <row r="165" spans="1:6" ht="14.25" x14ac:dyDescent="0.2">
      <c r="A165" s="10" t="s">
        <v>831</v>
      </c>
      <c r="B165" s="10" t="s">
        <v>614</v>
      </c>
      <c r="C165" s="10" t="s">
        <v>521</v>
      </c>
      <c r="D165" s="10" t="s">
        <v>872</v>
      </c>
      <c r="E165" s="10" t="s">
        <v>525</v>
      </c>
      <c r="F165" s="10" t="s">
        <v>592</v>
      </c>
    </row>
    <row r="166" spans="1:6" ht="14.25" x14ac:dyDescent="0.2">
      <c r="A166" s="10" t="s">
        <v>832</v>
      </c>
      <c r="B166" s="10" t="s">
        <v>614</v>
      </c>
      <c r="C166" s="10" t="s">
        <v>521</v>
      </c>
      <c r="D166" s="10" t="s">
        <v>680</v>
      </c>
      <c r="E166" s="10" t="s">
        <v>525</v>
      </c>
      <c r="F166" s="10" t="s">
        <v>592</v>
      </c>
    </row>
    <row r="167" spans="1:6" ht="14.25" x14ac:dyDescent="0.2">
      <c r="A167" s="10" t="s">
        <v>167</v>
      </c>
      <c r="B167" s="10" t="s">
        <v>614</v>
      </c>
      <c r="C167" s="10" t="s">
        <v>521</v>
      </c>
      <c r="D167" s="10" t="s">
        <v>681</v>
      </c>
      <c r="E167" s="10" t="s">
        <v>525</v>
      </c>
      <c r="F167" s="10" t="s">
        <v>592</v>
      </c>
    </row>
    <row r="168" spans="1:6" ht="14.25" x14ac:dyDescent="0.2">
      <c r="A168" s="10" t="s">
        <v>833</v>
      </c>
      <c r="B168" s="10" t="s">
        <v>614</v>
      </c>
      <c r="C168" s="10" t="s">
        <v>521</v>
      </c>
      <c r="D168" s="10" t="s">
        <v>873</v>
      </c>
      <c r="E168" s="10" t="s">
        <v>525</v>
      </c>
      <c r="F168" s="10" t="s">
        <v>592</v>
      </c>
    </row>
    <row r="169" spans="1:6" ht="14.25" x14ac:dyDescent="0.2">
      <c r="A169" s="10" t="s">
        <v>168</v>
      </c>
      <c r="B169" s="10" t="s">
        <v>614</v>
      </c>
      <c r="C169" s="10" t="s">
        <v>521</v>
      </c>
      <c r="D169" s="10" t="s">
        <v>682</v>
      </c>
      <c r="E169" s="10" t="s">
        <v>525</v>
      </c>
      <c r="F169" s="10" t="s">
        <v>592</v>
      </c>
    </row>
    <row r="170" spans="1:6" ht="14.25" x14ac:dyDescent="0.2">
      <c r="A170" s="10" t="s">
        <v>169</v>
      </c>
      <c r="B170" s="10" t="s">
        <v>614</v>
      </c>
      <c r="C170" s="10" t="s">
        <v>521</v>
      </c>
      <c r="D170" s="10" t="s">
        <v>683</v>
      </c>
      <c r="E170" s="10" t="s">
        <v>525</v>
      </c>
      <c r="F170" s="10" t="s">
        <v>592</v>
      </c>
    </row>
    <row r="171" spans="1:6" ht="14.25" x14ac:dyDescent="0.2">
      <c r="A171" s="10" t="s">
        <v>170</v>
      </c>
      <c r="B171" s="10" t="s">
        <v>614</v>
      </c>
      <c r="C171" s="10" t="s">
        <v>521</v>
      </c>
      <c r="D171" s="10" t="s">
        <v>684</v>
      </c>
      <c r="E171" s="10" t="s">
        <v>525</v>
      </c>
      <c r="F171" s="10" t="s">
        <v>592</v>
      </c>
    </row>
    <row r="172" spans="1:6" ht="14.25" x14ac:dyDescent="0.2">
      <c r="A172" s="10" t="s">
        <v>828</v>
      </c>
      <c r="B172" s="10" t="s">
        <v>590</v>
      </c>
      <c r="C172" s="10" t="s">
        <v>521</v>
      </c>
      <c r="D172" s="10" t="s">
        <v>829</v>
      </c>
      <c r="E172" s="10" t="s">
        <v>663</v>
      </c>
      <c r="F172" s="10" t="s">
        <v>592</v>
      </c>
    </row>
    <row r="173" spans="1:6" ht="14.25" x14ac:dyDescent="0.2">
      <c r="A173" s="10" t="s">
        <v>834</v>
      </c>
      <c r="B173" s="10" t="s">
        <v>614</v>
      </c>
      <c r="C173" s="10" t="s">
        <v>521</v>
      </c>
      <c r="D173" s="10" t="s">
        <v>874</v>
      </c>
      <c r="E173" s="10" t="s">
        <v>875</v>
      </c>
      <c r="F173" s="10" t="s">
        <v>526</v>
      </c>
    </row>
    <row r="174" spans="1:6" ht="14.25" x14ac:dyDescent="0.2">
      <c r="A174" s="10" t="s">
        <v>835</v>
      </c>
      <c r="B174" s="10" t="s">
        <v>614</v>
      </c>
      <c r="C174" s="10" t="s">
        <v>521</v>
      </c>
      <c r="D174" s="10" t="s">
        <v>876</v>
      </c>
      <c r="E174" s="10" t="s">
        <v>877</v>
      </c>
      <c r="F174" s="10" t="s">
        <v>526</v>
      </c>
    </row>
    <row r="175" spans="1:6" ht="14.25" x14ac:dyDescent="0.2">
      <c r="A175" s="10" t="s">
        <v>836</v>
      </c>
      <c r="B175" s="10" t="s">
        <v>614</v>
      </c>
      <c r="C175" s="10" t="s">
        <v>521</v>
      </c>
      <c r="D175" s="10" t="s">
        <v>878</v>
      </c>
      <c r="E175" s="10" t="s">
        <v>877</v>
      </c>
      <c r="F175" s="10" t="s">
        <v>526</v>
      </c>
    </row>
    <row r="176" spans="1:6" ht="14.25" x14ac:dyDescent="0.2">
      <c r="A176" s="10" t="s">
        <v>837</v>
      </c>
      <c r="B176" s="10" t="s">
        <v>614</v>
      </c>
      <c r="C176" s="10" t="s">
        <v>521</v>
      </c>
      <c r="D176" s="10" t="s">
        <v>879</v>
      </c>
      <c r="E176" s="10" t="s">
        <v>877</v>
      </c>
      <c r="F176" s="10" t="s">
        <v>526</v>
      </c>
    </row>
    <row r="177" spans="1:6" ht="14.25" x14ac:dyDescent="0.2">
      <c r="A177" s="10" t="s">
        <v>838</v>
      </c>
      <c r="B177" s="10" t="s">
        <v>614</v>
      </c>
      <c r="C177" s="10" t="s">
        <v>521</v>
      </c>
      <c r="D177" s="10" t="s">
        <v>880</v>
      </c>
      <c r="E177" s="10" t="s">
        <v>877</v>
      </c>
      <c r="F177" s="10" t="s">
        <v>526</v>
      </c>
    </row>
    <row r="178" spans="1:6" ht="14.25" x14ac:dyDescent="0.2">
      <c r="A178" s="10" t="s">
        <v>839</v>
      </c>
      <c r="B178" s="10" t="s">
        <v>614</v>
      </c>
      <c r="C178" s="10" t="s">
        <v>521</v>
      </c>
      <c r="D178" s="10" t="s">
        <v>881</v>
      </c>
      <c r="E178" s="10" t="s">
        <v>882</v>
      </c>
      <c r="F178" s="10" t="s">
        <v>526</v>
      </c>
    </row>
    <row r="179" spans="1:6" ht="14.25" x14ac:dyDescent="0.2">
      <c r="A179" s="10" t="s">
        <v>840</v>
      </c>
      <c r="B179" s="10" t="s">
        <v>614</v>
      </c>
      <c r="C179" s="10" t="s">
        <v>521</v>
      </c>
      <c r="D179" s="10" t="s">
        <v>883</v>
      </c>
      <c r="E179" s="10" t="s">
        <v>884</v>
      </c>
      <c r="F179" s="10" t="s">
        <v>526</v>
      </c>
    </row>
    <row r="180" spans="1:6" ht="14.25" x14ac:dyDescent="0.2">
      <c r="A180" s="10" t="s">
        <v>841</v>
      </c>
      <c r="B180" s="10" t="s">
        <v>614</v>
      </c>
      <c r="C180" s="10" t="s">
        <v>521</v>
      </c>
      <c r="D180" s="10" t="s">
        <v>885</v>
      </c>
      <c r="E180" s="10" t="s">
        <v>886</v>
      </c>
      <c r="F180" s="10" t="s">
        <v>526</v>
      </c>
    </row>
    <row r="181" spans="1:6" ht="14.25" x14ac:dyDescent="0.2">
      <c r="A181" s="10" t="s">
        <v>842</v>
      </c>
      <c r="B181" s="10" t="s">
        <v>614</v>
      </c>
      <c r="C181" s="10" t="s">
        <v>521</v>
      </c>
      <c r="D181" s="10" t="s">
        <v>887</v>
      </c>
      <c r="E181" s="10" t="s">
        <v>884</v>
      </c>
      <c r="F181" s="10" t="s">
        <v>526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E6D9E-122B-41ED-B280-8A2638094E7B}">
  <sheetPr codeName="Sheet4"/>
  <dimension ref="B1:AF502"/>
  <sheetViews>
    <sheetView topLeftCell="L1" zoomScale="90" zoomScaleNormal="90" workbookViewId="0">
      <selection activeCell="Z5" sqref="Z5"/>
    </sheetView>
  </sheetViews>
  <sheetFormatPr defaultColWidth="9" defaultRowHeight="12.75" x14ac:dyDescent="0.2"/>
  <cols>
    <col min="1" max="1" width="4.625" style="13" customWidth="1"/>
    <col min="2" max="2" width="16.625" style="11" customWidth="1"/>
    <col min="3" max="3" width="3.375" style="13" customWidth="1"/>
    <col min="4" max="5" width="9" style="11"/>
    <col min="6" max="6" width="4.125" style="13" customWidth="1"/>
    <col min="7" max="8" width="9" style="13"/>
    <col min="9" max="9" width="4.125" style="13" customWidth="1"/>
    <col min="10" max="10" width="12.375" style="13" customWidth="1"/>
    <col min="11" max="11" width="10.375" style="13" customWidth="1"/>
    <col min="12" max="12" width="9" style="13"/>
    <col min="13" max="14" width="10.625" style="13" customWidth="1"/>
    <col min="15" max="17" width="9" style="13"/>
    <col min="18" max="18" width="11.625" style="13" customWidth="1"/>
    <col min="19" max="19" width="12.125" style="13" bestFit="1" customWidth="1"/>
    <col min="20" max="20" width="9" style="13"/>
    <col min="21" max="21" width="5.625" style="13" customWidth="1"/>
    <col min="22" max="22" width="13.125" style="13" customWidth="1"/>
    <col min="23" max="24" width="9" style="13"/>
    <col min="25" max="25" width="13.5" style="13" bestFit="1" customWidth="1"/>
    <col min="26" max="27" width="14.875" style="13" customWidth="1"/>
    <col min="28" max="28" width="9" style="13"/>
    <col min="29" max="29" width="15.625" style="13" bestFit="1" customWidth="1"/>
    <col min="30" max="30" width="10.625" style="13" customWidth="1"/>
    <col min="31" max="16384" width="9" style="13"/>
  </cols>
  <sheetData>
    <row r="1" spans="2:32" x14ac:dyDescent="0.2">
      <c r="V1" s="32">
        <f ca="1">IF(MATCH("",headers[Headers],0)-1&lt;1,1,MATCH("",headers[Headers],0)-1)</f>
        <v>23</v>
      </c>
    </row>
    <row r="2" spans="2:32" x14ac:dyDescent="0.2">
      <c r="B2" s="16" t="s">
        <v>708</v>
      </c>
      <c r="D2" s="16" t="s">
        <v>708</v>
      </c>
      <c r="G2" s="15" t="str">
        <f>Viewer!$C$3</f>
        <v>Yearly</v>
      </c>
      <c r="H2" s="15"/>
      <c r="J2" s="17" t="s">
        <v>709</v>
      </c>
      <c r="K2" s="14" t="str">
        <f ca="1">CONCATENATE(INDEX(INDIRECT(CONCATENATE("macro_data[period_",LEFT($G$2,1),"]")),1))</f>
        <v>2000</v>
      </c>
      <c r="M2" s="21" t="str">
        <f>SUBSTITUTE(ADDRESS(1,COLUMN()+MATCH($G$2,$O$2:$Q$2,0)+1,4,1),1,"")</f>
        <v>Q</v>
      </c>
      <c r="N2" s="21" t="s">
        <v>726</v>
      </c>
      <c r="O2" s="14" t="str">
        <f>B5</f>
        <v>Monthly</v>
      </c>
      <c r="P2" s="14" t="str">
        <f>B4</f>
        <v>Quarterly</v>
      </c>
      <c r="Q2" s="14" t="str">
        <f>B3</f>
        <v>Yearly</v>
      </c>
      <c r="S2" s="31" t="s">
        <v>739</v>
      </c>
      <c r="T2" s="21" t="str">
        <f>IF(Viewer!$C$3=technicals!$B$3,"",CONCATENATE(Viewer!C4))</f>
        <v/>
      </c>
      <c r="V2" s="35" t="s">
        <v>737</v>
      </c>
      <c r="Y2" s="38"/>
      <c r="Z2" s="38"/>
      <c r="AA2" s="38"/>
      <c r="AC2" s="13" t="s">
        <v>755</v>
      </c>
    </row>
    <row r="3" spans="2:32" x14ac:dyDescent="0.2">
      <c r="B3" s="14" t="s">
        <v>686</v>
      </c>
      <c r="D3" s="14" t="s">
        <v>687</v>
      </c>
      <c r="E3" s="14" t="s">
        <v>690</v>
      </c>
      <c r="G3" s="14" t="s">
        <v>711</v>
      </c>
      <c r="H3" s="14" t="s">
        <v>712</v>
      </c>
      <c r="J3" s="17" t="s">
        <v>710</v>
      </c>
      <c r="K3" s="14" t="str">
        <f t="array" aca="1" ref="K3" ca="1">CONCATENATE(INDEX(INDIRECT(CONCATENATE("macro_data[period_",LEFT($G$2,1),"]")),MAX(ROW(INDIRECT(CONCATENATE("macro_data[period_",LEFT($G$2,1),"]"))))-1))</f>
        <v>2022</v>
      </c>
      <c r="M3" s="19" t="s">
        <v>715</v>
      </c>
      <c r="N3" s="20"/>
      <c r="O3" s="20"/>
      <c r="P3" s="20"/>
      <c r="Q3" s="18"/>
      <c r="S3" s="31" t="s">
        <v>740</v>
      </c>
      <c r="T3" s="14" t="str">
        <f>IFERROR(VALUE(RIGHT($T$2,IF($G$2=$B$4,1,IF($G$2=$B$5,2,"")))),"")</f>
        <v/>
      </c>
      <c r="V3" s="22" t="str">
        <f ca="1">IF(NOT($T$2=""),IF($T$9="","",CONCATENATE($T$9,$T$2)),CONCATENATE($N$4,$N$5))</f>
        <v>2000</v>
      </c>
      <c r="Y3" s="39" t="s">
        <v>750</v>
      </c>
      <c r="Z3" s="40" t="s">
        <v>751</v>
      </c>
      <c r="AA3" s="38"/>
      <c r="AC3" s="48" t="s">
        <v>757</v>
      </c>
      <c r="AD3" s="48" t="s">
        <v>758</v>
      </c>
      <c r="AE3" s="48" t="s">
        <v>759</v>
      </c>
      <c r="AF3" s="48" t="s">
        <v>1109</v>
      </c>
    </row>
    <row r="4" spans="2:32" x14ac:dyDescent="0.2">
      <c r="B4" s="14" t="s">
        <v>687</v>
      </c>
      <c r="D4" s="14" t="s">
        <v>687</v>
      </c>
      <c r="E4" s="14" t="s">
        <v>691</v>
      </c>
      <c r="G4" s="14" t="str">
        <f ca="1">K5</f>
        <v>2000</v>
      </c>
      <c r="H4" s="14" t="str">
        <f ca="1">K11</f>
        <v>2000</v>
      </c>
      <c r="M4" s="17" t="s">
        <v>724</v>
      </c>
      <c r="N4" s="14" t="str">
        <f ca="1">K11</f>
        <v>2000</v>
      </c>
      <c r="O4" s="14" t="str">
        <f ca="1">N4</f>
        <v>2000</v>
      </c>
      <c r="P4" s="14" t="str">
        <f ca="1">O4</f>
        <v>2000</v>
      </c>
      <c r="Q4" s="14" t="str">
        <f ca="1">P4</f>
        <v>2000</v>
      </c>
      <c r="S4" s="31" t="s">
        <v>741</v>
      </c>
      <c r="T4" s="14" t="str">
        <f>IFERROR(VALUE(RIGHT($N$5,IF($G$2=$B$4,1,IF($G$2=$B$5,2,"")))),"")</f>
        <v/>
      </c>
      <c r="V4" s="34" t="str">
        <f ca="1">IFERROR(IF(V3="","",IF(NOT($T$2=""),IF(AND(VALUE(LEFT(V3,4))+1+$T$3/100&gt;=$T$6,VALUE(LEFT(V3,4))+1+$T$3/100&lt;=$T$7),CONCATENATE(VALUE(LEFT(V3,4))+1,$T$2),""),IF(next_period(V3)=next_period(CONCATENATE($N$7,$N$8)),"",next_period(V3)))),"")</f>
        <v>2001</v>
      </c>
      <c r="Y4" s="14" t="str">
        <f>CONCATENATE("C",$T$13,":","G",$T$14)</f>
        <v>C11:G11</v>
      </c>
      <c r="Z4" s="17" t="str">
        <f ca="1">IFERROR(IF(ISERROR(INDIRECT(CONCATENATE("macro_data[",$B4,"]"))),IF(ISERROR(INDIRECT(CONCATENATE("fin_data[",$B4,"]"))),"",INDEX(INDIRECT(CONCATENATE("fin_meta[",Z$10,"]")),MATCH($B4,fin_meta[VARIABLE],0))),INDEX(INDIRECT(CONCATENATE("macro_meta[",Z$10,"]")),MATCH($B4,macro_meta[VARIABLE],0))),"")</f>
        <v/>
      </c>
      <c r="AA4" s="38"/>
      <c r="AC4" s="17" t="s">
        <v>756</v>
      </c>
      <c r="AD4" s="14" t="s">
        <v>775</v>
      </c>
      <c r="AE4" s="14" t="s">
        <v>1115</v>
      </c>
      <c r="AF4" s="14" t="s">
        <v>1110</v>
      </c>
    </row>
    <row r="5" spans="2:32" x14ac:dyDescent="0.2">
      <c r="B5" s="14" t="s">
        <v>688</v>
      </c>
      <c r="D5" s="14" t="s">
        <v>687</v>
      </c>
      <c r="E5" s="14" t="s">
        <v>692</v>
      </c>
      <c r="G5" s="14" t="str">
        <f ca="1">IF(OR(G4="",G4=$K$6),"",CONCATENATE(VALUE(G4)+1))</f>
        <v>2001</v>
      </c>
      <c r="H5" s="14" t="str">
        <f ca="1">IF(OR(H4="",H4=$K$6),"",CONCATENATE(VALUE(H4)+1))</f>
        <v>2001</v>
      </c>
      <c r="J5" s="17" t="s">
        <v>713</v>
      </c>
      <c r="K5" s="14" t="str">
        <f ca="1">LEFT(K2,4)</f>
        <v>2000</v>
      </c>
      <c r="M5" s="17" t="s">
        <v>725</v>
      </c>
      <c r="N5" s="14" t="str">
        <f>K15</f>
        <v/>
      </c>
      <c r="O5" s="14" t="str">
        <f ca="1">IF(O4="","",IF(LEFT($N5,1)="Q",INDEX($Q$17:$Q$20,MATCH($N5,$P$17:$P$20,0)),IF(LEFT($N5,1)="M",$N5,$N$26)))</f>
        <v>M01</v>
      </c>
      <c r="P5" s="14" t="str">
        <f ca="1">IF(P4="","",IF(LEFT($N5,1)="Q",$N5,IF(LEFT($N5,1)="M",INDEX($N$12:$N$23,MATCH($N5,$M$12:$M$23,0)),$O$26)))</f>
        <v>Q1</v>
      </c>
      <c r="Q5" s="17"/>
      <c r="S5" s="31" t="s">
        <v>742</v>
      </c>
      <c r="T5" s="14" t="str">
        <f>IFERROR(VALUE(RIGHT($N$8,IF($G$2=$B$4,1,IF($G$2=$B$5,2,"")))),"")</f>
        <v/>
      </c>
      <c r="V5" s="34" t="str">
        <f ca="1">IFERROR(IF(V4="","",IF(NOT($T$2=""),IF(AND(VALUE(LEFT(V4,4))+1+$T$3/100&gt;=$T$6,VALUE(LEFT(V4,4))+1+$T$3/100&lt;=$T$7),CONCATENATE(VALUE(LEFT(V4,4))+1,$T$2),""),IF(next_period(V4)=next_period(CONCATENATE($N$7,$N$8)),"",next_period(V4)))),"")</f>
        <v>2002</v>
      </c>
      <c r="Y5" s="14" t="str">
        <f t="array" aca="1" ref="Y5" ca="1">CONCATENATE(SUBSTITUTE(ADDRESS(1,MIN(COLUMN(INDIRECT($T$11))),4,1),"1",""),$T$13,":",SUBSTITUTE(ADDRESS(1,MAX(COLUMN(INDIRECT($T$11))),4,1),"1",""),$T$14)</f>
        <v>H11:AD11</v>
      </c>
      <c r="Z5" s="17" t="str">
        <f ca="1">IFERROR(IF(ISERROR(INDIRECT(CONCATENATE("macro_data[",$B5,"]"))),IF(ISERROR(INDIRECT(CONCATENATE("fin_data[",$B5,"]"))),"",SUM(OFFSET(fin_data[[#Headers],[period_y]],MATCH(Z$10,INDIRECT(CONCATENATE("fin_data[",cperiod,"]")),0)+IF(INDEX(fin_meta[TYPE],MATCH($B5,fin_meta[VARIABLE],0))=cum,IF(cperiod=y,11,IF(cperiod=q,2,0)),0),MATCH($B5,fin_data[#Headers],0)-1,IF(AND(cperiod=y,NOT(INDEX(fin_meta[TYPE],MATCH($B5,fin_meta[VARIABLE],0))=cum)),12,IF(AND(cperiod=q,NOT(INDEX(fin_meta[TYPE],MATCH($B5,fin_meta[VARIABLE],0))=cum)),3,1))))/IFERROR(IF(INDEX(fin_meta[TYPE],MATCH($B5,fin_meta[VARIABLE],0))=avg,COUNT(OFFSET(fin_data[[#Headers],[period_y]],MATCH(Z$10,INDIRECT(CONCATENATE("fin_data[",cperiod,"]")),0)+IF(INDEX(fin_meta[TYPE],MATCH($B5,fin_meta[VARIABLE],0))=cum,IF(cperiod=y,11,IF(cperiod=q,2,0)),0),MATCH($B5,fin_data[#Headers],0)-1,IF(AND(cperiod=y,NOT(INDEX(fin_meta[TYPE],MATCH($B5,fin_meta[VARIABLE],0))=cum)),12,IF(AND(cperiod=q,NOT(INDEX(fin_meta[TYPE],MATCH($B5,fin_meta[VARIABLE],0))=cum)),3,1)))),1),1)),SUM(OFFSET(macro_data[[#Headers],[period_y]],MATCH(Z$10,INDIRECT(CONCATENATE("macro_data[",cperiod,"]")),0)+IF(INDEX(macro_meta[TYPE],MATCH($B5,macro_meta[VARIABLE],0))=cum,IF(cperiod=y,11,IF(cperiod=q,2,0)),0),MATCH($B5,macro_data[#Headers],0)-1,IF(AND(cperiod=y,NOT(INDEX(macro_meta[TYPE],MATCH($B5,macro_meta[VARIABLE],0))=cum)),12,IF(AND(cperiod=q,NOT(INDEX(macro_meta[TYPE],MATCH($B5,macro_meta[VARIABLE],0))=cum)),3,1))))/IFERROR(IF(INDEX(macro_meta[TYPE],MATCH($B5,macro_meta[VARIABLE],0))=avg,COUNT(OFFSET(macro_data[[#Headers],[period_y]],MATCH(Z$10,INDIRECT(CONCATENATE("macro_data[",cperiod,"]")),0)+IF(INDEX(macro_meta[TYPE],MATCH($B5,macro_meta[VARIABLE],0))=cum,IF(cperiod=y,11,IF(cperiod=q,2,0)),0),MATCH($B5,macro_data[#Headers],0)-1,IF(AND(cperiod=y,NOT(INDEX(macro_meta[TYPE],MATCH($B5,macro_meta[VARIABLE],0))=cum)),12,IF(AND(cperiod=q,NOT(INDEX(macro_meta[TYPE],MATCH($B5,macro_meta[VARIABLE],0))=cum)),3,1)))),1),1)),"")</f>
        <v/>
      </c>
      <c r="AA5" s="38"/>
      <c r="AC5" s="17" t="s">
        <v>760</v>
      </c>
      <c r="AD5" s="14" t="s">
        <v>776</v>
      </c>
      <c r="AE5" s="14" t="s">
        <v>1115</v>
      </c>
      <c r="AF5" s="14" t="s">
        <v>1110</v>
      </c>
    </row>
    <row r="6" spans="2:32" x14ac:dyDescent="0.2">
      <c r="D6" s="14" t="s">
        <v>687</v>
      </c>
      <c r="E6" s="14" t="s">
        <v>693</v>
      </c>
      <c r="G6" s="14" t="str">
        <f t="shared" ref="G6:G56" ca="1" si="0">IF(OR(G5="",G5=$K$6),"",CONCATENATE(VALUE(G5)+1))</f>
        <v>2002</v>
      </c>
      <c r="H6" s="14" t="str">
        <f t="shared" ref="H6:H56" ca="1" si="1">IF(OR(H5="",H5=$K$6),"",CONCATENATE(VALUE(H5)+1))</f>
        <v>2002</v>
      </c>
      <c r="J6" s="17" t="s">
        <v>714</v>
      </c>
      <c r="K6" s="14" t="str">
        <f ca="1">LEFT(K3,4)</f>
        <v>2022</v>
      </c>
      <c r="M6" s="19" t="s">
        <v>720</v>
      </c>
      <c r="N6" s="22"/>
      <c r="O6" s="20"/>
      <c r="P6" s="20"/>
      <c r="Q6" s="18"/>
      <c r="S6" s="31" t="s">
        <v>741</v>
      </c>
      <c r="T6" s="14" t="e">
        <f ca="1">VALUE($N$4)+$T$4/100</f>
        <v>#VALUE!</v>
      </c>
      <c r="V6" s="34" t="str">
        <f ca="1">IFERROR(IF(V5="","",IF(NOT($T$2=""),IF(AND(VALUE(LEFT(V5,4))+1+$T$3/100&gt;=$T$6,VALUE(LEFT(V5,4))+1+$T$3/100&lt;=$T$7),CONCATENATE(VALUE(LEFT(V5,4))+1,$T$2),""),IF(next_period(V5)=next_period(CONCATENATE($N$7,$N$8)),"",next_period(V5)))),"")</f>
        <v>2003</v>
      </c>
      <c r="AC6" s="17" t="s">
        <v>761</v>
      </c>
      <c r="AD6" s="14" t="s">
        <v>777</v>
      </c>
      <c r="AE6" s="14" t="s">
        <v>1115</v>
      </c>
      <c r="AF6" s="14" t="s">
        <v>1110</v>
      </c>
    </row>
    <row r="7" spans="2:32" x14ac:dyDescent="0.2">
      <c r="D7" s="14" t="s">
        <v>688</v>
      </c>
      <c r="E7" s="14" t="s">
        <v>694</v>
      </c>
      <c r="G7" s="14" t="str">
        <f t="shared" ca="1" si="0"/>
        <v>2003</v>
      </c>
      <c r="H7" s="14" t="str">
        <f t="shared" ca="1" si="1"/>
        <v>2003</v>
      </c>
      <c r="M7" s="17" t="s">
        <v>724</v>
      </c>
      <c r="N7" s="14" t="str">
        <f ca="1">K12</f>
        <v>2022</v>
      </c>
      <c r="O7" s="14" t="str">
        <f ca="1">N7</f>
        <v>2022</v>
      </c>
      <c r="P7" s="14" t="str">
        <f ca="1">O7</f>
        <v>2022</v>
      </c>
      <c r="Q7" s="14" t="str">
        <f ca="1">P7</f>
        <v>2022</v>
      </c>
      <c r="S7" s="31" t="s">
        <v>742</v>
      </c>
      <c r="T7" s="14" t="e">
        <f ca="1">VALUE($N$7)+$T$5/100</f>
        <v>#VALUE!</v>
      </c>
      <c r="V7" s="34" t="str">
        <f ca="1">IFERROR(IF(V6="","",IF(NOT($T$2=""),IF(AND(VALUE(LEFT(V6,4))+1+$T$3/100&gt;=$T$6,VALUE(LEFT(V6,4))+1+$T$3/100&lt;=$T$7),CONCATENATE(VALUE(LEFT(V6,4))+1,$T$2),""),IF(next_period(V6)=next_period(CONCATENATE($N$7,$N$8)),"",next_period(V6)))),"")</f>
        <v>2004</v>
      </c>
      <c r="Y7" s="17" t="s">
        <v>803</v>
      </c>
      <c r="Z7" s="54" t="s">
        <v>804</v>
      </c>
      <c r="AA7" s="57" t="s">
        <v>1108</v>
      </c>
      <c r="AC7" s="17" t="s">
        <v>762</v>
      </c>
      <c r="AD7" s="14" t="s">
        <v>778</v>
      </c>
      <c r="AE7" s="14" t="s">
        <v>1115</v>
      </c>
      <c r="AF7" s="14" t="s">
        <v>1110</v>
      </c>
    </row>
    <row r="8" spans="2:32" x14ac:dyDescent="0.2">
      <c r="D8" s="14" t="s">
        <v>688</v>
      </c>
      <c r="E8" s="14" t="s">
        <v>695</v>
      </c>
      <c r="G8" s="14" t="str">
        <f t="shared" ca="1" si="0"/>
        <v>2004</v>
      </c>
      <c r="H8" s="14" t="str">
        <f t="shared" ca="1" si="1"/>
        <v>2004</v>
      </c>
      <c r="J8" s="17" t="s">
        <v>718</v>
      </c>
      <c r="K8" s="14" t="str">
        <f>IF($G$2=$B$4,RIGHT($K$2,2),IF($G$2=$B$5,RIGHT($K$2,3),""))</f>
        <v/>
      </c>
      <c r="M8" s="17" t="s">
        <v>725</v>
      </c>
      <c r="N8" s="14" t="str">
        <f>K16</f>
        <v/>
      </c>
      <c r="O8" s="14" t="str">
        <f ca="1">IF(O7="","",IF(LEFT($N8,1)="Q",INDEX($Q$12:$Q$15,MATCH($N8,$P$12:$P$15,0)),IF(LEFT($N8,1)="M",$N8,$N$27)))</f>
        <v>M12</v>
      </c>
      <c r="P8" s="14" t="str">
        <f ca="1">IF(P7="","",IF(LEFT($N8,1)="Q",$N8,IF(LEFT($N8,1)="M",INDEX($N$12:$N$23,MATCH($N8,$M$12:$M$23,0)),$O$27)))</f>
        <v>Q4</v>
      </c>
      <c r="Q8" s="17"/>
      <c r="V8" s="34" t="str">
        <f ca="1">IFERROR(IF(V7="","",IF(NOT($T$2=""),IF(AND(VALUE(LEFT(V7,4))+1+$T$3/100&gt;=$T$6,VALUE(LEFT(V7,4))+1+$T$3/100&lt;=$T$7),CONCATENATE(VALUE(LEFT(V7,4))+1,$T$2),""),IF(next_period(V7)=next_period(CONCATENATE($N$7,$N$8)),"",next_period(V7)))),"")</f>
        <v>2005</v>
      </c>
      <c r="AC8" s="17" t="s">
        <v>763</v>
      </c>
      <c r="AD8" s="14" t="s">
        <v>779</v>
      </c>
      <c r="AE8" s="14" t="s">
        <v>1115</v>
      </c>
      <c r="AF8" s="14" t="s">
        <v>1110</v>
      </c>
    </row>
    <row r="9" spans="2:32" x14ac:dyDescent="0.2">
      <c r="D9" s="14" t="s">
        <v>688</v>
      </c>
      <c r="E9" s="14" t="s">
        <v>696</v>
      </c>
      <c r="G9" s="14" t="str">
        <f t="shared" ca="1" si="0"/>
        <v>2005</v>
      </c>
      <c r="H9" s="14" t="str">
        <f t="shared" ca="1" si="1"/>
        <v>2005</v>
      </c>
      <c r="J9" s="17" t="s">
        <v>719</v>
      </c>
      <c r="K9" s="14" t="str">
        <f>IF($G$2=$B$4,RIGHT($K$3,2),IF($G$2=$B$5,RIGHT($K$3,3),""))</f>
        <v/>
      </c>
      <c r="S9" s="31" t="s">
        <v>743</v>
      </c>
      <c r="T9" s="33" t="e">
        <f ca="1">IF(AND(VALUE($N$4)+$T$3/100&gt;=$T$6,VALUE($N$4)+$T$3/100&lt;=$T$7),$N$4,IF(AND(VALUE($N$4)+1+$T$3/100&gt;=$T$6,VALUE($N$4)+1+$T$3/100&lt;=$T$7),CONCATENATE(VALUE($N$4)+1),""))</f>
        <v>#VALUE!</v>
      </c>
      <c r="V9" s="34" t="str">
        <f ca="1">IFERROR(IF(V8="","",IF(NOT($T$2=""),IF(AND(VALUE(LEFT(V8,4))+1+$T$3/100&gt;=$T$6,VALUE(LEFT(V8,4))+1+$T$3/100&lt;=$T$7),CONCATENATE(VALUE(LEFT(V8,4))+1,$T$2),""),IF(next_period(V8)=next_period(CONCATENATE($N$7,$N$8)),"",next_period(V8)))),"")</f>
        <v>2006</v>
      </c>
      <c r="AC9" s="17" t="s">
        <v>764</v>
      </c>
      <c r="AD9" s="14" t="s">
        <v>780</v>
      </c>
      <c r="AE9" s="14" t="s">
        <v>1115</v>
      </c>
      <c r="AF9" s="14" t="s">
        <v>1110</v>
      </c>
    </row>
    <row r="10" spans="2:32" x14ac:dyDescent="0.2">
      <c r="D10" s="14" t="s">
        <v>688</v>
      </c>
      <c r="E10" s="14" t="s">
        <v>697</v>
      </c>
      <c r="G10" s="14" t="str">
        <f t="shared" ca="1" si="0"/>
        <v>2006</v>
      </c>
      <c r="H10" s="14" t="str">
        <f t="shared" ca="1" si="1"/>
        <v>2006</v>
      </c>
      <c r="V10" s="34" t="str">
        <f ca="1">IFERROR(IF(V9="","",IF(NOT($T$2=""),IF(AND(VALUE(LEFT(V9,4))+1+$T$3/100&gt;=$T$6,VALUE(LEFT(V9,4))+1+$T$3/100&lt;=$T$7),CONCATENATE(VALUE(LEFT(V9,4))+1,$T$2),""),IF(next_period(V9)=next_period(CONCATENATE($N$7,$N$8)),"",next_period(V9)))),"")</f>
        <v>2007</v>
      </c>
      <c r="Y10" s="49" t="s">
        <v>790</v>
      </c>
      <c r="AC10" s="17" t="s">
        <v>765</v>
      </c>
      <c r="AD10" s="14" t="s">
        <v>781</v>
      </c>
      <c r="AE10" s="14" t="s">
        <v>1115</v>
      </c>
      <c r="AF10" s="14" t="s">
        <v>1110</v>
      </c>
    </row>
    <row r="11" spans="2:32" x14ac:dyDescent="0.2">
      <c r="D11" s="14" t="s">
        <v>688</v>
      </c>
      <c r="E11" s="14" t="s">
        <v>698</v>
      </c>
      <c r="G11" s="14" t="str">
        <f t="shared" ca="1" si="0"/>
        <v>2007</v>
      </c>
      <c r="H11" s="14" t="str">
        <f t="shared" ca="1" si="1"/>
        <v>2007</v>
      </c>
      <c r="J11" s="17" t="s">
        <v>715</v>
      </c>
      <c r="K11" s="14" t="str">
        <f ca="1">CONCATENATE(IF(Viewer!$C$5=technicals!$G$3,technicals!$K$5,Viewer!$C$5))</f>
        <v>2000</v>
      </c>
      <c r="M11" s="14" t="str">
        <f>B5</f>
        <v>Monthly</v>
      </c>
      <c r="N11" s="14" t="str">
        <f>B4</f>
        <v>Quarterly</v>
      </c>
      <c r="P11" s="14" t="str">
        <f>B4</f>
        <v>Quarterly</v>
      </c>
      <c r="Q11" s="14" t="str">
        <f>B5</f>
        <v>Monthly</v>
      </c>
      <c r="S11" s="31" t="s">
        <v>744</v>
      </c>
      <c r="T11" s="14" t="str">
        <f ca="1">IFERROR(CONCATENATE("H10",":",SUBSTITUTE(ADDRESS(1,8+$V$1-1,4,1),"1",""),ROW(Viewer!$H$10)),"H10")</f>
        <v>H10:AD10</v>
      </c>
      <c r="V11" s="34" t="str">
        <f ca="1">IFERROR(IF(V10="","",IF(NOT($T$2=""),IF(AND(VALUE(LEFT(V10,4))+1+$T$3/100&gt;=$T$6,VALUE(LEFT(V10,4))+1+$T$3/100&lt;=$T$7),CONCATENATE(VALUE(LEFT(V10,4))+1,$T$2),""),IF(next_period(V10)=next_period(CONCATENATE($N$7,$N$8)),"",next_period(V10)))),"")</f>
        <v>2008</v>
      </c>
      <c r="Y11" s="17" t="s">
        <v>791</v>
      </c>
      <c r="Z11" s="17" t="str">
        <f ca="1">LEFT(CELL("filename"),SEARCH("[",CELL("filename"))-1)</f>
        <v>D:\Other\Apps\</v>
      </c>
      <c r="AA11" s="38"/>
      <c r="AC11" s="17" t="s">
        <v>766</v>
      </c>
      <c r="AD11" s="14" t="s">
        <v>782</v>
      </c>
      <c r="AE11" s="14" t="s">
        <v>1115</v>
      </c>
      <c r="AF11" s="14" t="s">
        <v>1110</v>
      </c>
    </row>
    <row r="12" spans="2:32" x14ac:dyDescent="0.2">
      <c r="B12" s="14" t="s">
        <v>745</v>
      </c>
      <c r="D12" s="14" t="s">
        <v>688</v>
      </c>
      <c r="E12" s="14" t="s">
        <v>699</v>
      </c>
      <c r="G12" s="14" t="str">
        <f t="shared" ca="1" si="0"/>
        <v>2008</v>
      </c>
      <c r="H12" s="14" t="str">
        <f t="shared" ca="1" si="1"/>
        <v>2008</v>
      </c>
      <c r="J12" s="17" t="s">
        <v>720</v>
      </c>
      <c r="K12" s="14" t="str">
        <f ca="1">CONCATENATE(IF(Viewer!$C$6=technicals!$H$3,technicals!$K$6,Viewer!$C$6))</f>
        <v>2022</v>
      </c>
      <c r="M12" s="14" t="s">
        <v>694</v>
      </c>
      <c r="N12" s="14" t="s">
        <v>690</v>
      </c>
      <c r="P12" s="14" t="s">
        <v>690</v>
      </c>
      <c r="Q12" s="14" t="s">
        <v>696</v>
      </c>
      <c r="V12" s="34" t="str">
        <f ca="1">IFERROR(IF(V11="","",IF(NOT($T$2=""),IF(AND(VALUE(LEFT(V11,4))+1+$T$3/100&gt;=$T$6,VALUE(LEFT(V11,4))+1+$T$3/100&lt;=$T$7),CONCATENATE(VALUE(LEFT(V11,4))+1,$T$2),""),IF(next_period(V11)=next_period(CONCATENATE($N$7,$N$8)),"",next_period(V11)))),"")</f>
        <v>2009</v>
      </c>
      <c r="Y12" s="17" t="s">
        <v>792</v>
      </c>
      <c r="Z12" s="17" t="s">
        <v>793</v>
      </c>
      <c r="AA12" s="38"/>
      <c r="AC12" s="17" t="s">
        <v>767</v>
      </c>
      <c r="AD12" s="14" t="s">
        <v>783</v>
      </c>
      <c r="AE12" s="14" t="s">
        <v>1115</v>
      </c>
      <c r="AF12" s="14" t="s">
        <v>1110</v>
      </c>
    </row>
    <row r="13" spans="2:32" x14ac:dyDescent="0.2">
      <c r="B13" s="14" t="s">
        <v>746</v>
      </c>
      <c r="D13" s="14" t="s">
        <v>688</v>
      </c>
      <c r="E13" s="14" t="s">
        <v>700</v>
      </c>
      <c r="G13" s="14" t="str">
        <f t="shared" ca="1" si="0"/>
        <v>2009</v>
      </c>
      <c r="H13" s="14" t="str">
        <f t="shared" ca="1" si="1"/>
        <v>2009</v>
      </c>
      <c r="J13" s="17" t="s">
        <v>716</v>
      </c>
      <c r="K13" s="14">
        <f ca="1">VALUE(K6)-VALUE(K5)+2</f>
        <v>24</v>
      </c>
      <c r="M13" s="14" t="s">
        <v>695</v>
      </c>
      <c r="N13" s="14" t="s">
        <v>690</v>
      </c>
      <c r="P13" s="14" t="s">
        <v>691</v>
      </c>
      <c r="Q13" s="14" t="s">
        <v>699</v>
      </c>
      <c r="S13" s="31" t="s">
        <v>752</v>
      </c>
      <c r="T13" s="14">
        <f>ROW(Viewer!$B$10)+1</f>
        <v>11</v>
      </c>
      <c r="V13" s="34" t="str">
        <f ca="1">IFERROR(IF(V12="","",IF(NOT($T$2=""),IF(AND(VALUE(LEFT(V12,4))+1+$T$3/100&gt;=$T$6,VALUE(LEFT(V12,4))+1+$T$3/100&lt;=$T$7),CONCATENATE(VALUE(LEFT(V12,4))+1,$T$2),""),IF(next_period(V12)=next_period(CONCATENATE($N$7,$N$8)),"",next_period(V12)))),"")</f>
        <v>2010</v>
      </c>
      <c r="Y13" s="17" t="s">
        <v>794</v>
      </c>
      <c r="Z13" s="14" t="str">
        <f ca="1">CONCATENATE("B10:",RIGHT($Y$5,LEN($Y$5)-SEARCH(":",$Y$5)))</f>
        <v>B10:AD11</v>
      </c>
      <c r="AA13" s="58"/>
      <c r="AC13" s="17" t="s">
        <v>768</v>
      </c>
      <c r="AD13" s="14" t="s">
        <v>784</v>
      </c>
      <c r="AE13" s="14" t="s">
        <v>1115</v>
      </c>
      <c r="AF13" s="14" t="s">
        <v>1110</v>
      </c>
    </row>
    <row r="14" spans="2:32" x14ac:dyDescent="0.2">
      <c r="B14" s="14" t="s">
        <v>747</v>
      </c>
      <c r="D14" s="14" t="s">
        <v>688</v>
      </c>
      <c r="E14" s="14" t="s">
        <v>701</v>
      </c>
      <c r="G14" s="14" t="str">
        <f t="shared" ca="1" si="0"/>
        <v>2010</v>
      </c>
      <c r="H14" s="14" t="str">
        <f t="shared" ca="1" si="1"/>
        <v>2010</v>
      </c>
      <c r="J14" s="17" t="s">
        <v>717</v>
      </c>
      <c r="K14" s="14">
        <f ca="1">VALUE($K$6)-VALUE($K$11)+2</f>
        <v>24</v>
      </c>
      <c r="M14" s="14" t="s">
        <v>696</v>
      </c>
      <c r="N14" s="14" t="s">
        <v>690</v>
      </c>
      <c r="P14" s="14" t="s">
        <v>692</v>
      </c>
      <c r="Q14" s="14" t="s">
        <v>702</v>
      </c>
      <c r="S14" s="31" t="s">
        <v>753</v>
      </c>
      <c r="T14" s="14">
        <f t="array" ref="T14">IF(MATCH(1,--(ISBLANK(Viewer!$B$11:$B$200)),0)+ROW(Viewer!$B$10)-1&lt;T13,T13,MATCH(1,--(ISBLANK(Viewer!$B$11:$B$200)),0)+ROW(Viewer!$B$10)-1)</f>
        <v>11</v>
      </c>
      <c r="V14" s="34" t="str">
        <f ca="1">IFERROR(IF(V13="","",IF(NOT($T$2=""),IF(AND(VALUE(LEFT(V13,4))+1+$T$3/100&gt;=$T$6,VALUE(LEFT(V13,4))+1+$T$3/100&lt;=$T$7),CONCATENATE(VALUE(LEFT(V13,4))+1,$T$2),""),IF(next_period(V13)=next_period(CONCATENATE($N$7,$N$8)),"",next_period(V13)))),"")</f>
        <v>2011</v>
      </c>
      <c r="Y14" s="17"/>
      <c r="Z14" s="17"/>
      <c r="AA14" s="38"/>
      <c r="AC14" s="17" t="s">
        <v>769</v>
      </c>
      <c r="AD14" s="14" t="s">
        <v>785</v>
      </c>
      <c r="AE14" s="14" t="s">
        <v>1115</v>
      </c>
      <c r="AF14" s="14" t="s">
        <v>1110</v>
      </c>
    </row>
    <row r="15" spans="2:32" x14ac:dyDescent="0.2">
      <c r="B15" s="14" t="s">
        <v>748</v>
      </c>
      <c r="D15" s="14" t="s">
        <v>688</v>
      </c>
      <c r="E15" s="14" t="s">
        <v>702</v>
      </c>
      <c r="G15" s="14" t="str">
        <f t="shared" ca="1" si="0"/>
        <v>2011</v>
      </c>
      <c r="H15" s="14" t="str">
        <f t="shared" ca="1" si="1"/>
        <v>2011</v>
      </c>
      <c r="J15" s="17" t="s">
        <v>723</v>
      </c>
      <c r="K15" s="14" t="str">
        <f>CONCATENATE(IF(Viewer!$C$5=technicals!$G$3,technicals!$K$8,Viewer!$D$5))</f>
        <v/>
      </c>
      <c r="M15" s="14" t="s">
        <v>697</v>
      </c>
      <c r="N15" s="14" t="s">
        <v>691</v>
      </c>
      <c r="P15" s="14" t="s">
        <v>693</v>
      </c>
      <c r="Q15" s="14" t="s">
        <v>705</v>
      </c>
      <c r="V15" s="34" t="str">
        <f ca="1">IFERROR(IF(V14="","",IF(NOT($T$2=""),IF(AND(VALUE(LEFT(V14,4))+1+$T$3/100&gt;=$T$6,VALUE(LEFT(V14,4))+1+$T$3/100&lt;=$T$7),CONCATENATE(VALUE(LEFT(V14,4))+1,$T$2),""),IF(next_period(V14)=next_period(CONCATENATE($N$7,$N$8)),"",next_period(V14)))),"")</f>
        <v>2012</v>
      </c>
      <c r="Y15" s="17"/>
      <c r="Z15" s="17"/>
      <c r="AA15" s="38"/>
      <c r="AC15" s="17" t="s">
        <v>770</v>
      </c>
      <c r="AD15" s="14" t="s">
        <v>786</v>
      </c>
      <c r="AE15" s="14" t="s">
        <v>1115</v>
      </c>
      <c r="AF15" s="14" t="s">
        <v>1110</v>
      </c>
    </row>
    <row r="16" spans="2:32" x14ac:dyDescent="0.2">
      <c r="D16" s="14" t="s">
        <v>688</v>
      </c>
      <c r="E16" s="14" t="s">
        <v>703</v>
      </c>
      <c r="G16" s="14" t="str">
        <f t="shared" ca="1" si="0"/>
        <v>2012</v>
      </c>
      <c r="H16" s="14" t="str">
        <f t="shared" ca="1" si="1"/>
        <v>2012</v>
      </c>
      <c r="J16" s="17" t="s">
        <v>727</v>
      </c>
      <c r="K16" s="14" t="str">
        <f>CONCATENATE(IF(Viewer!$C$6=technicals!$H$3,technicals!$K$9,Viewer!$D$6))</f>
        <v/>
      </c>
      <c r="M16" s="14" t="s">
        <v>698</v>
      </c>
      <c r="N16" s="14" t="s">
        <v>691</v>
      </c>
      <c r="P16" s="14" t="str">
        <f>P11</f>
        <v>Quarterly</v>
      </c>
      <c r="Q16" s="14" t="str">
        <f>Q11</f>
        <v>Monthly</v>
      </c>
      <c r="V16" s="34" t="str">
        <f ca="1">IFERROR(IF(V15="","",IF(NOT($T$2=""),IF(AND(VALUE(LEFT(V15,4))+1+$T$3/100&gt;=$T$6,VALUE(LEFT(V15,4))+1+$T$3/100&lt;=$T$7),CONCATENATE(VALUE(LEFT(V15,4))+1,$T$2),""),IF(next_period(V15)=next_period(CONCATENATE($N$7,$N$8)),"",next_period(V15)))),"")</f>
        <v>2013</v>
      </c>
      <c r="Y16" s="17"/>
      <c r="Z16" s="17"/>
      <c r="AA16" s="38"/>
      <c r="AC16" s="17" t="s">
        <v>771</v>
      </c>
      <c r="AD16" s="14" t="s">
        <v>787</v>
      </c>
      <c r="AE16" s="14" t="s">
        <v>1115</v>
      </c>
      <c r="AF16" s="14" t="s">
        <v>1110</v>
      </c>
    </row>
    <row r="17" spans="2:32" x14ac:dyDescent="0.2">
      <c r="D17" s="14" t="s">
        <v>688</v>
      </c>
      <c r="E17" s="14" t="s">
        <v>704</v>
      </c>
      <c r="G17" s="14" t="str">
        <f t="shared" ca="1" si="0"/>
        <v>2013</v>
      </c>
      <c r="H17" s="14" t="str">
        <f t="shared" ca="1" si="1"/>
        <v>2013</v>
      </c>
      <c r="M17" s="14" t="s">
        <v>699</v>
      </c>
      <c r="N17" s="14" t="s">
        <v>691</v>
      </c>
      <c r="P17" s="14" t="s">
        <v>690</v>
      </c>
      <c r="Q17" s="14" t="s">
        <v>694</v>
      </c>
      <c r="V17" s="34" t="str">
        <f ca="1">IFERROR(IF(V16="","",IF(NOT($T$2=""),IF(AND(VALUE(LEFT(V16,4))+1+$T$3/100&gt;=$T$6,VALUE(LEFT(V16,4))+1+$T$3/100&lt;=$T$7),CONCATENATE(VALUE(LEFT(V16,4))+1,$T$2),""),IF(next_period(V16)=next_period(CONCATENATE($N$7,$N$8)),"",next_period(V16)))),"")</f>
        <v>2014</v>
      </c>
      <c r="Y17" s="17"/>
      <c r="Z17" s="17"/>
      <c r="AA17" s="38"/>
      <c r="AC17" s="17" t="s">
        <v>888</v>
      </c>
      <c r="AD17" s="14" t="s">
        <v>892</v>
      </c>
      <c r="AE17" s="14" t="s">
        <v>1115</v>
      </c>
      <c r="AF17" s="14" t="s">
        <v>1110</v>
      </c>
    </row>
    <row r="18" spans="2:32" x14ac:dyDescent="0.2">
      <c r="B18" s="14" t="s">
        <v>749</v>
      </c>
      <c r="D18" s="14" t="s">
        <v>688</v>
      </c>
      <c r="E18" s="14" t="s">
        <v>705</v>
      </c>
      <c r="G18" s="14" t="str">
        <f t="shared" ca="1" si="0"/>
        <v>2014</v>
      </c>
      <c r="H18" s="14" t="str">
        <f t="shared" ca="1" si="1"/>
        <v>2014</v>
      </c>
      <c r="J18" s="11">
        <f ca="1">IFERROR(MATCH("",$J$20:$J$33,0),0)-1</f>
        <v>0</v>
      </c>
      <c r="K18" s="11">
        <f ca="1">IFERROR(MATCH("",$K$20:$K$33,0),1)-1</f>
        <v>0</v>
      </c>
      <c r="M18" s="14" t="s">
        <v>700</v>
      </c>
      <c r="N18" s="14" t="s">
        <v>692</v>
      </c>
      <c r="P18" s="14" t="s">
        <v>691</v>
      </c>
      <c r="Q18" s="14" t="s">
        <v>697</v>
      </c>
      <c r="V18" s="34" t="str">
        <f ca="1">IFERROR(IF(V17="","",IF(NOT($T$2=""),IF(AND(VALUE(LEFT(V17,4))+1+$T$3/100&gt;=$T$6,VALUE(LEFT(V17,4))+1+$T$3/100&lt;=$T$7),CONCATENATE(VALUE(LEFT(V17,4))+1,$T$2),""),IF(next_period(V17)=next_period(CONCATENATE($N$7,$N$8)),"",next_period(V17)))),"")</f>
        <v>2015</v>
      </c>
      <c r="AC18" s="17" t="s">
        <v>889</v>
      </c>
      <c r="AD18" s="14" t="s">
        <v>891</v>
      </c>
      <c r="AE18" s="14" t="s">
        <v>1115</v>
      </c>
      <c r="AF18" s="14" t="s">
        <v>1110</v>
      </c>
    </row>
    <row r="19" spans="2:32" x14ac:dyDescent="0.2">
      <c r="G19" s="14" t="str">
        <f t="shared" ca="1" si="0"/>
        <v>2015</v>
      </c>
      <c r="H19" s="14" t="str">
        <f t="shared" ca="1" si="1"/>
        <v>2015</v>
      </c>
      <c r="J19" s="11" t="s">
        <v>721</v>
      </c>
      <c r="K19" s="11" t="s">
        <v>722</v>
      </c>
      <c r="M19" s="14" t="s">
        <v>701</v>
      </c>
      <c r="N19" s="14" t="s">
        <v>692</v>
      </c>
      <c r="P19" s="14" t="s">
        <v>692</v>
      </c>
      <c r="Q19" s="14" t="s">
        <v>700</v>
      </c>
      <c r="V19" s="34" t="str">
        <f ca="1">IFERROR(IF(V18="","",IF(NOT($T$2=""),IF(AND(VALUE(LEFT(V18,4))+1+$T$3/100&gt;=$T$6,VALUE(LEFT(V18,4))+1+$T$3/100&lt;=$T$7),CONCATENATE(VALUE(LEFT(V18,4))+1,$T$2),""),IF(next_period(V18)=next_period(CONCATENATE($N$7,$N$8)),"",next_period(V18)))),"")</f>
        <v>2016</v>
      </c>
      <c r="AC19" s="17" t="s">
        <v>772</v>
      </c>
      <c r="AD19" s="14" t="s">
        <v>890</v>
      </c>
      <c r="AE19" s="14" t="s">
        <v>1115</v>
      </c>
      <c r="AF19" s="14" t="s">
        <v>1110</v>
      </c>
    </row>
    <row r="20" spans="2:32" x14ac:dyDescent="0.2">
      <c r="G20" s="14" t="str">
        <f t="shared" ca="1" si="0"/>
        <v>2016</v>
      </c>
      <c r="H20" s="14" t="str">
        <f t="shared" ca="1" si="1"/>
        <v>2016</v>
      </c>
      <c r="J20" s="14" t="str">
        <f t="shared" ref="J20:J31" ca="1" si="2">IFERROR(IF(OR(J19="",AND($K$11=$K$6,J19=$K$9)),"",INDEX(OFFSET($E$2,MATCH($G$2,$D$3:$D$18,0),0,COUNTIFS($D$3:$D$18,$G$2)),ROW()-ROW($J$19))),"")</f>
        <v/>
      </c>
      <c r="K20" s="14" t="str">
        <f t="shared" ref="K20:K31" ca="1" si="3">IFERROR(IF(OR(K19="",AND($K$12=$K$6,K19=$K$9)),"",IF($K$12=$K$11,INDEX(OFFSET($E$2,MATCH($G$2,$D$3:$D$18,0),0,COUNTIFS($D$3:$D$18,$G$2)),MATCH($K$15,OFFSET($E$2,MATCH($G$2,$D$3:$D$18,0),0,COUNTIFS($D$3:$D$18,$G$2)),0)+ROW()-ROW($K$19)-1),INDEX(OFFSET($E$2,MATCH($G$2,$D$3:$D$18,0),0,COUNTIFS($D$3:$D$18,$G$2)),ROW()-ROW($K$19)))),"")</f>
        <v/>
      </c>
      <c r="M20" s="14" t="s">
        <v>702</v>
      </c>
      <c r="N20" s="14" t="s">
        <v>692</v>
      </c>
      <c r="P20" s="14" t="s">
        <v>693</v>
      </c>
      <c r="Q20" s="14" t="s">
        <v>703</v>
      </c>
      <c r="V20" s="34" t="str">
        <f ca="1">IFERROR(IF(V19="","",IF(NOT($T$2=""),IF(AND(VALUE(LEFT(V19,4))+1+$T$3/100&gt;=$T$6,VALUE(LEFT(V19,4))+1+$T$3/100&lt;=$T$7),CONCATENATE(VALUE(LEFT(V19,4))+1,$T$2),""),IF(next_period(V19)=next_period(CONCATENATE($N$7,$N$8)),"",next_period(V19)))),"")</f>
        <v>2017</v>
      </c>
      <c r="AC20" s="17" t="s">
        <v>773</v>
      </c>
      <c r="AD20" s="14" t="s">
        <v>788</v>
      </c>
      <c r="AE20" s="14" t="s">
        <v>1115</v>
      </c>
      <c r="AF20" s="14" t="s">
        <v>1110</v>
      </c>
    </row>
    <row r="21" spans="2:32" x14ac:dyDescent="0.2">
      <c r="G21" s="14" t="str">
        <f t="shared" ca="1" si="0"/>
        <v>2017</v>
      </c>
      <c r="H21" s="14" t="str">
        <f t="shared" ca="1" si="1"/>
        <v>2017</v>
      </c>
      <c r="J21" s="14" t="str">
        <f t="shared" ca="1" si="2"/>
        <v/>
      </c>
      <c r="K21" s="14" t="str">
        <f t="shared" ca="1" si="3"/>
        <v/>
      </c>
      <c r="M21" s="14" t="s">
        <v>703</v>
      </c>
      <c r="N21" s="14" t="s">
        <v>693</v>
      </c>
      <c r="P21" s="14"/>
      <c r="Q21" s="14"/>
      <c r="V21" s="34" t="str">
        <f ca="1">IFERROR(IF(V20="","",IF(NOT($T$2=""),IF(AND(VALUE(LEFT(V20,4))+1+$T$3/100&gt;=$T$6,VALUE(LEFT(V20,4))+1+$T$3/100&lt;=$T$7),CONCATENATE(VALUE(LEFT(V20,4))+1,$T$2),""),IF(next_period(V20)=next_period(CONCATENATE($N$7,$N$8)),"",next_period(V20)))),"")</f>
        <v>2018</v>
      </c>
      <c r="AC21" s="17" t="s">
        <v>774</v>
      </c>
      <c r="AD21" s="14" t="s">
        <v>789</v>
      </c>
      <c r="AE21" s="14" t="s">
        <v>1115</v>
      </c>
      <c r="AF21" s="14" t="s">
        <v>1110</v>
      </c>
    </row>
    <row r="22" spans="2:32" x14ac:dyDescent="0.2">
      <c r="G22" s="14" t="str">
        <f t="shared" ca="1" si="0"/>
        <v>2018</v>
      </c>
      <c r="H22" s="14" t="str">
        <f t="shared" ca="1" si="1"/>
        <v>2018</v>
      </c>
      <c r="J22" s="14" t="str">
        <f t="shared" ca="1" si="2"/>
        <v/>
      </c>
      <c r="K22" s="14" t="str">
        <f t="shared" ca="1" si="3"/>
        <v/>
      </c>
      <c r="M22" s="14" t="s">
        <v>704</v>
      </c>
      <c r="N22" s="14" t="s">
        <v>693</v>
      </c>
      <c r="P22" s="14"/>
      <c r="Q22" s="14"/>
      <c r="V22" s="34" t="str">
        <f ca="1">IFERROR(IF(V21="","",IF(NOT($T$2=""),IF(AND(VALUE(LEFT(V21,4))+1+$T$3/100&gt;=$T$6,VALUE(LEFT(V21,4))+1+$T$3/100&lt;=$T$7),CONCATENATE(VALUE(LEFT(V21,4))+1,$T$2),""),IF(next_period(V21)=next_period(CONCATENATE($N$7,$N$8)),"",next_period(V21)))),"")</f>
        <v>2019</v>
      </c>
      <c r="AC22" s="17" t="s">
        <v>1111</v>
      </c>
      <c r="AD22" s="14" t="s">
        <v>1112</v>
      </c>
      <c r="AE22" s="14" t="s">
        <v>1115</v>
      </c>
      <c r="AF22" s="14" t="s">
        <v>1113</v>
      </c>
    </row>
    <row r="23" spans="2:32" x14ac:dyDescent="0.2">
      <c r="G23" s="14" t="str">
        <f t="shared" ca="1" si="0"/>
        <v>2019</v>
      </c>
      <c r="H23" s="14" t="str">
        <f t="shared" ca="1" si="1"/>
        <v>2019</v>
      </c>
      <c r="J23" s="14" t="str">
        <f t="shared" ca="1" si="2"/>
        <v/>
      </c>
      <c r="K23" s="14" t="str">
        <f t="shared" ca="1" si="3"/>
        <v/>
      </c>
      <c r="M23" s="14" t="s">
        <v>705</v>
      </c>
      <c r="N23" s="14" t="s">
        <v>693</v>
      </c>
      <c r="P23" s="14"/>
      <c r="Q23" s="14"/>
      <c r="V23" s="34" t="str">
        <f ca="1">IFERROR(IF(V22="","",IF(NOT($T$2=""),IF(AND(VALUE(LEFT(V22,4))+1+$T$3/100&gt;=$T$6,VALUE(LEFT(V22,4))+1+$T$3/100&lt;=$T$7),CONCATENATE(VALUE(LEFT(V22,4))+1,$T$2),""),IF(next_period(V22)=next_period(CONCATENATE($N$7,$N$8)),"",next_period(V22)))),"")</f>
        <v>2020</v>
      </c>
      <c r="Z23" s="11" t="str">
        <f>IFERROR(CONCATENATE("Z",MATCH(Viewer!$C$7,technicals!$Y$24:$Y$31,0)+ROW(Y23)),"Z24")</f>
        <v>Z24</v>
      </c>
      <c r="AC23" s="17" t="s">
        <v>1114</v>
      </c>
      <c r="AD23" s="14" t="s">
        <v>1116</v>
      </c>
      <c r="AE23" s="14" t="s">
        <v>1115</v>
      </c>
      <c r="AF23" s="14" t="s">
        <v>1113</v>
      </c>
    </row>
    <row r="24" spans="2:32" x14ac:dyDescent="0.2">
      <c r="B24" s="14" t="s">
        <v>526</v>
      </c>
      <c r="G24" s="14" t="str">
        <f t="shared" ca="1" si="0"/>
        <v>2020</v>
      </c>
      <c r="H24" s="14" t="str">
        <f t="shared" ca="1" si="1"/>
        <v>2020</v>
      </c>
      <c r="J24" s="14" t="str">
        <f t="shared" ca="1" si="2"/>
        <v/>
      </c>
      <c r="K24" s="14" t="str">
        <f t="shared" ca="1" si="3"/>
        <v/>
      </c>
      <c r="V24" s="34" t="str">
        <f ca="1">IFERROR(IF(V23="","",IF(NOT($T$2=""),IF(AND(VALUE(LEFT(V23,4))+1+$T$3/100&gt;=$T$6,VALUE(LEFT(V23,4))+1+$T$3/100&lt;=$T$7),CONCATENATE(VALUE(LEFT(V23,4))+1,$T$2),""),IF(next_period(V23)=next_period(CONCATENATE($N$7,$N$8)),"",next_period(V23)))),"")</f>
        <v>2021</v>
      </c>
      <c r="Y24" s="17" t="s">
        <v>745</v>
      </c>
      <c r="Z24" s="54" t="str">
        <f ca="1">IFERROR(IF(ISERROR(INDIRECT(CONCATENATE("macro_data[",$B24,"]"))),IF(ISERROR(INDIRECT(CONCATENATE("fin_data[",$B24,"]"))),"",SUM(OFFSET(fin_data[[#Headers],[period_y]],MATCH(Z$10,INDIRECT(CONCATENATE("fin_data[",cperiod,"]")),0)+IF(INDEX(fin_meta[TYPE],MATCH($B24,fin_meta[VARIABLE],0))=cum,IF(cperiod=y,11,IF(cperiod=q,2,0)),0),MATCH($B24,fin_data[#Headers],0)-1,IF(AND(cperiod=y,NOT(INDEX(fin_meta[TYPE],MATCH($B24,fin_meta[VARIABLE],0))=cum)),12,IF(AND(cperiod=q,NOT(INDEX(fin_meta[TYPE],MATCH($B24,fin_meta[VARIABLE],0))=cum)),3,1))))/IFERROR(IF(INDEX(fin_meta[TYPE],MATCH($B24,fin_meta[VARIABLE],0))=avg,COUNT(OFFSET(fin_data[[#Headers],[period_y]],MATCH(Z$10,INDIRECT(CONCATENATE("fin_data[",cperiod,"]")),0)+IF(INDEX(fin_meta[TYPE],MATCH($B24,fin_meta[VARIABLE],0))=cum,IF(cperiod=y,11,IF(cperiod=q,2,0)),0),MATCH($B24,fin_data[#Headers],0)-1,IF(AND(cperiod=y,NOT(INDEX(fin_meta[TYPE],MATCH($B24,fin_meta[VARIABLE],0))=cum)),12,IF(AND(cperiod=q,NOT(INDEX(fin_meta[TYPE],MATCH($B24,fin_meta[VARIABLE],0))=cum)),3,1)))),1),1)),SUM(OFFSET(macro_data[[#Headers],[period_y]],MATCH(Z$10,INDIRECT(CONCATENATE("macro_data[",cperiod,"]")),0)+IF(INDEX(macro_meta[TYPE],MATCH($B24,macro_meta[VARIABLE],0))=cum,IF(cperiod=y,11,IF(cperiod=q,2,0)),0),MATCH($B24,macro_data[#Headers],0)-1,IF(AND(cperiod=y,NOT(INDEX(macro_meta[TYPE],MATCH($B24,macro_meta[VARIABLE],0))=cum)),12,IF(AND(cperiod=q,NOT(INDEX(macro_meta[TYPE],MATCH($B24,macro_meta[VARIABLE],0))=cum)),3,1))))/IFERROR(IF(INDEX(macro_meta[TYPE],MATCH($B24,macro_meta[VARIABLE],0))=avg,COUNT(OFFSET(macro_data[[#Headers],[period_y]],MATCH(Z$10,INDIRECT(CONCATENATE("macro_data[",cperiod,"]")),0)+IF(INDEX(macro_meta[TYPE],MATCH($B24,macro_meta[VARIABLE],0))=cum,IF(cperiod=y,11,IF(cperiod=q,2,0)),0),MATCH($B24,macro_data[#Headers],0)-1,IF(AND(cperiod=y,NOT(INDEX(macro_meta[TYPE],MATCH($B24,macro_meta[VARIABLE],0))=cum)),12,IF(AND(cperiod=q,NOT(INDEX(macro_meta[TYPE],MATCH($B24,macro_meta[VARIABLE],0))=cum)),3,1)))),1),1)),"")</f>
        <v/>
      </c>
      <c r="AC24" s="17" t="s">
        <v>1117</v>
      </c>
      <c r="AD24" s="14" t="s">
        <v>1118</v>
      </c>
      <c r="AE24" s="14" t="s">
        <v>1115</v>
      </c>
      <c r="AF24" s="14" t="s">
        <v>1113</v>
      </c>
    </row>
    <row r="25" spans="2:32" x14ac:dyDescent="0.2">
      <c r="B25" s="14" t="s">
        <v>592</v>
      </c>
      <c r="G25" s="14" t="str">
        <f t="shared" ca="1" si="0"/>
        <v>2021</v>
      </c>
      <c r="H25" s="14" t="str">
        <f t="shared" ca="1" si="1"/>
        <v>2021</v>
      </c>
      <c r="J25" s="14" t="str">
        <f t="shared" ca="1" si="2"/>
        <v/>
      </c>
      <c r="K25" s="14" t="str">
        <f t="shared" ca="1" si="3"/>
        <v/>
      </c>
      <c r="M25" s="14" t="s">
        <v>724</v>
      </c>
      <c r="N25" s="14" t="s">
        <v>688</v>
      </c>
      <c r="O25" s="14" t="s">
        <v>687</v>
      </c>
      <c r="V25" s="34" t="str">
        <f ca="1">IFERROR(IF(V24="","",IF(NOT($T$2=""),IF(AND(VALUE(LEFT(V24,4))+1+$T$3/100&gt;=$T$6,VALUE(LEFT(V24,4))+1+$T$3/100&lt;=$T$7),CONCATENATE(VALUE(LEFT(V24,4))+1,$T$2),""),IF(next_period(V24)=next_period(CONCATENATE($N$7,$N$8)),"",next_period(V24)))),"")</f>
        <v>2022</v>
      </c>
      <c r="Y25" s="17" t="s">
        <v>747</v>
      </c>
      <c r="Z25" s="17" t="str">
        <f ca="1">IFERROR(IF(ISERROR(INDIRECT(CONCATENATE("macro_data[",$B25,"]"))),IF(ISERROR(INDIRECT(CONCATENATE("fin_data[",$B25,"]"))),"",SUM(OFFSET(fin_data[[#Headers],[period_y]],MATCH(LEFT(Z$10,4),fin_data[period_y],0)+IF(INDEX(fin_meta[TYPE],MATCH($B25,fin_meta[VARIABLE],0))=cum,IF(cperiod=y,11,IF(cperiod=q,(VALUE(RIGHT(Z$10,1))-1)*3+2,IF(cperiod=m,VALUE(RIGHT(Z$10,2))-1,0))),0),MATCH($B25,fin_data[#Headers],0)-1,IF(NOT(INDEX(fin_meta[TYPE],MATCH($B25,fin_meta[VARIABLE],0))=cum),IF(cperiod=y,12,IF(cperiod=q,VALUE(RIGHT(Z$10,1))*3,IF(cperiod=m,VALUE(RIGHT(Z$10,2)),1))),1)))/IFERROR(IF(INDEX(fin_meta[TYPE],MATCH($B25,fin_meta[VARIABLE],0))=avg,COUNT(OFFSET(fin_data[[#Headers],[period_y]],MATCH(LEFT(Z$10,4),fin_data[period_y],0)+IF(INDEX(fin_meta[TYPE],MATCH($B25,fin_meta[VARIABLE],0))=cum,IF(cperiod=y,11,IF(cperiod=q,(VALUE(RIGHT(Z$10,1))-1)*3+2,IF(cperiod=m,VALUE(RIGHT(Z$10,2))-1,0))),0),MATCH($B25,fin_data[#Headers],0)-1,IF(NOT(INDEX(fin_meta[TYPE],MATCH($B25,fin_meta[VARIABLE],0))=cum),IF(cperiod=y,12,IF(cperiod=q,VALUE(RIGHT(Z$10,1))*3,IF(cperiod=m,VALUE(RIGHT(Z$10,2)),1))),1))),1),1)),SUM(OFFSET(macro_data[[#Headers],[period_y]],MATCH(LEFT(Z$10,4),macro_data[period_y],0)+IF(INDEX(macro_meta[TYPE],MATCH($B25,macro_meta[VARIABLE],0))=cum,IF(cperiod=y,11,IF(cperiod=q,(VALUE(RIGHT(Z$10,1))-1)*3+2,IF(cperiod=m,VALUE(RIGHT(Z$10,2))-1,0))),0),MATCH($B25,macro_data[#Headers],0)-1,IF(NOT(INDEX(macro_meta[TYPE],MATCH($B25,macro_meta[VARIABLE],0))=cum),IF(cperiod=y,12,IF(cperiod=q,VALUE(RIGHT(Z$10,1))*3,IF(cperiod=m,VALUE(RIGHT(Z$10,2)),1))),1)))/IFERROR(IF(INDEX(macro_meta[TYPE],MATCH($B25,macro_meta[VARIABLE],0))=avg,COUNT(OFFSET(macro_data[[#Headers],[period_y]],MATCH(LEFT(Z$10,4),macro_data[period_y],0)+IF(INDEX(macro_meta[TYPE],MATCH($B25,macro_meta[VARIABLE],0))=cum,IF(cperiod=y,11,IF(cperiod=q,(VALUE(RIGHT(Z$10,1))-1)*3+2,IF(cperiod=m,VALUE(RIGHT(Z$10,2))-1,0))),0),MATCH($B25,macro_data[#Headers],0)-1,IF(NOT(INDEX(macro_meta[TYPE],MATCH($B25,macro_meta[VARIABLE],0))=cum),IF(cperiod=y,12,IF(cperiod=q,VALUE(RIGHT(Z$10,1))*3,IF(cperiod=m,VALUE(RIGHT(Z$10,2)),1))),1))),1),1)),"")</f>
        <v/>
      </c>
      <c r="AC25" s="17" t="s">
        <v>1119</v>
      </c>
      <c r="AD25" s="14" t="s">
        <v>1123</v>
      </c>
      <c r="AE25" s="14" t="s">
        <v>1115</v>
      </c>
      <c r="AF25" s="14" t="s">
        <v>1113</v>
      </c>
    </row>
    <row r="26" spans="2:32" x14ac:dyDescent="0.2">
      <c r="B26" s="14" t="s">
        <v>555</v>
      </c>
      <c r="G26" s="14" t="str">
        <f t="shared" ca="1" si="0"/>
        <v>2022</v>
      </c>
      <c r="H26" s="14" t="str">
        <f t="shared" ca="1" si="1"/>
        <v>2022</v>
      </c>
      <c r="J26" s="14" t="str">
        <f t="shared" ca="1" si="2"/>
        <v/>
      </c>
      <c r="K26" s="14" t="str">
        <f t="shared" ca="1" si="3"/>
        <v/>
      </c>
      <c r="M26" s="17"/>
      <c r="N26" s="14" t="s">
        <v>694</v>
      </c>
      <c r="O26" s="14" t="s">
        <v>690</v>
      </c>
      <c r="V26" s="34" t="str">
        <f ca="1">IFERROR(IF(V25="","",IF(NOT($T$2=""),IF(AND(VALUE(LEFT(V25,4))+1+$T$3/100&gt;=$T$6,VALUE(LEFT(V25,4))+1+$T$3/100&lt;=$T$7),CONCATENATE(VALUE(LEFT(V25,4))+1,$T$2),""),IF(next_period(V25)=next_period(CONCATENATE($N$7,$N$8)),"",next_period(V25)))),"")</f>
        <v/>
      </c>
      <c r="Y26" s="17" t="s">
        <v>799</v>
      </c>
      <c r="Z26" s="17" t="str">
        <f ca="1">IFERROR(IF(ISERROR(INDIRECT(CONCATENATE("macro_data[",$B26,"]"))),IF(ISERROR(INDIRECT(CONCATENATE("fin_data[",$B26,"]"))),"",(SUM(OFFSET(fin_data[[#Headers],[period_y]],MATCH(Z$10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/IFERROR(IF(INDEX(fin_meta[TYPE],MATCH($B26,fin_meta[VARIABLE],0))=avg,COUNT(OFFSET(fin_data[[#Headers],[period_y]],MATCH(Z$10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,1),1))/(SUM(OFFSET(fin_data[[#Headers],[period_y]],MATCH(prev_period(Z$10)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/IFERROR(IF(INDEX(fin_meta[TYPE],MATCH($B26,fin_meta[VARIABLE],0))=avg,COUNT(OFFSET(fin_data[[#Headers],[period_y]],MATCH(prev_period(Z$10),INDIRECT(CONCATENATE("fin_data[",cperiod,"]")),0)+IF(INDEX(fin_meta[TYPE],MATCH($B26,fin_meta[VARIABLE],0))=cum,IF(cperiod=y,11,IF(cperiod=q,2,0)),0),MATCH($B26,fin_data[#Headers],0)-1,IF(AND(cperiod=y,NOT(INDEX(fin_meta[TYPE],MATCH($B26,fin_meta[VARIABLE],0))=cum)),12,IF(AND(cperiod=q,NOT(INDEX(fin_meta[TYPE],MATCH($B26,fin_meta[VARIABLE],0))=cum)),3,1)))),1),1))-1),(SUM(OFFSET(macro_data[[#Headers],[period_y]],MATCH(Z$10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/IFERROR(IF(INDEX(macro_meta[TYPE],MATCH($B26,macro_meta[VARIABLE],0))=avg,COUNT(OFFSET(macro_data[[#Headers],[period_y]],MATCH(Z$10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,1),1))/(SUM(OFFSET(macro_data[[#Headers],[period_y]],MATCH(prev_period(Z$10)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/IFERROR(IF(INDEX(macro_meta[TYPE],MATCH($B26,macro_meta[VARIABLE],0))=avg,COUNT(OFFSET(macro_data[[#Headers],[period_y]],MATCH(prev_period(Z$10),INDIRECT(CONCATENATE("macro_data[",cperiod,"]")),0)+IF(INDEX(macro_meta[TYPE],MATCH($B26,macro_meta[VARIABLE],0))=cum,IF(cperiod=y,11,IF(cperiod=q,2,0)),0),MATCH($B26,macro_data[#Headers],0)-1,IF(AND(cperiod=y,NOT(INDEX(macro_meta[TYPE],MATCH($B26,macro_meta[VARIABLE],0))=cum)),12,IF(AND(cperiod=q,NOT(INDEX(macro_meta[TYPE],MATCH($B26,macro_meta[VARIABLE],0))=cum)),3,1)))),1),1))-1),"")</f>
        <v/>
      </c>
      <c r="AC26" s="17" t="s">
        <v>1120</v>
      </c>
      <c r="AD26" s="14" t="s">
        <v>1122</v>
      </c>
      <c r="AE26" s="14" t="s">
        <v>1115</v>
      </c>
      <c r="AF26" s="14" t="s">
        <v>1113</v>
      </c>
    </row>
    <row r="27" spans="2:32" x14ac:dyDescent="0.2">
      <c r="G27" s="14" t="str">
        <f t="shared" ca="1" si="0"/>
        <v/>
      </c>
      <c r="H27" s="14" t="str">
        <f t="shared" ca="1" si="1"/>
        <v/>
      </c>
      <c r="J27" s="14" t="str">
        <f t="shared" ca="1" si="2"/>
        <v/>
      </c>
      <c r="K27" s="14" t="str">
        <f t="shared" ca="1" si="3"/>
        <v/>
      </c>
      <c r="M27" s="17"/>
      <c r="N27" s="14" t="s">
        <v>705</v>
      </c>
      <c r="O27" s="14" t="s">
        <v>693</v>
      </c>
      <c r="V27" s="34" t="str">
        <f ca="1">IFERROR(IF(V26="","",IF(NOT($T$2=""),IF(AND(VALUE(LEFT(V26,4))+1+$T$3/100&gt;=$T$6,VALUE(LEFT(V26,4))+1+$T$3/100&lt;=$T$7),CONCATENATE(VALUE(LEFT(V26,4))+1,$T$2),""),IF(next_period(V26)=next_period(CONCATENATE($N$7,$N$8)),"",next_period(V26)))),"")</f>
        <v/>
      </c>
      <c r="Y27" s="17" t="s">
        <v>800</v>
      </c>
      <c r="Z27" s="17" t="str">
        <f ca="1">IFERROR(IF(ISERROR(INDIRECT(CONCATENATE("macro_data[",$B27,"]"))),IF(ISERROR(INDIRECT(CONCATENATE("fin_data[",$B27,"]"))),"",(SUM(OFFSET(fin_data[[#Headers],[period_y]],MATCH(LEFT(Z$10,4),fin_data[period_y],0)+IF(INDEX(fin_meta[TYPE],MATCH($B27,fin_meta[VARIABLE],0))=cum,IF(cperiod=y,11,IF(cperiod=q,(VALUE(RIGHT(Z$10,1))-1)*3+2,IF(cperiod=m,VALUE(RIGHT(Z$10,2))-1,0))),0),MATCH($B27,fin_data[#Headers],0)-1,IF(NOT(INDEX(fin_meta[TYPE],MATCH($B27,fin_meta[VARIABLE],0))=cum),IF(cperiod=y,12,IF(cperiod=q,VALUE(RIGHT(Z$10,1))*3,IF(cperiod=m,VALUE(RIGHT(Z$10,2)),1))),1)))/IFERROR(IF(INDEX(fin_meta[TYPE],MATCH($B27,fin_meta[VARIABLE],0))=avg,COUNT(OFFSET(fin_data[[#Headers],[period_y]],MATCH(LEFT(Z$10,4),fin_data[period_y],0)+IF(INDEX(fin_meta[TYPE],MATCH($B27,fin_meta[VARIABLE],0))=cum,IF(cperiod=y,11,IF(cperiod=q,(VALUE(RIGHT(Z$10,1))-1)*3+2,IF(cperiod=m,VALUE(RIGHT(Z$10,2))-1,0))),0),MATCH($B27,fin_data[#Headers],0)-1,IF(NOT(INDEX(fin_meta[TYPE],MATCH($B27,fin_meta[VARIABLE],0))=cum),IF(cperiod=y,12,IF(cperiod=q,VALUE(RIGHT(Z$10,1))*3,IF(cperiod=m,VALUE(RIGHT(Z$10,2)),1))),1))),1),1))/(SUM(OFFSET(fin_data[[#Headers],[period_y]],MATCH(LEFT(prev_period(Z$10),4),fin_data[period_y],0)+IF(INDEX(fin_meta[TYPE],MATCH($B27,fin_meta[VARIABLE],0))=cum,IF(cperiod=y,11,IF(cperiod=q,(VALUE(RIGHT(prev_period(Z$10),1))-1)*3+2,IF(cperiod=m,VALUE(RIGHT(prev_period(Z$10),2))-1,0))),0),MATCH($B27,fin_data[#Headers],0)-1,IF(NOT(INDEX(fin_meta[TYPE],MATCH($B27,fin_meta[VARIABLE],0))=cum),IF(cperiod=y,12,IF(cperiod=q,VALUE(RIGHT(prev_period(Z$10),1))*3,IF(cperiod=m,VALUE(RIGHT(prev_period(Z$10),2)),1))),1)))/IFERROR(IF(INDEX(fin_meta[TYPE],MATCH($B27,fin_meta[VARIABLE],0))=avg,COUNT(OFFSET(fin_data[[#Headers],[period_y]],MATCH(LEFT(prev_period(Z$10),4),fin_data[period_y],0)+IF(INDEX(fin_meta[TYPE],MATCH($B27,fin_meta[VARIABLE],0))=cum,IF(cperiod=y,11,IF(cperiod=q,(VALUE(RIGHT(prev_period(Z$10),1))-1)*3+2,IF(cperiod=m,VALUE(RIGHT(prev_period(Z$10),2))-1,0))),0),MATCH($B27,fin_data[#Headers],0)-1,IF(NOT(INDEX(fin_meta[TYPE],MATCH($B27,fin_meta[VARIABLE],0))=cum),IF(cperiod=y,12,IF(cperiod=q,VALUE(RIGHT(prev_period(Z$10),1))*3,IF(cperiod=m,VALUE(RIGHT(prev_period(Z$10),2)),1))),1))),1),1))-1),(SUM(OFFSET(macro_data[[#Headers],[period_y]],MATCH(LEFT(Z$10,4),macro_data[period_y],0)+IF(INDEX(macro_meta[TYPE],MATCH($B27,macro_meta[VARIABLE],0))=cum,IF(cperiod=y,11,IF(cperiod=q,(VALUE(RIGHT(Z$10,1))-1)*3+2,IF(cperiod=m,VALUE(RIGHT(Z$10,2))-1,0))),0),MATCH($B27,macro_data[#Headers],0)-1,IF(NOT(INDEX(macro_meta[TYPE],MATCH($B27,macro_meta[VARIABLE],0))=cum),IF(cperiod=y,12,IF(cperiod=q,VALUE(RIGHT(Z$10,1))*3,IF(cperiod=m,VALUE(RIGHT(Z$10,2)),1))),1)))/IFERROR(IF(INDEX(macro_meta[TYPE],MATCH($B27,macro_meta[VARIABLE],0))=avg,COUNT(OFFSET(macro_data[[#Headers],[period_y]],MATCH(LEFT(Z$10,4),macro_data[period_y],0)+IF(INDEX(macro_meta[TYPE],MATCH($B27,macro_meta[VARIABLE],0))=cum,IF(cperiod=y,11,IF(cperiod=q,(VALUE(RIGHT(Z$10,1))-1)*3+2,IF(cperiod=m,VALUE(RIGHT(Z$10,2))-1,0))),0),MATCH($B27,macro_data[#Headers],0)-1,IF(NOT(INDEX(macro_meta[TYPE],MATCH($B27,macro_meta[VARIABLE],0))=cum),IF(cperiod=y,12,IF(cperiod=q,VALUE(RIGHT(Z$10,1))*3,IF(cperiod=m,VALUE(RIGHT(Z$10,2)),1))),1))),1),1))/(SUM(OFFSET(macro_data[[#Headers],[period_y]],MATCH(LEFT(prev_period(Z$10),4),macro_data[period_y],0)+IF(INDEX(macro_meta[TYPE],MATCH($B27,macro_meta[VARIABLE],0))=cum,IF(cperiod=y,11,IF(cperiod=q,(VALUE(RIGHT(prev_period(Z$10),1))-1)*3+2,IF(cperiod=m,VALUE(RIGHT(prev_period(Z$10),2))-1,0))),0),MATCH($B27,macro_data[#Headers],0)-1,IF(NOT(INDEX(macro_meta[TYPE],MATCH($B27,macro_meta[VARIABLE],0))=cum),IF(cperiod=y,12,IF(cperiod=q,VALUE(RIGHT(prev_period(Z$10),1))*3,IF(cperiod=m,VALUE(RIGHT(prev_period(Z$10),2)),1))),1)))/IFERROR(IF(INDEX(macro_meta[TYPE],MATCH($B27,macro_meta[VARIABLE],0))=avg,COUNT(OFFSET(macro_data[[#Headers],[period_y]],MATCH(LEFT(prev_period(Z$10),4),macro_data[period_y],0)+IF(INDEX(macro_meta[TYPE],MATCH($B27,macro_meta[VARIABLE],0))=cum,IF(cperiod=y,11,IF(cperiod=q,(VALUE(RIGHT(prev_period(Z$10),1))-1)*3+2,IF(cperiod=m,VALUE(RIGHT(prev_period(Z$10),2))-1,0))),0),MATCH($B27,macro_data[#Headers],0)-1,IF(NOT(INDEX(macro_meta[TYPE],MATCH($B27,macro_meta[VARIABLE],0))=cum),IF(cperiod=y,12,IF(cperiod=q,VALUE(RIGHT(prev_period(Z$10),1))*3,IF(cperiod=m,VALUE(RIGHT(prev_period(Z$10),2)),1))),1))),1),1))-1),"")</f>
        <v/>
      </c>
      <c r="AC27" s="17" t="s">
        <v>1121</v>
      </c>
      <c r="AD27" s="14" t="s">
        <v>1124</v>
      </c>
      <c r="AE27" s="14" t="s">
        <v>1115</v>
      </c>
      <c r="AF27" s="14" t="s">
        <v>1113</v>
      </c>
    </row>
    <row r="28" spans="2:32" x14ac:dyDescent="0.2">
      <c r="G28" s="14" t="str">
        <f t="shared" ca="1" si="0"/>
        <v/>
      </c>
      <c r="H28" s="14" t="str">
        <f t="shared" ca="1" si="1"/>
        <v/>
      </c>
      <c r="J28" s="14" t="str">
        <f t="shared" ca="1" si="2"/>
        <v/>
      </c>
      <c r="K28" s="14" t="str">
        <f t="shared" ca="1" si="3"/>
        <v/>
      </c>
      <c r="V28" s="34" t="str">
        <f ca="1">IFERROR(IF(V27="","",IF(NOT($T$2=""),IF(AND(VALUE(LEFT(V27,4))+1+$T$3/100&gt;=$T$6,VALUE(LEFT(V27,4))+1+$T$3/100&lt;=$T$7),CONCATENATE(VALUE(LEFT(V27,4))+1,$T$2),""),IF(next_period(V27)=next_period(CONCATENATE($N$7,$N$8)),"",next_period(V27)))),"")</f>
        <v/>
      </c>
      <c r="Y28" s="17" t="s">
        <v>801</v>
      </c>
      <c r="Z28" s="17" t="str">
        <f ca="1">IFERROR(IF(ISERROR(INDIRECT(CONCATENATE("macro_data[",$B28,"]"))),IF(ISERROR(INDIRECT(CONCATENATE("fin_data[",$B28,"]"))),"",(SUM(OFFSET(fin_data[[#Headers],[period_y]],MATCH(Z$10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/IFERROR(IF(INDEX(fin_meta[TYPE],MATCH($B28,fin_meta[VARIABLE],0))=avg,COUNT(OFFSET(fin_data[[#Headers],[period_y]],MATCH(Z$10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,1),1))/(SUM(OFFSET(fin_data[[#Headers],[period_y]],MATCH(yoy_period(Z$10)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/IFERROR(IF(INDEX(fin_meta[TYPE],MATCH($B28,fin_meta[VARIABLE],0))=avg,COUNT(OFFSET(fin_data[[#Headers],[period_y]],MATCH(yoy_period(Z$10),INDIRECT(CONCATENATE("fin_data[",cperiod,"]")),0)+IF(INDEX(fin_meta[TYPE],MATCH($B28,fin_meta[VARIABLE],0))=cum,IF(cperiod=y,11,IF(cperiod=q,2,0)),0),MATCH($B28,fin_data[#Headers],0)-1,IF(AND(cperiod=y,NOT(INDEX(fin_meta[TYPE],MATCH($B28,fin_meta[VARIABLE],0))=cum)),12,IF(AND(cperiod=q,NOT(INDEX(fin_meta[TYPE],MATCH($B28,fin_meta[VARIABLE],0))=cum)),3,1)))),1),1))-1),(SUM(OFFSET(macro_data[[#Headers],[period_y]],MATCH(Z$10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/IFERROR(IF(INDEX(macro_meta[TYPE],MATCH($B28,macro_meta[VARIABLE],0))=avg,COUNT(OFFSET(macro_data[[#Headers],[period_y]],MATCH(Z$10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,1),1))/(SUM(OFFSET(macro_data[[#Headers],[period_y]],MATCH(yoy_period(Z$10)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/IFERROR(IF(INDEX(macro_meta[TYPE],MATCH($B28,macro_meta[VARIABLE],0))=avg,COUNT(OFFSET(macro_data[[#Headers],[period_y]],MATCH(yoy_period(Z$10),INDIRECT(CONCATENATE("macro_data[",cperiod,"]")),0)+IF(INDEX(macro_meta[TYPE],MATCH($B28,macro_meta[VARIABLE],0))=cum,IF(cperiod=y,11,IF(cperiod=q,2,0)),0),MATCH($B28,macro_data[#Headers],0)-1,IF(AND(cperiod=y,NOT(INDEX(macro_meta[TYPE],MATCH($B28,macro_meta[VARIABLE],0))=cum)),12,IF(AND(cperiod=q,NOT(INDEX(macro_meta[TYPE],MATCH($B28,macro_meta[VARIABLE],0))=cum)),3,1)))),1),1))-1),"")</f>
        <v/>
      </c>
    </row>
    <row r="29" spans="2:32" x14ac:dyDescent="0.2">
      <c r="G29" s="14" t="str">
        <f t="shared" ca="1" si="0"/>
        <v/>
      </c>
      <c r="H29" s="14" t="str">
        <f t="shared" ca="1" si="1"/>
        <v/>
      </c>
      <c r="J29" s="14" t="str">
        <f t="shared" ca="1" si="2"/>
        <v/>
      </c>
      <c r="K29" s="14" t="str">
        <f t="shared" ca="1" si="3"/>
        <v/>
      </c>
      <c r="N29" s="27" t="s">
        <v>733</v>
      </c>
      <c r="O29" s="27" t="s">
        <v>734</v>
      </c>
      <c r="P29" s="27" t="s">
        <v>735</v>
      </c>
      <c r="Q29" s="27" t="s">
        <v>595</v>
      </c>
      <c r="R29" s="27" t="s">
        <v>736</v>
      </c>
      <c r="V29" s="34" t="str">
        <f ca="1">IFERROR(IF(V28="","",IF(NOT($T$2=""),IF(AND(VALUE(LEFT(V28,4))+1+$T$3/100&gt;=$T$6,VALUE(LEFT(V28,4))+1+$T$3/100&lt;=$T$7),CONCATENATE(VALUE(LEFT(V28,4))+1,$T$2),""),IF(next_period(V28)=next_period(CONCATENATE($N$7,$N$8)),"",next_period(V28)))),"")</f>
        <v/>
      </c>
      <c r="Y29" s="17" t="s">
        <v>802</v>
      </c>
      <c r="Z29" s="17" t="str">
        <f ca="1">IFERROR(IF(ISERROR(INDIRECT(CONCATENATE("macro_data[",$B29,"]"))),IF(ISERROR(INDIRECT(CONCATENATE("fin_data[",$B29,"]"))),"",(SUM(OFFSET(fin_data[[#Headers],[period_y]],MATCH(LEFT(Z$10,4),fin_data[period_y],0)+IF(INDEX(fin_meta[TYPE],MATCH($B29,fin_meta[VARIABLE],0))=cum,IF(cperiod=y,11,IF(cperiod=q,(VALUE(RIGHT(Z$10,1))-1)*3+2,IF(cperiod=m,VALUE(RIGHT(Z$10,2))-1,0))),0),MATCH($B29,fin_data[#Headers],0)-1,IF(NOT(INDEX(fin_meta[TYPE],MATCH($B29,fin_meta[VARIABLE],0))=cum),IF(cperiod=y,12,IF(cperiod=q,VALUE(RIGHT(Z$10,1))*3,IF(cperiod=m,VALUE(RIGHT(Z$10,2)),1))),1)))/IFERROR(IF(INDEX(fin_meta[TYPE],MATCH($B29,fin_meta[VARIABLE],0))=avg,COUNT(OFFSET(fin_data[[#Headers],[period_y]],MATCH(LEFT(Z$10,4),fin_data[period_y],0)+IF(INDEX(fin_meta[TYPE],MATCH($B29,fin_meta[VARIABLE],0))=cum,IF(cperiod=y,11,IF(cperiod=q,(VALUE(RIGHT(Z$10,1))-1)*3+2,IF(cperiod=m,VALUE(RIGHT(Z$10,2))-1,0))),0),MATCH($B29,fin_data[#Headers],0)-1,IF(NOT(INDEX(fin_meta[TYPE],MATCH($B29,fin_meta[VARIABLE],0))=cum),IF(cperiod=y,12,IF(cperiod=q,VALUE(RIGHT(Z$10,1))*3,IF(cperiod=m,VALUE(RIGHT(Z$10,2)),1))),1))),1),1))/(SUM(OFFSET(fin_data[[#Headers],[period_y]],MATCH(LEFT(yoy_period(Z$10),4),fin_data[period_y],0)+IF(INDEX(fin_meta[TYPE],MATCH($B29,fin_meta[VARIABLE],0))=cum,IF(cperiod=y,11,IF(cperiod=q,(VALUE(RIGHT(yoy_period(Z$10),1))-1)*3+2,IF(cperiod=m,VALUE(RIGHT(yoy_period(Z$10),2))-1,0))),0),MATCH($B29,fin_data[#Headers],0)-1,IF(NOT(INDEX(fin_meta[TYPE],MATCH($B29,fin_meta[VARIABLE],0))=cum),IF(cperiod=y,12,IF(cperiod=q,VALUE(RIGHT(yoy_period(Z$10),1))*3,IF(cperiod=m,VALUE(RIGHT(yoy_period(Z$10),2)),1))),1)))/IFERROR(IF(INDEX(fin_meta[TYPE],MATCH($B29,fin_meta[VARIABLE],0))=avg,COUNT(OFFSET(fin_data[[#Headers],[period_y]],MATCH(LEFT(yoy_period(Z$10),4),fin_data[period_y],0)+IF(INDEX(fin_meta[TYPE],MATCH($B29,fin_meta[VARIABLE],0))=cum,IF(cperiod=y,11,IF(cperiod=q,(VALUE(RIGHT(yoy_period(Z$10),1))-1)*3+2,IF(cperiod=m,VALUE(RIGHT(yoy_period(Z$10),2))-1,0))),0),MATCH($B29,fin_data[#Headers],0)-1,IF(NOT(INDEX(fin_meta[TYPE],MATCH($B29,fin_meta[VARIABLE],0))=cum),IF(cperiod=y,12,IF(cperiod=q,VALUE(RIGHT(yoy_period(Z$10),1))*3,IF(cperiod=m,VALUE(RIGHT(yoy_period(Z$10),2)),1))),1))),1),1))-1),(SUM(OFFSET(macro_data[[#Headers],[period_y]],MATCH(LEFT(Z$10,4),macro_data[period_y],0)+IF(INDEX(macro_meta[TYPE],MATCH($B29,macro_meta[VARIABLE],0))=cum,IF(cperiod=y,11,IF(cperiod=q,(VALUE(RIGHT(Z$10,1))-1)*3+2,IF(cperiod=m,VALUE(RIGHT(Z$10,2))-1,0))),0),MATCH($B29,macro_data[#Headers],0)-1,IF(NOT(INDEX(macro_meta[TYPE],MATCH($B29,macro_meta[VARIABLE],0))=cum),IF(cperiod=y,12,IF(cperiod=q,VALUE(RIGHT(Z$10,1))*3,IF(cperiod=m,VALUE(RIGHT(Z$10,2)),1))),1)))/IFERROR(IF(INDEX(macro_meta[TYPE],MATCH($B29,macro_meta[VARIABLE],0))=avg,COUNT(OFFSET(macro_data[[#Headers],[period_y]],MATCH(LEFT(Z$10,4),macro_data[period_y],0)+IF(INDEX(macro_meta[TYPE],MATCH($B29,macro_meta[VARIABLE],0))=cum,IF(cperiod=y,11,IF(cperiod=q,(VALUE(RIGHT(Z$10,1))-1)*3+2,IF(cperiod=m,VALUE(RIGHT(Z$10,2))-1,0))),0),MATCH($B29,macro_data[#Headers],0)-1,IF(NOT(INDEX(macro_meta[TYPE],MATCH($B29,macro_meta[VARIABLE],0))=cum),IF(cperiod=y,12,IF(cperiod=q,VALUE(RIGHT(Z$10,1))*3,IF(cperiod=m,VALUE(RIGHT(Z$10,2)),1))),1))),1),1))/(SUM(OFFSET(macro_data[[#Headers],[period_y]],MATCH(LEFT(yoy_period(Z$10),4),macro_data[period_y],0)+IF(INDEX(macro_meta[TYPE],MATCH($B29,macro_meta[VARIABLE],0))=cum,IF(cperiod=y,11,IF(cperiod=q,(VALUE(RIGHT(yoy_period(Z$10),1))-1)*3+2,IF(cperiod=m,VALUE(RIGHT(yoy_period(Z$10),2))-1,0))),0),MATCH($B29,macro_data[#Headers],0)-1,IF(NOT(INDEX(macro_meta[TYPE],MATCH($B29,macro_meta[VARIABLE],0))=cum),IF(cperiod=y,12,IF(cperiod=q,VALUE(RIGHT(yoy_period(Z$10),1))*3,IF(cperiod=m,VALUE(RIGHT(yoy_period(Z$10),2)),1))),1)))/IFERROR(IF(INDEX(macro_meta[TYPE],MATCH($B29,macro_meta[VARIABLE],0))=avg,COUNT(OFFSET(macro_data[[#Headers],[period_y]],MATCH(LEFT(yoy_period(Z$10),4),macro_data[period_y],0)+IF(INDEX(macro_meta[TYPE],MATCH($B29,macro_meta[VARIABLE],0))=cum,IF(cperiod=y,11,IF(cperiod=q,(VALUE(RIGHT(yoy_period(Z$10),1))-1)*3+2,IF(cperiod=m,VALUE(RIGHT(yoy_period(Z$10),2))-1,0))),0),MATCH($B29,macro_data[#Headers],0)-1,IF(NOT(INDEX(macro_meta[TYPE],MATCH($B29,macro_meta[VARIABLE],0))=cum),IF(cperiod=y,12,IF(cperiod=q,VALUE(RIGHT(yoy_period(Z$10),1))*3,IF(cperiod=m,VALUE(RIGHT(yoy_period(Z$10),2)),1))),1))),1),1))-1),"")</f>
        <v/>
      </c>
    </row>
    <row r="30" spans="2:32" x14ac:dyDescent="0.2">
      <c r="G30" s="14" t="str">
        <f t="shared" ca="1" si="0"/>
        <v/>
      </c>
      <c r="H30" s="14" t="str">
        <f t="shared" ca="1" si="1"/>
        <v/>
      </c>
      <c r="J30" s="14" t="str">
        <f t="shared" ca="1" si="2"/>
        <v/>
      </c>
      <c r="K30" s="14" t="str">
        <f t="shared" ca="1" si="3"/>
        <v/>
      </c>
      <c r="M30" s="26" t="s">
        <v>730</v>
      </c>
      <c r="N30" s="14" t="str">
        <f t="array" ref="N30">INDEX(macro_data[period_m],MAX(ROW(macro_data[period_m]))-1)</f>
        <v>2022M01</v>
      </c>
      <c r="O30" s="14">
        <f ca="1">COUNTA(OFFSET(macro_data[[#Headers],[period_y]],MATCH($N30,macro_data[period_m],0),0,1,COUNTA(macro_data[#Headers])))+COUNTA(OFFSET(fin_data[[#Headers],[period_y]],MATCH($N30,fin_data[period_m],0),0,1,COUNTA(fin_data[#Headers])))</f>
        <v>6</v>
      </c>
      <c r="P30" s="14">
        <f>COUNTA(macro_data[#Headers])-IF(MOD(VALUE(RIGHT($N30,2)),3)=0,0,COUNTIFS(macro_meta[FREQUENCY],"Q")-1)+COUNTA(fin_data[#Headers])-IF(MOD(VALUE(RIGHT($N30,2)),3)=0,0,COUNTIFS(fin_meta[FREQUENCY],"Q")-1)</f>
        <v>224</v>
      </c>
      <c r="Q30" s="28">
        <f ca="1">O30/P30</f>
        <v>2.6785714285714284E-2</v>
      </c>
      <c r="R30" s="14" t="str">
        <f ca="1">CONCATENATE(TEXT(O30,"0"),"/",TEXT(P30,"0")," (",TEXT(Q30,"0%"),")")</f>
        <v>6/224 (3%)</v>
      </c>
      <c r="V30" s="34" t="str">
        <f ca="1">IFERROR(IF(V29="","",IF(NOT($T$2=""),IF(AND(VALUE(LEFT(V29,4))+1+$T$3/100&gt;=$T$6,VALUE(LEFT(V29,4))+1+$T$3/100&lt;=$T$7),CONCATENATE(VALUE(LEFT(V29,4))+1,$T$2),""),IF(next_period(V29)=next_period(CONCATENATE($N$7,$N$8)),"",next_period(V29)))),"")</f>
        <v/>
      </c>
      <c r="Y30" s="17" t="s">
        <v>822</v>
      </c>
      <c r="Z30" s="17" t="str">
        <f ca="1">IFERROR(IF(ISERROR(INDIRECT(CONCATENATE("macro_data[",$B30,"]"))),IF(ISERROR(INDIRECT(CONCATENATE("fin_data[",$B30,"]"))),"",(SUM(OFFSET(fin_data[[#Headers],[period_y]],MATCH(Z$10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/IFERROR(IF(INDEX(fin_meta[TYPE],MATCH($B30,fin_meta[VARIABLE],0))=avg,COUNT(OFFSET(fin_data[[#Headers],[period_y]],MATCH(Z$10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,1),1))/(SUM(OFFSET(fin_data[[#Headers],[period_y]],MATCH(ytd_period(Z$10)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/IFERROR(IF(INDEX(fin_meta[TYPE],MATCH($B30,fin_meta[VARIABLE],0))=avg,COUNT(OFFSET(fin_data[[#Headers],[period_y]],MATCH(ytd_period(Z$10),INDIRECT(CONCATENATE("fin_data[",cperiod,"]")),0)+IF(INDEX(fin_meta[TYPE],MATCH($B30,fin_meta[VARIABLE],0))=cum,IF(cperiod=y,11,IF(cperiod=q,2,0)),0),MATCH($B30,fin_data[#Headers],0)-1,IF(AND(cperiod=y,NOT(INDEX(fin_meta[TYPE],MATCH($B30,fin_meta[VARIABLE],0))=cum)),12,IF(AND(cperiod=q,NOT(INDEX(fin_meta[TYPE],MATCH($B30,fin_meta[VARIABLE],0))=cum)),3,1)))),1),1))-1),(SUM(OFFSET(macro_data[[#Headers],[period_y]],MATCH(Z$10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/IFERROR(IF(INDEX(macro_meta[TYPE],MATCH($B30,macro_meta[VARIABLE],0))=avg,COUNT(OFFSET(macro_data[[#Headers],[period_y]],MATCH(Z$10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,1),1))/(SUM(OFFSET(macro_data[[#Headers],[period_y]],MATCH(ytd_period(Z$10)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/IFERROR(IF(INDEX(macro_meta[TYPE],MATCH($B30,macro_meta[VARIABLE],0))=avg,COUNT(OFFSET(macro_data[[#Headers],[period_y]],MATCH(ytd_period(Z$10),INDIRECT(CONCATENATE("macro_data[",cperiod,"]")),0)+IF(INDEX(macro_meta[TYPE],MATCH($B30,macro_meta[VARIABLE],0))=cum,IF(cperiod=y,11,IF(cperiod=q,2,0)),0),MATCH($B30,macro_data[#Headers],0)-1,IF(AND(cperiod=y,NOT(INDEX(macro_meta[TYPE],MATCH($B30,macro_meta[VARIABLE],0))=cum)),12,IF(AND(cperiod=q,NOT(INDEX(macro_meta[TYPE],MATCH($B30,macro_meta[VARIABLE],0))=cum)),3,1)))),1),1))-1),"")</f>
        <v/>
      </c>
    </row>
    <row r="31" spans="2:32" x14ac:dyDescent="0.2">
      <c r="G31" s="14" t="str">
        <f t="shared" ca="1" si="0"/>
        <v/>
      </c>
      <c r="H31" s="14" t="str">
        <f t="shared" ca="1" si="1"/>
        <v/>
      </c>
      <c r="J31" s="14" t="str">
        <f t="shared" ca="1" si="2"/>
        <v/>
      </c>
      <c r="K31" s="14" t="str">
        <f t="shared" ca="1" si="3"/>
        <v/>
      </c>
      <c r="M31" s="26" t="s">
        <v>731</v>
      </c>
      <c r="N31" s="14" t="str">
        <f t="array" ref="N31">INDEX(macro_data[period_m],MAX(ROW(macro_data[period_m]))-2)</f>
        <v>2021M12</v>
      </c>
      <c r="O31" s="14">
        <f ca="1">COUNTA(OFFSET(macro_data[[#Headers],[period_y]],MATCH($N31,macro_data[period_m],0),0,1,COUNTA(macro_data[#Headers])))+COUNTA(OFFSET(fin_data[[#Headers],[period_y]],MATCH($N31,fin_data[period_m],0),0,1,COUNTA(fin_data[#Headers])))</f>
        <v>219</v>
      </c>
      <c r="P31" s="14">
        <f>COUNTA(macro_data[#Headers])-IF(MOD(VALUE(RIGHT($N31,2)),3)=0,0,COUNTIFS(macro_meta[FREQUENCY],"Q")-1)+COUNTA(fin_data[#Headers])-IF(MOD(VALUE(RIGHT($N31,2)),3)=0,0,COUNTIFS(fin_meta[FREQUENCY],"Q")-1)</f>
        <v>292</v>
      </c>
      <c r="Q31" s="28">
        <f t="shared" ref="Q31:Q32" ca="1" si="4">O31/P31</f>
        <v>0.75</v>
      </c>
      <c r="R31" s="14" t="str">
        <f t="shared" ref="R31:R32" ca="1" si="5">CONCATENATE(TEXT(O31,"0"),"/",TEXT(P31,"0")," (",TEXT(Q31,"0%"),")")</f>
        <v>219/292 (75%)</v>
      </c>
      <c r="V31" s="34" t="str">
        <f ca="1">IFERROR(IF(V30="","",IF(NOT($T$2=""),IF(AND(VALUE(LEFT(V30,4))+1+$T$3/100&gt;=$T$6,VALUE(LEFT(V30,4))+1+$T$3/100&lt;=$T$7),CONCATENATE(VALUE(LEFT(V30,4))+1,$T$2),""),IF(next_period(V30)=next_period(CONCATENATE($N$7,$N$8)),"",next_period(V30)))),"")</f>
        <v/>
      </c>
      <c r="Y31" s="17" t="s">
        <v>823</v>
      </c>
      <c r="Z31" s="17" t="str">
        <f ca="1">IFERROR(IF(ISERROR(INDIRECT(CONCATENATE("macro_data[",$B31,"]"))),IF(ISERROR(INDIRECT(CONCATENATE("fin_data[",$B31,"]"))),"",(SUM(OFFSET(fin_data[[#Headers],[period_y]],MATCH(LEFT(Z$10,4),fin_data[period_y],0)+IF(INDEX(fin_meta[TYPE],MATCH($B31,fin_meta[VARIABLE],0))=cum,IF(cperiod=y,11,IF(cperiod=q,(VALUE(RIGHT(Z$10,1))-1)*3+2,IF(cperiod=m,VALUE(RIGHT(Z$10,2))-1,0))),0),MATCH($B31,fin_data[#Headers],0)-1,IF(NOT(INDEX(fin_meta[TYPE],MATCH($B31,fin_meta[VARIABLE],0))=cum),IF(cperiod=y,12,IF(cperiod=q,VALUE(RIGHT(Z$10,1))*3,IF(cperiod=m,VALUE(RIGHT(Z$10,2)),1))),1)))/IFERROR(IF(INDEX(fin_meta[TYPE],MATCH($B31,fin_meta[VARIABLE],0))=avg,COUNT(OFFSET(fin_data[[#Headers],[period_y]],MATCH(LEFT(Z$10,4),fin_data[period_y],0)+IF(INDEX(fin_meta[TYPE],MATCH($B31,fin_meta[VARIABLE],0))=cum,IF(cperiod=y,11,IF(cperiod=q,(VALUE(RIGHT(Z$10,1))-1)*3+2,IF(cperiod=m,VALUE(RIGHT(Z$10,2))-1,0))),0),MATCH($B31,fin_data[#Headers],0)-1,IF(NOT(INDEX(fin_meta[TYPE],MATCH($B31,fin_meta[VARIABLE],0))=cum),IF(cperiod=y,12,IF(cperiod=q,VALUE(RIGHT(Z$10,1))*3,IF(cperiod=m,VALUE(RIGHT(Z$10,2)),1))),1))),1),1))/(SUM(OFFSET(fin_data[[#Headers],[period_y]],MATCH(LEFT(ytd_period(Z$10),4),fin_data[period_y],0)+IF(INDEX(fin_meta[TYPE],MATCH($B31,fin_meta[VARIABLE],0))=cum,IF(cperiod=y,11,IF(cperiod=q,(VALUE(RIGHT(ytd_period(Z$10),1))-1)*3+2,IF(cperiod=m,VALUE(RIGHT(ytd_period(Z$10),2))-1,0))),0),MATCH($B31,fin_data[#Headers],0)-1,IF(NOT(INDEX(fin_meta[TYPE],MATCH($B31,fin_meta[VARIABLE],0))=cum),IF(cperiod=y,12,IF(cperiod=q,VALUE(RIGHT(ytd_period(Z$10),1))*3,IF(cperiod=m,VALUE(RIGHT(ytd_period(Z$10),2)),1))),1)))/IFERROR(IF(INDEX(fin_meta[TYPE],MATCH($B31,fin_meta[VARIABLE],0))=avg,COUNT(OFFSET(fin_data[[#Headers],[period_y]],MATCH(LEFT(ytd_period(Z$10),4),fin_data[period_y],0)+IF(INDEX(fin_meta[TYPE],MATCH($B31,fin_meta[VARIABLE],0))=cum,IF(cperiod=y,11,IF(cperiod=q,(VALUE(RIGHT(ytd_period(Z$10),1))-1)*3+2,IF(cperiod=m,VALUE(RIGHT(ytd_period(Z$10),2))-1,0))),0),MATCH($B31,fin_data[#Headers],0)-1,IF(NOT(INDEX(fin_meta[TYPE],MATCH($B31,fin_meta[VARIABLE],0))=cum),IF(cperiod=y,12,IF(cperiod=q,VALUE(RIGHT(ytd_period(Z$10),1))*3,IF(cperiod=m,VALUE(RIGHT(ytd_period(Z$10),2)),1))),1))),1),1))-1),(SUM(OFFSET(macro_data[[#Headers],[period_y]],MATCH(LEFT(Z$10,4),macro_data[period_y],0)+IF(INDEX(macro_meta[TYPE],MATCH($B31,macro_meta[VARIABLE],0))=cum,IF(cperiod=y,11,IF(cperiod=q,(VALUE(RIGHT(Z$10,1))-1)*3+2,IF(cperiod=m,VALUE(RIGHT(Z$10,2))-1,0))),0),MATCH($B31,macro_data[#Headers],0)-1,IF(NOT(INDEX(macro_meta[TYPE],MATCH($B31,macro_meta[VARIABLE],0))=cum),IF(cperiod=y,12,IF(cperiod=q,VALUE(RIGHT(Z$10,1))*3,IF(cperiod=m,VALUE(RIGHT(Z$10,2)),1))),1)))/IFERROR(IF(INDEX(macro_meta[TYPE],MATCH($B31,macro_meta[VARIABLE],0))=avg,COUNT(OFFSET(macro_data[[#Headers],[period_y]],MATCH(LEFT(Z$10,4),macro_data[period_y],0)+IF(INDEX(macro_meta[TYPE],MATCH($B31,macro_meta[VARIABLE],0))=cum,IF(cperiod=y,11,IF(cperiod=q,(VALUE(RIGHT(Z$10,1))-1)*3+2,IF(cperiod=m,VALUE(RIGHT(Z$10,2))-1,0))),0),MATCH($B31,macro_data[#Headers],0)-1,IF(NOT(INDEX(macro_meta[TYPE],MATCH($B31,macro_meta[VARIABLE],0))=cum),IF(cperiod=y,12,IF(cperiod=q,VALUE(RIGHT(Z$10,1))*3,IF(cperiod=m,VALUE(RIGHT(Z$10,2)),1))),1))),1),1))/(SUM(OFFSET(macro_data[[#Headers],[period_y]],MATCH(LEFT(ytd_period(Z$10),4),macro_data[period_y],0)+IF(INDEX(macro_meta[TYPE],MATCH($B31,macro_meta[VARIABLE],0))=cum,IF(cperiod=y,11,IF(cperiod=q,(VALUE(RIGHT(ytd_period(Z$10),1))-1)*3+2,IF(cperiod=m,VALUE(RIGHT(ytd_period(Z$10),2))-1,0))),0),MATCH($B31,macro_data[#Headers],0)-1,IF(NOT(INDEX(macro_meta[TYPE],MATCH($B31,macro_meta[VARIABLE],0))=cum),IF(cperiod=y,12,IF(cperiod=q,VALUE(RIGHT(ytd_period(Z$10),1))*3,IF(cperiod=m,VALUE(RIGHT(ytd_period(Z$10),2)),1))),1)))/IFERROR(IF(INDEX(macro_meta[TYPE],MATCH($B31,macro_meta[VARIABLE],0))=avg,COUNT(OFFSET(macro_data[[#Headers],[period_y]],MATCH(LEFT(ytd_period(Z$10),4),macro_data[period_y],0)+IF(INDEX(macro_meta[TYPE],MATCH($B31,macro_meta[VARIABLE],0))=cum,IF(cperiod=y,11,IF(cperiod=q,(VALUE(RIGHT(ytd_period(Z$10),1))-1)*3+2,IF(cperiod=m,VALUE(RIGHT(ytd_period(Z$10),2))-1,0))),0),MATCH($B31,macro_data[#Headers],0)-1,IF(NOT(INDEX(macro_meta[TYPE],MATCH($B31,macro_meta[VARIABLE],0))=cum),IF(cperiod=y,12,IF(cperiod=q,VALUE(RIGHT(ytd_period(Z$10),1))*3,IF(cperiod=m,VALUE(RIGHT(ytd_period(Z$10),2)),1))),1))),1),1))-1),"")</f>
        <v/>
      </c>
    </row>
    <row r="32" spans="2:32" x14ac:dyDescent="0.2">
      <c r="G32" s="14" t="str">
        <f t="shared" ca="1" si="0"/>
        <v/>
      </c>
      <c r="H32" s="14" t="str">
        <f t="shared" ca="1" si="1"/>
        <v/>
      </c>
      <c r="J32" s="14" t="str">
        <f>""</f>
        <v/>
      </c>
      <c r="K32" s="14" t="str">
        <f>""</f>
        <v/>
      </c>
      <c r="M32" s="26" t="s">
        <v>732</v>
      </c>
      <c r="N32" s="14" t="str">
        <f t="array" ref="N32">INDEX(macro_data[period_m],MAX(ROW(macro_data[period_m]))-3)</f>
        <v>2021M11</v>
      </c>
      <c r="O32" s="14">
        <f ca="1">COUNTA(OFFSET(macro_data[[#Headers],[period_y]],MATCH($N32,macro_data[period_m],0),0,1,COUNTA(macro_data[#Headers])))+COUNTA(OFFSET(fin_data[[#Headers],[period_y]],MATCH($N32,fin_data[period_m],0),0,1,COUNTA(fin_data[#Headers])))</f>
        <v>224</v>
      </c>
      <c r="P32" s="14">
        <f>COUNTA(macro_data[#Headers])-IF(MOD(VALUE(RIGHT($N32,2)),3)=0,0,COUNTIFS(macro_meta[FREQUENCY],"Q")-1)+COUNTA(fin_data[#Headers])-IF(MOD(VALUE(RIGHT($N32,2)),3)=0,0,COUNTIFS(fin_meta[FREQUENCY],"Q")-1)</f>
        <v>224</v>
      </c>
      <c r="Q32" s="28">
        <f t="shared" ca="1" si="4"/>
        <v>1</v>
      </c>
      <c r="R32" s="14" t="str">
        <f t="shared" ca="1" si="5"/>
        <v>224/224 (100%)</v>
      </c>
      <c r="V32" s="34" t="str">
        <f ca="1">IFERROR(IF(V31="","",IF(NOT($T$2=""),IF(AND(VALUE(LEFT(V31,4))+1+$T$3/100&gt;=$T$6,VALUE(LEFT(V31,4))+1+$T$3/100&lt;=$T$7),CONCATENATE(VALUE(LEFT(V31,4))+1,$T$2),""),IF(next_period(V31)=next_period(CONCATENATE($N$7,$N$8)),"",next_period(V31)))),"")</f>
        <v/>
      </c>
    </row>
    <row r="33" spans="2:28" x14ac:dyDescent="0.2">
      <c r="G33" s="14" t="str">
        <f t="shared" ca="1" si="0"/>
        <v/>
      </c>
      <c r="H33" s="14" t="str">
        <f t="shared" ca="1" si="1"/>
        <v/>
      </c>
      <c r="V33" s="34" t="str">
        <f ca="1">IFERROR(IF(V32="","",IF(NOT($T$2=""),IF(AND(VALUE(LEFT(V32,4))+1+$T$3/100&gt;=$T$6,VALUE(LEFT(V32,4))+1+$T$3/100&lt;=$T$7),CONCATENATE(VALUE(LEFT(V32,4))+1,$T$2),""),IF(next_period(V32)=next_period(CONCATENATE($N$7,$N$8)),"",next_period(V32)))),"")</f>
        <v/>
      </c>
    </row>
    <row r="34" spans="2:28" x14ac:dyDescent="0.2">
      <c r="G34" s="14" t="str">
        <f t="shared" ca="1" si="0"/>
        <v/>
      </c>
      <c r="H34" s="14" t="str">
        <f t="shared" ca="1" si="1"/>
        <v/>
      </c>
      <c r="V34" s="34" t="str">
        <f ca="1">IFERROR(IF(V33="","",IF(NOT($T$2=""),IF(AND(VALUE(LEFT(V33,4))+1+$T$3/100&gt;=$T$6,VALUE(LEFT(V33,4))+1+$T$3/100&lt;=$T$7),CONCATENATE(VALUE(LEFT(V33,4))+1,$T$2),""),IF(next_period(V33)=next_period(CONCATENATE($N$7,$N$8)),"",next_period(V33)))),"")</f>
        <v/>
      </c>
    </row>
    <row r="35" spans="2:28" x14ac:dyDescent="0.2">
      <c r="B35" s="15" t="s">
        <v>754</v>
      </c>
      <c r="G35" s="14" t="str">
        <f t="shared" ca="1" si="0"/>
        <v/>
      </c>
      <c r="H35" s="14" t="str">
        <f t="shared" ca="1" si="1"/>
        <v/>
      </c>
      <c r="V35" s="34" t="str">
        <f ca="1">IFERROR(IF(V34="","",IF(NOT($T$2=""),IF(AND(VALUE(LEFT(V34,4))+1+$T$3/100&gt;=$T$6,VALUE(LEFT(V34,4))+1+$T$3/100&lt;=$T$7),CONCATENATE(VALUE(LEFT(V34,4))+1,$T$2),""),IF(next_period(V34)=next_period(CONCATENATE($N$7,$N$8)),"",next_period(V34)))),"")</f>
        <v/>
      </c>
      <c r="AB35" s="56"/>
    </row>
    <row r="36" spans="2:28" x14ac:dyDescent="0.2">
      <c r="B36" s="46" t="s">
        <v>686</v>
      </c>
      <c r="C36" s="47"/>
      <c r="G36" s="14" t="str">
        <f t="shared" ca="1" si="0"/>
        <v/>
      </c>
      <c r="H36" s="14" t="str">
        <f t="shared" ca="1" si="1"/>
        <v/>
      </c>
      <c r="V36" s="34" t="str">
        <f ca="1">IFERROR(IF(V35="","",IF(NOT($T$2=""),IF(AND(VALUE(LEFT(V35,4))+1+$T$3/100&gt;=$T$6,VALUE(LEFT(V35,4))+1+$T$3/100&lt;=$T$7),CONCATENATE(VALUE(LEFT(V35,4))+1,$T$2),""),IF(next_period(V35)=next_period(CONCATENATE($N$7,$N$8)),"",next_period(V35)))),"")</f>
        <v/>
      </c>
    </row>
    <row r="37" spans="2:28" x14ac:dyDescent="0.2">
      <c r="B37" s="46"/>
      <c r="C37" s="47"/>
      <c r="G37" s="14" t="str">
        <f t="shared" ca="1" si="0"/>
        <v/>
      </c>
      <c r="H37" s="14" t="str">
        <f t="shared" ca="1" si="1"/>
        <v/>
      </c>
      <c r="V37" s="34" t="str">
        <f ca="1">IFERROR(IF(V36="","",IF(NOT($T$2=""),IF(AND(VALUE(LEFT(V36,4))+1+$T$3/100&gt;=$T$6,VALUE(LEFT(V36,4))+1+$T$3/100&lt;=$T$7),CONCATENATE(VALUE(LEFT(V36,4))+1,$T$2),""),IF(next_period(V36)=next_period(CONCATENATE($N$7,$N$8)),"",next_period(V36)))),"")</f>
        <v/>
      </c>
    </row>
    <row r="38" spans="2:28" x14ac:dyDescent="0.2">
      <c r="B38" s="46" t="s">
        <v>711</v>
      </c>
      <c r="C38" s="47"/>
      <c r="G38" s="14" t="str">
        <f t="shared" ca="1" si="0"/>
        <v/>
      </c>
      <c r="H38" s="14" t="str">
        <f t="shared" ca="1" si="1"/>
        <v/>
      </c>
      <c r="V38" s="34" t="str">
        <f ca="1">IFERROR(IF(V37="","",IF(NOT($T$2=""),IF(AND(VALUE(LEFT(V37,4))+1+$T$3/100&gt;=$T$6,VALUE(LEFT(V37,4))+1+$T$3/100&lt;=$T$7),CONCATENATE(VALUE(LEFT(V37,4))+1,$T$2),""),IF(next_period(V37)=next_period(CONCATENATE($N$7,$N$8)),"",next_period(V37)))),"")</f>
        <v/>
      </c>
    </row>
    <row r="39" spans="2:28" x14ac:dyDescent="0.2">
      <c r="B39" s="46" t="s">
        <v>712</v>
      </c>
      <c r="C39" s="47"/>
      <c r="G39" s="14" t="str">
        <f t="shared" ca="1" si="0"/>
        <v/>
      </c>
      <c r="H39" s="14" t="str">
        <f t="shared" ca="1" si="1"/>
        <v/>
      </c>
      <c r="V39" s="34" t="str">
        <f ca="1">IFERROR(IF(V38="","",IF(NOT($T$2=""),IF(AND(VALUE(LEFT(V38,4))+1+$T$3/100&gt;=$T$6,VALUE(LEFT(V38,4))+1+$T$3/100&lt;=$T$7),CONCATENATE(VALUE(LEFT(V38,4))+1,$T$2),""),IF(next_period(V38)=next_period(CONCATENATE($N$7,$N$8)),"",next_period(V38)))),"")</f>
        <v/>
      </c>
    </row>
    <row r="40" spans="2:28" x14ac:dyDescent="0.2">
      <c r="B40" s="46" t="s">
        <v>745</v>
      </c>
      <c r="C40" s="47"/>
      <c r="G40" s="14" t="str">
        <f t="shared" ca="1" si="0"/>
        <v/>
      </c>
      <c r="H40" s="14" t="str">
        <f t="shared" ca="1" si="1"/>
        <v/>
      </c>
      <c r="V40" s="34" t="str">
        <f ca="1">IFERROR(IF(V39="","",IF(NOT($T$2=""),IF(AND(VALUE(LEFT(V39,4))+1+$T$3/100&gt;=$T$6,VALUE(LEFT(V39,4))+1+$T$3/100&lt;=$T$7),CONCATENATE(VALUE(LEFT(V39,4))+1,$T$2),""),IF(next_period(V39)=next_period(CONCATENATE($N$7,$N$8)),"",next_period(V39)))),"")</f>
        <v/>
      </c>
    </row>
    <row r="41" spans="2:28" x14ac:dyDescent="0.2">
      <c r="G41" s="14" t="str">
        <f t="shared" ca="1" si="0"/>
        <v/>
      </c>
      <c r="H41" s="14" t="str">
        <f t="shared" ca="1" si="1"/>
        <v/>
      </c>
      <c r="V41" s="34" t="str">
        <f ca="1">IFERROR(IF(V40="","",IF(NOT($T$2=""),IF(AND(VALUE(LEFT(V40,4))+1+$T$3/100&gt;=$T$6,VALUE(LEFT(V40,4))+1+$T$3/100&lt;=$T$7),CONCATENATE(VALUE(LEFT(V40,4))+1,$T$2),""),IF(next_period(V40)=next_period(CONCATENATE($N$7,$N$8)),"",next_period(V40)))),"")</f>
        <v/>
      </c>
    </row>
    <row r="42" spans="2:28" x14ac:dyDescent="0.2">
      <c r="G42" s="14" t="str">
        <f t="shared" ca="1" si="0"/>
        <v/>
      </c>
      <c r="H42" s="14" t="str">
        <f t="shared" ca="1" si="1"/>
        <v/>
      </c>
      <c r="V42" s="34" t="str">
        <f ca="1">IFERROR(IF(V41="","",IF(NOT($T$2=""),IF(AND(VALUE(LEFT(V41,4))+1+$T$3/100&gt;=$T$6,VALUE(LEFT(V41,4))+1+$T$3/100&lt;=$T$7),CONCATENATE(VALUE(LEFT(V41,4))+1,$T$2),""),IF(next_period(V41)=next_period(CONCATENATE($N$7,$N$8)),"",next_period(V41)))),"")</f>
        <v/>
      </c>
    </row>
    <row r="43" spans="2:28" x14ac:dyDescent="0.2">
      <c r="G43" s="14" t="str">
        <f t="shared" ca="1" si="0"/>
        <v/>
      </c>
      <c r="H43" s="14" t="str">
        <f t="shared" ca="1" si="1"/>
        <v/>
      </c>
      <c r="V43" s="34" t="str">
        <f ca="1">IFERROR(IF(V42="","",IF(NOT($T$2=""),IF(AND(VALUE(LEFT(V42,4))+1+$T$3/100&gt;=$T$6,VALUE(LEFT(V42,4))+1+$T$3/100&lt;=$T$7),CONCATENATE(VALUE(LEFT(V42,4))+1,$T$2),""),IF(next_period(V42)=next_period(CONCATENATE($N$7,$N$8)),"",next_period(V42)))),"")</f>
        <v/>
      </c>
    </row>
    <row r="44" spans="2:28" x14ac:dyDescent="0.2">
      <c r="G44" s="14" t="str">
        <f t="shared" ca="1" si="0"/>
        <v/>
      </c>
      <c r="H44" s="14" t="str">
        <f t="shared" ca="1" si="1"/>
        <v/>
      </c>
      <c r="V44" s="34" t="str">
        <f ca="1">IFERROR(IF(V43="","",IF(NOT($T$2=""),IF(AND(VALUE(LEFT(V43,4))+1+$T$3/100&gt;=$T$6,VALUE(LEFT(V43,4))+1+$T$3/100&lt;=$T$7),CONCATENATE(VALUE(LEFT(V43,4))+1,$T$2),""),IF(next_period(V43)=next_period(CONCATENATE($N$7,$N$8)),"",next_period(V43)))),"")</f>
        <v/>
      </c>
    </row>
    <row r="45" spans="2:28" x14ac:dyDescent="0.2">
      <c r="G45" s="14" t="str">
        <f t="shared" ca="1" si="0"/>
        <v/>
      </c>
      <c r="H45" s="14" t="str">
        <f t="shared" ca="1" si="1"/>
        <v/>
      </c>
      <c r="V45" s="34" t="str">
        <f ca="1">IFERROR(IF(V44="","",IF(NOT($T$2=""),IF(AND(VALUE(LEFT(V44,4))+1+$T$3/100&gt;=$T$6,VALUE(LEFT(V44,4))+1+$T$3/100&lt;=$T$7),CONCATENATE(VALUE(LEFT(V44,4))+1,$T$2),""),IF(next_period(V44)=next_period(CONCATENATE($N$7,$N$8)),"",next_period(V44)))),"")</f>
        <v/>
      </c>
    </row>
    <row r="46" spans="2:28" x14ac:dyDescent="0.2">
      <c r="G46" s="14" t="str">
        <f t="shared" ca="1" si="0"/>
        <v/>
      </c>
      <c r="H46" s="14" t="str">
        <f t="shared" ca="1" si="1"/>
        <v/>
      </c>
      <c r="V46" s="34" t="str">
        <f ca="1">IFERROR(IF(V45="","",IF(NOT($T$2=""),IF(AND(VALUE(LEFT(V45,4))+1+$T$3/100&gt;=$T$6,VALUE(LEFT(V45,4))+1+$T$3/100&lt;=$T$7),CONCATENATE(VALUE(LEFT(V45,4))+1,$T$2),""),IF(next_period(V45)=next_period(CONCATENATE($N$7,$N$8)),"",next_period(V45)))),"")</f>
        <v/>
      </c>
    </row>
    <row r="47" spans="2:28" x14ac:dyDescent="0.2">
      <c r="G47" s="14" t="str">
        <f t="shared" ca="1" si="0"/>
        <v/>
      </c>
      <c r="H47" s="14" t="str">
        <f t="shared" ca="1" si="1"/>
        <v/>
      </c>
      <c r="V47" s="34" t="str">
        <f ca="1">IFERROR(IF(V46="","",IF(NOT($T$2=""),IF(AND(VALUE(LEFT(V46,4))+1+$T$3/100&gt;=$T$6,VALUE(LEFT(V46,4))+1+$T$3/100&lt;=$T$7),CONCATENATE(VALUE(LEFT(V46,4))+1,$T$2),""),IF(next_period(V46)=next_period(CONCATENATE($N$7,$N$8)),"",next_period(V46)))),"")</f>
        <v/>
      </c>
    </row>
    <row r="48" spans="2:28" x14ac:dyDescent="0.2">
      <c r="G48" s="14" t="str">
        <f t="shared" ca="1" si="0"/>
        <v/>
      </c>
      <c r="H48" s="14" t="str">
        <f t="shared" ca="1" si="1"/>
        <v/>
      </c>
      <c r="V48" s="34" t="str">
        <f ca="1">IFERROR(IF(V47="","",IF(NOT($T$2=""),IF(AND(VALUE(LEFT(V47,4))+1+$T$3/100&gt;=$T$6,VALUE(LEFT(V47,4))+1+$T$3/100&lt;=$T$7),CONCATENATE(VALUE(LEFT(V47,4))+1,$T$2),""),IF(next_period(V47)=next_period(CONCATENATE($N$7,$N$8)),"",next_period(V47)))),"")</f>
        <v/>
      </c>
    </row>
    <row r="49" spans="2:22" x14ac:dyDescent="0.2">
      <c r="G49" s="14" t="str">
        <f t="shared" ca="1" si="0"/>
        <v/>
      </c>
      <c r="H49" s="14" t="str">
        <f t="shared" ca="1" si="1"/>
        <v/>
      </c>
      <c r="V49" s="34" t="str">
        <f ca="1">IFERROR(IF(V48="","",IF(NOT($T$2=""),IF(AND(VALUE(LEFT(V48,4))+1+$T$3/100&gt;=$T$6,VALUE(LEFT(V48,4))+1+$T$3/100&lt;=$T$7),CONCATENATE(VALUE(LEFT(V48,4))+1,$T$2),""),IF(next_period(V48)=next_period(CONCATENATE($N$7,$N$8)),"",next_period(V48)))),"")</f>
        <v/>
      </c>
    </row>
    <row r="50" spans="2:22" x14ac:dyDescent="0.2">
      <c r="G50" s="14" t="str">
        <f t="shared" ca="1" si="0"/>
        <v/>
      </c>
      <c r="H50" s="14" t="str">
        <f t="shared" ca="1" si="1"/>
        <v/>
      </c>
      <c r="V50" s="34" t="str">
        <f ca="1">IFERROR(IF(V49="","",IF(NOT($T$2=""),IF(AND(VALUE(LEFT(V49,4))+1+$T$3/100&gt;=$T$6,VALUE(LEFT(V49,4))+1+$T$3/100&lt;=$T$7),CONCATENATE(VALUE(LEFT(V49,4))+1,$T$2),""),IF(next_period(V49)=next_period(CONCATENATE($N$7,$N$8)),"",next_period(V49)))),"")</f>
        <v/>
      </c>
    </row>
    <row r="51" spans="2:22" x14ac:dyDescent="0.2">
      <c r="G51" s="14" t="str">
        <f t="shared" ca="1" si="0"/>
        <v/>
      </c>
      <c r="H51" s="14" t="str">
        <f t="shared" ca="1" si="1"/>
        <v/>
      </c>
      <c r="V51" s="34" t="str">
        <f ca="1">IFERROR(IF(V50="","",IF(NOT($T$2=""),IF(AND(VALUE(LEFT(V50,4))+1+$T$3/100&gt;=$T$6,VALUE(LEFT(V50,4))+1+$T$3/100&lt;=$T$7),CONCATENATE(VALUE(LEFT(V50,4))+1,$T$2),""),IF(next_period(V50)=next_period(CONCATENATE($N$7,$N$8)),"",next_period(V50)))),"")</f>
        <v/>
      </c>
    </row>
    <row r="52" spans="2:22" x14ac:dyDescent="0.2">
      <c r="G52" s="14" t="str">
        <f t="shared" ca="1" si="0"/>
        <v/>
      </c>
      <c r="H52" s="14" t="str">
        <f t="shared" ca="1" si="1"/>
        <v/>
      </c>
      <c r="V52" s="34" t="str">
        <f ca="1">IFERROR(IF(V51="","",IF(NOT($T$2=""),IF(AND(VALUE(LEFT(V51,4))+1+$T$3/100&gt;=$T$6,VALUE(LEFT(V51,4))+1+$T$3/100&lt;=$T$7),CONCATENATE(VALUE(LEFT(V51,4))+1,$T$2),""),IF(next_period(V51)=next_period(CONCATENATE($N$7,$N$8)),"",next_period(V51)))),"")</f>
        <v/>
      </c>
    </row>
    <row r="53" spans="2:22" x14ac:dyDescent="0.2">
      <c r="G53" s="14" t="str">
        <f t="shared" ca="1" si="0"/>
        <v/>
      </c>
      <c r="H53" s="14" t="str">
        <f t="shared" ca="1" si="1"/>
        <v/>
      </c>
      <c r="V53" s="34" t="str">
        <f ca="1">IFERROR(IF(V52="","",IF(NOT($T$2=""),IF(AND(VALUE(LEFT(V52,4))+1+$T$3/100&gt;=$T$6,VALUE(LEFT(V52,4))+1+$T$3/100&lt;=$T$7),CONCATENATE(VALUE(LEFT(V52,4))+1,$T$2),""),IF(next_period(V52)=next_period(CONCATENATE($N$7,$N$8)),"",next_period(V52)))),"")</f>
        <v/>
      </c>
    </row>
    <row r="54" spans="2:22" x14ac:dyDescent="0.2">
      <c r="B54" s="14" t="s">
        <v>6</v>
      </c>
      <c r="G54" s="14" t="str">
        <f t="shared" ca="1" si="0"/>
        <v/>
      </c>
      <c r="H54" s="14" t="str">
        <f t="shared" ca="1" si="1"/>
        <v/>
      </c>
      <c r="V54" s="34" t="str">
        <f ca="1">IFERROR(IF(V53="","",IF(NOT($T$2=""),IF(AND(VALUE(LEFT(V53,4))+1+$T$3/100&gt;=$T$6,VALUE(LEFT(V53,4))+1+$T$3/100&lt;=$T$7),CONCATENATE(VALUE(LEFT(V53,4))+1,$T$2),""),IF(next_period(V53)=next_period(CONCATENATE($N$7,$N$8)),"",next_period(V53)))),"")</f>
        <v/>
      </c>
    </row>
    <row r="55" spans="2:22" x14ac:dyDescent="0.2">
      <c r="B55" s="14" t="s">
        <v>7</v>
      </c>
      <c r="G55" s="14" t="str">
        <f t="shared" ca="1" si="0"/>
        <v/>
      </c>
      <c r="H55" s="14" t="str">
        <f t="shared" ca="1" si="1"/>
        <v/>
      </c>
      <c r="V55" s="34" t="str">
        <f ca="1">IFERROR(IF(V54="","",IF(NOT($T$2=""),IF(AND(VALUE(LEFT(V54,4))+1+$T$3/100&gt;=$T$6,VALUE(LEFT(V54,4))+1+$T$3/100&lt;=$T$7),CONCATENATE(VALUE(LEFT(V54,4))+1,$T$2),""),IF(next_period(V54)=next_period(CONCATENATE($N$7,$N$8)),"",next_period(V54)))),"")</f>
        <v/>
      </c>
    </row>
    <row r="56" spans="2:22" x14ac:dyDescent="0.2">
      <c r="B56" s="14" t="s">
        <v>8</v>
      </c>
      <c r="G56" s="14" t="str">
        <f t="shared" ca="1" si="0"/>
        <v/>
      </c>
      <c r="H56" s="14" t="str">
        <f t="shared" ca="1" si="1"/>
        <v/>
      </c>
      <c r="V56" s="34" t="str">
        <f ca="1">IFERROR(IF(V55="","",IF(NOT($T$2=""),IF(AND(VALUE(LEFT(V55,4))+1+$T$3/100&gt;=$T$6,VALUE(LEFT(V55,4))+1+$T$3/100&lt;=$T$7),CONCATENATE(VALUE(LEFT(V55,4))+1,$T$2),""),IF(next_period(V55)=next_period(CONCATENATE($N$7,$N$8)),"",next_period(V55)))),"")</f>
        <v/>
      </c>
    </row>
    <row r="57" spans="2:22" x14ac:dyDescent="0.2">
      <c r="V57" s="34" t="str">
        <f ca="1">IFERROR(IF(V56="","",IF(NOT($T$2=""),IF(AND(VALUE(LEFT(V56,4))+1+$T$3/100&gt;=$T$6,VALUE(LEFT(V56,4))+1+$T$3/100&lt;=$T$7),CONCATENATE(VALUE(LEFT(V56,4))+1,$T$2),""),IF(next_period(V56)=next_period(CONCATENATE($N$7,$N$8)),"",next_period(V56)))),"")</f>
        <v/>
      </c>
    </row>
    <row r="58" spans="2:22" x14ac:dyDescent="0.2">
      <c r="V58" s="34" t="str">
        <f ca="1">IFERROR(IF(V57="","",IF(NOT($T$2=""),IF(AND(VALUE(LEFT(V57,4))+1+$T$3/100&gt;=$T$6,VALUE(LEFT(V57,4))+1+$T$3/100&lt;=$T$7),CONCATENATE(VALUE(LEFT(V57,4))+1,$T$2),""),IF(next_period(V57)=next_period(CONCATENATE($N$7,$N$8)),"",next_period(V57)))),"")</f>
        <v/>
      </c>
    </row>
    <row r="59" spans="2:22" x14ac:dyDescent="0.2">
      <c r="V59" s="34" t="str">
        <f ca="1">IFERROR(IF(V58="","",IF(NOT($T$2=""),IF(AND(VALUE(LEFT(V58,4))+1+$T$3/100&gt;=$T$6,VALUE(LEFT(V58,4))+1+$T$3/100&lt;=$T$7),CONCATENATE(VALUE(LEFT(V58,4))+1,$T$2),""),IF(next_period(V58)=next_period(CONCATENATE($N$7,$N$8)),"",next_period(V58)))),"")</f>
        <v/>
      </c>
    </row>
    <row r="60" spans="2:22" x14ac:dyDescent="0.2">
      <c r="V60" s="34" t="str">
        <f ca="1">IFERROR(IF(V59="","",IF(NOT($T$2=""),IF(AND(VALUE(LEFT(V59,4))+1+$T$3/100&gt;=$T$6,VALUE(LEFT(V59,4))+1+$T$3/100&lt;=$T$7),CONCATENATE(VALUE(LEFT(V59,4))+1,$T$2),""),IF(next_period(V59)=next_period(CONCATENATE($N$7,$N$8)),"",next_period(V59)))),"")</f>
        <v/>
      </c>
    </row>
    <row r="61" spans="2:22" x14ac:dyDescent="0.2">
      <c r="V61" s="34" t="str">
        <f ca="1">IFERROR(IF(V60="","",IF(NOT($T$2=""),IF(AND(VALUE(LEFT(V60,4))+1+$T$3/100&gt;=$T$6,VALUE(LEFT(V60,4))+1+$T$3/100&lt;=$T$7),CONCATENATE(VALUE(LEFT(V60,4))+1,$T$2),""),IF(next_period(V60)=next_period(CONCATENATE($N$7,$N$8)),"",next_period(V60)))),"")</f>
        <v/>
      </c>
    </row>
    <row r="62" spans="2:22" x14ac:dyDescent="0.2">
      <c r="V62" s="34" t="str">
        <f ca="1">IFERROR(IF(V61="","",IF(NOT($T$2=""),IF(AND(VALUE(LEFT(V61,4))+1+$T$3/100&gt;=$T$6,VALUE(LEFT(V61,4))+1+$T$3/100&lt;=$T$7),CONCATENATE(VALUE(LEFT(V61,4))+1,$T$2),""),IF(next_period(V61)=next_period(CONCATENATE($N$7,$N$8)),"",next_period(V61)))),"")</f>
        <v/>
      </c>
    </row>
    <row r="63" spans="2:22" x14ac:dyDescent="0.2">
      <c r="V63" s="34" t="str">
        <f ca="1">IFERROR(IF(V62="","",IF(NOT($T$2=""),IF(AND(VALUE(LEFT(V62,4))+1+$T$3/100&gt;=$T$6,VALUE(LEFT(V62,4))+1+$T$3/100&lt;=$T$7),CONCATENATE(VALUE(LEFT(V62,4))+1,$T$2),""),IF(next_period(V62)=next_period(CONCATENATE($N$7,$N$8)),"",next_period(V62)))),"")</f>
        <v/>
      </c>
    </row>
    <row r="64" spans="2:22" x14ac:dyDescent="0.2">
      <c r="V64" s="34" t="str">
        <f ca="1">IFERROR(IF(V63="","",IF(NOT($T$2=""),IF(AND(VALUE(LEFT(V63,4))+1+$T$3/100&gt;=$T$6,VALUE(LEFT(V63,4))+1+$T$3/100&lt;=$T$7),CONCATENATE(VALUE(LEFT(V63,4))+1,$T$2),""),IF(next_period(V63)=next_period(CONCATENATE($N$7,$N$8)),"",next_period(V63)))),"")</f>
        <v/>
      </c>
    </row>
    <row r="65" spans="22:22" x14ac:dyDescent="0.2">
      <c r="V65" s="34" t="str">
        <f ca="1">IFERROR(IF(V64="","",IF(NOT($T$2=""),IF(AND(VALUE(LEFT(V64,4))+1+$T$3/100&gt;=$T$6,VALUE(LEFT(V64,4))+1+$T$3/100&lt;=$T$7),CONCATENATE(VALUE(LEFT(V64,4))+1,$T$2),""),IF(next_period(V64)=next_period(CONCATENATE($N$7,$N$8)),"",next_period(V64)))),"")</f>
        <v/>
      </c>
    </row>
    <row r="66" spans="22:22" x14ac:dyDescent="0.2">
      <c r="V66" s="34" t="str">
        <f ca="1">IFERROR(IF(V65="","",IF(NOT($T$2=""),IF(AND(VALUE(LEFT(V65,4))+1+$T$3/100&gt;=$T$6,VALUE(LEFT(V65,4))+1+$T$3/100&lt;=$T$7),CONCATENATE(VALUE(LEFT(V65,4))+1,$T$2),""),IF(next_period(V65)=next_period(CONCATENATE($N$7,$N$8)),"",next_period(V65)))),"")</f>
        <v/>
      </c>
    </row>
    <row r="67" spans="22:22" x14ac:dyDescent="0.2">
      <c r="V67" s="34" t="str">
        <f ca="1">IFERROR(IF(V66="","",IF(NOT($T$2=""),IF(AND(VALUE(LEFT(V66,4))+1+$T$3/100&gt;=$T$6,VALUE(LEFT(V66,4))+1+$T$3/100&lt;=$T$7),CONCATENATE(VALUE(LEFT(V66,4))+1,$T$2),""),IF(next_period(V66)=next_period(CONCATENATE($N$7,$N$8)),"",next_period(V66)))),"")</f>
        <v/>
      </c>
    </row>
    <row r="68" spans="22:22" x14ac:dyDescent="0.2">
      <c r="V68" s="34" t="str">
        <f ca="1">IFERROR(IF(V67="","",IF(NOT($T$2=""),IF(AND(VALUE(LEFT(V67,4))+1+$T$3/100&gt;=$T$6,VALUE(LEFT(V67,4))+1+$T$3/100&lt;=$T$7),CONCATENATE(VALUE(LEFT(V67,4))+1,$T$2),""),IF(next_period(V67)=next_period(CONCATENATE($N$7,$N$8)),"",next_period(V67)))),"")</f>
        <v/>
      </c>
    </row>
    <row r="69" spans="22:22" x14ac:dyDescent="0.2">
      <c r="V69" s="34" t="str">
        <f ca="1">IFERROR(IF(V68="","",IF(NOT($T$2=""),IF(AND(VALUE(LEFT(V68,4))+1+$T$3/100&gt;=$T$6,VALUE(LEFT(V68,4))+1+$T$3/100&lt;=$T$7),CONCATENATE(VALUE(LEFT(V68,4))+1,$T$2),""),IF(next_period(V68)=next_period(CONCATENATE($N$7,$N$8)),"",next_period(V68)))),"")</f>
        <v/>
      </c>
    </row>
    <row r="70" spans="22:22" x14ac:dyDescent="0.2">
      <c r="V70" s="34" t="str">
        <f ca="1">IFERROR(IF(V69="","",IF(NOT($T$2=""),IF(AND(VALUE(LEFT(V69,4))+1+$T$3/100&gt;=$T$6,VALUE(LEFT(V69,4))+1+$T$3/100&lt;=$T$7),CONCATENATE(VALUE(LEFT(V69,4))+1,$T$2),""),IF(next_period(V69)=next_period(CONCATENATE($N$7,$N$8)),"",next_period(V69)))),"")</f>
        <v/>
      </c>
    </row>
    <row r="71" spans="22:22" x14ac:dyDescent="0.2">
      <c r="V71" s="34" t="str">
        <f ca="1">IFERROR(IF(V70="","",IF(NOT($T$2=""),IF(AND(VALUE(LEFT(V70,4))+1+$T$3/100&gt;=$T$6,VALUE(LEFT(V70,4))+1+$T$3/100&lt;=$T$7),CONCATENATE(VALUE(LEFT(V70,4))+1,$T$2),""),IF(next_period(V70)=next_period(CONCATENATE($N$7,$N$8)),"",next_period(V70)))),"")</f>
        <v/>
      </c>
    </row>
    <row r="72" spans="22:22" x14ac:dyDescent="0.2">
      <c r="V72" s="34" t="str">
        <f ca="1">IFERROR(IF(V71="","",IF(NOT($T$2=""),IF(AND(VALUE(LEFT(V71,4))+1+$T$3/100&gt;=$T$6,VALUE(LEFT(V71,4))+1+$T$3/100&lt;=$T$7),CONCATENATE(VALUE(LEFT(V71,4))+1,$T$2),""),IF(next_period(V71)=next_period(CONCATENATE($N$7,$N$8)),"",next_period(V71)))),"")</f>
        <v/>
      </c>
    </row>
    <row r="73" spans="22:22" x14ac:dyDescent="0.2">
      <c r="V73" s="34" t="str">
        <f ca="1">IFERROR(IF(V72="","",IF(NOT($T$2=""),IF(AND(VALUE(LEFT(V72,4))+1+$T$3/100&gt;=$T$6,VALUE(LEFT(V72,4))+1+$T$3/100&lt;=$T$7),CONCATENATE(VALUE(LEFT(V72,4))+1,$T$2),""),IF(next_period(V72)=next_period(CONCATENATE($N$7,$N$8)),"",next_period(V72)))),"")</f>
        <v/>
      </c>
    </row>
    <row r="74" spans="22:22" x14ac:dyDescent="0.2">
      <c r="V74" s="34" t="str">
        <f ca="1">IFERROR(IF(V73="","",IF(NOT($T$2=""),IF(AND(VALUE(LEFT(V73,4))+1+$T$3/100&gt;=$T$6,VALUE(LEFT(V73,4))+1+$T$3/100&lt;=$T$7),CONCATENATE(VALUE(LEFT(V73,4))+1,$T$2),""),IF(next_period(V73)=next_period(CONCATENATE($N$7,$N$8)),"",next_period(V73)))),"")</f>
        <v/>
      </c>
    </row>
    <row r="75" spans="22:22" x14ac:dyDescent="0.2">
      <c r="V75" s="34" t="str">
        <f ca="1">IFERROR(IF(V74="","",IF(NOT($T$2=""),IF(AND(VALUE(LEFT(V74,4))+1+$T$3/100&gt;=$T$6,VALUE(LEFT(V74,4))+1+$T$3/100&lt;=$T$7),CONCATENATE(VALUE(LEFT(V74,4))+1,$T$2),""),IF(next_period(V74)=next_period(CONCATENATE($N$7,$N$8)),"",next_period(V74)))),"")</f>
        <v/>
      </c>
    </row>
    <row r="76" spans="22:22" x14ac:dyDescent="0.2">
      <c r="V76" s="34" t="str">
        <f ca="1">IFERROR(IF(V75="","",IF(NOT($T$2=""),IF(AND(VALUE(LEFT(V75,4))+1+$T$3/100&gt;=$T$6,VALUE(LEFT(V75,4))+1+$T$3/100&lt;=$T$7),CONCATENATE(VALUE(LEFT(V75,4))+1,$T$2),""),IF(next_period(V75)=next_period(CONCATENATE($N$7,$N$8)),"",next_period(V75)))),"")</f>
        <v/>
      </c>
    </row>
    <row r="77" spans="22:22" x14ac:dyDescent="0.2">
      <c r="V77" s="34" t="str">
        <f ca="1">IFERROR(IF(V76="","",IF(NOT($T$2=""),IF(AND(VALUE(LEFT(V76,4))+1+$T$3/100&gt;=$T$6,VALUE(LEFT(V76,4))+1+$T$3/100&lt;=$T$7),CONCATENATE(VALUE(LEFT(V76,4))+1,$T$2),""),IF(next_period(V76)=next_period(CONCATENATE($N$7,$N$8)),"",next_period(V76)))),"")</f>
        <v/>
      </c>
    </row>
    <row r="78" spans="22:22" x14ac:dyDescent="0.2">
      <c r="V78" s="34" t="str">
        <f ca="1">IFERROR(IF(V77="","",IF(NOT($T$2=""),IF(AND(VALUE(LEFT(V77,4))+1+$T$3/100&gt;=$T$6,VALUE(LEFT(V77,4))+1+$T$3/100&lt;=$T$7),CONCATENATE(VALUE(LEFT(V77,4))+1,$T$2),""),IF(next_period(V77)=next_period(CONCATENATE($N$7,$N$8)),"",next_period(V77)))),"")</f>
        <v/>
      </c>
    </row>
    <row r="79" spans="22:22" x14ac:dyDescent="0.2">
      <c r="V79" s="34" t="str">
        <f ca="1">IFERROR(IF(V78="","",IF(NOT($T$2=""),IF(AND(VALUE(LEFT(V78,4))+1+$T$3/100&gt;=$T$6,VALUE(LEFT(V78,4))+1+$T$3/100&lt;=$T$7),CONCATENATE(VALUE(LEFT(V78,4))+1,$T$2),""),IF(next_period(V78)=next_period(CONCATENATE($N$7,$N$8)),"",next_period(V78)))),"")</f>
        <v/>
      </c>
    </row>
    <row r="80" spans="22:22" x14ac:dyDescent="0.2">
      <c r="V80" s="34" t="str">
        <f ca="1">IFERROR(IF(V79="","",IF(NOT($T$2=""),IF(AND(VALUE(LEFT(V79,4))+1+$T$3/100&gt;=$T$6,VALUE(LEFT(V79,4))+1+$T$3/100&lt;=$T$7),CONCATENATE(VALUE(LEFT(V79,4))+1,$T$2),""),IF(next_period(V79)=next_period(CONCATENATE($N$7,$N$8)),"",next_period(V79)))),"")</f>
        <v/>
      </c>
    </row>
    <row r="81" spans="22:22" x14ac:dyDescent="0.2">
      <c r="V81" s="34" t="str">
        <f ca="1">IFERROR(IF(V80="","",IF(NOT($T$2=""),IF(AND(VALUE(LEFT(V80,4))+1+$T$3/100&gt;=$T$6,VALUE(LEFT(V80,4))+1+$T$3/100&lt;=$T$7),CONCATENATE(VALUE(LEFT(V80,4))+1,$T$2),""),IF(next_period(V80)=next_period(CONCATENATE($N$7,$N$8)),"",next_period(V80)))),"")</f>
        <v/>
      </c>
    </row>
    <row r="82" spans="22:22" x14ac:dyDescent="0.2">
      <c r="V82" s="34" t="str">
        <f ca="1">IFERROR(IF(V81="","",IF(NOT($T$2=""),IF(AND(VALUE(LEFT(V81,4))+1+$T$3/100&gt;=$T$6,VALUE(LEFT(V81,4))+1+$T$3/100&lt;=$T$7),CONCATENATE(VALUE(LEFT(V81,4))+1,$T$2),""),IF(next_period(V81)=next_period(CONCATENATE($N$7,$N$8)),"",next_period(V81)))),"")</f>
        <v/>
      </c>
    </row>
    <row r="83" spans="22:22" x14ac:dyDescent="0.2">
      <c r="V83" s="34" t="str">
        <f ca="1">IFERROR(IF(V82="","",IF(NOT($T$2=""),IF(AND(VALUE(LEFT(V82,4))+1+$T$3/100&gt;=$T$6,VALUE(LEFT(V82,4))+1+$T$3/100&lt;=$T$7),CONCATENATE(VALUE(LEFT(V82,4))+1,$T$2),""),IF(next_period(V82)=next_period(CONCATENATE($N$7,$N$8)),"",next_period(V82)))),"")</f>
        <v/>
      </c>
    </row>
    <row r="84" spans="22:22" x14ac:dyDescent="0.2">
      <c r="V84" s="34" t="str">
        <f ca="1">IFERROR(IF(V83="","",IF(NOT($T$2=""),IF(AND(VALUE(LEFT(V83,4))+1+$T$3/100&gt;=$T$6,VALUE(LEFT(V83,4))+1+$T$3/100&lt;=$T$7),CONCATENATE(VALUE(LEFT(V83,4))+1,$T$2),""),IF(next_period(V83)=next_period(CONCATENATE($N$7,$N$8)),"",next_period(V83)))),"")</f>
        <v/>
      </c>
    </row>
    <row r="85" spans="22:22" x14ac:dyDescent="0.2">
      <c r="V85" s="34" t="str">
        <f ca="1">IFERROR(IF(V84="","",IF(NOT($T$2=""),IF(AND(VALUE(LEFT(V84,4))+1+$T$3/100&gt;=$T$6,VALUE(LEFT(V84,4))+1+$T$3/100&lt;=$T$7),CONCATENATE(VALUE(LEFT(V84,4))+1,$T$2),""),IF(next_period(V84)=next_period(CONCATENATE($N$7,$N$8)),"",next_period(V84)))),"")</f>
        <v/>
      </c>
    </row>
    <row r="86" spans="22:22" x14ac:dyDescent="0.2">
      <c r="V86" s="34" t="str">
        <f ca="1">IFERROR(IF(V85="","",IF(NOT($T$2=""),IF(AND(VALUE(LEFT(V85,4))+1+$T$3/100&gt;=$T$6,VALUE(LEFT(V85,4))+1+$T$3/100&lt;=$T$7),CONCATENATE(VALUE(LEFT(V85,4))+1,$T$2),""),IF(next_period(V85)=next_period(CONCATENATE($N$7,$N$8)),"",next_period(V85)))),"")</f>
        <v/>
      </c>
    </row>
    <row r="87" spans="22:22" x14ac:dyDescent="0.2">
      <c r="V87" s="34" t="str">
        <f ca="1">IFERROR(IF(V86="","",IF(NOT($T$2=""),IF(AND(VALUE(LEFT(V86,4))+1+$T$3/100&gt;=$T$6,VALUE(LEFT(V86,4))+1+$T$3/100&lt;=$T$7),CONCATENATE(VALUE(LEFT(V86,4))+1,$T$2),""),IF(next_period(V86)=next_period(CONCATENATE($N$7,$N$8)),"",next_period(V86)))),"")</f>
        <v/>
      </c>
    </row>
    <row r="88" spans="22:22" x14ac:dyDescent="0.2">
      <c r="V88" s="34" t="str">
        <f ca="1">IFERROR(IF(V87="","",IF(NOT($T$2=""),IF(AND(VALUE(LEFT(V87,4))+1+$T$3/100&gt;=$T$6,VALUE(LEFT(V87,4))+1+$T$3/100&lt;=$T$7),CONCATENATE(VALUE(LEFT(V87,4))+1,$T$2),""),IF(next_period(V87)=next_period(CONCATENATE($N$7,$N$8)),"",next_period(V87)))),"")</f>
        <v/>
      </c>
    </row>
    <row r="89" spans="22:22" x14ac:dyDescent="0.2">
      <c r="V89" s="34" t="str">
        <f ca="1">IFERROR(IF(V88="","",IF(NOT($T$2=""),IF(AND(VALUE(LEFT(V88,4))+1+$T$3/100&gt;=$T$6,VALUE(LEFT(V88,4))+1+$T$3/100&lt;=$T$7),CONCATENATE(VALUE(LEFT(V88,4))+1,$T$2),""),IF(next_period(V88)=next_period(CONCATENATE($N$7,$N$8)),"",next_period(V88)))),"")</f>
        <v/>
      </c>
    </row>
    <row r="90" spans="22:22" x14ac:dyDescent="0.2">
      <c r="V90" s="34" t="str">
        <f ca="1">IFERROR(IF(V89="","",IF(NOT($T$2=""),IF(AND(VALUE(LEFT(V89,4))+1+$T$3/100&gt;=$T$6,VALUE(LEFT(V89,4))+1+$T$3/100&lt;=$T$7),CONCATENATE(VALUE(LEFT(V89,4))+1,$T$2),""),IF(next_period(V89)=next_period(CONCATENATE($N$7,$N$8)),"",next_period(V89)))),"")</f>
        <v/>
      </c>
    </row>
    <row r="91" spans="22:22" x14ac:dyDescent="0.2">
      <c r="V91" s="34" t="str">
        <f ca="1">IFERROR(IF(V90="","",IF(NOT($T$2=""),IF(AND(VALUE(LEFT(V90,4))+1+$T$3/100&gt;=$T$6,VALUE(LEFT(V90,4))+1+$T$3/100&lt;=$T$7),CONCATENATE(VALUE(LEFT(V90,4))+1,$T$2),""),IF(next_period(V90)=next_period(CONCATENATE($N$7,$N$8)),"",next_period(V90)))),"")</f>
        <v/>
      </c>
    </row>
    <row r="92" spans="22:22" x14ac:dyDescent="0.2">
      <c r="V92" s="34" t="str">
        <f ca="1">IFERROR(IF(V91="","",IF(NOT($T$2=""),IF(AND(VALUE(LEFT(V91,4))+1+$T$3/100&gt;=$T$6,VALUE(LEFT(V91,4))+1+$T$3/100&lt;=$T$7),CONCATENATE(VALUE(LEFT(V91,4))+1,$T$2),""),IF(next_period(V91)=next_period(CONCATENATE($N$7,$N$8)),"",next_period(V91)))),"")</f>
        <v/>
      </c>
    </row>
    <row r="93" spans="22:22" x14ac:dyDescent="0.2">
      <c r="V93" s="34" t="str">
        <f ca="1">IFERROR(IF(V92="","",IF(NOT($T$2=""),IF(AND(VALUE(LEFT(V92,4))+1+$T$3/100&gt;=$T$6,VALUE(LEFT(V92,4))+1+$T$3/100&lt;=$T$7),CONCATENATE(VALUE(LEFT(V92,4))+1,$T$2),""),IF(next_period(V92)=next_period(CONCATENATE($N$7,$N$8)),"",next_period(V92)))),"")</f>
        <v/>
      </c>
    </row>
    <row r="94" spans="22:22" x14ac:dyDescent="0.2">
      <c r="V94" s="34" t="str">
        <f ca="1">IFERROR(IF(V93="","",IF(NOT($T$2=""),IF(AND(VALUE(LEFT(V93,4))+1+$T$3/100&gt;=$T$6,VALUE(LEFT(V93,4))+1+$T$3/100&lt;=$T$7),CONCATENATE(VALUE(LEFT(V93,4))+1,$T$2),""),IF(next_period(V93)=next_period(CONCATENATE($N$7,$N$8)),"",next_period(V93)))),"")</f>
        <v/>
      </c>
    </row>
    <row r="95" spans="22:22" x14ac:dyDescent="0.2">
      <c r="V95" s="34" t="str">
        <f ca="1">IFERROR(IF(V94="","",IF(NOT($T$2=""),IF(AND(VALUE(LEFT(V94,4))+1+$T$3/100&gt;=$T$6,VALUE(LEFT(V94,4))+1+$T$3/100&lt;=$T$7),CONCATENATE(VALUE(LEFT(V94,4))+1,$T$2),""),IF(next_period(V94)=next_period(CONCATENATE($N$7,$N$8)),"",next_period(V94)))),"")</f>
        <v/>
      </c>
    </row>
    <row r="96" spans="22:22" x14ac:dyDescent="0.2">
      <c r="V96" s="34" t="str">
        <f ca="1">IFERROR(IF(V95="","",IF(NOT($T$2=""),IF(AND(VALUE(LEFT(V95,4))+1+$T$3/100&gt;=$T$6,VALUE(LEFT(V95,4))+1+$T$3/100&lt;=$T$7),CONCATENATE(VALUE(LEFT(V95,4))+1,$T$2),""),IF(next_period(V95)=next_period(CONCATENATE($N$7,$N$8)),"",next_period(V95)))),"")</f>
        <v/>
      </c>
    </row>
    <row r="97" spans="22:22" x14ac:dyDescent="0.2">
      <c r="V97" s="34" t="str">
        <f ca="1">IFERROR(IF(V96="","",IF(NOT($T$2=""),IF(AND(VALUE(LEFT(V96,4))+1+$T$3/100&gt;=$T$6,VALUE(LEFT(V96,4))+1+$T$3/100&lt;=$T$7),CONCATENATE(VALUE(LEFT(V96,4))+1,$T$2),""),IF(next_period(V96)=next_period(CONCATENATE($N$7,$N$8)),"",next_period(V96)))),"")</f>
        <v/>
      </c>
    </row>
    <row r="98" spans="22:22" x14ac:dyDescent="0.2">
      <c r="V98" s="34" t="str">
        <f ca="1">IFERROR(IF(V97="","",IF(NOT($T$2=""),IF(AND(VALUE(LEFT(V97,4))+1+$T$3/100&gt;=$T$6,VALUE(LEFT(V97,4))+1+$T$3/100&lt;=$T$7),CONCATENATE(VALUE(LEFT(V97,4))+1,$T$2),""),IF(next_period(V97)=next_period(CONCATENATE($N$7,$N$8)),"",next_period(V97)))),"")</f>
        <v/>
      </c>
    </row>
    <row r="99" spans="22:22" x14ac:dyDescent="0.2">
      <c r="V99" s="34" t="str">
        <f ca="1">IFERROR(IF(V98="","",IF(NOT($T$2=""),IF(AND(VALUE(LEFT(V98,4))+1+$T$3/100&gt;=$T$6,VALUE(LEFT(V98,4))+1+$T$3/100&lt;=$T$7),CONCATENATE(VALUE(LEFT(V98,4))+1,$T$2),""),IF(next_period(V98)=next_period(CONCATENATE($N$7,$N$8)),"",next_period(V98)))),"")</f>
        <v/>
      </c>
    </row>
    <row r="100" spans="22:22" x14ac:dyDescent="0.2">
      <c r="V100" s="34" t="str">
        <f ca="1">IFERROR(IF(V99="","",IF(NOT($T$2=""),IF(AND(VALUE(LEFT(V99,4))+1+$T$3/100&gt;=$T$6,VALUE(LEFT(V99,4))+1+$T$3/100&lt;=$T$7),CONCATENATE(VALUE(LEFT(V99,4))+1,$T$2),""),IF(next_period(V99)=next_period(CONCATENATE($N$7,$N$8)),"",next_period(V99)))),"")</f>
        <v/>
      </c>
    </row>
    <row r="101" spans="22:22" x14ac:dyDescent="0.2">
      <c r="V101" s="34" t="str">
        <f ca="1">IFERROR(IF(V100="","",IF(NOT($T$2=""),IF(AND(VALUE(LEFT(V100,4))+1+$T$3/100&gt;=$T$6,VALUE(LEFT(V100,4))+1+$T$3/100&lt;=$T$7),CONCATENATE(VALUE(LEFT(V100,4))+1,$T$2),""),IF(next_period(V100)=next_period(CONCATENATE($N$7,$N$8)),"",next_period(V100)))),"")</f>
        <v/>
      </c>
    </row>
    <row r="102" spans="22:22" x14ac:dyDescent="0.2">
      <c r="V102" s="34" t="str">
        <f ca="1">IFERROR(IF(V101="","",IF(NOT($T$2=""),IF(AND(VALUE(LEFT(V101,4))+1+$T$3/100&gt;=$T$6,VALUE(LEFT(V101,4))+1+$T$3/100&lt;=$T$7),CONCATENATE(VALUE(LEFT(V101,4))+1,$T$2),""),IF(next_period(V101)=next_period(CONCATENATE($N$7,$N$8)),"",next_period(V101)))),"")</f>
        <v/>
      </c>
    </row>
    <row r="103" spans="22:22" x14ac:dyDescent="0.2">
      <c r="V103" s="34" t="str">
        <f ca="1">IFERROR(IF(V102="","",IF(NOT($T$2=""),IF(AND(VALUE(LEFT(V102,4))+1+$T$3/100&gt;=$T$6,VALUE(LEFT(V102,4))+1+$T$3/100&lt;=$T$7),CONCATENATE(VALUE(LEFT(V102,4))+1,$T$2),""),IF(next_period(V102)=next_period(CONCATENATE($N$7,$N$8)),"",next_period(V102)))),"")</f>
        <v/>
      </c>
    </row>
    <row r="104" spans="22:22" x14ac:dyDescent="0.2">
      <c r="V104" s="34" t="str">
        <f ca="1">IFERROR(IF(V103="","",IF(NOT($T$2=""),IF(AND(VALUE(LEFT(V103,4))+1+$T$3/100&gt;=$T$6,VALUE(LEFT(V103,4))+1+$T$3/100&lt;=$T$7),CONCATENATE(VALUE(LEFT(V103,4))+1,$T$2),""),IF(next_period(V103)=next_period(CONCATENATE($N$7,$N$8)),"",next_period(V103)))),"")</f>
        <v/>
      </c>
    </row>
    <row r="105" spans="22:22" x14ac:dyDescent="0.2">
      <c r="V105" s="34" t="str">
        <f ca="1">IFERROR(IF(V104="","",IF(NOT($T$2=""),IF(AND(VALUE(LEFT(V104,4))+1+$T$3/100&gt;=$T$6,VALUE(LEFT(V104,4))+1+$T$3/100&lt;=$T$7),CONCATENATE(VALUE(LEFT(V104,4))+1,$T$2),""),IF(next_period(V104)=next_period(CONCATENATE($N$7,$N$8)),"",next_period(V104)))),"")</f>
        <v/>
      </c>
    </row>
    <row r="106" spans="22:22" x14ac:dyDescent="0.2">
      <c r="V106" s="34" t="str">
        <f ca="1">IFERROR(IF(V105="","",IF(NOT($T$2=""),IF(AND(VALUE(LEFT(V105,4))+1+$T$3/100&gt;=$T$6,VALUE(LEFT(V105,4))+1+$T$3/100&lt;=$T$7),CONCATENATE(VALUE(LEFT(V105,4))+1,$T$2),""),IF(next_period(V105)=next_period(CONCATENATE($N$7,$N$8)),"",next_period(V105)))),"")</f>
        <v/>
      </c>
    </row>
    <row r="107" spans="22:22" x14ac:dyDescent="0.2">
      <c r="V107" s="34" t="str">
        <f ca="1">IFERROR(IF(V106="","",IF(NOT($T$2=""),IF(AND(VALUE(LEFT(V106,4))+1+$T$3/100&gt;=$T$6,VALUE(LEFT(V106,4))+1+$T$3/100&lt;=$T$7),CONCATENATE(VALUE(LEFT(V106,4))+1,$T$2),""),IF(next_period(V106)=next_period(CONCATENATE($N$7,$N$8)),"",next_period(V106)))),"")</f>
        <v/>
      </c>
    </row>
    <row r="108" spans="22:22" x14ac:dyDescent="0.2">
      <c r="V108" s="34" t="str">
        <f ca="1">IFERROR(IF(V107="","",IF(NOT($T$2=""),IF(AND(VALUE(LEFT(V107,4))+1+$T$3/100&gt;=$T$6,VALUE(LEFT(V107,4))+1+$T$3/100&lt;=$T$7),CONCATENATE(VALUE(LEFT(V107,4))+1,$T$2),""),IF(next_period(V107)=next_period(CONCATENATE($N$7,$N$8)),"",next_period(V107)))),"")</f>
        <v/>
      </c>
    </row>
    <row r="109" spans="22:22" x14ac:dyDescent="0.2">
      <c r="V109" s="34" t="str">
        <f ca="1">IFERROR(IF(V108="","",IF(NOT($T$2=""),IF(AND(VALUE(LEFT(V108,4))+1+$T$3/100&gt;=$T$6,VALUE(LEFT(V108,4))+1+$T$3/100&lt;=$T$7),CONCATENATE(VALUE(LEFT(V108,4))+1,$T$2),""),IF(next_period(V108)=next_period(CONCATENATE($N$7,$N$8)),"",next_period(V108)))),"")</f>
        <v/>
      </c>
    </row>
    <row r="110" spans="22:22" x14ac:dyDescent="0.2">
      <c r="V110" s="34" t="str">
        <f ca="1">IFERROR(IF(V109="","",IF(NOT($T$2=""),IF(AND(VALUE(LEFT(V109,4))+1+$T$3/100&gt;=$T$6,VALUE(LEFT(V109,4))+1+$T$3/100&lt;=$T$7),CONCATENATE(VALUE(LEFT(V109,4))+1,$T$2),""),IF(next_period(V109)=next_period(CONCATENATE($N$7,$N$8)),"",next_period(V109)))),"")</f>
        <v/>
      </c>
    </row>
    <row r="111" spans="22:22" x14ac:dyDescent="0.2">
      <c r="V111" s="34" t="str">
        <f ca="1">IFERROR(IF(V110="","",IF(NOT($T$2=""),IF(AND(VALUE(LEFT(V110,4))+1+$T$3/100&gt;=$T$6,VALUE(LEFT(V110,4))+1+$T$3/100&lt;=$T$7),CONCATENATE(VALUE(LEFT(V110,4))+1,$T$2),""),IF(next_period(V110)=next_period(CONCATENATE($N$7,$N$8)),"",next_period(V110)))),"")</f>
        <v/>
      </c>
    </row>
    <row r="112" spans="22:22" x14ac:dyDescent="0.2">
      <c r="V112" s="34" t="str">
        <f ca="1">IFERROR(IF(V111="","",IF(NOT($T$2=""),IF(AND(VALUE(LEFT(V111,4))+1+$T$3/100&gt;=$T$6,VALUE(LEFT(V111,4))+1+$T$3/100&lt;=$T$7),CONCATENATE(VALUE(LEFT(V111,4))+1,$T$2),""),IF(next_period(V111)=next_period(CONCATENATE($N$7,$N$8)),"",next_period(V111)))),"")</f>
        <v/>
      </c>
    </row>
    <row r="113" spans="22:22" x14ac:dyDescent="0.2">
      <c r="V113" s="34" t="str">
        <f ca="1">IFERROR(IF(V112="","",IF(NOT($T$2=""),IF(AND(VALUE(LEFT(V112,4))+1+$T$3/100&gt;=$T$6,VALUE(LEFT(V112,4))+1+$T$3/100&lt;=$T$7),CONCATENATE(VALUE(LEFT(V112,4))+1,$T$2),""),IF(next_period(V112)=next_period(CONCATENATE($N$7,$N$8)),"",next_period(V112)))),"")</f>
        <v/>
      </c>
    </row>
    <row r="114" spans="22:22" x14ac:dyDescent="0.2">
      <c r="V114" s="34" t="str">
        <f ca="1">IFERROR(IF(V113="","",IF(NOT($T$2=""),IF(AND(VALUE(LEFT(V113,4))+1+$T$3/100&gt;=$T$6,VALUE(LEFT(V113,4))+1+$T$3/100&lt;=$T$7),CONCATENATE(VALUE(LEFT(V113,4))+1,$T$2),""),IF(next_period(V113)=next_period(CONCATENATE($N$7,$N$8)),"",next_period(V113)))),"")</f>
        <v/>
      </c>
    </row>
    <row r="115" spans="22:22" x14ac:dyDescent="0.2">
      <c r="V115" s="34" t="str">
        <f ca="1">IFERROR(IF(V114="","",IF(NOT($T$2=""),IF(AND(VALUE(LEFT(V114,4))+1+$T$3/100&gt;=$T$6,VALUE(LEFT(V114,4))+1+$T$3/100&lt;=$T$7),CONCATENATE(VALUE(LEFT(V114,4))+1,$T$2),""),IF(next_period(V114)=next_period(CONCATENATE($N$7,$N$8)),"",next_period(V114)))),"")</f>
        <v/>
      </c>
    </row>
    <row r="116" spans="22:22" x14ac:dyDescent="0.2">
      <c r="V116" s="34" t="str">
        <f ca="1">IFERROR(IF(V115="","",IF(NOT($T$2=""),IF(AND(VALUE(LEFT(V115,4))+1+$T$3/100&gt;=$T$6,VALUE(LEFT(V115,4))+1+$T$3/100&lt;=$T$7),CONCATENATE(VALUE(LEFT(V115,4))+1,$T$2),""),IF(next_period(V115)=next_period(CONCATENATE($N$7,$N$8)),"",next_period(V115)))),"")</f>
        <v/>
      </c>
    </row>
    <row r="117" spans="22:22" x14ac:dyDescent="0.2">
      <c r="V117" s="34" t="str">
        <f ca="1">IFERROR(IF(V116="","",IF(NOT($T$2=""),IF(AND(VALUE(LEFT(V116,4))+1+$T$3/100&gt;=$T$6,VALUE(LEFT(V116,4))+1+$T$3/100&lt;=$T$7),CONCATENATE(VALUE(LEFT(V116,4))+1,$T$2),""),IF(next_period(V116)=next_period(CONCATENATE($N$7,$N$8)),"",next_period(V116)))),"")</f>
        <v/>
      </c>
    </row>
    <row r="118" spans="22:22" x14ac:dyDescent="0.2">
      <c r="V118" s="34" t="str">
        <f ca="1">IFERROR(IF(V117="","",IF(NOT($T$2=""),IF(AND(VALUE(LEFT(V117,4))+1+$T$3/100&gt;=$T$6,VALUE(LEFT(V117,4))+1+$T$3/100&lt;=$T$7),CONCATENATE(VALUE(LEFT(V117,4))+1,$T$2),""),IF(next_period(V117)=next_period(CONCATENATE($N$7,$N$8)),"",next_period(V117)))),"")</f>
        <v/>
      </c>
    </row>
    <row r="119" spans="22:22" x14ac:dyDescent="0.2">
      <c r="V119" s="34" t="str">
        <f ca="1">IFERROR(IF(V118="","",IF(NOT($T$2=""),IF(AND(VALUE(LEFT(V118,4))+1+$T$3/100&gt;=$T$6,VALUE(LEFT(V118,4))+1+$T$3/100&lt;=$T$7),CONCATENATE(VALUE(LEFT(V118,4))+1,$T$2),""),IF(next_period(V118)=next_period(CONCATENATE($N$7,$N$8)),"",next_period(V118)))),"")</f>
        <v/>
      </c>
    </row>
    <row r="120" spans="22:22" x14ac:dyDescent="0.2">
      <c r="V120" s="34" t="str">
        <f ca="1">IFERROR(IF(V119="","",IF(NOT($T$2=""),IF(AND(VALUE(LEFT(V119,4))+1+$T$3/100&gt;=$T$6,VALUE(LEFT(V119,4))+1+$T$3/100&lt;=$T$7),CONCATENATE(VALUE(LEFT(V119,4))+1,$T$2),""),IF(next_period(V119)=next_period(CONCATENATE($N$7,$N$8)),"",next_period(V119)))),"")</f>
        <v/>
      </c>
    </row>
    <row r="121" spans="22:22" x14ac:dyDescent="0.2">
      <c r="V121" s="34" t="str">
        <f ca="1">IFERROR(IF(V120="","",IF(NOT($T$2=""),IF(AND(VALUE(LEFT(V120,4))+1+$T$3/100&gt;=$T$6,VALUE(LEFT(V120,4))+1+$T$3/100&lt;=$T$7),CONCATENATE(VALUE(LEFT(V120,4))+1,$T$2),""),IF(next_period(V120)=next_period(CONCATENATE($N$7,$N$8)),"",next_period(V120)))),"")</f>
        <v/>
      </c>
    </row>
    <row r="122" spans="22:22" x14ac:dyDescent="0.2">
      <c r="V122" s="34" t="str">
        <f ca="1">IFERROR(IF(V121="","",IF(NOT($T$2=""),IF(AND(VALUE(LEFT(V121,4))+1+$T$3/100&gt;=$T$6,VALUE(LEFT(V121,4))+1+$T$3/100&lt;=$T$7),CONCATENATE(VALUE(LEFT(V121,4))+1,$T$2),""),IF(next_period(V121)=next_period(CONCATENATE($N$7,$N$8)),"",next_period(V121)))),"")</f>
        <v/>
      </c>
    </row>
    <row r="123" spans="22:22" x14ac:dyDescent="0.2">
      <c r="V123" s="34" t="str">
        <f ca="1">IFERROR(IF(V122="","",IF(NOT($T$2=""),IF(AND(VALUE(LEFT(V122,4))+1+$T$3/100&gt;=$T$6,VALUE(LEFT(V122,4))+1+$T$3/100&lt;=$T$7),CONCATENATE(VALUE(LEFT(V122,4))+1,$T$2),""),IF(next_period(V122)=next_period(CONCATENATE($N$7,$N$8)),"",next_period(V122)))),"")</f>
        <v/>
      </c>
    </row>
    <row r="124" spans="22:22" x14ac:dyDescent="0.2">
      <c r="V124" s="34" t="str">
        <f ca="1">IFERROR(IF(V123="","",IF(NOT($T$2=""),IF(AND(VALUE(LEFT(V123,4))+1+$T$3/100&gt;=$T$6,VALUE(LEFT(V123,4))+1+$T$3/100&lt;=$T$7),CONCATENATE(VALUE(LEFT(V123,4))+1,$T$2),""),IF(next_period(V123)=next_period(CONCATENATE($N$7,$N$8)),"",next_period(V123)))),"")</f>
        <v/>
      </c>
    </row>
    <row r="125" spans="22:22" x14ac:dyDescent="0.2">
      <c r="V125" s="34" t="str">
        <f ca="1">IFERROR(IF(V124="","",IF(NOT($T$2=""),IF(AND(VALUE(LEFT(V124,4))+1+$T$3/100&gt;=$T$6,VALUE(LEFT(V124,4))+1+$T$3/100&lt;=$T$7),CONCATENATE(VALUE(LEFT(V124,4))+1,$T$2),""),IF(next_period(V124)=next_period(CONCATENATE($N$7,$N$8)),"",next_period(V124)))),"")</f>
        <v/>
      </c>
    </row>
    <row r="126" spans="22:22" x14ac:dyDescent="0.2">
      <c r="V126" s="34" t="str">
        <f ca="1">IFERROR(IF(V125="","",IF(NOT($T$2=""),IF(AND(VALUE(LEFT(V125,4))+1+$T$3/100&gt;=$T$6,VALUE(LEFT(V125,4))+1+$T$3/100&lt;=$T$7),CONCATENATE(VALUE(LEFT(V125,4))+1,$T$2),""),IF(next_period(V125)=next_period(CONCATENATE($N$7,$N$8)),"",next_period(V125)))),"")</f>
        <v/>
      </c>
    </row>
    <row r="127" spans="22:22" x14ac:dyDescent="0.2">
      <c r="V127" s="34" t="str">
        <f ca="1">IFERROR(IF(V126="","",IF(NOT($T$2=""),IF(AND(VALUE(LEFT(V126,4))+1+$T$3/100&gt;=$T$6,VALUE(LEFT(V126,4))+1+$T$3/100&lt;=$T$7),CONCATENATE(VALUE(LEFT(V126,4))+1,$T$2),""),IF(next_period(V126)=next_period(CONCATENATE($N$7,$N$8)),"",next_period(V126)))),"")</f>
        <v/>
      </c>
    </row>
    <row r="128" spans="22:22" x14ac:dyDescent="0.2">
      <c r="V128" s="34" t="str">
        <f ca="1">IFERROR(IF(V127="","",IF(NOT($T$2=""),IF(AND(VALUE(LEFT(V127,4))+1+$T$3/100&gt;=$T$6,VALUE(LEFT(V127,4))+1+$T$3/100&lt;=$T$7),CONCATENATE(VALUE(LEFT(V127,4))+1,$T$2),""),IF(next_period(V127)=next_period(CONCATENATE($N$7,$N$8)),"",next_period(V127)))),"")</f>
        <v/>
      </c>
    </row>
    <row r="129" spans="22:22" x14ac:dyDescent="0.2">
      <c r="V129" s="34" t="str">
        <f ca="1">IFERROR(IF(V128="","",IF(NOT($T$2=""),IF(AND(VALUE(LEFT(V128,4))+1+$T$3/100&gt;=$T$6,VALUE(LEFT(V128,4))+1+$T$3/100&lt;=$T$7),CONCATENATE(VALUE(LEFT(V128,4))+1,$T$2),""),IF(next_period(V128)=next_period(CONCATENATE($N$7,$N$8)),"",next_period(V128)))),"")</f>
        <v/>
      </c>
    </row>
    <row r="130" spans="22:22" x14ac:dyDescent="0.2">
      <c r="V130" s="34" t="str">
        <f ca="1">IFERROR(IF(V129="","",IF(NOT($T$2=""),IF(AND(VALUE(LEFT(V129,4))+1+$T$3/100&gt;=$T$6,VALUE(LEFT(V129,4))+1+$T$3/100&lt;=$T$7),CONCATENATE(VALUE(LEFT(V129,4))+1,$T$2),""),IF(next_period(V129)=next_period(CONCATENATE($N$7,$N$8)),"",next_period(V129)))),"")</f>
        <v/>
      </c>
    </row>
    <row r="131" spans="22:22" x14ac:dyDescent="0.2">
      <c r="V131" s="34" t="str">
        <f ca="1">IFERROR(IF(V130="","",IF(NOT($T$2=""),IF(AND(VALUE(LEFT(V130,4))+1+$T$3/100&gt;=$T$6,VALUE(LEFT(V130,4))+1+$T$3/100&lt;=$T$7),CONCATENATE(VALUE(LEFT(V130,4))+1,$T$2),""),IF(next_period(V130)=next_period(CONCATENATE($N$7,$N$8)),"",next_period(V130)))),"")</f>
        <v/>
      </c>
    </row>
    <row r="132" spans="22:22" x14ac:dyDescent="0.2">
      <c r="V132" s="34" t="str">
        <f ca="1">IFERROR(IF(V131="","",IF(NOT($T$2=""),IF(AND(VALUE(LEFT(V131,4))+1+$T$3/100&gt;=$T$6,VALUE(LEFT(V131,4))+1+$T$3/100&lt;=$T$7),CONCATENATE(VALUE(LEFT(V131,4))+1,$T$2),""),IF(next_period(V131)=next_period(CONCATENATE($N$7,$N$8)),"",next_period(V131)))),"")</f>
        <v/>
      </c>
    </row>
    <row r="133" spans="22:22" x14ac:dyDescent="0.2">
      <c r="V133" s="34" t="str">
        <f ca="1">IFERROR(IF(V132="","",IF(NOT($T$2=""),IF(AND(VALUE(LEFT(V132,4))+1+$T$3/100&gt;=$T$6,VALUE(LEFT(V132,4))+1+$T$3/100&lt;=$T$7),CONCATENATE(VALUE(LEFT(V132,4))+1,$T$2),""),IF(next_period(V132)=next_period(CONCATENATE($N$7,$N$8)),"",next_period(V132)))),"")</f>
        <v/>
      </c>
    </row>
    <row r="134" spans="22:22" x14ac:dyDescent="0.2">
      <c r="V134" s="34" t="str">
        <f ca="1">IFERROR(IF(V133="","",IF(NOT($T$2=""),IF(AND(VALUE(LEFT(V133,4))+1+$T$3/100&gt;=$T$6,VALUE(LEFT(V133,4))+1+$T$3/100&lt;=$T$7),CONCATENATE(VALUE(LEFT(V133,4))+1,$T$2),""),IF(next_period(V133)=next_period(CONCATENATE($N$7,$N$8)),"",next_period(V133)))),"")</f>
        <v/>
      </c>
    </row>
    <row r="135" spans="22:22" x14ac:dyDescent="0.2">
      <c r="V135" s="34" t="str">
        <f ca="1">IFERROR(IF(V134="","",IF(NOT($T$2=""),IF(AND(VALUE(LEFT(V134,4))+1+$T$3/100&gt;=$T$6,VALUE(LEFT(V134,4))+1+$T$3/100&lt;=$T$7),CONCATENATE(VALUE(LEFT(V134,4))+1,$T$2),""),IF(next_period(V134)=next_period(CONCATENATE($N$7,$N$8)),"",next_period(V134)))),"")</f>
        <v/>
      </c>
    </row>
    <row r="136" spans="22:22" x14ac:dyDescent="0.2">
      <c r="V136" s="34" t="str">
        <f ca="1">IFERROR(IF(V135="","",IF(NOT($T$2=""),IF(AND(VALUE(LEFT(V135,4))+1+$T$3/100&gt;=$T$6,VALUE(LEFT(V135,4))+1+$T$3/100&lt;=$T$7),CONCATENATE(VALUE(LEFT(V135,4))+1,$T$2),""),IF(next_period(V135)=next_period(CONCATENATE($N$7,$N$8)),"",next_period(V135)))),"")</f>
        <v/>
      </c>
    </row>
    <row r="137" spans="22:22" x14ac:dyDescent="0.2">
      <c r="V137" s="34" t="str">
        <f ca="1">IFERROR(IF(V136="","",IF(NOT($T$2=""),IF(AND(VALUE(LEFT(V136,4))+1+$T$3/100&gt;=$T$6,VALUE(LEFT(V136,4))+1+$T$3/100&lt;=$T$7),CONCATENATE(VALUE(LEFT(V136,4))+1,$T$2),""),IF(next_period(V136)=next_period(CONCATENATE($N$7,$N$8)),"",next_period(V136)))),"")</f>
        <v/>
      </c>
    </row>
    <row r="138" spans="22:22" x14ac:dyDescent="0.2">
      <c r="V138" s="34" t="str">
        <f ca="1">IFERROR(IF(V137="","",IF(NOT($T$2=""),IF(AND(VALUE(LEFT(V137,4))+1+$T$3/100&gt;=$T$6,VALUE(LEFT(V137,4))+1+$T$3/100&lt;=$T$7),CONCATENATE(VALUE(LEFT(V137,4))+1,$T$2),""),IF(next_period(V137)=next_period(CONCATENATE($N$7,$N$8)),"",next_period(V137)))),"")</f>
        <v/>
      </c>
    </row>
    <row r="139" spans="22:22" x14ac:dyDescent="0.2">
      <c r="V139" s="34" t="str">
        <f ca="1">IFERROR(IF(V138="","",IF(NOT($T$2=""),IF(AND(VALUE(LEFT(V138,4))+1+$T$3/100&gt;=$T$6,VALUE(LEFT(V138,4))+1+$T$3/100&lt;=$T$7),CONCATENATE(VALUE(LEFT(V138,4))+1,$T$2),""),IF(next_period(V138)=next_period(CONCATENATE($N$7,$N$8)),"",next_period(V138)))),"")</f>
        <v/>
      </c>
    </row>
    <row r="140" spans="22:22" x14ac:dyDescent="0.2">
      <c r="V140" s="34" t="str">
        <f ca="1">IFERROR(IF(V139="","",IF(NOT($T$2=""),IF(AND(VALUE(LEFT(V139,4))+1+$T$3/100&gt;=$T$6,VALUE(LEFT(V139,4))+1+$T$3/100&lt;=$T$7),CONCATENATE(VALUE(LEFT(V139,4))+1,$T$2),""),IF(next_period(V139)=next_period(CONCATENATE($N$7,$N$8)),"",next_period(V139)))),"")</f>
        <v/>
      </c>
    </row>
    <row r="141" spans="22:22" x14ac:dyDescent="0.2">
      <c r="V141" s="34" t="str">
        <f ca="1">IFERROR(IF(V140="","",IF(NOT($T$2=""),IF(AND(VALUE(LEFT(V140,4))+1+$T$3/100&gt;=$T$6,VALUE(LEFT(V140,4))+1+$T$3/100&lt;=$T$7),CONCATENATE(VALUE(LEFT(V140,4))+1,$T$2),""),IF(next_period(V140)=next_period(CONCATENATE($N$7,$N$8)),"",next_period(V140)))),"")</f>
        <v/>
      </c>
    </row>
    <row r="142" spans="22:22" x14ac:dyDescent="0.2">
      <c r="V142" s="34" t="str">
        <f ca="1">IFERROR(IF(V141="","",IF(NOT($T$2=""),IF(AND(VALUE(LEFT(V141,4))+1+$T$3/100&gt;=$T$6,VALUE(LEFT(V141,4))+1+$T$3/100&lt;=$T$7),CONCATENATE(VALUE(LEFT(V141,4))+1,$T$2),""),IF(next_period(V141)=next_period(CONCATENATE($N$7,$N$8)),"",next_period(V141)))),"")</f>
        <v/>
      </c>
    </row>
    <row r="143" spans="22:22" x14ac:dyDescent="0.2">
      <c r="V143" s="34" t="str">
        <f ca="1">IFERROR(IF(V142="","",IF(NOT($T$2=""),IF(AND(VALUE(LEFT(V142,4))+1+$T$3/100&gt;=$T$6,VALUE(LEFT(V142,4))+1+$T$3/100&lt;=$T$7),CONCATENATE(VALUE(LEFT(V142,4))+1,$T$2),""),IF(next_period(V142)=next_period(CONCATENATE($N$7,$N$8)),"",next_period(V142)))),"")</f>
        <v/>
      </c>
    </row>
    <row r="144" spans="22:22" x14ac:dyDescent="0.2">
      <c r="V144" s="34" t="str">
        <f ca="1">IFERROR(IF(V143="","",IF(NOT($T$2=""),IF(AND(VALUE(LEFT(V143,4))+1+$T$3/100&gt;=$T$6,VALUE(LEFT(V143,4))+1+$T$3/100&lt;=$T$7),CONCATENATE(VALUE(LEFT(V143,4))+1,$T$2),""),IF(next_period(V143)=next_period(CONCATENATE($N$7,$N$8)),"",next_period(V143)))),"")</f>
        <v/>
      </c>
    </row>
    <row r="145" spans="22:22" x14ac:dyDescent="0.2">
      <c r="V145" s="34" t="str">
        <f ca="1">IFERROR(IF(V144="","",IF(NOT($T$2=""),IF(AND(VALUE(LEFT(V144,4))+1+$T$3/100&gt;=$T$6,VALUE(LEFT(V144,4))+1+$T$3/100&lt;=$T$7),CONCATENATE(VALUE(LEFT(V144,4))+1,$T$2),""),IF(next_period(V144)=next_period(CONCATENATE($N$7,$N$8)),"",next_period(V144)))),"")</f>
        <v/>
      </c>
    </row>
    <row r="146" spans="22:22" x14ac:dyDescent="0.2">
      <c r="V146" s="34" t="str">
        <f ca="1">IFERROR(IF(V145="","",IF(NOT($T$2=""),IF(AND(VALUE(LEFT(V145,4))+1+$T$3/100&gt;=$T$6,VALUE(LEFT(V145,4))+1+$T$3/100&lt;=$T$7),CONCATENATE(VALUE(LEFT(V145,4))+1,$T$2),""),IF(next_period(V145)=next_period(CONCATENATE($N$7,$N$8)),"",next_period(V145)))),"")</f>
        <v/>
      </c>
    </row>
    <row r="147" spans="22:22" x14ac:dyDescent="0.2">
      <c r="V147" s="34" t="str">
        <f ca="1">IFERROR(IF(V146="","",IF(NOT($T$2=""),IF(AND(VALUE(LEFT(V146,4))+1+$T$3/100&gt;=$T$6,VALUE(LEFT(V146,4))+1+$T$3/100&lt;=$T$7),CONCATENATE(VALUE(LEFT(V146,4))+1,$T$2),""),IF(next_period(V146)=next_period(CONCATENATE($N$7,$N$8)),"",next_period(V146)))),"")</f>
        <v/>
      </c>
    </row>
    <row r="148" spans="22:22" x14ac:dyDescent="0.2">
      <c r="V148" s="34" t="str">
        <f ca="1">IFERROR(IF(V147="","",IF(NOT($T$2=""),IF(AND(VALUE(LEFT(V147,4))+1+$T$3/100&gt;=$T$6,VALUE(LEFT(V147,4))+1+$T$3/100&lt;=$T$7),CONCATENATE(VALUE(LEFT(V147,4))+1,$T$2),""),IF(next_period(V147)=next_period(CONCATENATE($N$7,$N$8)),"",next_period(V147)))),"")</f>
        <v/>
      </c>
    </row>
    <row r="149" spans="22:22" x14ac:dyDescent="0.2">
      <c r="V149" s="34" t="str">
        <f ca="1">IFERROR(IF(V148="","",IF(NOT($T$2=""),IF(AND(VALUE(LEFT(V148,4))+1+$T$3/100&gt;=$T$6,VALUE(LEFT(V148,4))+1+$T$3/100&lt;=$T$7),CONCATENATE(VALUE(LEFT(V148,4))+1,$T$2),""),IF(next_period(V148)=next_period(CONCATENATE($N$7,$N$8)),"",next_period(V148)))),"")</f>
        <v/>
      </c>
    </row>
    <row r="150" spans="22:22" x14ac:dyDescent="0.2">
      <c r="V150" s="34" t="str">
        <f ca="1">IFERROR(IF(V149="","",IF(NOT($T$2=""),IF(AND(VALUE(LEFT(V149,4))+1+$T$3/100&gt;=$T$6,VALUE(LEFT(V149,4))+1+$T$3/100&lt;=$T$7),CONCATENATE(VALUE(LEFT(V149,4))+1,$T$2),""),IF(next_period(V149)=next_period(CONCATENATE($N$7,$N$8)),"",next_period(V149)))),"")</f>
        <v/>
      </c>
    </row>
    <row r="151" spans="22:22" x14ac:dyDescent="0.2">
      <c r="V151" s="34" t="str">
        <f ca="1">IFERROR(IF(V150="","",IF(NOT($T$2=""),IF(AND(VALUE(LEFT(V150,4))+1+$T$3/100&gt;=$T$6,VALUE(LEFT(V150,4))+1+$T$3/100&lt;=$T$7),CONCATENATE(VALUE(LEFT(V150,4))+1,$T$2),""),IF(next_period(V150)=next_period(CONCATENATE($N$7,$N$8)),"",next_period(V150)))),"")</f>
        <v/>
      </c>
    </row>
    <row r="152" spans="22:22" x14ac:dyDescent="0.2">
      <c r="V152" s="34" t="str">
        <f ca="1">IFERROR(IF(V151="","",IF(NOT($T$2=""),IF(AND(VALUE(LEFT(V151,4))+1+$T$3/100&gt;=$T$6,VALUE(LEFT(V151,4))+1+$T$3/100&lt;=$T$7),CONCATENATE(VALUE(LEFT(V151,4))+1,$T$2),""),IF(next_period(V151)=next_period(CONCATENATE($N$7,$N$8)),"",next_period(V151)))),"")</f>
        <v/>
      </c>
    </row>
    <row r="153" spans="22:22" x14ac:dyDescent="0.2">
      <c r="V153" s="34" t="str">
        <f ca="1">IFERROR(IF(V152="","",IF(NOT($T$2=""),IF(AND(VALUE(LEFT(V152,4))+1+$T$3/100&gt;=$T$6,VALUE(LEFT(V152,4))+1+$T$3/100&lt;=$T$7),CONCATENATE(VALUE(LEFT(V152,4))+1,$T$2),""),IF(next_period(V152)=next_period(CONCATENATE($N$7,$N$8)),"",next_period(V152)))),"")</f>
        <v/>
      </c>
    </row>
    <row r="154" spans="22:22" x14ac:dyDescent="0.2">
      <c r="V154" s="34" t="str">
        <f ca="1">IFERROR(IF(V153="","",IF(NOT($T$2=""),IF(AND(VALUE(LEFT(V153,4))+1+$T$3/100&gt;=$T$6,VALUE(LEFT(V153,4))+1+$T$3/100&lt;=$T$7),CONCATENATE(VALUE(LEFT(V153,4))+1,$T$2),""),IF(next_period(V153)=next_period(CONCATENATE($N$7,$N$8)),"",next_period(V153)))),"")</f>
        <v/>
      </c>
    </row>
    <row r="155" spans="22:22" x14ac:dyDescent="0.2">
      <c r="V155" s="34" t="str">
        <f ca="1">IFERROR(IF(V154="","",IF(NOT($T$2=""),IF(AND(VALUE(LEFT(V154,4))+1+$T$3/100&gt;=$T$6,VALUE(LEFT(V154,4))+1+$T$3/100&lt;=$T$7),CONCATENATE(VALUE(LEFT(V154,4))+1,$T$2),""),IF(next_period(V154)=next_period(CONCATENATE($N$7,$N$8)),"",next_period(V154)))),"")</f>
        <v/>
      </c>
    </row>
    <row r="156" spans="22:22" x14ac:dyDescent="0.2">
      <c r="V156" s="34" t="str">
        <f ca="1">IFERROR(IF(V155="","",IF(NOT($T$2=""),IF(AND(VALUE(LEFT(V155,4))+1+$T$3/100&gt;=$T$6,VALUE(LEFT(V155,4))+1+$T$3/100&lt;=$T$7),CONCATENATE(VALUE(LEFT(V155,4))+1,$T$2),""),IF(next_period(V155)=next_period(CONCATENATE($N$7,$N$8)),"",next_period(V155)))),"")</f>
        <v/>
      </c>
    </row>
    <row r="157" spans="22:22" x14ac:dyDescent="0.2">
      <c r="V157" s="34" t="str">
        <f ca="1">IFERROR(IF(V156="","",IF(NOT($T$2=""),IF(AND(VALUE(LEFT(V156,4))+1+$T$3/100&gt;=$T$6,VALUE(LEFT(V156,4))+1+$T$3/100&lt;=$T$7),CONCATENATE(VALUE(LEFT(V156,4))+1,$T$2),""),IF(next_period(V156)=next_period(CONCATENATE($N$7,$N$8)),"",next_period(V156)))),"")</f>
        <v/>
      </c>
    </row>
    <row r="158" spans="22:22" x14ac:dyDescent="0.2">
      <c r="V158" s="34" t="str">
        <f ca="1">IFERROR(IF(V157="","",IF(NOT($T$2=""),IF(AND(VALUE(LEFT(V157,4))+1+$T$3/100&gt;=$T$6,VALUE(LEFT(V157,4))+1+$T$3/100&lt;=$T$7),CONCATENATE(VALUE(LEFT(V157,4))+1,$T$2),""),IF(next_period(V157)=next_period(CONCATENATE($N$7,$N$8)),"",next_period(V157)))),"")</f>
        <v/>
      </c>
    </row>
    <row r="159" spans="22:22" x14ac:dyDescent="0.2">
      <c r="V159" s="34" t="str">
        <f ca="1">IFERROR(IF(V158="","",IF(NOT($T$2=""),IF(AND(VALUE(LEFT(V158,4))+1+$T$3/100&gt;=$T$6,VALUE(LEFT(V158,4))+1+$T$3/100&lt;=$T$7),CONCATENATE(VALUE(LEFT(V158,4))+1,$T$2),""),IF(next_period(V158)=next_period(CONCATENATE($N$7,$N$8)),"",next_period(V158)))),"")</f>
        <v/>
      </c>
    </row>
    <row r="160" spans="22:22" x14ac:dyDescent="0.2">
      <c r="V160" s="34" t="str">
        <f ca="1">IFERROR(IF(V159="","",IF(NOT($T$2=""),IF(AND(VALUE(LEFT(V159,4))+1+$T$3/100&gt;=$T$6,VALUE(LEFT(V159,4))+1+$T$3/100&lt;=$T$7),CONCATENATE(VALUE(LEFT(V159,4))+1,$T$2),""),IF(next_period(V159)=next_period(CONCATENATE($N$7,$N$8)),"",next_period(V159)))),"")</f>
        <v/>
      </c>
    </row>
    <row r="161" spans="22:22" x14ac:dyDescent="0.2">
      <c r="V161" s="34" t="str">
        <f ca="1">IFERROR(IF(V160="","",IF(NOT($T$2=""),IF(AND(VALUE(LEFT(V160,4))+1+$T$3/100&gt;=$T$6,VALUE(LEFT(V160,4))+1+$T$3/100&lt;=$T$7),CONCATENATE(VALUE(LEFT(V160,4))+1,$T$2),""),IF(next_period(V160)=next_period(CONCATENATE($N$7,$N$8)),"",next_period(V160)))),"")</f>
        <v/>
      </c>
    </row>
    <row r="162" spans="22:22" x14ac:dyDescent="0.2">
      <c r="V162" s="34" t="str">
        <f ca="1">IFERROR(IF(V161="","",IF(NOT($T$2=""),IF(AND(VALUE(LEFT(V161,4))+1+$T$3/100&gt;=$T$6,VALUE(LEFT(V161,4))+1+$T$3/100&lt;=$T$7),CONCATENATE(VALUE(LEFT(V161,4))+1,$T$2),""),IF(next_period(V161)=next_period(CONCATENATE($N$7,$N$8)),"",next_period(V161)))),"")</f>
        <v/>
      </c>
    </row>
    <row r="163" spans="22:22" x14ac:dyDescent="0.2">
      <c r="V163" s="34" t="str">
        <f ca="1">IFERROR(IF(V162="","",IF(NOT($T$2=""),IF(AND(VALUE(LEFT(V162,4))+1+$T$3/100&gt;=$T$6,VALUE(LEFT(V162,4))+1+$T$3/100&lt;=$T$7),CONCATENATE(VALUE(LEFT(V162,4))+1,$T$2),""),IF(next_period(V162)=next_period(CONCATENATE($N$7,$N$8)),"",next_period(V162)))),"")</f>
        <v/>
      </c>
    </row>
    <row r="164" spans="22:22" x14ac:dyDescent="0.2">
      <c r="V164" s="34" t="str">
        <f ca="1">IFERROR(IF(V163="","",IF(NOT($T$2=""),IF(AND(VALUE(LEFT(V163,4))+1+$T$3/100&gt;=$T$6,VALUE(LEFT(V163,4))+1+$T$3/100&lt;=$T$7),CONCATENATE(VALUE(LEFT(V163,4))+1,$T$2),""),IF(next_period(V163)=next_period(CONCATENATE($N$7,$N$8)),"",next_period(V163)))),"")</f>
        <v/>
      </c>
    </row>
    <row r="165" spans="22:22" x14ac:dyDescent="0.2">
      <c r="V165" s="34" t="str">
        <f ca="1">IFERROR(IF(V164="","",IF(NOT($T$2=""),IF(AND(VALUE(LEFT(V164,4))+1+$T$3/100&gt;=$T$6,VALUE(LEFT(V164,4))+1+$T$3/100&lt;=$T$7),CONCATENATE(VALUE(LEFT(V164,4))+1,$T$2),""),IF(next_period(V164)=next_period(CONCATENATE($N$7,$N$8)),"",next_period(V164)))),"")</f>
        <v/>
      </c>
    </row>
    <row r="166" spans="22:22" x14ac:dyDescent="0.2">
      <c r="V166" s="34" t="str">
        <f ca="1">IFERROR(IF(V165="","",IF(NOT($T$2=""),IF(AND(VALUE(LEFT(V165,4))+1+$T$3/100&gt;=$T$6,VALUE(LEFT(V165,4))+1+$T$3/100&lt;=$T$7),CONCATENATE(VALUE(LEFT(V165,4))+1,$T$2),""),IF(next_period(V165)=next_period(CONCATENATE($N$7,$N$8)),"",next_period(V165)))),"")</f>
        <v/>
      </c>
    </row>
    <row r="167" spans="22:22" x14ac:dyDescent="0.2">
      <c r="V167" s="34" t="str">
        <f ca="1">IFERROR(IF(V166="","",IF(NOT($T$2=""),IF(AND(VALUE(LEFT(V166,4))+1+$T$3/100&gt;=$T$6,VALUE(LEFT(V166,4))+1+$T$3/100&lt;=$T$7),CONCATENATE(VALUE(LEFT(V166,4))+1,$T$2),""),IF(next_period(V166)=next_period(CONCATENATE($N$7,$N$8)),"",next_period(V166)))),"")</f>
        <v/>
      </c>
    </row>
    <row r="168" spans="22:22" x14ac:dyDescent="0.2">
      <c r="V168" s="34" t="str">
        <f ca="1">IFERROR(IF(V167="","",IF(NOT($T$2=""),IF(AND(VALUE(LEFT(V167,4))+1+$T$3/100&gt;=$T$6,VALUE(LEFT(V167,4))+1+$T$3/100&lt;=$T$7),CONCATENATE(VALUE(LEFT(V167,4))+1,$T$2),""),IF(next_period(V167)=next_period(CONCATENATE($N$7,$N$8)),"",next_period(V167)))),"")</f>
        <v/>
      </c>
    </row>
    <row r="169" spans="22:22" x14ac:dyDescent="0.2">
      <c r="V169" s="34" t="str">
        <f ca="1">IFERROR(IF(V168="","",IF(NOT($T$2=""),IF(AND(VALUE(LEFT(V168,4))+1+$T$3/100&gt;=$T$6,VALUE(LEFT(V168,4))+1+$T$3/100&lt;=$T$7),CONCATENATE(VALUE(LEFT(V168,4))+1,$T$2),""),IF(next_period(V168)=next_period(CONCATENATE($N$7,$N$8)),"",next_period(V168)))),"")</f>
        <v/>
      </c>
    </row>
    <row r="170" spans="22:22" x14ac:dyDescent="0.2">
      <c r="V170" s="34" t="str">
        <f ca="1">IFERROR(IF(V169="","",IF(NOT($T$2=""),IF(AND(VALUE(LEFT(V169,4))+1+$T$3/100&gt;=$T$6,VALUE(LEFT(V169,4))+1+$T$3/100&lt;=$T$7),CONCATENATE(VALUE(LEFT(V169,4))+1,$T$2),""),IF(next_period(V169)=next_period(CONCATENATE($N$7,$N$8)),"",next_period(V169)))),"")</f>
        <v/>
      </c>
    </row>
    <row r="171" spans="22:22" x14ac:dyDescent="0.2">
      <c r="V171" s="34" t="str">
        <f ca="1">IFERROR(IF(V170="","",IF(NOT($T$2=""),IF(AND(VALUE(LEFT(V170,4))+1+$T$3/100&gt;=$T$6,VALUE(LEFT(V170,4))+1+$T$3/100&lt;=$T$7),CONCATENATE(VALUE(LEFT(V170,4))+1,$T$2),""),IF(next_period(V170)=next_period(CONCATENATE($N$7,$N$8)),"",next_period(V170)))),"")</f>
        <v/>
      </c>
    </row>
    <row r="172" spans="22:22" x14ac:dyDescent="0.2">
      <c r="V172" s="34" t="str">
        <f ca="1">IFERROR(IF(V171="","",IF(NOT($T$2=""),IF(AND(VALUE(LEFT(V171,4))+1+$T$3/100&gt;=$T$6,VALUE(LEFT(V171,4))+1+$T$3/100&lt;=$T$7),CONCATENATE(VALUE(LEFT(V171,4))+1,$T$2),""),IF(next_period(V171)=next_period(CONCATENATE($N$7,$N$8)),"",next_period(V171)))),"")</f>
        <v/>
      </c>
    </row>
    <row r="173" spans="22:22" x14ac:dyDescent="0.2">
      <c r="V173" s="34" t="str">
        <f ca="1">IFERROR(IF(V172="","",IF(NOT($T$2=""),IF(AND(VALUE(LEFT(V172,4))+1+$T$3/100&gt;=$T$6,VALUE(LEFT(V172,4))+1+$T$3/100&lt;=$T$7),CONCATENATE(VALUE(LEFT(V172,4))+1,$T$2),""),IF(next_period(V172)=next_period(CONCATENATE($N$7,$N$8)),"",next_period(V172)))),"")</f>
        <v/>
      </c>
    </row>
    <row r="174" spans="22:22" x14ac:dyDescent="0.2">
      <c r="V174" s="34" t="str">
        <f ca="1">IFERROR(IF(V173="","",IF(NOT($T$2=""),IF(AND(VALUE(LEFT(V173,4))+1+$T$3/100&gt;=$T$6,VALUE(LEFT(V173,4))+1+$T$3/100&lt;=$T$7),CONCATENATE(VALUE(LEFT(V173,4))+1,$T$2),""),IF(next_period(V173)=next_period(CONCATENATE($N$7,$N$8)),"",next_period(V173)))),"")</f>
        <v/>
      </c>
    </row>
    <row r="175" spans="22:22" x14ac:dyDescent="0.2">
      <c r="V175" s="34" t="str">
        <f ca="1">IFERROR(IF(V174="","",IF(NOT($T$2=""),IF(AND(VALUE(LEFT(V174,4))+1+$T$3/100&gt;=$T$6,VALUE(LEFT(V174,4))+1+$T$3/100&lt;=$T$7),CONCATENATE(VALUE(LEFT(V174,4))+1,$T$2),""),IF(next_period(V174)=next_period(CONCATENATE($N$7,$N$8)),"",next_period(V174)))),"")</f>
        <v/>
      </c>
    </row>
    <row r="176" spans="22:22" x14ac:dyDescent="0.2">
      <c r="V176" s="34" t="str">
        <f ca="1">IFERROR(IF(V175="","",IF(NOT($T$2=""),IF(AND(VALUE(LEFT(V175,4))+1+$T$3/100&gt;=$T$6,VALUE(LEFT(V175,4))+1+$T$3/100&lt;=$T$7),CONCATENATE(VALUE(LEFT(V175,4))+1,$T$2),""),IF(next_period(V175)=next_period(CONCATENATE($N$7,$N$8)),"",next_period(V175)))),"")</f>
        <v/>
      </c>
    </row>
    <row r="177" spans="22:22" x14ac:dyDescent="0.2">
      <c r="V177" s="34" t="str">
        <f ca="1">IFERROR(IF(V176="","",IF(NOT($T$2=""),IF(AND(VALUE(LEFT(V176,4))+1+$T$3/100&gt;=$T$6,VALUE(LEFT(V176,4))+1+$T$3/100&lt;=$T$7),CONCATENATE(VALUE(LEFT(V176,4))+1,$T$2),""),IF(next_period(V176)=next_period(CONCATENATE($N$7,$N$8)),"",next_period(V176)))),"")</f>
        <v/>
      </c>
    </row>
    <row r="178" spans="22:22" x14ac:dyDescent="0.2">
      <c r="V178" s="34" t="str">
        <f ca="1">IFERROR(IF(V177="","",IF(NOT($T$2=""),IF(AND(VALUE(LEFT(V177,4))+1+$T$3/100&gt;=$T$6,VALUE(LEFT(V177,4))+1+$T$3/100&lt;=$T$7),CONCATENATE(VALUE(LEFT(V177,4))+1,$T$2),""),IF(next_period(V177)=next_period(CONCATENATE($N$7,$N$8)),"",next_period(V177)))),"")</f>
        <v/>
      </c>
    </row>
    <row r="179" spans="22:22" x14ac:dyDescent="0.2">
      <c r="V179" s="34" t="str">
        <f ca="1">IFERROR(IF(V178="","",IF(NOT($T$2=""),IF(AND(VALUE(LEFT(V178,4))+1+$T$3/100&gt;=$T$6,VALUE(LEFT(V178,4))+1+$T$3/100&lt;=$T$7),CONCATENATE(VALUE(LEFT(V178,4))+1,$T$2),""),IF(next_period(V178)=next_period(CONCATENATE($N$7,$N$8)),"",next_period(V178)))),"")</f>
        <v/>
      </c>
    </row>
    <row r="180" spans="22:22" x14ac:dyDescent="0.2">
      <c r="V180" s="34" t="str">
        <f ca="1">IFERROR(IF(V179="","",IF(NOT($T$2=""),IF(AND(VALUE(LEFT(V179,4))+1+$T$3/100&gt;=$T$6,VALUE(LEFT(V179,4))+1+$T$3/100&lt;=$T$7),CONCATENATE(VALUE(LEFT(V179,4))+1,$T$2),""),IF(next_period(V179)=next_period(CONCATENATE($N$7,$N$8)),"",next_period(V179)))),"")</f>
        <v/>
      </c>
    </row>
    <row r="181" spans="22:22" x14ac:dyDescent="0.2">
      <c r="V181" s="34" t="str">
        <f ca="1">IFERROR(IF(V180="","",IF(NOT($T$2=""),IF(AND(VALUE(LEFT(V180,4))+1+$T$3/100&gt;=$T$6,VALUE(LEFT(V180,4))+1+$T$3/100&lt;=$T$7),CONCATENATE(VALUE(LEFT(V180,4))+1,$T$2),""),IF(next_period(V180)=next_period(CONCATENATE($N$7,$N$8)),"",next_period(V180)))),"")</f>
        <v/>
      </c>
    </row>
    <row r="182" spans="22:22" x14ac:dyDescent="0.2">
      <c r="V182" s="34" t="str">
        <f ca="1">IFERROR(IF(V181="","",IF(NOT($T$2=""),IF(AND(VALUE(LEFT(V181,4))+1+$T$3/100&gt;=$T$6,VALUE(LEFT(V181,4))+1+$T$3/100&lt;=$T$7),CONCATENATE(VALUE(LEFT(V181,4))+1,$T$2),""),IF(next_period(V181)=next_period(CONCATENATE($N$7,$N$8)),"",next_period(V181)))),"")</f>
        <v/>
      </c>
    </row>
    <row r="183" spans="22:22" x14ac:dyDescent="0.2">
      <c r="V183" s="34" t="str">
        <f ca="1">IFERROR(IF(V182="","",IF(NOT($T$2=""),IF(AND(VALUE(LEFT(V182,4))+1+$T$3/100&gt;=$T$6,VALUE(LEFT(V182,4))+1+$T$3/100&lt;=$T$7),CONCATENATE(VALUE(LEFT(V182,4))+1,$T$2),""),IF(next_period(V182)=next_period(CONCATENATE($N$7,$N$8)),"",next_period(V182)))),"")</f>
        <v/>
      </c>
    </row>
    <row r="184" spans="22:22" x14ac:dyDescent="0.2">
      <c r="V184" s="34" t="str">
        <f ca="1">IFERROR(IF(V183="","",IF(NOT($T$2=""),IF(AND(VALUE(LEFT(V183,4))+1+$T$3/100&gt;=$T$6,VALUE(LEFT(V183,4))+1+$T$3/100&lt;=$T$7),CONCATENATE(VALUE(LEFT(V183,4))+1,$T$2),""),IF(next_period(V183)=next_period(CONCATENATE($N$7,$N$8)),"",next_period(V183)))),"")</f>
        <v/>
      </c>
    </row>
    <row r="185" spans="22:22" x14ac:dyDescent="0.2">
      <c r="V185" s="34" t="str">
        <f ca="1">IFERROR(IF(V184="","",IF(NOT($T$2=""),IF(AND(VALUE(LEFT(V184,4))+1+$T$3/100&gt;=$T$6,VALUE(LEFT(V184,4))+1+$T$3/100&lt;=$T$7),CONCATENATE(VALUE(LEFT(V184,4))+1,$T$2),""),IF(next_period(V184)=next_period(CONCATENATE($N$7,$N$8)),"",next_period(V184)))),"")</f>
        <v/>
      </c>
    </row>
    <row r="186" spans="22:22" x14ac:dyDescent="0.2">
      <c r="V186" s="34" t="str">
        <f ca="1">IFERROR(IF(V185="","",IF(NOT($T$2=""),IF(AND(VALUE(LEFT(V185,4))+1+$T$3/100&gt;=$T$6,VALUE(LEFT(V185,4))+1+$T$3/100&lt;=$T$7),CONCATENATE(VALUE(LEFT(V185,4))+1,$T$2),""),IF(next_period(V185)=next_period(CONCATENATE($N$7,$N$8)),"",next_period(V185)))),"")</f>
        <v/>
      </c>
    </row>
    <row r="187" spans="22:22" x14ac:dyDescent="0.2">
      <c r="V187" s="34" t="str">
        <f ca="1">IFERROR(IF(V186="","",IF(NOT($T$2=""),IF(AND(VALUE(LEFT(V186,4))+1+$T$3/100&gt;=$T$6,VALUE(LEFT(V186,4))+1+$T$3/100&lt;=$T$7),CONCATENATE(VALUE(LEFT(V186,4))+1,$T$2),""),IF(next_period(V186)=next_period(CONCATENATE($N$7,$N$8)),"",next_period(V186)))),"")</f>
        <v/>
      </c>
    </row>
    <row r="188" spans="22:22" x14ac:dyDescent="0.2">
      <c r="V188" s="34" t="str">
        <f ca="1">IFERROR(IF(V187="","",IF(NOT($T$2=""),IF(AND(VALUE(LEFT(V187,4))+1+$T$3/100&gt;=$T$6,VALUE(LEFT(V187,4))+1+$T$3/100&lt;=$T$7),CONCATENATE(VALUE(LEFT(V187,4))+1,$T$2),""),IF(next_period(V187)=next_period(CONCATENATE($N$7,$N$8)),"",next_period(V187)))),"")</f>
        <v/>
      </c>
    </row>
    <row r="189" spans="22:22" x14ac:dyDescent="0.2">
      <c r="V189" s="34" t="str">
        <f ca="1">IFERROR(IF(V188="","",IF(NOT($T$2=""),IF(AND(VALUE(LEFT(V188,4))+1+$T$3/100&gt;=$T$6,VALUE(LEFT(V188,4))+1+$T$3/100&lt;=$T$7),CONCATENATE(VALUE(LEFT(V188,4))+1,$T$2),""),IF(next_period(V188)=next_period(CONCATENATE($N$7,$N$8)),"",next_period(V188)))),"")</f>
        <v/>
      </c>
    </row>
    <row r="190" spans="22:22" x14ac:dyDescent="0.2">
      <c r="V190" s="34" t="str">
        <f ca="1">IFERROR(IF(V189="","",IF(NOT($T$2=""),IF(AND(VALUE(LEFT(V189,4))+1+$T$3/100&gt;=$T$6,VALUE(LEFT(V189,4))+1+$T$3/100&lt;=$T$7),CONCATENATE(VALUE(LEFT(V189,4))+1,$T$2),""),IF(next_period(V189)=next_period(CONCATENATE($N$7,$N$8)),"",next_period(V189)))),"")</f>
        <v/>
      </c>
    </row>
    <row r="191" spans="22:22" x14ac:dyDescent="0.2">
      <c r="V191" s="34" t="str">
        <f ca="1">IFERROR(IF(V190="","",IF(NOT($T$2=""),IF(AND(VALUE(LEFT(V190,4))+1+$T$3/100&gt;=$T$6,VALUE(LEFT(V190,4))+1+$T$3/100&lt;=$T$7),CONCATENATE(VALUE(LEFT(V190,4))+1,$T$2),""),IF(next_period(V190)=next_period(CONCATENATE($N$7,$N$8)),"",next_period(V190)))),"")</f>
        <v/>
      </c>
    </row>
    <row r="192" spans="22:22" x14ac:dyDescent="0.2">
      <c r="V192" s="34" t="str">
        <f ca="1">IFERROR(IF(V191="","",IF(NOT($T$2=""),IF(AND(VALUE(LEFT(V191,4))+1+$T$3/100&gt;=$T$6,VALUE(LEFT(V191,4))+1+$T$3/100&lt;=$T$7),CONCATENATE(VALUE(LEFT(V191,4))+1,$T$2),""),IF(next_period(V191)=next_period(CONCATENATE($N$7,$N$8)),"",next_period(V191)))),"")</f>
        <v/>
      </c>
    </row>
    <row r="193" spans="22:22" x14ac:dyDescent="0.2">
      <c r="V193" s="34" t="str">
        <f ca="1">IFERROR(IF(V192="","",IF(NOT($T$2=""),IF(AND(VALUE(LEFT(V192,4))+1+$T$3/100&gt;=$T$6,VALUE(LEFT(V192,4))+1+$T$3/100&lt;=$T$7),CONCATENATE(VALUE(LEFT(V192,4))+1,$T$2),""),IF(next_period(V192)=next_period(CONCATENATE($N$7,$N$8)),"",next_period(V192)))),"")</f>
        <v/>
      </c>
    </row>
    <row r="194" spans="22:22" x14ac:dyDescent="0.2">
      <c r="V194" s="34" t="str">
        <f ca="1">IFERROR(IF(V193="","",IF(NOT($T$2=""),IF(AND(VALUE(LEFT(V193,4))+1+$T$3/100&gt;=$T$6,VALUE(LEFT(V193,4))+1+$T$3/100&lt;=$T$7),CONCATENATE(VALUE(LEFT(V193,4))+1,$T$2),""),IF(next_period(V193)=next_period(CONCATENATE($N$7,$N$8)),"",next_period(V193)))),"")</f>
        <v/>
      </c>
    </row>
    <row r="195" spans="22:22" x14ac:dyDescent="0.2">
      <c r="V195" s="34" t="str">
        <f ca="1">IFERROR(IF(V194="","",IF(NOT($T$2=""),IF(AND(VALUE(LEFT(V194,4))+1+$T$3/100&gt;=$T$6,VALUE(LEFT(V194,4))+1+$T$3/100&lt;=$T$7),CONCATENATE(VALUE(LEFT(V194,4))+1,$T$2),""),IF(next_period(V194)=next_period(CONCATENATE($N$7,$N$8)),"",next_period(V194)))),"")</f>
        <v/>
      </c>
    </row>
    <row r="196" spans="22:22" x14ac:dyDescent="0.2">
      <c r="V196" s="34" t="str">
        <f ca="1">IFERROR(IF(V195="","",IF(NOT($T$2=""),IF(AND(VALUE(LEFT(V195,4))+1+$T$3/100&gt;=$T$6,VALUE(LEFT(V195,4))+1+$T$3/100&lt;=$T$7),CONCATENATE(VALUE(LEFT(V195,4))+1,$T$2),""),IF(next_period(V195)=next_period(CONCATENATE($N$7,$N$8)),"",next_period(V195)))),"")</f>
        <v/>
      </c>
    </row>
    <row r="197" spans="22:22" x14ac:dyDescent="0.2">
      <c r="V197" s="34" t="str">
        <f ca="1">IFERROR(IF(V196="","",IF(NOT($T$2=""),IF(AND(VALUE(LEFT(V196,4))+1+$T$3/100&gt;=$T$6,VALUE(LEFT(V196,4))+1+$T$3/100&lt;=$T$7),CONCATENATE(VALUE(LEFT(V196,4))+1,$T$2),""),IF(next_period(V196)=next_period(CONCATENATE($N$7,$N$8)),"",next_period(V196)))),"")</f>
        <v/>
      </c>
    </row>
    <row r="198" spans="22:22" x14ac:dyDescent="0.2">
      <c r="V198" s="34" t="str">
        <f ca="1">IFERROR(IF(V197="","",IF(NOT($T$2=""),IF(AND(VALUE(LEFT(V197,4))+1+$T$3/100&gt;=$T$6,VALUE(LEFT(V197,4))+1+$T$3/100&lt;=$T$7),CONCATENATE(VALUE(LEFT(V197,4))+1,$T$2),""),IF(next_period(V197)=next_period(CONCATENATE($N$7,$N$8)),"",next_period(V197)))),"")</f>
        <v/>
      </c>
    </row>
    <row r="199" spans="22:22" x14ac:dyDescent="0.2">
      <c r="V199" s="34" t="str">
        <f ca="1">IFERROR(IF(V198="","",IF(NOT($T$2=""),IF(AND(VALUE(LEFT(V198,4))+1+$T$3/100&gt;=$T$6,VALUE(LEFT(V198,4))+1+$T$3/100&lt;=$T$7),CONCATENATE(VALUE(LEFT(V198,4))+1,$T$2),""),IF(next_period(V198)=next_period(CONCATENATE($N$7,$N$8)),"",next_period(V198)))),"")</f>
        <v/>
      </c>
    </row>
    <row r="200" spans="22:22" x14ac:dyDescent="0.2">
      <c r="V200" s="34" t="str">
        <f ca="1">IFERROR(IF(V199="","",IF(NOT($T$2=""),IF(AND(VALUE(LEFT(V199,4))+1+$T$3/100&gt;=$T$6,VALUE(LEFT(V199,4))+1+$T$3/100&lt;=$T$7),CONCATENATE(VALUE(LEFT(V199,4))+1,$T$2),""),IF(next_period(V199)=next_period(CONCATENATE($N$7,$N$8)),"",next_period(V199)))),"")</f>
        <v/>
      </c>
    </row>
    <row r="201" spans="22:22" x14ac:dyDescent="0.2">
      <c r="V201" s="34" t="str">
        <f ca="1">IFERROR(IF(V200="","",IF(NOT($T$2=""),IF(AND(VALUE(LEFT(V200,4))+1+$T$3/100&gt;=$T$6,VALUE(LEFT(V200,4))+1+$T$3/100&lt;=$T$7),CONCATENATE(VALUE(LEFT(V200,4))+1,$T$2),""),IF(next_period(V200)=next_period(CONCATENATE($N$7,$N$8)),"",next_period(V200)))),"")</f>
        <v/>
      </c>
    </row>
    <row r="202" spans="22:22" x14ac:dyDescent="0.2">
      <c r="V202" s="34" t="str">
        <f ca="1">IFERROR(IF(V201="","",IF(NOT($T$2=""),IF(AND(VALUE(LEFT(V201,4))+1+$T$3/100&gt;=$T$6,VALUE(LEFT(V201,4))+1+$T$3/100&lt;=$T$7),CONCATENATE(VALUE(LEFT(V201,4))+1,$T$2),""),IF(next_period(V201)=next_period(CONCATENATE($N$7,$N$8)),"",next_period(V201)))),"")</f>
        <v/>
      </c>
    </row>
    <row r="203" spans="22:22" x14ac:dyDescent="0.2">
      <c r="V203" s="34" t="str">
        <f ca="1">IFERROR(IF(V202="","",IF(NOT($T$2=""),IF(AND(VALUE(LEFT(V202,4))+1+$T$3/100&gt;=$T$6,VALUE(LEFT(V202,4))+1+$T$3/100&lt;=$T$7),CONCATENATE(VALUE(LEFT(V202,4))+1,$T$2),""),IF(next_period(V202)=next_period(CONCATENATE($N$7,$N$8)),"",next_period(V202)))),"")</f>
        <v/>
      </c>
    </row>
    <row r="204" spans="22:22" x14ac:dyDescent="0.2">
      <c r="V204" s="34" t="str">
        <f ca="1">IFERROR(IF(V203="","",IF(NOT($T$2=""),IF(AND(VALUE(LEFT(V203,4))+1+$T$3/100&gt;=$T$6,VALUE(LEFT(V203,4))+1+$T$3/100&lt;=$T$7),CONCATENATE(VALUE(LEFT(V203,4))+1,$T$2),""),IF(next_period(V203)=next_period(CONCATENATE($N$7,$N$8)),"",next_period(V203)))),"")</f>
        <v/>
      </c>
    </row>
    <row r="205" spans="22:22" x14ac:dyDescent="0.2">
      <c r="V205" s="34" t="str">
        <f ca="1">IFERROR(IF(V204="","",IF(NOT($T$2=""),IF(AND(VALUE(LEFT(V204,4))+1+$T$3/100&gt;=$T$6,VALUE(LEFT(V204,4))+1+$T$3/100&lt;=$T$7),CONCATENATE(VALUE(LEFT(V204,4))+1,$T$2),""),IF(next_period(V204)=next_period(CONCATENATE($N$7,$N$8)),"",next_period(V204)))),"")</f>
        <v/>
      </c>
    </row>
    <row r="206" spans="22:22" x14ac:dyDescent="0.2">
      <c r="V206" s="34" t="str">
        <f ca="1">IFERROR(IF(V205="","",IF(NOT($T$2=""),IF(AND(VALUE(LEFT(V205,4))+1+$T$3/100&gt;=$T$6,VALUE(LEFT(V205,4))+1+$T$3/100&lt;=$T$7),CONCATENATE(VALUE(LEFT(V205,4))+1,$T$2),""),IF(next_period(V205)=next_period(CONCATENATE($N$7,$N$8)),"",next_period(V205)))),"")</f>
        <v/>
      </c>
    </row>
    <row r="207" spans="22:22" x14ac:dyDescent="0.2">
      <c r="V207" s="34" t="str">
        <f ca="1">IFERROR(IF(V206="","",IF(NOT($T$2=""),IF(AND(VALUE(LEFT(V206,4))+1+$T$3/100&gt;=$T$6,VALUE(LEFT(V206,4))+1+$T$3/100&lt;=$T$7),CONCATENATE(VALUE(LEFT(V206,4))+1,$T$2),""),IF(next_period(V206)=next_period(CONCATENATE($N$7,$N$8)),"",next_period(V206)))),"")</f>
        <v/>
      </c>
    </row>
    <row r="208" spans="22:22" x14ac:dyDescent="0.2">
      <c r="V208" s="34" t="str">
        <f ca="1">IFERROR(IF(V207="","",IF(NOT($T$2=""),IF(AND(VALUE(LEFT(V207,4))+1+$T$3/100&gt;=$T$6,VALUE(LEFT(V207,4))+1+$T$3/100&lt;=$T$7),CONCATENATE(VALUE(LEFT(V207,4))+1,$T$2),""),IF(next_period(V207)=next_period(CONCATENATE($N$7,$N$8)),"",next_period(V207)))),"")</f>
        <v/>
      </c>
    </row>
    <row r="209" spans="22:22" x14ac:dyDescent="0.2">
      <c r="V209" s="34" t="str">
        <f ca="1">IFERROR(IF(V208="","",IF(NOT($T$2=""),IF(AND(VALUE(LEFT(V208,4))+1+$T$3/100&gt;=$T$6,VALUE(LEFT(V208,4))+1+$T$3/100&lt;=$T$7),CONCATENATE(VALUE(LEFT(V208,4))+1,$T$2),""),IF(next_period(V208)=next_period(CONCATENATE($N$7,$N$8)),"",next_period(V208)))),"")</f>
        <v/>
      </c>
    </row>
    <row r="210" spans="22:22" x14ac:dyDescent="0.2">
      <c r="V210" s="34" t="str">
        <f ca="1">IFERROR(IF(V209="","",IF(NOT($T$2=""),IF(AND(VALUE(LEFT(V209,4))+1+$T$3/100&gt;=$T$6,VALUE(LEFT(V209,4))+1+$T$3/100&lt;=$T$7),CONCATENATE(VALUE(LEFT(V209,4))+1,$T$2),""),IF(next_period(V209)=next_period(CONCATENATE($N$7,$N$8)),"",next_period(V209)))),"")</f>
        <v/>
      </c>
    </row>
    <row r="211" spans="22:22" x14ac:dyDescent="0.2">
      <c r="V211" s="34" t="str">
        <f ca="1">IFERROR(IF(V210="","",IF(NOT($T$2=""),IF(AND(VALUE(LEFT(V210,4))+1+$T$3/100&gt;=$T$6,VALUE(LEFT(V210,4))+1+$T$3/100&lt;=$T$7),CONCATENATE(VALUE(LEFT(V210,4))+1,$T$2),""),IF(next_period(V210)=next_period(CONCATENATE($N$7,$N$8)),"",next_period(V210)))),"")</f>
        <v/>
      </c>
    </row>
    <row r="212" spans="22:22" x14ac:dyDescent="0.2">
      <c r="V212" s="34" t="str">
        <f ca="1">IFERROR(IF(V211="","",IF(NOT($T$2=""),IF(AND(VALUE(LEFT(V211,4))+1+$T$3/100&gt;=$T$6,VALUE(LEFT(V211,4))+1+$T$3/100&lt;=$T$7),CONCATENATE(VALUE(LEFT(V211,4))+1,$T$2),""),IF(next_period(V211)=next_period(CONCATENATE($N$7,$N$8)),"",next_period(V211)))),"")</f>
        <v/>
      </c>
    </row>
    <row r="213" spans="22:22" x14ac:dyDescent="0.2">
      <c r="V213" s="34" t="str">
        <f ca="1">IFERROR(IF(V212="","",IF(NOT($T$2=""),IF(AND(VALUE(LEFT(V212,4))+1+$T$3/100&gt;=$T$6,VALUE(LEFT(V212,4))+1+$T$3/100&lt;=$T$7),CONCATENATE(VALUE(LEFT(V212,4))+1,$T$2),""),IF(next_period(V212)=next_period(CONCATENATE($N$7,$N$8)),"",next_period(V212)))),"")</f>
        <v/>
      </c>
    </row>
    <row r="214" spans="22:22" x14ac:dyDescent="0.2">
      <c r="V214" s="34" t="str">
        <f ca="1">IFERROR(IF(V213="","",IF(NOT($T$2=""),IF(AND(VALUE(LEFT(V213,4))+1+$T$3/100&gt;=$T$6,VALUE(LEFT(V213,4))+1+$T$3/100&lt;=$T$7),CONCATENATE(VALUE(LEFT(V213,4))+1,$T$2),""),IF(next_period(V213)=next_period(CONCATENATE($N$7,$N$8)),"",next_period(V213)))),"")</f>
        <v/>
      </c>
    </row>
    <row r="215" spans="22:22" x14ac:dyDescent="0.2">
      <c r="V215" s="34" t="str">
        <f ca="1">IFERROR(IF(V214="","",IF(NOT($T$2=""),IF(AND(VALUE(LEFT(V214,4))+1+$T$3/100&gt;=$T$6,VALUE(LEFT(V214,4))+1+$T$3/100&lt;=$T$7),CONCATENATE(VALUE(LEFT(V214,4))+1,$T$2),""),IF(next_period(V214)=next_period(CONCATENATE($N$7,$N$8)),"",next_period(V214)))),"")</f>
        <v/>
      </c>
    </row>
    <row r="216" spans="22:22" x14ac:dyDescent="0.2">
      <c r="V216" s="34" t="str">
        <f ca="1">IFERROR(IF(V215="","",IF(NOT($T$2=""),IF(AND(VALUE(LEFT(V215,4))+1+$T$3/100&gt;=$T$6,VALUE(LEFT(V215,4))+1+$T$3/100&lt;=$T$7),CONCATENATE(VALUE(LEFT(V215,4))+1,$T$2),""),IF(next_period(V215)=next_period(CONCATENATE($N$7,$N$8)),"",next_period(V215)))),"")</f>
        <v/>
      </c>
    </row>
    <row r="217" spans="22:22" x14ac:dyDescent="0.2">
      <c r="V217" s="34" t="str">
        <f ca="1">IFERROR(IF(V216="","",IF(NOT($T$2=""),IF(AND(VALUE(LEFT(V216,4))+1+$T$3/100&gt;=$T$6,VALUE(LEFT(V216,4))+1+$T$3/100&lt;=$T$7),CONCATENATE(VALUE(LEFT(V216,4))+1,$T$2),""),IF(next_period(V216)=next_period(CONCATENATE($N$7,$N$8)),"",next_period(V216)))),"")</f>
        <v/>
      </c>
    </row>
    <row r="218" spans="22:22" x14ac:dyDescent="0.2">
      <c r="V218" s="34" t="str">
        <f ca="1">IFERROR(IF(V217="","",IF(NOT($T$2=""),IF(AND(VALUE(LEFT(V217,4))+1+$T$3/100&gt;=$T$6,VALUE(LEFT(V217,4))+1+$T$3/100&lt;=$T$7),CONCATENATE(VALUE(LEFT(V217,4))+1,$T$2),""),IF(next_period(V217)=next_period(CONCATENATE($N$7,$N$8)),"",next_period(V217)))),"")</f>
        <v/>
      </c>
    </row>
    <row r="219" spans="22:22" x14ac:dyDescent="0.2">
      <c r="V219" s="34" t="str">
        <f ca="1">IFERROR(IF(V218="","",IF(NOT($T$2=""),IF(AND(VALUE(LEFT(V218,4))+1+$T$3/100&gt;=$T$6,VALUE(LEFT(V218,4))+1+$T$3/100&lt;=$T$7),CONCATENATE(VALUE(LEFT(V218,4))+1,$T$2),""),IF(next_period(V218)=next_period(CONCATENATE($N$7,$N$8)),"",next_period(V218)))),"")</f>
        <v/>
      </c>
    </row>
    <row r="220" spans="22:22" x14ac:dyDescent="0.2">
      <c r="V220" s="34" t="str">
        <f ca="1">IFERROR(IF(V219="","",IF(NOT($T$2=""),IF(AND(VALUE(LEFT(V219,4))+1+$T$3/100&gt;=$T$6,VALUE(LEFT(V219,4))+1+$T$3/100&lt;=$T$7),CONCATENATE(VALUE(LEFT(V219,4))+1,$T$2),""),IF(next_period(V219)=next_period(CONCATENATE($N$7,$N$8)),"",next_period(V219)))),"")</f>
        <v/>
      </c>
    </row>
    <row r="221" spans="22:22" x14ac:dyDescent="0.2">
      <c r="V221" s="34" t="str">
        <f ca="1">IFERROR(IF(V220="","",IF(NOT($T$2=""),IF(AND(VALUE(LEFT(V220,4))+1+$T$3/100&gt;=$T$6,VALUE(LEFT(V220,4))+1+$T$3/100&lt;=$T$7),CONCATENATE(VALUE(LEFT(V220,4))+1,$T$2),""),IF(next_period(V220)=next_period(CONCATENATE($N$7,$N$8)),"",next_period(V220)))),"")</f>
        <v/>
      </c>
    </row>
    <row r="222" spans="22:22" x14ac:dyDescent="0.2">
      <c r="V222" s="34" t="str">
        <f ca="1">IFERROR(IF(V221="","",IF(NOT($T$2=""),IF(AND(VALUE(LEFT(V221,4))+1+$T$3/100&gt;=$T$6,VALUE(LEFT(V221,4))+1+$T$3/100&lt;=$T$7),CONCATENATE(VALUE(LEFT(V221,4))+1,$T$2),""),IF(next_period(V221)=next_period(CONCATENATE($N$7,$N$8)),"",next_period(V221)))),"")</f>
        <v/>
      </c>
    </row>
    <row r="223" spans="22:22" x14ac:dyDescent="0.2">
      <c r="V223" s="34" t="str">
        <f ca="1">IFERROR(IF(V222="","",IF(NOT($T$2=""),IF(AND(VALUE(LEFT(V222,4))+1+$T$3/100&gt;=$T$6,VALUE(LEFT(V222,4))+1+$T$3/100&lt;=$T$7),CONCATENATE(VALUE(LEFT(V222,4))+1,$T$2),""),IF(next_period(V222)=next_period(CONCATENATE($N$7,$N$8)),"",next_period(V222)))),"")</f>
        <v/>
      </c>
    </row>
    <row r="224" spans="22:22" x14ac:dyDescent="0.2">
      <c r="V224" s="34" t="str">
        <f ca="1">IFERROR(IF(V223="","",IF(NOT($T$2=""),IF(AND(VALUE(LEFT(V223,4))+1+$T$3/100&gt;=$T$6,VALUE(LEFT(V223,4))+1+$T$3/100&lt;=$T$7),CONCATENATE(VALUE(LEFT(V223,4))+1,$T$2),""),IF(next_period(V223)=next_period(CONCATENATE($N$7,$N$8)),"",next_period(V223)))),"")</f>
        <v/>
      </c>
    </row>
    <row r="225" spans="22:22" x14ac:dyDescent="0.2">
      <c r="V225" s="34" t="str">
        <f ca="1">IFERROR(IF(V224="","",IF(NOT($T$2=""),IF(AND(VALUE(LEFT(V224,4))+1+$T$3/100&gt;=$T$6,VALUE(LEFT(V224,4))+1+$T$3/100&lt;=$T$7),CONCATENATE(VALUE(LEFT(V224,4))+1,$T$2),""),IF(next_period(V224)=next_period(CONCATENATE($N$7,$N$8)),"",next_period(V224)))),"")</f>
        <v/>
      </c>
    </row>
    <row r="226" spans="22:22" x14ac:dyDescent="0.2">
      <c r="V226" s="34" t="str">
        <f ca="1">IFERROR(IF(V225="","",IF(NOT($T$2=""),IF(AND(VALUE(LEFT(V225,4))+1+$T$3/100&gt;=$T$6,VALUE(LEFT(V225,4))+1+$T$3/100&lt;=$T$7),CONCATENATE(VALUE(LEFT(V225,4))+1,$T$2),""),IF(next_period(V225)=next_period(CONCATENATE($N$7,$N$8)),"",next_period(V225)))),"")</f>
        <v/>
      </c>
    </row>
    <row r="227" spans="22:22" x14ac:dyDescent="0.2">
      <c r="V227" s="34" t="str">
        <f ca="1">IFERROR(IF(V226="","",IF(NOT($T$2=""),IF(AND(VALUE(LEFT(V226,4))+1+$T$3/100&gt;=$T$6,VALUE(LEFT(V226,4))+1+$T$3/100&lt;=$T$7),CONCATENATE(VALUE(LEFT(V226,4))+1,$T$2),""),IF(next_period(V226)=next_period(CONCATENATE($N$7,$N$8)),"",next_period(V226)))),"")</f>
        <v/>
      </c>
    </row>
    <row r="228" spans="22:22" x14ac:dyDescent="0.2">
      <c r="V228" s="34" t="str">
        <f ca="1">IFERROR(IF(V227="","",IF(NOT($T$2=""),IF(AND(VALUE(LEFT(V227,4))+1+$T$3/100&gt;=$T$6,VALUE(LEFT(V227,4))+1+$T$3/100&lt;=$T$7),CONCATENATE(VALUE(LEFT(V227,4))+1,$T$2),""),IF(next_period(V227)=next_period(CONCATENATE($N$7,$N$8)),"",next_period(V227)))),"")</f>
        <v/>
      </c>
    </row>
    <row r="229" spans="22:22" x14ac:dyDescent="0.2">
      <c r="V229" s="34" t="str">
        <f ca="1">IFERROR(IF(V228="","",IF(NOT($T$2=""),IF(AND(VALUE(LEFT(V228,4))+1+$T$3/100&gt;=$T$6,VALUE(LEFT(V228,4))+1+$T$3/100&lt;=$T$7),CONCATENATE(VALUE(LEFT(V228,4))+1,$T$2),""),IF(next_period(V228)=next_period(CONCATENATE($N$7,$N$8)),"",next_period(V228)))),"")</f>
        <v/>
      </c>
    </row>
    <row r="230" spans="22:22" x14ac:dyDescent="0.2">
      <c r="V230" s="34" t="str">
        <f ca="1">IFERROR(IF(V229="","",IF(NOT($T$2=""),IF(AND(VALUE(LEFT(V229,4))+1+$T$3/100&gt;=$T$6,VALUE(LEFT(V229,4))+1+$T$3/100&lt;=$T$7),CONCATENATE(VALUE(LEFT(V229,4))+1,$T$2),""),IF(next_period(V229)=next_period(CONCATENATE($N$7,$N$8)),"",next_period(V229)))),"")</f>
        <v/>
      </c>
    </row>
    <row r="231" spans="22:22" x14ac:dyDescent="0.2">
      <c r="V231" s="34" t="str">
        <f ca="1">IFERROR(IF(V230="","",IF(NOT($T$2=""),IF(AND(VALUE(LEFT(V230,4))+1+$T$3/100&gt;=$T$6,VALUE(LEFT(V230,4))+1+$T$3/100&lt;=$T$7),CONCATENATE(VALUE(LEFT(V230,4))+1,$T$2),""),IF(next_period(V230)=next_period(CONCATENATE($N$7,$N$8)),"",next_period(V230)))),"")</f>
        <v/>
      </c>
    </row>
    <row r="232" spans="22:22" x14ac:dyDescent="0.2">
      <c r="V232" s="34" t="str">
        <f ca="1">IFERROR(IF(V231="","",IF(NOT($T$2=""),IF(AND(VALUE(LEFT(V231,4))+1+$T$3/100&gt;=$T$6,VALUE(LEFT(V231,4))+1+$T$3/100&lt;=$T$7),CONCATENATE(VALUE(LEFT(V231,4))+1,$T$2),""),IF(next_period(V231)=next_period(CONCATENATE($N$7,$N$8)),"",next_period(V231)))),"")</f>
        <v/>
      </c>
    </row>
    <row r="233" spans="22:22" x14ac:dyDescent="0.2">
      <c r="V233" s="34" t="str">
        <f ca="1">IFERROR(IF(V232="","",IF(NOT($T$2=""),IF(AND(VALUE(LEFT(V232,4))+1+$T$3/100&gt;=$T$6,VALUE(LEFT(V232,4))+1+$T$3/100&lt;=$T$7),CONCATENATE(VALUE(LEFT(V232,4))+1,$T$2),""),IF(next_period(V232)=next_period(CONCATENATE($N$7,$N$8)),"",next_period(V232)))),"")</f>
        <v/>
      </c>
    </row>
    <row r="234" spans="22:22" x14ac:dyDescent="0.2">
      <c r="V234" s="34" t="str">
        <f ca="1">IFERROR(IF(V233="","",IF(NOT($T$2=""),IF(AND(VALUE(LEFT(V233,4))+1+$T$3/100&gt;=$T$6,VALUE(LEFT(V233,4))+1+$T$3/100&lt;=$T$7),CONCATENATE(VALUE(LEFT(V233,4))+1,$T$2),""),IF(next_period(V233)=next_period(CONCATENATE($N$7,$N$8)),"",next_period(V233)))),"")</f>
        <v/>
      </c>
    </row>
    <row r="235" spans="22:22" x14ac:dyDescent="0.2">
      <c r="V235" s="34" t="str">
        <f ca="1">IFERROR(IF(V234="","",IF(NOT($T$2=""),IF(AND(VALUE(LEFT(V234,4))+1+$T$3/100&gt;=$T$6,VALUE(LEFT(V234,4))+1+$T$3/100&lt;=$T$7),CONCATENATE(VALUE(LEFT(V234,4))+1,$T$2),""),IF(next_period(V234)=next_period(CONCATENATE($N$7,$N$8)),"",next_period(V234)))),"")</f>
        <v/>
      </c>
    </row>
    <row r="236" spans="22:22" x14ac:dyDescent="0.2">
      <c r="V236" s="34" t="str">
        <f ca="1">IFERROR(IF(V235="","",IF(NOT($T$2=""),IF(AND(VALUE(LEFT(V235,4))+1+$T$3/100&gt;=$T$6,VALUE(LEFT(V235,4))+1+$T$3/100&lt;=$T$7),CONCATENATE(VALUE(LEFT(V235,4))+1,$T$2),""),IF(next_period(V235)=next_period(CONCATENATE($N$7,$N$8)),"",next_period(V235)))),"")</f>
        <v/>
      </c>
    </row>
    <row r="237" spans="22:22" x14ac:dyDescent="0.2">
      <c r="V237" s="34" t="str">
        <f ca="1">IFERROR(IF(V236="","",IF(NOT($T$2=""),IF(AND(VALUE(LEFT(V236,4))+1+$T$3/100&gt;=$T$6,VALUE(LEFT(V236,4))+1+$T$3/100&lt;=$T$7),CONCATENATE(VALUE(LEFT(V236,4))+1,$T$2),""),IF(next_period(V236)=next_period(CONCATENATE($N$7,$N$8)),"",next_period(V236)))),"")</f>
        <v/>
      </c>
    </row>
    <row r="238" spans="22:22" x14ac:dyDescent="0.2">
      <c r="V238" s="34" t="str">
        <f ca="1">IFERROR(IF(V237="","",IF(NOT($T$2=""),IF(AND(VALUE(LEFT(V237,4))+1+$T$3/100&gt;=$T$6,VALUE(LEFT(V237,4))+1+$T$3/100&lt;=$T$7),CONCATENATE(VALUE(LEFT(V237,4))+1,$T$2),""),IF(next_period(V237)=next_period(CONCATENATE($N$7,$N$8)),"",next_period(V237)))),"")</f>
        <v/>
      </c>
    </row>
    <row r="239" spans="22:22" x14ac:dyDescent="0.2">
      <c r="V239" s="34" t="str">
        <f ca="1">IFERROR(IF(V238="","",IF(NOT($T$2=""),IF(AND(VALUE(LEFT(V238,4))+1+$T$3/100&gt;=$T$6,VALUE(LEFT(V238,4))+1+$T$3/100&lt;=$T$7),CONCATENATE(VALUE(LEFT(V238,4))+1,$T$2),""),IF(next_period(V238)=next_period(CONCATENATE($N$7,$N$8)),"",next_period(V238)))),"")</f>
        <v/>
      </c>
    </row>
    <row r="240" spans="22:22" x14ac:dyDescent="0.2">
      <c r="V240" s="34" t="str">
        <f ca="1">IFERROR(IF(V239="","",IF(NOT($T$2=""),IF(AND(VALUE(LEFT(V239,4))+1+$T$3/100&gt;=$T$6,VALUE(LEFT(V239,4))+1+$T$3/100&lt;=$T$7),CONCATENATE(VALUE(LEFT(V239,4))+1,$T$2),""),IF(next_period(V239)=next_period(CONCATENATE($N$7,$N$8)),"",next_period(V239)))),"")</f>
        <v/>
      </c>
    </row>
    <row r="241" spans="22:22" x14ac:dyDescent="0.2">
      <c r="V241" s="34" t="str">
        <f ca="1">IFERROR(IF(V240="","",IF(NOT($T$2=""),IF(AND(VALUE(LEFT(V240,4))+1+$T$3/100&gt;=$T$6,VALUE(LEFT(V240,4))+1+$T$3/100&lt;=$T$7),CONCATENATE(VALUE(LEFT(V240,4))+1,$T$2),""),IF(next_period(V240)=next_period(CONCATENATE($N$7,$N$8)),"",next_period(V240)))),"")</f>
        <v/>
      </c>
    </row>
    <row r="242" spans="22:22" x14ac:dyDescent="0.2">
      <c r="V242" s="34" t="str">
        <f ca="1">IFERROR(IF(V241="","",IF(NOT($T$2=""),IF(AND(VALUE(LEFT(V241,4))+1+$T$3/100&gt;=$T$6,VALUE(LEFT(V241,4))+1+$T$3/100&lt;=$T$7),CONCATENATE(VALUE(LEFT(V241,4))+1,$T$2),""),IF(next_period(V241)=next_period(CONCATENATE($N$7,$N$8)),"",next_period(V241)))),"")</f>
        <v/>
      </c>
    </row>
    <row r="243" spans="22:22" x14ac:dyDescent="0.2">
      <c r="V243" s="34" t="str">
        <f ca="1">IFERROR(IF(V242="","",IF(NOT($T$2=""),IF(AND(VALUE(LEFT(V242,4))+1+$T$3/100&gt;=$T$6,VALUE(LEFT(V242,4))+1+$T$3/100&lt;=$T$7),CONCATENATE(VALUE(LEFT(V242,4))+1,$T$2),""),IF(next_period(V242)=next_period(CONCATENATE($N$7,$N$8)),"",next_period(V242)))),"")</f>
        <v/>
      </c>
    </row>
    <row r="244" spans="22:22" x14ac:dyDescent="0.2">
      <c r="V244" s="34" t="str">
        <f ca="1">IFERROR(IF(V243="","",IF(NOT($T$2=""),IF(AND(VALUE(LEFT(V243,4))+1+$T$3/100&gt;=$T$6,VALUE(LEFT(V243,4))+1+$T$3/100&lt;=$T$7),CONCATENATE(VALUE(LEFT(V243,4))+1,$T$2),""),IF(next_period(V243)=next_period(CONCATENATE($N$7,$N$8)),"",next_period(V243)))),"")</f>
        <v/>
      </c>
    </row>
    <row r="245" spans="22:22" x14ac:dyDescent="0.2">
      <c r="V245" s="34" t="str">
        <f ca="1">IFERROR(IF(V244="","",IF(NOT($T$2=""),IF(AND(VALUE(LEFT(V244,4))+1+$T$3/100&gt;=$T$6,VALUE(LEFT(V244,4))+1+$T$3/100&lt;=$T$7),CONCATENATE(VALUE(LEFT(V244,4))+1,$T$2),""),IF(next_period(V244)=next_period(CONCATENATE($N$7,$N$8)),"",next_period(V244)))),"")</f>
        <v/>
      </c>
    </row>
    <row r="246" spans="22:22" x14ac:dyDescent="0.2">
      <c r="V246" s="34" t="str">
        <f ca="1">IFERROR(IF(V245="","",IF(NOT($T$2=""),IF(AND(VALUE(LEFT(V245,4))+1+$T$3/100&gt;=$T$6,VALUE(LEFT(V245,4))+1+$T$3/100&lt;=$T$7),CONCATENATE(VALUE(LEFT(V245,4))+1,$T$2),""),IF(next_period(V245)=next_period(CONCATENATE($N$7,$N$8)),"",next_period(V245)))),"")</f>
        <v/>
      </c>
    </row>
    <row r="247" spans="22:22" x14ac:dyDescent="0.2">
      <c r="V247" s="34" t="str">
        <f ca="1">IFERROR(IF(V246="","",IF(NOT($T$2=""),IF(AND(VALUE(LEFT(V246,4))+1+$T$3/100&gt;=$T$6,VALUE(LEFT(V246,4))+1+$T$3/100&lt;=$T$7),CONCATENATE(VALUE(LEFT(V246,4))+1,$T$2),""),IF(next_period(V246)=next_period(CONCATENATE($N$7,$N$8)),"",next_period(V246)))),"")</f>
        <v/>
      </c>
    </row>
    <row r="248" spans="22:22" x14ac:dyDescent="0.2">
      <c r="V248" s="34" t="str">
        <f ca="1">IFERROR(IF(V247="","",IF(NOT($T$2=""),IF(AND(VALUE(LEFT(V247,4))+1+$T$3/100&gt;=$T$6,VALUE(LEFT(V247,4))+1+$T$3/100&lt;=$T$7),CONCATENATE(VALUE(LEFT(V247,4))+1,$T$2),""),IF(next_period(V247)=next_period(CONCATENATE($N$7,$N$8)),"",next_period(V247)))),"")</f>
        <v/>
      </c>
    </row>
    <row r="249" spans="22:22" x14ac:dyDescent="0.2">
      <c r="V249" s="34" t="str">
        <f ca="1">IFERROR(IF(V248="","",IF(NOT($T$2=""),IF(AND(VALUE(LEFT(V248,4))+1+$T$3/100&gt;=$T$6,VALUE(LEFT(V248,4))+1+$T$3/100&lt;=$T$7),CONCATENATE(VALUE(LEFT(V248,4))+1,$T$2),""),IF(next_period(V248)=next_period(CONCATENATE($N$7,$N$8)),"",next_period(V248)))),"")</f>
        <v/>
      </c>
    </row>
    <row r="250" spans="22:22" x14ac:dyDescent="0.2">
      <c r="V250" s="34" t="str">
        <f ca="1">IFERROR(IF(V249="","",IF(NOT($T$2=""),IF(AND(VALUE(LEFT(V249,4))+1+$T$3/100&gt;=$T$6,VALUE(LEFT(V249,4))+1+$T$3/100&lt;=$T$7),CONCATENATE(VALUE(LEFT(V249,4))+1,$T$2),""),IF(next_period(V249)=next_period(CONCATENATE($N$7,$N$8)),"",next_period(V249)))),"")</f>
        <v/>
      </c>
    </row>
    <row r="251" spans="22:22" x14ac:dyDescent="0.2">
      <c r="V251" s="34" t="str">
        <f ca="1">IFERROR(IF(V250="","",IF(NOT($T$2=""),IF(AND(VALUE(LEFT(V250,4))+1+$T$3/100&gt;=$T$6,VALUE(LEFT(V250,4))+1+$T$3/100&lt;=$T$7),CONCATENATE(VALUE(LEFT(V250,4))+1,$T$2),""),IF(next_period(V250)=next_period(CONCATENATE($N$7,$N$8)),"",next_period(V250)))),"")</f>
        <v/>
      </c>
    </row>
    <row r="252" spans="22:22" x14ac:dyDescent="0.2">
      <c r="V252" s="34" t="str">
        <f ca="1">IFERROR(IF(V251="","",IF(NOT($T$2=""),IF(AND(VALUE(LEFT(V251,4))+1+$T$3/100&gt;=$T$6,VALUE(LEFT(V251,4))+1+$T$3/100&lt;=$T$7),CONCATENATE(VALUE(LEFT(V251,4))+1,$T$2),""),IF(next_period(V251)=next_period(CONCATENATE($N$7,$N$8)),"",next_period(V251)))),"")</f>
        <v/>
      </c>
    </row>
    <row r="253" spans="22:22" x14ac:dyDescent="0.2">
      <c r="V253" s="34" t="str">
        <f ca="1">IFERROR(IF(V252="","",IF(NOT($T$2=""),IF(AND(VALUE(LEFT(V252,4))+1+$T$3/100&gt;=$T$6,VALUE(LEFT(V252,4))+1+$T$3/100&lt;=$T$7),CONCATENATE(VALUE(LEFT(V252,4))+1,$T$2),""),IF(next_period(V252)=next_period(CONCATENATE($N$7,$N$8)),"",next_period(V252)))),"")</f>
        <v/>
      </c>
    </row>
    <row r="254" spans="22:22" x14ac:dyDescent="0.2">
      <c r="V254" s="34" t="str">
        <f ca="1">IFERROR(IF(V253="","",IF(NOT($T$2=""),IF(AND(VALUE(LEFT(V253,4))+1+$T$3/100&gt;=$T$6,VALUE(LEFT(V253,4))+1+$T$3/100&lt;=$T$7),CONCATENATE(VALUE(LEFT(V253,4))+1,$T$2),""),IF(next_period(V253)=next_period(CONCATENATE($N$7,$N$8)),"",next_period(V253)))),"")</f>
        <v/>
      </c>
    </row>
    <row r="255" spans="22:22" x14ac:dyDescent="0.2">
      <c r="V255" s="34" t="str">
        <f ca="1">IFERROR(IF(V254="","",IF(NOT($T$2=""),IF(AND(VALUE(LEFT(V254,4))+1+$T$3/100&gt;=$T$6,VALUE(LEFT(V254,4))+1+$T$3/100&lt;=$T$7),CONCATENATE(VALUE(LEFT(V254,4))+1,$T$2),""),IF(next_period(V254)=next_period(CONCATENATE($N$7,$N$8)),"",next_period(V254)))),"")</f>
        <v/>
      </c>
    </row>
    <row r="256" spans="22:22" x14ac:dyDescent="0.2">
      <c r="V256" s="34" t="str">
        <f ca="1">IFERROR(IF(V255="","",IF(NOT($T$2=""),IF(AND(VALUE(LEFT(V255,4))+1+$T$3/100&gt;=$T$6,VALUE(LEFT(V255,4))+1+$T$3/100&lt;=$T$7),CONCATENATE(VALUE(LEFT(V255,4))+1,$T$2),""),IF(next_period(V255)=next_period(CONCATENATE($N$7,$N$8)),"",next_period(V255)))),"")</f>
        <v/>
      </c>
    </row>
    <row r="257" spans="22:22" x14ac:dyDescent="0.2">
      <c r="V257" s="34" t="str">
        <f ca="1">IFERROR(IF(V256="","",IF(NOT($T$2=""),IF(AND(VALUE(LEFT(V256,4))+1+$T$3/100&gt;=$T$6,VALUE(LEFT(V256,4))+1+$T$3/100&lt;=$T$7),CONCATENATE(VALUE(LEFT(V256,4))+1,$T$2),""),IF(next_period(V256)=next_period(CONCATENATE($N$7,$N$8)),"",next_period(V256)))),"")</f>
        <v/>
      </c>
    </row>
    <row r="258" spans="22:22" x14ac:dyDescent="0.2">
      <c r="V258" s="34" t="str">
        <f ca="1">IFERROR(IF(V257="","",IF(NOT($T$2=""),IF(AND(VALUE(LEFT(V257,4))+1+$T$3/100&gt;=$T$6,VALUE(LEFT(V257,4))+1+$T$3/100&lt;=$T$7),CONCATENATE(VALUE(LEFT(V257,4))+1,$T$2),""),IF(next_period(V257)=next_period(CONCATENATE($N$7,$N$8)),"",next_period(V257)))),"")</f>
        <v/>
      </c>
    </row>
    <row r="259" spans="22:22" x14ac:dyDescent="0.2">
      <c r="V259" s="34" t="str">
        <f ca="1">IFERROR(IF(V258="","",IF(NOT($T$2=""),IF(AND(VALUE(LEFT(V258,4))+1+$T$3/100&gt;=$T$6,VALUE(LEFT(V258,4))+1+$T$3/100&lt;=$T$7),CONCATENATE(VALUE(LEFT(V258,4))+1,$T$2),""),IF(next_period(V258)=next_period(CONCATENATE($N$7,$N$8)),"",next_period(V258)))),"")</f>
        <v/>
      </c>
    </row>
    <row r="260" spans="22:22" x14ac:dyDescent="0.2">
      <c r="V260" s="34" t="str">
        <f ca="1">IFERROR(IF(V259="","",IF(NOT($T$2=""),IF(AND(VALUE(LEFT(V259,4))+1+$T$3/100&gt;=$T$6,VALUE(LEFT(V259,4))+1+$T$3/100&lt;=$T$7),CONCATENATE(VALUE(LEFT(V259,4))+1,$T$2),""),IF(next_period(V259)=next_period(CONCATENATE($N$7,$N$8)),"",next_period(V259)))),"")</f>
        <v/>
      </c>
    </row>
    <row r="261" spans="22:22" x14ac:dyDescent="0.2">
      <c r="V261" s="34" t="str">
        <f ca="1">IFERROR(IF(V260="","",IF(NOT($T$2=""),IF(AND(VALUE(LEFT(V260,4))+1+$T$3/100&gt;=$T$6,VALUE(LEFT(V260,4))+1+$T$3/100&lt;=$T$7),CONCATENATE(VALUE(LEFT(V260,4))+1,$T$2),""),IF(next_period(V260)=next_period(CONCATENATE($N$7,$N$8)),"",next_period(V260)))),"")</f>
        <v/>
      </c>
    </row>
    <row r="262" spans="22:22" x14ac:dyDescent="0.2">
      <c r="V262" s="34" t="str">
        <f ca="1">IFERROR(IF(V261="","",IF(NOT($T$2=""),IF(AND(VALUE(LEFT(V261,4))+1+$T$3/100&gt;=$T$6,VALUE(LEFT(V261,4))+1+$T$3/100&lt;=$T$7),CONCATENATE(VALUE(LEFT(V261,4))+1,$T$2),""),IF(next_period(V261)=next_period(CONCATENATE($N$7,$N$8)),"",next_period(V261)))),"")</f>
        <v/>
      </c>
    </row>
    <row r="263" spans="22:22" x14ac:dyDescent="0.2">
      <c r="V263" s="34" t="str">
        <f ca="1">IFERROR(IF(V262="","",IF(NOT($T$2=""),IF(AND(VALUE(LEFT(V262,4))+1+$T$3/100&gt;=$T$6,VALUE(LEFT(V262,4))+1+$T$3/100&lt;=$T$7),CONCATENATE(VALUE(LEFT(V262,4))+1,$T$2),""),IF(next_period(V262)=next_period(CONCATENATE($N$7,$N$8)),"",next_period(V262)))),"")</f>
        <v/>
      </c>
    </row>
    <row r="264" spans="22:22" x14ac:dyDescent="0.2">
      <c r="V264" s="34" t="str">
        <f ca="1">IFERROR(IF(V263="","",IF(NOT($T$2=""),IF(AND(VALUE(LEFT(V263,4))+1+$T$3/100&gt;=$T$6,VALUE(LEFT(V263,4))+1+$T$3/100&lt;=$T$7),CONCATENATE(VALUE(LEFT(V263,4))+1,$T$2),""),IF(next_period(V263)=next_period(CONCATENATE($N$7,$N$8)),"",next_period(V263)))),"")</f>
        <v/>
      </c>
    </row>
    <row r="265" spans="22:22" x14ac:dyDescent="0.2">
      <c r="V265" s="34" t="str">
        <f ca="1">IFERROR(IF(V264="","",IF(NOT($T$2=""),IF(AND(VALUE(LEFT(V264,4))+1+$T$3/100&gt;=$T$6,VALUE(LEFT(V264,4))+1+$T$3/100&lt;=$T$7),CONCATENATE(VALUE(LEFT(V264,4))+1,$T$2),""),IF(next_period(V264)=next_period(CONCATENATE($N$7,$N$8)),"",next_period(V264)))),"")</f>
        <v/>
      </c>
    </row>
    <row r="266" spans="22:22" x14ac:dyDescent="0.2">
      <c r="V266" s="34" t="str">
        <f ca="1">IFERROR(IF(V265="","",IF(NOT($T$2=""),IF(AND(VALUE(LEFT(V265,4))+1+$T$3/100&gt;=$T$6,VALUE(LEFT(V265,4))+1+$T$3/100&lt;=$T$7),CONCATENATE(VALUE(LEFT(V265,4))+1,$T$2),""),IF(next_period(V265)=next_period(CONCATENATE($N$7,$N$8)),"",next_period(V265)))),"")</f>
        <v/>
      </c>
    </row>
    <row r="267" spans="22:22" x14ac:dyDescent="0.2">
      <c r="V267" s="34" t="str">
        <f ca="1">IFERROR(IF(V266="","",IF(NOT($T$2=""),IF(AND(VALUE(LEFT(V266,4))+1+$T$3/100&gt;=$T$6,VALUE(LEFT(V266,4))+1+$T$3/100&lt;=$T$7),CONCATENATE(VALUE(LEFT(V266,4))+1,$T$2),""),IF(next_period(V266)=next_period(CONCATENATE($N$7,$N$8)),"",next_period(V266)))),"")</f>
        <v/>
      </c>
    </row>
    <row r="268" spans="22:22" x14ac:dyDescent="0.2">
      <c r="V268" s="34" t="str">
        <f ca="1">IFERROR(IF(V267="","",IF(NOT($T$2=""),IF(AND(VALUE(LEFT(V267,4))+1+$T$3/100&gt;=$T$6,VALUE(LEFT(V267,4))+1+$T$3/100&lt;=$T$7),CONCATENATE(VALUE(LEFT(V267,4))+1,$T$2),""),IF(next_period(V267)=next_period(CONCATENATE($N$7,$N$8)),"",next_period(V267)))),"")</f>
        <v/>
      </c>
    </row>
    <row r="269" spans="22:22" x14ac:dyDescent="0.2">
      <c r="V269" s="34" t="str">
        <f ca="1">IFERROR(IF(V268="","",IF(NOT($T$2=""),IF(AND(VALUE(LEFT(V268,4))+1+$T$3/100&gt;=$T$6,VALUE(LEFT(V268,4))+1+$T$3/100&lt;=$T$7),CONCATENATE(VALUE(LEFT(V268,4))+1,$T$2),""),IF(next_period(V268)=next_period(CONCATENATE($N$7,$N$8)),"",next_period(V268)))),"")</f>
        <v/>
      </c>
    </row>
    <row r="270" spans="22:22" x14ac:dyDescent="0.2">
      <c r="V270" s="34" t="str">
        <f ca="1">IFERROR(IF(V269="","",IF(NOT($T$2=""),IF(AND(VALUE(LEFT(V269,4))+1+$T$3/100&gt;=$T$6,VALUE(LEFT(V269,4))+1+$T$3/100&lt;=$T$7),CONCATENATE(VALUE(LEFT(V269,4))+1,$T$2),""),IF(next_period(V269)=next_period(CONCATENATE($N$7,$N$8)),"",next_period(V269)))),"")</f>
        <v/>
      </c>
    </row>
    <row r="271" spans="22:22" x14ac:dyDescent="0.2">
      <c r="V271" s="34" t="str">
        <f ca="1">IFERROR(IF(V270="","",IF(NOT($T$2=""),IF(AND(VALUE(LEFT(V270,4))+1+$T$3/100&gt;=$T$6,VALUE(LEFT(V270,4))+1+$T$3/100&lt;=$T$7),CONCATENATE(VALUE(LEFT(V270,4))+1,$T$2),""),IF(next_period(V270)=next_period(CONCATENATE($N$7,$N$8)),"",next_period(V270)))),"")</f>
        <v/>
      </c>
    </row>
    <row r="272" spans="22:22" x14ac:dyDescent="0.2">
      <c r="V272" s="34" t="str">
        <f ca="1">IFERROR(IF(V271="","",IF(NOT($T$2=""),IF(AND(VALUE(LEFT(V271,4))+1+$T$3/100&gt;=$T$6,VALUE(LEFT(V271,4))+1+$T$3/100&lt;=$T$7),CONCATENATE(VALUE(LEFT(V271,4))+1,$T$2),""),IF(next_period(V271)=next_period(CONCATENATE($N$7,$N$8)),"",next_period(V271)))),"")</f>
        <v/>
      </c>
    </row>
    <row r="273" spans="22:22" x14ac:dyDescent="0.2">
      <c r="V273" s="34" t="str">
        <f ca="1">IFERROR(IF(V272="","",IF(NOT($T$2=""),IF(AND(VALUE(LEFT(V272,4))+1+$T$3/100&gt;=$T$6,VALUE(LEFT(V272,4))+1+$T$3/100&lt;=$T$7),CONCATENATE(VALUE(LEFT(V272,4))+1,$T$2),""),IF(next_period(V272)=next_period(CONCATENATE($N$7,$N$8)),"",next_period(V272)))),"")</f>
        <v/>
      </c>
    </row>
    <row r="274" spans="22:22" x14ac:dyDescent="0.2">
      <c r="V274" s="34" t="str">
        <f ca="1">IFERROR(IF(V273="","",IF(NOT($T$2=""),IF(AND(VALUE(LEFT(V273,4))+1+$T$3/100&gt;=$T$6,VALUE(LEFT(V273,4))+1+$T$3/100&lt;=$T$7),CONCATENATE(VALUE(LEFT(V273,4))+1,$T$2),""),IF(next_period(V273)=next_period(CONCATENATE($N$7,$N$8)),"",next_period(V273)))),"")</f>
        <v/>
      </c>
    </row>
    <row r="275" spans="22:22" x14ac:dyDescent="0.2">
      <c r="V275" s="34" t="str">
        <f ca="1">IFERROR(IF(V274="","",IF(NOT($T$2=""),IF(AND(VALUE(LEFT(V274,4))+1+$T$3/100&gt;=$T$6,VALUE(LEFT(V274,4))+1+$T$3/100&lt;=$T$7),CONCATENATE(VALUE(LEFT(V274,4))+1,$T$2),""),IF(next_period(V274)=next_period(CONCATENATE($N$7,$N$8)),"",next_period(V274)))),"")</f>
        <v/>
      </c>
    </row>
    <row r="276" spans="22:22" x14ac:dyDescent="0.2">
      <c r="V276" s="34" t="str">
        <f ca="1">IFERROR(IF(V275="","",IF(NOT($T$2=""),IF(AND(VALUE(LEFT(V275,4))+1+$T$3/100&gt;=$T$6,VALUE(LEFT(V275,4))+1+$T$3/100&lt;=$T$7),CONCATENATE(VALUE(LEFT(V275,4))+1,$T$2),""),IF(next_period(V275)=next_period(CONCATENATE($N$7,$N$8)),"",next_period(V275)))),"")</f>
        <v/>
      </c>
    </row>
    <row r="277" spans="22:22" x14ac:dyDescent="0.2">
      <c r="V277" s="34" t="str">
        <f ca="1">IFERROR(IF(V276="","",IF(NOT($T$2=""),IF(AND(VALUE(LEFT(V276,4))+1+$T$3/100&gt;=$T$6,VALUE(LEFT(V276,4))+1+$T$3/100&lt;=$T$7),CONCATENATE(VALUE(LEFT(V276,4))+1,$T$2),""),IF(next_period(V276)=next_period(CONCATENATE($N$7,$N$8)),"",next_period(V276)))),"")</f>
        <v/>
      </c>
    </row>
    <row r="278" spans="22:22" x14ac:dyDescent="0.2">
      <c r="V278" s="34" t="str">
        <f ca="1">IFERROR(IF(V277="","",IF(NOT($T$2=""),IF(AND(VALUE(LEFT(V277,4))+1+$T$3/100&gt;=$T$6,VALUE(LEFT(V277,4))+1+$T$3/100&lt;=$T$7),CONCATENATE(VALUE(LEFT(V277,4))+1,$T$2),""),IF(next_period(V277)=next_period(CONCATENATE($N$7,$N$8)),"",next_period(V277)))),"")</f>
        <v/>
      </c>
    </row>
    <row r="279" spans="22:22" x14ac:dyDescent="0.2">
      <c r="V279" s="34" t="str">
        <f ca="1">IFERROR(IF(V278="","",IF(NOT($T$2=""),IF(AND(VALUE(LEFT(V278,4))+1+$T$3/100&gt;=$T$6,VALUE(LEFT(V278,4))+1+$T$3/100&lt;=$T$7),CONCATENATE(VALUE(LEFT(V278,4))+1,$T$2),""),IF(next_period(V278)=next_period(CONCATENATE($N$7,$N$8)),"",next_period(V278)))),"")</f>
        <v/>
      </c>
    </row>
    <row r="280" spans="22:22" x14ac:dyDescent="0.2">
      <c r="V280" s="34" t="str">
        <f ca="1">IFERROR(IF(V279="","",IF(NOT($T$2=""),IF(AND(VALUE(LEFT(V279,4))+1+$T$3/100&gt;=$T$6,VALUE(LEFT(V279,4))+1+$T$3/100&lt;=$T$7),CONCATENATE(VALUE(LEFT(V279,4))+1,$T$2),""),IF(next_period(V279)=next_period(CONCATENATE($N$7,$N$8)),"",next_period(V279)))),"")</f>
        <v/>
      </c>
    </row>
    <row r="281" spans="22:22" x14ac:dyDescent="0.2">
      <c r="V281" s="34" t="str">
        <f ca="1">IFERROR(IF(V280="","",IF(NOT($T$2=""),IF(AND(VALUE(LEFT(V280,4))+1+$T$3/100&gt;=$T$6,VALUE(LEFT(V280,4))+1+$T$3/100&lt;=$T$7),CONCATENATE(VALUE(LEFT(V280,4))+1,$T$2),""),IF(next_period(V280)=next_period(CONCATENATE($N$7,$N$8)),"",next_period(V280)))),"")</f>
        <v/>
      </c>
    </row>
    <row r="282" spans="22:22" x14ac:dyDescent="0.2">
      <c r="V282" s="34" t="str">
        <f ca="1">IFERROR(IF(V281="","",IF(NOT($T$2=""),IF(AND(VALUE(LEFT(V281,4))+1+$T$3/100&gt;=$T$6,VALUE(LEFT(V281,4))+1+$T$3/100&lt;=$T$7),CONCATENATE(VALUE(LEFT(V281,4))+1,$T$2),""),IF(next_period(V281)=next_period(CONCATENATE($N$7,$N$8)),"",next_period(V281)))),"")</f>
        <v/>
      </c>
    </row>
    <row r="283" spans="22:22" x14ac:dyDescent="0.2">
      <c r="V283" s="34" t="str">
        <f ca="1">IFERROR(IF(V282="","",IF(NOT($T$2=""),IF(AND(VALUE(LEFT(V282,4))+1+$T$3/100&gt;=$T$6,VALUE(LEFT(V282,4))+1+$T$3/100&lt;=$T$7),CONCATENATE(VALUE(LEFT(V282,4))+1,$T$2),""),IF(next_period(V282)=next_period(CONCATENATE($N$7,$N$8)),"",next_period(V282)))),"")</f>
        <v/>
      </c>
    </row>
    <row r="284" spans="22:22" x14ac:dyDescent="0.2">
      <c r="V284" s="34" t="str">
        <f ca="1">IFERROR(IF(V283="","",IF(NOT($T$2=""),IF(AND(VALUE(LEFT(V283,4))+1+$T$3/100&gt;=$T$6,VALUE(LEFT(V283,4))+1+$T$3/100&lt;=$T$7),CONCATENATE(VALUE(LEFT(V283,4))+1,$T$2),""),IF(next_period(V283)=next_period(CONCATENATE($N$7,$N$8)),"",next_period(V283)))),"")</f>
        <v/>
      </c>
    </row>
    <row r="285" spans="22:22" x14ac:dyDescent="0.2">
      <c r="V285" s="34" t="str">
        <f ca="1">IFERROR(IF(V284="","",IF(NOT($T$2=""),IF(AND(VALUE(LEFT(V284,4))+1+$T$3/100&gt;=$T$6,VALUE(LEFT(V284,4))+1+$T$3/100&lt;=$T$7),CONCATENATE(VALUE(LEFT(V284,4))+1,$T$2),""),IF(next_period(V284)=next_period(CONCATENATE($N$7,$N$8)),"",next_period(V284)))),"")</f>
        <v/>
      </c>
    </row>
    <row r="286" spans="22:22" x14ac:dyDescent="0.2">
      <c r="V286" s="34" t="str">
        <f ca="1">IFERROR(IF(V285="","",IF(NOT($T$2=""),IF(AND(VALUE(LEFT(V285,4))+1+$T$3/100&gt;=$T$6,VALUE(LEFT(V285,4))+1+$T$3/100&lt;=$T$7),CONCATENATE(VALUE(LEFT(V285,4))+1,$T$2),""),IF(next_period(V285)=next_period(CONCATENATE($N$7,$N$8)),"",next_period(V285)))),"")</f>
        <v/>
      </c>
    </row>
    <row r="287" spans="22:22" x14ac:dyDescent="0.2">
      <c r="V287" s="34" t="str">
        <f ca="1">IFERROR(IF(V286="","",IF(NOT($T$2=""),IF(AND(VALUE(LEFT(V286,4))+1+$T$3/100&gt;=$T$6,VALUE(LEFT(V286,4))+1+$T$3/100&lt;=$T$7),CONCATENATE(VALUE(LEFT(V286,4))+1,$T$2),""),IF(next_period(V286)=next_period(CONCATENATE($N$7,$N$8)),"",next_period(V286)))),"")</f>
        <v/>
      </c>
    </row>
    <row r="288" spans="22:22" x14ac:dyDescent="0.2">
      <c r="V288" s="34" t="str">
        <f ca="1">IFERROR(IF(V287="","",IF(NOT($T$2=""),IF(AND(VALUE(LEFT(V287,4))+1+$T$3/100&gt;=$T$6,VALUE(LEFT(V287,4))+1+$T$3/100&lt;=$T$7),CONCATENATE(VALUE(LEFT(V287,4))+1,$T$2),""),IF(next_period(V287)=next_period(CONCATENATE($N$7,$N$8)),"",next_period(V287)))),"")</f>
        <v/>
      </c>
    </row>
    <row r="289" spans="22:22" x14ac:dyDescent="0.2">
      <c r="V289" s="34" t="str">
        <f ca="1">IFERROR(IF(V288="","",IF(NOT($T$2=""),IF(AND(VALUE(LEFT(V288,4))+1+$T$3/100&gt;=$T$6,VALUE(LEFT(V288,4))+1+$T$3/100&lt;=$T$7),CONCATENATE(VALUE(LEFT(V288,4))+1,$T$2),""),IF(next_period(V288)=next_period(CONCATENATE($N$7,$N$8)),"",next_period(V288)))),"")</f>
        <v/>
      </c>
    </row>
    <row r="290" spans="22:22" x14ac:dyDescent="0.2">
      <c r="V290" s="34" t="str">
        <f ca="1">IFERROR(IF(V289="","",IF(NOT($T$2=""),IF(AND(VALUE(LEFT(V289,4))+1+$T$3/100&gt;=$T$6,VALUE(LEFT(V289,4))+1+$T$3/100&lt;=$T$7),CONCATENATE(VALUE(LEFT(V289,4))+1,$T$2),""),IF(next_period(V289)=next_period(CONCATENATE($N$7,$N$8)),"",next_period(V289)))),"")</f>
        <v/>
      </c>
    </row>
    <row r="291" spans="22:22" x14ac:dyDescent="0.2">
      <c r="V291" s="34" t="str">
        <f ca="1">IFERROR(IF(V290="","",IF(NOT($T$2=""),IF(AND(VALUE(LEFT(V290,4))+1+$T$3/100&gt;=$T$6,VALUE(LEFT(V290,4))+1+$T$3/100&lt;=$T$7),CONCATENATE(VALUE(LEFT(V290,4))+1,$T$2),""),IF(next_period(V290)=next_period(CONCATENATE($N$7,$N$8)),"",next_period(V290)))),"")</f>
        <v/>
      </c>
    </row>
    <row r="292" spans="22:22" x14ac:dyDescent="0.2">
      <c r="V292" s="34" t="str">
        <f ca="1">IFERROR(IF(V291="","",IF(NOT($T$2=""),IF(AND(VALUE(LEFT(V291,4))+1+$T$3/100&gt;=$T$6,VALUE(LEFT(V291,4))+1+$T$3/100&lt;=$T$7),CONCATENATE(VALUE(LEFT(V291,4))+1,$T$2),""),IF(next_period(V291)=next_period(CONCATENATE($N$7,$N$8)),"",next_period(V291)))),"")</f>
        <v/>
      </c>
    </row>
    <row r="293" spans="22:22" x14ac:dyDescent="0.2">
      <c r="V293" s="34" t="str">
        <f ca="1">IFERROR(IF(V292="","",IF(NOT($T$2=""),IF(AND(VALUE(LEFT(V292,4))+1+$T$3/100&gt;=$T$6,VALUE(LEFT(V292,4))+1+$T$3/100&lt;=$T$7),CONCATENATE(VALUE(LEFT(V292,4))+1,$T$2),""),IF(next_period(V292)=next_period(CONCATENATE($N$7,$N$8)),"",next_period(V292)))),"")</f>
        <v/>
      </c>
    </row>
    <row r="294" spans="22:22" x14ac:dyDescent="0.2">
      <c r="V294" s="34" t="str">
        <f ca="1">IFERROR(IF(V293="","",IF(NOT($T$2=""),IF(AND(VALUE(LEFT(V293,4))+1+$T$3/100&gt;=$T$6,VALUE(LEFT(V293,4))+1+$T$3/100&lt;=$T$7),CONCATENATE(VALUE(LEFT(V293,4))+1,$T$2),""),IF(next_period(V293)=next_period(CONCATENATE($N$7,$N$8)),"",next_period(V293)))),"")</f>
        <v/>
      </c>
    </row>
    <row r="295" spans="22:22" x14ac:dyDescent="0.2">
      <c r="V295" s="34" t="str">
        <f ca="1">IFERROR(IF(V294="","",IF(NOT($T$2=""),IF(AND(VALUE(LEFT(V294,4))+1+$T$3/100&gt;=$T$6,VALUE(LEFT(V294,4))+1+$T$3/100&lt;=$T$7),CONCATENATE(VALUE(LEFT(V294,4))+1,$T$2),""),IF(next_period(V294)=next_period(CONCATENATE($N$7,$N$8)),"",next_period(V294)))),"")</f>
        <v/>
      </c>
    </row>
    <row r="296" spans="22:22" x14ac:dyDescent="0.2">
      <c r="V296" s="34" t="str">
        <f ca="1">IFERROR(IF(V295="","",IF(NOT($T$2=""),IF(AND(VALUE(LEFT(V295,4))+1+$T$3/100&gt;=$T$6,VALUE(LEFT(V295,4))+1+$T$3/100&lt;=$T$7),CONCATENATE(VALUE(LEFT(V295,4))+1,$T$2),""),IF(next_period(V295)=next_period(CONCATENATE($N$7,$N$8)),"",next_period(V295)))),"")</f>
        <v/>
      </c>
    </row>
    <row r="297" spans="22:22" x14ac:dyDescent="0.2">
      <c r="V297" s="34" t="str">
        <f ca="1">IFERROR(IF(V296="","",IF(NOT($T$2=""),IF(AND(VALUE(LEFT(V296,4))+1+$T$3/100&gt;=$T$6,VALUE(LEFT(V296,4))+1+$T$3/100&lt;=$T$7),CONCATENATE(VALUE(LEFT(V296,4))+1,$T$2),""),IF(next_period(V296)=next_period(CONCATENATE($N$7,$N$8)),"",next_period(V296)))),"")</f>
        <v/>
      </c>
    </row>
    <row r="298" spans="22:22" x14ac:dyDescent="0.2">
      <c r="V298" s="34" t="str">
        <f ca="1">IFERROR(IF(V297="","",IF(NOT($T$2=""),IF(AND(VALUE(LEFT(V297,4))+1+$T$3/100&gt;=$T$6,VALUE(LEFT(V297,4))+1+$T$3/100&lt;=$T$7),CONCATENATE(VALUE(LEFT(V297,4))+1,$T$2),""),IF(next_period(V297)=next_period(CONCATENATE($N$7,$N$8)),"",next_period(V297)))),"")</f>
        <v/>
      </c>
    </row>
    <row r="299" spans="22:22" x14ac:dyDescent="0.2">
      <c r="V299" s="34" t="str">
        <f ca="1">IFERROR(IF(V298="","",IF(NOT($T$2=""),IF(AND(VALUE(LEFT(V298,4))+1+$T$3/100&gt;=$T$6,VALUE(LEFT(V298,4))+1+$T$3/100&lt;=$T$7),CONCATENATE(VALUE(LEFT(V298,4))+1,$T$2),""),IF(next_period(V298)=next_period(CONCATENATE($N$7,$N$8)),"",next_period(V298)))),"")</f>
        <v/>
      </c>
    </row>
    <row r="300" spans="22:22" x14ac:dyDescent="0.2">
      <c r="V300" s="34" t="str">
        <f ca="1">IFERROR(IF(V299="","",IF(NOT($T$2=""),IF(AND(VALUE(LEFT(V299,4))+1+$T$3/100&gt;=$T$6,VALUE(LEFT(V299,4))+1+$T$3/100&lt;=$T$7),CONCATENATE(VALUE(LEFT(V299,4))+1,$T$2),""),IF(next_period(V299)=next_period(CONCATENATE($N$7,$N$8)),"",next_period(V299)))),"")</f>
        <v/>
      </c>
    </row>
    <row r="301" spans="22:22" x14ac:dyDescent="0.2">
      <c r="V301" s="34" t="str">
        <f ca="1">IFERROR(IF(V300="","",IF(NOT($T$2=""),IF(AND(VALUE(LEFT(V300,4))+1+$T$3/100&gt;=$T$6,VALUE(LEFT(V300,4))+1+$T$3/100&lt;=$T$7),CONCATENATE(VALUE(LEFT(V300,4))+1,$T$2),""),IF(next_period(V300)=next_period(CONCATENATE($N$7,$N$8)),"",next_period(V300)))),"")</f>
        <v/>
      </c>
    </row>
    <row r="302" spans="22:22" x14ac:dyDescent="0.2">
      <c r="V302" s="34" t="str">
        <f ca="1">IFERROR(IF(V301="","",IF(NOT($T$2=""),IF(AND(VALUE(LEFT(V301,4))+1+$T$3/100&gt;=$T$6,VALUE(LEFT(V301,4))+1+$T$3/100&lt;=$T$7),CONCATENATE(VALUE(LEFT(V301,4))+1,$T$2),""),IF(next_period(V301)=next_period(CONCATENATE($N$7,$N$8)),"",next_period(V301)))),"")</f>
        <v/>
      </c>
    </row>
    <row r="303" spans="22:22" x14ac:dyDescent="0.2">
      <c r="V303" s="34" t="str">
        <f ca="1">IFERROR(IF(V302="","",IF(NOT($T$2=""),IF(AND(VALUE(LEFT(V302,4))+1+$T$3/100&gt;=$T$6,VALUE(LEFT(V302,4))+1+$T$3/100&lt;=$T$7),CONCATENATE(VALUE(LEFT(V302,4))+1,$T$2),""),IF(next_period(V302)=next_period(CONCATENATE($N$7,$N$8)),"",next_period(V302)))),"")</f>
        <v/>
      </c>
    </row>
    <row r="304" spans="22:22" x14ac:dyDescent="0.2">
      <c r="V304" s="34" t="str">
        <f ca="1">IFERROR(IF(V303="","",IF(NOT($T$2=""),IF(AND(VALUE(LEFT(V303,4))+1+$T$3/100&gt;=$T$6,VALUE(LEFT(V303,4))+1+$T$3/100&lt;=$T$7),CONCATENATE(VALUE(LEFT(V303,4))+1,$T$2),""),IF(next_period(V303)=next_period(CONCATENATE($N$7,$N$8)),"",next_period(V303)))),"")</f>
        <v/>
      </c>
    </row>
    <row r="305" spans="22:22" x14ac:dyDescent="0.2">
      <c r="V305" s="34" t="str">
        <f ca="1">IFERROR(IF(V304="","",IF(NOT($T$2=""),IF(AND(VALUE(LEFT(V304,4))+1+$T$3/100&gt;=$T$6,VALUE(LEFT(V304,4))+1+$T$3/100&lt;=$T$7),CONCATENATE(VALUE(LEFT(V304,4))+1,$T$2),""),IF(next_period(V304)=next_period(CONCATENATE($N$7,$N$8)),"",next_period(V304)))),"")</f>
        <v/>
      </c>
    </row>
    <row r="306" spans="22:22" x14ac:dyDescent="0.2">
      <c r="V306" s="34" t="str">
        <f ca="1">IFERROR(IF(V305="","",IF(NOT($T$2=""),IF(AND(VALUE(LEFT(V305,4))+1+$T$3/100&gt;=$T$6,VALUE(LEFT(V305,4))+1+$T$3/100&lt;=$T$7),CONCATENATE(VALUE(LEFT(V305,4))+1,$T$2),""),IF(next_period(V305)=next_period(CONCATENATE($N$7,$N$8)),"",next_period(V305)))),"")</f>
        <v/>
      </c>
    </row>
    <row r="307" spans="22:22" x14ac:dyDescent="0.2">
      <c r="V307" s="34" t="str">
        <f ca="1">IFERROR(IF(V306="","",IF(NOT($T$2=""),IF(AND(VALUE(LEFT(V306,4))+1+$T$3/100&gt;=$T$6,VALUE(LEFT(V306,4))+1+$T$3/100&lt;=$T$7),CONCATENATE(VALUE(LEFT(V306,4))+1,$T$2),""),IF(next_period(V306)=next_period(CONCATENATE($N$7,$N$8)),"",next_period(V306)))),"")</f>
        <v/>
      </c>
    </row>
    <row r="308" spans="22:22" x14ac:dyDescent="0.2">
      <c r="V308" s="34" t="str">
        <f ca="1">IFERROR(IF(V307="","",IF(NOT($T$2=""),IF(AND(VALUE(LEFT(V307,4))+1+$T$3/100&gt;=$T$6,VALUE(LEFT(V307,4))+1+$T$3/100&lt;=$T$7),CONCATENATE(VALUE(LEFT(V307,4))+1,$T$2),""),IF(next_period(V307)=next_period(CONCATENATE($N$7,$N$8)),"",next_period(V307)))),"")</f>
        <v/>
      </c>
    </row>
    <row r="309" spans="22:22" x14ac:dyDescent="0.2">
      <c r="V309" s="34" t="str">
        <f ca="1">IFERROR(IF(V308="","",IF(NOT($T$2=""),IF(AND(VALUE(LEFT(V308,4))+1+$T$3/100&gt;=$T$6,VALUE(LEFT(V308,4))+1+$T$3/100&lt;=$T$7),CONCATENATE(VALUE(LEFT(V308,4))+1,$T$2),""),IF(next_period(V308)=next_period(CONCATENATE($N$7,$N$8)),"",next_period(V308)))),"")</f>
        <v/>
      </c>
    </row>
    <row r="310" spans="22:22" x14ac:dyDescent="0.2">
      <c r="V310" s="34" t="str">
        <f ca="1">IFERROR(IF(V309="","",IF(NOT($T$2=""),IF(AND(VALUE(LEFT(V309,4))+1+$T$3/100&gt;=$T$6,VALUE(LEFT(V309,4))+1+$T$3/100&lt;=$T$7),CONCATENATE(VALUE(LEFT(V309,4))+1,$T$2),""),IF(next_period(V309)=next_period(CONCATENATE($N$7,$N$8)),"",next_period(V309)))),"")</f>
        <v/>
      </c>
    </row>
    <row r="311" spans="22:22" x14ac:dyDescent="0.2">
      <c r="V311" s="34" t="str">
        <f ca="1">IFERROR(IF(V310="","",IF(NOT($T$2=""),IF(AND(VALUE(LEFT(V310,4))+1+$T$3/100&gt;=$T$6,VALUE(LEFT(V310,4))+1+$T$3/100&lt;=$T$7),CONCATENATE(VALUE(LEFT(V310,4))+1,$T$2),""),IF(next_period(V310)=next_period(CONCATENATE($N$7,$N$8)),"",next_period(V310)))),"")</f>
        <v/>
      </c>
    </row>
    <row r="312" spans="22:22" x14ac:dyDescent="0.2">
      <c r="V312" s="34" t="str">
        <f ca="1">IFERROR(IF(V311="","",IF(NOT($T$2=""),IF(AND(VALUE(LEFT(V311,4))+1+$T$3/100&gt;=$T$6,VALUE(LEFT(V311,4))+1+$T$3/100&lt;=$T$7),CONCATENATE(VALUE(LEFT(V311,4))+1,$T$2),""),IF(next_period(V311)=next_period(CONCATENATE($N$7,$N$8)),"",next_period(V311)))),"")</f>
        <v/>
      </c>
    </row>
    <row r="313" spans="22:22" x14ac:dyDescent="0.2">
      <c r="V313" s="34" t="str">
        <f ca="1">IFERROR(IF(V312="","",IF(NOT($T$2=""),IF(AND(VALUE(LEFT(V312,4))+1+$T$3/100&gt;=$T$6,VALUE(LEFT(V312,4))+1+$T$3/100&lt;=$T$7),CONCATENATE(VALUE(LEFT(V312,4))+1,$T$2),""),IF(next_period(V312)=next_period(CONCATENATE($N$7,$N$8)),"",next_period(V312)))),"")</f>
        <v/>
      </c>
    </row>
    <row r="314" spans="22:22" x14ac:dyDescent="0.2">
      <c r="V314" s="34" t="str">
        <f ca="1">IFERROR(IF(V313="","",IF(NOT($T$2=""),IF(AND(VALUE(LEFT(V313,4))+1+$T$3/100&gt;=$T$6,VALUE(LEFT(V313,4))+1+$T$3/100&lt;=$T$7),CONCATENATE(VALUE(LEFT(V313,4))+1,$T$2),""),IF(next_period(V313)=next_period(CONCATENATE($N$7,$N$8)),"",next_period(V313)))),"")</f>
        <v/>
      </c>
    </row>
    <row r="315" spans="22:22" x14ac:dyDescent="0.2">
      <c r="V315" s="34" t="str">
        <f ca="1">IFERROR(IF(V314="","",IF(NOT($T$2=""),IF(AND(VALUE(LEFT(V314,4))+1+$T$3/100&gt;=$T$6,VALUE(LEFT(V314,4))+1+$T$3/100&lt;=$T$7),CONCATENATE(VALUE(LEFT(V314,4))+1,$T$2),""),IF(next_period(V314)=next_period(CONCATENATE($N$7,$N$8)),"",next_period(V314)))),"")</f>
        <v/>
      </c>
    </row>
    <row r="316" spans="22:22" x14ac:dyDescent="0.2">
      <c r="V316" s="34" t="str">
        <f ca="1">IFERROR(IF(V315="","",IF(NOT($T$2=""),IF(AND(VALUE(LEFT(V315,4))+1+$T$3/100&gt;=$T$6,VALUE(LEFT(V315,4))+1+$T$3/100&lt;=$T$7),CONCATENATE(VALUE(LEFT(V315,4))+1,$T$2),""),IF(next_period(V315)=next_period(CONCATENATE($N$7,$N$8)),"",next_period(V315)))),"")</f>
        <v/>
      </c>
    </row>
    <row r="317" spans="22:22" x14ac:dyDescent="0.2">
      <c r="V317" s="34" t="str">
        <f ca="1">IFERROR(IF(V316="","",IF(NOT($T$2=""),IF(AND(VALUE(LEFT(V316,4))+1+$T$3/100&gt;=$T$6,VALUE(LEFT(V316,4))+1+$T$3/100&lt;=$T$7),CONCATENATE(VALUE(LEFT(V316,4))+1,$T$2),""),IF(next_period(V316)=next_period(CONCATENATE($N$7,$N$8)),"",next_period(V316)))),"")</f>
        <v/>
      </c>
    </row>
    <row r="318" spans="22:22" x14ac:dyDescent="0.2">
      <c r="V318" s="34" t="str">
        <f ca="1">IFERROR(IF(V317="","",IF(NOT($T$2=""),IF(AND(VALUE(LEFT(V317,4))+1+$T$3/100&gt;=$T$6,VALUE(LEFT(V317,4))+1+$T$3/100&lt;=$T$7),CONCATENATE(VALUE(LEFT(V317,4))+1,$T$2),""),IF(next_period(V317)=next_period(CONCATENATE($N$7,$N$8)),"",next_period(V317)))),"")</f>
        <v/>
      </c>
    </row>
    <row r="319" spans="22:22" x14ac:dyDescent="0.2">
      <c r="V319" s="34" t="str">
        <f ca="1">IFERROR(IF(V318="","",IF(NOT($T$2=""),IF(AND(VALUE(LEFT(V318,4))+1+$T$3/100&gt;=$T$6,VALUE(LEFT(V318,4))+1+$T$3/100&lt;=$T$7),CONCATENATE(VALUE(LEFT(V318,4))+1,$T$2),""),IF(next_period(V318)=next_period(CONCATENATE($N$7,$N$8)),"",next_period(V318)))),"")</f>
        <v/>
      </c>
    </row>
    <row r="320" spans="22:22" x14ac:dyDescent="0.2">
      <c r="V320" s="34" t="str">
        <f ca="1">IFERROR(IF(V319="","",IF(NOT($T$2=""),IF(AND(VALUE(LEFT(V319,4))+1+$T$3/100&gt;=$T$6,VALUE(LEFT(V319,4))+1+$T$3/100&lt;=$T$7),CONCATENATE(VALUE(LEFT(V319,4))+1,$T$2),""),IF(next_period(V319)=next_period(CONCATENATE($N$7,$N$8)),"",next_period(V319)))),"")</f>
        <v/>
      </c>
    </row>
    <row r="321" spans="22:22" x14ac:dyDescent="0.2">
      <c r="V321" s="34" t="str">
        <f ca="1">IFERROR(IF(V320="","",IF(NOT($T$2=""),IF(AND(VALUE(LEFT(V320,4))+1+$T$3/100&gt;=$T$6,VALUE(LEFT(V320,4))+1+$T$3/100&lt;=$T$7),CONCATENATE(VALUE(LEFT(V320,4))+1,$T$2),""),IF(next_period(V320)=next_period(CONCATENATE($N$7,$N$8)),"",next_period(V320)))),"")</f>
        <v/>
      </c>
    </row>
    <row r="322" spans="22:22" x14ac:dyDescent="0.2">
      <c r="V322" s="34" t="str">
        <f ca="1">IFERROR(IF(V321="","",IF(NOT($T$2=""),IF(AND(VALUE(LEFT(V321,4))+1+$T$3/100&gt;=$T$6,VALUE(LEFT(V321,4))+1+$T$3/100&lt;=$T$7),CONCATENATE(VALUE(LEFT(V321,4))+1,$T$2),""),IF(next_period(V321)=next_period(CONCATENATE($N$7,$N$8)),"",next_period(V321)))),"")</f>
        <v/>
      </c>
    </row>
    <row r="323" spans="22:22" x14ac:dyDescent="0.2">
      <c r="V323" s="34" t="str">
        <f ca="1">IFERROR(IF(V322="","",IF(NOT($T$2=""),IF(AND(VALUE(LEFT(V322,4))+1+$T$3/100&gt;=$T$6,VALUE(LEFT(V322,4))+1+$T$3/100&lt;=$T$7),CONCATENATE(VALUE(LEFT(V322,4))+1,$T$2),""),IF(next_period(V322)=next_period(CONCATENATE($N$7,$N$8)),"",next_period(V322)))),"")</f>
        <v/>
      </c>
    </row>
    <row r="324" spans="22:22" x14ac:dyDescent="0.2">
      <c r="V324" s="34" t="str">
        <f ca="1">IFERROR(IF(V323="","",IF(NOT($T$2=""),IF(AND(VALUE(LEFT(V323,4))+1+$T$3/100&gt;=$T$6,VALUE(LEFT(V323,4))+1+$T$3/100&lt;=$T$7),CONCATENATE(VALUE(LEFT(V323,4))+1,$T$2),""),IF(next_period(V323)=next_period(CONCATENATE($N$7,$N$8)),"",next_period(V323)))),"")</f>
        <v/>
      </c>
    </row>
    <row r="325" spans="22:22" x14ac:dyDescent="0.2">
      <c r="V325" s="34" t="str">
        <f ca="1">IFERROR(IF(V324="","",IF(NOT($T$2=""),IF(AND(VALUE(LEFT(V324,4))+1+$T$3/100&gt;=$T$6,VALUE(LEFT(V324,4))+1+$T$3/100&lt;=$T$7),CONCATENATE(VALUE(LEFT(V324,4))+1,$T$2),""),IF(next_period(V324)=next_period(CONCATENATE($N$7,$N$8)),"",next_period(V324)))),"")</f>
        <v/>
      </c>
    </row>
    <row r="326" spans="22:22" x14ac:dyDescent="0.2">
      <c r="V326" s="34" t="str">
        <f ca="1">IFERROR(IF(V325="","",IF(NOT($T$2=""),IF(AND(VALUE(LEFT(V325,4))+1+$T$3/100&gt;=$T$6,VALUE(LEFT(V325,4))+1+$T$3/100&lt;=$T$7),CONCATENATE(VALUE(LEFT(V325,4))+1,$T$2),""),IF(next_period(V325)=next_period(CONCATENATE($N$7,$N$8)),"",next_period(V325)))),"")</f>
        <v/>
      </c>
    </row>
    <row r="327" spans="22:22" x14ac:dyDescent="0.2">
      <c r="V327" s="34" t="str">
        <f ca="1">IFERROR(IF(V326="","",IF(NOT($T$2=""),IF(AND(VALUE(LEFT(V326,4))+1+$T$3/100&gt;=$T$6,VALUE(LEFT(V326,4))+1+$T$3/100&lt;=$T$7),CONCATENATE(VALUE(LEFT(V326,4))+1,$T$2),""),IF(next_period(V326)=next_period(CONCATENATE($N$7,$N$8)),"",next_period(V326)))),"")</f>
        <v/>
      </c>
    </row>
    <row r="328" spans="22:22" x14ac:dyDescent="0.2">
      <c r="V328" s="34" t="str">
        <f ca="1">IFERROR(IF(V327="","",IF(NOT($T$2=""),IF(AND(VALUE(LEFT(V327,4))+1+$T$3/100&gt;=$T$6,VALUE(LEFT(V327,4))+1+$T$3/100&lt;=$T$7),CONCATENATE(VALUE(LEFT(V327,4))+1,$T$2),""),IF(next_period(V327)=next_period(CONCATENATE($N$7,$N$8)),"",next_period(V327)))),"")</f>
        <v/>
      </c>
    </row>
    <row r="329" spans="22:22" x14ac:dyDescent="0.2">
      <c r="V329" s="34" t="str">
        <f ca="1">IFERROR(IF(V328="","",IF(NOT($T$2=""),IF(AND(VALUE(LEFT(V328,4))+1+$T$3/100&gt;=$T$6,VALUE(LEFT(V328,4))+1+$T$3/100&lt;=$T$7),CONCATENATE(VALUE(LEFT(V328,4))+1,$T$2),""),IF(next_period(V328)=next_period(CONCATENATE($N$7,$N$8)),"",next_period(V328)))),"")</f>
        <v/>
      </c>
    </row>
    <row r="330" spans="22:22" x14ac:dyDescent="0.2">
      <c r="V330" s="34" t="str">
        <f ca="1">IFERROR(IF(V329="","",IF(NOT($T$2=""),IF(AND(VALUE(LEFT(V329,4))+1+$T$3/100&gt;=$T$6,VALUE(LEFT(V329,4))+1+$T$3/100&lt;=$T$7),CONCATENATE(VALUE(LEFT(V329,4))+1,$T$2),""),IF(next_period(V329)=next_period(CONCATENATE($N$7,$N$8)),"",next_period(V329)))),"")</f>
        <v/>
      </c>
    </row>
    <row r="331" spans="22:22" x14ac:dyDescent="0.2">
      <c r="V331" s="34" t="str">
        <f ca="1">IFERROR(IF(V330="","",IF(NOT($T$2=""),IF(AND(VALUE(LEFT(V330,4))+1+$T$3/100&gt;=$T$6,VALUE(LEFT(V330,4))+1+$T$3/100&lt;=$T$7),CONCATENATE(VALUE(LEFT(V330,4))+1,$T$2),""),IF(next_period(V330)=next_period(CONCATENATE($N$7,$N$8)),"",next_period(V330)))),"")</f>
        <v/>
      </c>
    </row>
    <row r="332" spans="22:22" x14ac:dyDescent="0.2">
      <c r="V332" s="34" t="str">
        <f ca="1">IFERROR(IF(V331="","",IF(NOT($T$2=""),IF(AND(VALUE(LEFT(V331,4))+1+$T$3/100&gt;=$T$6,VALUE(LEFT(V331,4))+1+$T$3/100&lt;=$T$7),CONCATENATE(VALUE(LEFT(V331,4))+1,$T$2),""),IF(next_period(V331)=next_period(CONCATENATE($N$7,$N$8)),"",next_period(V331)))),"")</f>
        <v/>
      </c>
    </row>
    <row r="333" spans="22:22" x14ac:dyDescent="0.2">
      <c r="V333" s="34" t="str">
        <f ca="1">IFERROR(IF(V332="","",IF(NOT($T$2=""),IF(AND(VALUE(LEFT(V332,4))+1+$T$3/100&gt;=$T$6,VALUE(LEFT(V332,4))+1+$T$3/100&lt;=$T$7),CONCATENATE(VALUE(LEFT(V332,4))+1,$T$2),""),IF(next_period(V332)=next_period(CONCATENATE($N$7,$N$8)),"",next_period(V332)))),"")</f>
        <v/>
      </c>
    </row>
    <row r="334" spans="22:22" x14ac:dyDescent="0.2">
      <c r="V334" s="34" t="str">
        <f ca="1">IFERROR(IF(V333="","",IF(NOT($T$2=""),IF(AND(VALUE(LEFT(V333,4))+1+$T$3/100&gt;=$T$6,VALUE(LEFT(V333,4))+1+$T$3/100&lt;=$T$7),CONCATENATE(VALUE(LEFT(V333,4))+1,$T$2),""),IF(next_period(V333)=next_period(CONCATENATE($N$7,$N$8)),"",next_period(V333)))),"")</f>
        <v/>
      </c>
    </row>
    <row r="335" spans="22:22" x14ac:dyDescent="0.2">
      <c r="V335" s="34" t="str">
        <f ca="1">IFERROR(IF(V334="","",IF(NOT($T$2=""),IF(AND(VALUE(LEFT(V334,4))+1+$T$3/100&gt;=$T$6,VALUE(LEFT(V334,4))+1+$T$3/100&lt;=$T$7),CONCATENATE(VALUE(LEFT(V334,4))+1,$T$2),""),IF(next_period(V334)=next_period(CONCATENATE($N$7,$N$8)),"",next_period(V334)))),"")</f>
        <v/>
      </c>
    </row>
    <row r="336" spans="22:22" x14ac:dyDescent="0.2">
      <c r="V336" s="34" t="str">
        <f ca="1">IFERROR(IF(V335="","",IF(NOT($T$2=""),IF(AND(VALUE(LEFT(V335,4))+1+$T$3/100&gt;=$T$6,VALUE(LEFT(V335,4))+1+$T$3/100&lt;=$T$7),CONCATENATE(VALUE(LEFT(V335,4))+1,$T$2),""),IF(next_period(V335)=next_period(CONCATENATE($N$7,$N$8)),"",next_period(V335)))),"")</f>
        <v/>
      </c>
    </row>
    <row r="337" spans="22:22" x14ac:dyDescent="0.2">
      <c r="V337" s="34" t="str">
        <f ca="1">IFERROR(IF(V336="","",IF(NOT($T$2=""),IF(AND(VALUE(LEFT(V336,4))+1+$T$3/100&gt;=$T$6,VALUE(LEFT(V336,4))+1+$T$3/100&lt;=$T$7),CONCATENATE(VALUE(LEFT(V336,4))+1,$T$2),""),IF(next_period(V336)=next_period(CONCATENATE($N$7,$N$8)),"",next_period(V336)))),"")</f>
        <v/>
      </c>
    </row>
    <row r="338" spans="22:22" x14ac:dyDescent="0.2">
      <c r="V338" s="34" t="str">
        <f ca="1">IFERROR(IF(V337="","",IF(NOT($T$2=""),IF(AND(VALUE(LEFT(V337,4))+1+$T$3/100&gt;=$T$6,VALUE(LEFT(V337,4))+1+$T$3/100&lt;=$T$7),CONCATENATE(VALUE(LEFT(V337,4))+1,$T$2),""),IF(next_period(V337)=next_period(CONCATENATE($N$7,$N$8)),"",next_period(V337)))),"")</f>
        <v/>
      </c>
    </row>
    <row r="339" spans="22:22" x14ac:dyDescent="0.2">
      <c r="V339" s="34" t="str">
        <f ca="1">IFERROR(IF(V338="","",IF(NOT($T$2=""),IF(AND(VALUE(LEFT(V338,4))+1+$T$3/100&gt;=$T$6,VALUE(LEFT(V338,4))+1+$T$3/100&lt;=$T$7),CONCATENATE(VALUE(LEFT(V338,4))+1,$T$2),""),IF(next_period(V338)=next_period(CONCATENATE($N$7,$N$8)),"",next_period(V338)))),"")</f>
        <v/>
      </c>
    </row>
    <row r="340" spans="22:22" x14ac:dyDescent="0.2">
      <c r="V340" s="34" t="str">
        <f ca="1">IFERROR(IF(V339="","",IF(NOT($T$2=""),IF(AND(VALUE(LEFT(V339,4))+1+$T$3/100&gt;=$T$6,VALUE(LEFT(V339,4))+1+$T$3/100&lt;=$T$7),CONCATENATE(VALUE(LEFT(V339,4))+1,$T$2),""),IF(next_period(V339)=next_period(CONCATENATE($N$7,$N$8)),"",next_period(V339)))),"")</f>
        <v/>
      </c>
    </row>
    <row r="341" spans="22:22" x14ac:dyDescent="0.2">
      <c r="V341" s="34" t="str">
        <f ca="1">IFERROR(IF(V340="","",IF(NOT($T$2=""),IF(AND(VALUE(LEFT(V340,4))+1+$T$3/100&gt;=$T$6,VALUE(LEFT(V340,4))+1+$T$3/100&lt;=$T$7),CONCATENATE(VALUE(LEFT(V340,4))+1,$T$2),""),IF(next_period(V340)=next_period(CONCATENATE($N$7,$N$8)),"",next_period(V340)))),"")</f>
        <v/>
      </c>
    </row>
    <row r="342" spans="22:22" x14ac:dyDescent="0.2">
      <c r="V342" s="34" t="str">
        <f ca="1">IFERROR(IF(V341="","",IF(NOT($T$2=""),IF(AND(VALUE(LEFT(V341,4))+1+$T$3/100&gt;=$T$6,VALUE(LEFT(V341,4))+1+$T$3/100&lt;=$T$7),CONCATENATE(VALUE(LEFT(V341,4))+1,$T$2),""),IF(next_period(V341)=next_period(CONCATENATE($N$7,$N$8)),"",next_period(V341)))),"")</f>
        <v/>
      </c>
    </row>
    <row r="343" spans="22:22" x14ac:dyDescent="0.2">
      <c r="V343" s="34" t="str">
        <f ca="1">IFERROR(IF(V342="","",IF(NOT($T$2=""),IF(AND(VALUE(LEFT(V342,4))+1+$T$3/100&gt;=$T$6,VALUE(LEFT(V342,4))+1+$T$3/100&lt;=$T$7),CONCATENATE(VALUE(LEFT(V342,4))+1,$T$2),""),IF(next_period(V342)=next_period(CONCATENATE($N$7,$N$8)),"",next_period(V342)))),"")</f>
        <v/>
      </c>
    </row>
    <row r="344" spans="22:22" x14ac:dyDescent="0.2">
      <c r="V344" s="34" t="str">
        <f ca="1">IFERROR(IF(V343="","",IF(NOT($T$2=""),IF(AND(VALUE(LEFT(V343,4))+1+$T$3/100&gt;=$T$6,VALUE(LEFT(V343,4))+1+$T$3/100&lt;=$T$7),CONCATENATE(VALUE(LEFT(V343,4))+1,$T$2),""),IF(next_period(V343)=next_period(CONCATENATE($N$7,$N$8)),"",next_period(V343)))),"")</f>
        <v/>
      </c>
    </row>
    <row r="345" spans="22:22" x14ac:dyDescent="0.2">
      <c r="V345" s="34" t="str">
        <f ca="1">IFERROR(IF(V344="","",IF(NOT($T$2=""),IF(AND(VALUE(LEFT(V344,4))+1+$T$3/100&gt;=$T$6,VALUE(LEFT(V344,4))+1+$T$3/100&lt;=$T$7),CONCATENATE(VALUE(LEFT(V344,4))+1,$T$2),""),IF(next_period(V344)=next_period(CONCATENATE($N$7,$N$8)),"",next_period(V344)))),"")</f>
        <v/>
      </c>
    </row>
    <row r="346" spans="22:22" x14ac:dyDescent="0.2">
      <c r="V346" s="34" t="str">
        <f ca="1">IFERROR(IF(V345="","",IF(NOT($T$2=""),IF(AND(VALUE(LEFT(V345,4))+1+$T$3/100&gt;=$T$6,VALUE(LEFT(V345,4))+1+$T$3/100&lt;=$T$7),CONCATENATE(VALUE(LEFT(V345,4))+1,$T$2),""),IF(next_period(V345)=next_period(CONCATENATE($N$7,$N$8)),"",next_period(V345)))),"")</f>
        <v/>
      </c>
    </row>
    <row r="347" spans="22:22" x14ac:dyDescent="0.2">
      <c r="V347" s="34" t="str">
        <f ca="1">IFERROR(IF(V346="","",IF(NOT($T$2=""),IF(AND(VALUE(LEFT(V346,4))+1+$T$3/100&gt;=$T$6,VALUE(LEFT(V346,4))+1+$T$3/100&lt;=$T$7),CONCATENATE(VALUE(LEFT(V346,4))+1,$T$2),""),IF(next_period(V346)=next_period(CONCATENATE($N$7,$N$8)),"",next_period(V346)))),"")</f>
        <v/>
      </c>
    </row>
    <row r="348" spans="22:22" x14ac:dyDescent="0.2">
      <c r="V348" s="34" t="str">
        <f ca="1">IFERROR(IF(V347="","",IF(NOT($T$2=""),IF(AND(VALUE(LEFT(V347,4))+1+$T$3/100&gt;=$T$6,VALUE(LEFT(V347,4))+1+$T$3/100&lt;=$T$7),CONCATENATE(VALUE(LEFT(V347,4))+1,$T$2),""),IF(next_period(V347)=next_period(CONCATENATE($N$7,$N$8)),"",next_period(V347)))),"")</f>
        <v/>
      </c>
    </row>
    <row r="349" spans="22:22" x14ac:dyDescent="0.2">
      <c r="V349" s="34" t="str">
        <f ca="1">IFERROR(IF(V348="","",IF(NOT($T$2=""),IF(AND(VALUE(LEFT(V348,4))+1+$T$3/100&gt;=$T$6,VALUE(LEFT(V348,4))+1+$T$3/100&lt;=$T$7),CONCATENATE(VALUE(LEFT(V348,4))+1,$T$2),""),IF(next_period(V348)=next_period(CONCATENATE($N$7,$N$8)),"",next_period(V348)))),"")</f>
        <v/>
      </c>
    </row>
    <row r="350" spans="22:22" x14ac:dyDescent="0.2">
      <c r="V350" s="34" t="str">
        <f ca="1">IFERROR(IF(V349="","",IF(NOT($T$2=""),IF(AND(VALUE(LEFT(V349,4))+1+$T$3/100&gt;=$T$6,VALUE(LEFT(V349,4))+1+$T$3/100&lt;=$T$7),CONCATENATE(VALUE(LEFT(V349,4))+1,$T$2),""),IF(next_period(V349)=next_period(CONCATENATE($N$7,$N$8)),"",next_period(V349)))),"")</f>
        <v/>
      </c>
    </row>
    <row r="351" spans="22:22" x14ac:dyDescent="0.2">
      <c r="V351" s="34" t="str">
        <f ca="1">IFERROR(IF(V350="","",IF(NOT($T$2=""),IF(AND(VALUE(LEFT(V350,4))+1+$T$3/100&gt;=$T$6,VALUE(LEFT(V350,4))+1+$T$3/100&lt;=$T$7),CONCATENATE(VALUE(LEFT(V350,4))+1,$T$2),""),IF(next_period(V350)=next_period(CONCATENATE($N$7,$N$8)),"",next_period(V350)))),"")</f>
        <v/>
      </c>
    </row>
    <row r="352" spans="22:22" x14ac:dyDescent="0.2">
      <c r="V352" s="34" t="str">
        <f ca="1">IFERROR(IF(V351="","",IF(NOT($T$2=""),IF(AND(VALUE(LEFT(V351,4))+1+$T$3/100&gt;=$T$6,VALUE(LEFT(V351,4))+1+$T$3/100&lt;=$T$7),CONCATENATE(VALUE(LEFT(V351,4))+1,$T$2),""),IF(next_period(V351)=next_period(CONCATENATE($N$7,$N$8)),"",next_period(V351)))),"")</f>
        <v/>
      </c>
    </row>
    <row r="353" spans="22:22" x14ac:dyDescent="0.2">
      <c r="V353" s="34" t="str">
        <f ca="1">IFERROR(IF(V352="","",IF(NOT($T$2=""),IF(AND(VALUE(LEFT(V352,4))+1+$T$3/100&gt;=$T$6,VALUE(LEFT(V352,4))+1+$T$3/100&lt;=$T$7),CONCATENATE(VALUE(LEFT(V352,4))+1,$T$2),""),IF(next_period(V352)=next_period(CONCATENATE($N$7,$N$8)),"",next_period(V352)))),"")</f>
        <v/>
      </c>
    </row>
    <row r="354" spans="22:22" x14ac:dyDescent="0.2">
      <c r="V354" s="34" t="str">
        <f ca="1">IFERROR(IF(V353="","",IF(NOT($T$2=""),IF(AND(VALUE(LEFT(V353,4))+1+$T$3/100&gt;=$T$6,VALUE(LEFT(V353,4))+1+$T$3/100&lt;=$T$7),CONCATENATE(VALUE(LEFT(V353,4))+1,$T$2),""),IF(next_period(V353)=next_period(CONCATENATE($N$7,$N$8)),"",next_period(V353)))),"")</f>
        <v/>
      </c>
    </row>
    <row r="355" spans="22:22" x14ac:dyDescent="0.2">
      <c r="V355" s="34" t="str">
        <f ca="1">IFERROR(IF(V354="","",IF(NOT($T$2=""),IF(AND(VALUE(LEFT(V354,4))+1+$T$3/100&gt;=$T$6,VALUE(LEFT(V354,4))+1+$T$3/100&lt;=$T$7),CONCATENATE(VALUE(LEFT(V354,4))+1,$T$2),""),IF(next_period(V354)=next_period(CONCATENATE($N$7,$N$8)),"",next_period(V354)))),"")</f>
        <v/>
      </c>
    </row>
    <row r="356" spans="22:22" x14ac:dyDescent="0.2">
      <c r="V356" s="34" t="str">
        <f ca="1">IFERROR(IF(V355="","",IF(NOT($T$2=""),IF(AND(VALUE(LEFT(V355,4))+1+$T$3/100&gt;=$T$6,VALUE(LEFT(V355,4))+1+$T$3/100&lt;=$T$7),CONCATENATE(VALUE(LEFT(V355,4))+1,$T$2),""),IF(next_period(V355)=next_period(CONCATENATE($N$7,$N$8)),"",next_period(V355)))),"")</f>
        <v/>
      </c>
    </row>
    <row r="357" spans="22:22" x14ac:dyDescent="0.2">
      <c r="V357" s="34" t="str">
        <f ca="1">IFERROR(IF(V356="","",IF(NOT($T$2=""),IF(AND(VALUE(LEFT(V356,4))+1+$T$3/100&gt;=$T$6,VALUE(LEFT(V356,4))+1+$T$3/100&lt;=$T$7),CONCATENATE(VALUE(LEFT(V356,4))+1,$T$2),""),IF(next_period(V356)=next_period(CONCATENATE($N$7,$N$8)),"",next_period(V356)))),"")</f>
        <v/>
      </c>
    </row>
    <row r="358" spans="22:22" x14ac:dyDescent="0.2">
      <c r="V358" s="34" t="str">
        <f ca="1">IFERROR(IF(V357="","",IF(NOT($T$2=""),IF(AND(VALUE(LEFT(V357,4))+1+$T$3/100&gt;=$T$6,VALUE(LEFT(V357,4))+1+$T$3/100&lt;=$T$7),CONCATENATE(VALUE(LEFT(V357,4))+1,$T$2),""),IF(next_period(V357)=next_period(CONCATENATE($N$7,$N$8)),"",next_period(V357)))),"")</f>
        <v/>
      </c>
    </row>
    <row r="359" spans="22:22" x14ac:dyDescent="0.2">
      <c r="V359" s="34" t="str">
        <f ca="1">IFERROR(IF(V358="","",IF(NOT($T$2=""),IF(AND(VALUE(LEFT(V358,4))+1+$T$3/100&gt;=$T$6,VALUE(LEFT(V358,4))+1+$T$3/100&lt;=$T$7),CONCATENATE(VALUE(LEFT(V358,4))+1,$T$2),""),IF(next_period(V358)=next_period(CONCATENATE($N$7,$N$8)),"",next_period(V358)))),"")</f>
        <v/>
      </c>
    </row>
    <row r="360" spans="22:22" x14ac:dyDescent="0.2">
      <c r="V360" s="34" t="str">
        <f ca="1">IFERROR(IF(V359="","",IF(NOT($T$2=""),IF(AND(VALUE(LEFT(V359,4))+1+$T$3/100&gt;=$T$6,VALUE(LEFT(V359,4))+1+$T$3/100&lt;=$T$7),CONCATENATE(VALUE(LEFT(V359,4))+1,$T$2),""),IF(next_period(V359)=next_period(CONCATENATE($N$7,$N$8)),"",next_period(V359)))),"")</f>
        <v/>
      </c>
    </row>
    <row r="361" spans="22:22" x14ac:dyDescent="0.2">
      <c r="V361" s="34" t="str">
        <f ca="1">IFERROR(IF(V360="","",IF(NOT($T$2=""),IF(AND(VALUE(LEFT(V360,4))+1+$T$3/100&gt;=$T$6,VALUE(LEFT(V360,4))+1+$T$3/100&lt;=$T$7),CONCATENATE(VALUE(LEFT(V360,4))+1,$T$2),""),IF(next_period(V360)=next_period(CONCATENATE($N$7,$N$8)),"",next_period(V360)))),"")</f>
        <v/>
      </c>
    </row>
    <row r="362" spans="22:22" x14ac:dyDescent="0.2">
      <c r="V362" s="34" t="str">
        <f ca="1">IFERROR(IF(V361="","",IF(NOT($T$2=""),IF(AND(VALUE(LEFT(V361,4))+1+$T$3/100&gt;=$T$6,VALUE(LEFT(V361,4))+1+$T$3/100&lt;=$T$7),CONCATENATE(VALUE(LEFT(V361,4))+1,$T$2),""),IF(next_period(V361)=next_period(CONCATENATE($N$7,$N$8)),"",next_period(V361)))),"")</f>
        <v/>
      </c>
    </row>
    <row r="363" spans="22:22" x14ac:dyDescent="0.2">
      <c r="V363" s="34" t="str">
        <f ca="1">IFERROR(IF(V362="","",IF(NOT($T$2=""),IF(AND(VALUE(LEFT(V362,4))+1+$T$3/100&gt;=$T$6,VALUE(LEFT(V362,4))+1+$T$3/100&lt;=$T$7),CONCATENATE(VALUE(LEFT(V362,4))+1,$T$2),""),IF(next_period(V362)=next_period(CONCATENATE($N$7,$N$8)),"",next_period(V362)))),"")</f>
        <v/>
      </c>
    </row>
    <row r="364" spans="22:22" x14ac:dyDescent="0.2">
      <c r="V364" s="34" t="str">
        <f ca="1">IFERROR(IF(V363="","",IF(NOT($T$2=""),IF(AND(VALUE(LEFT(V363,4))+1+$T$3/100&gt;=$T$6,VALUE(LEFT(V363,4))+1+$T$3/100&lt;=$T$7),CONCATENATE(VALUE(LEFT(V363,4))+1,$T$2),""),IF(next_period(V363)=next_period(CONCATENATE($N$7,$N$8)),"",next_period(V363)))),"")</f>
        <v/>
      </c>
    </row>
    <row r="365" spans="22:22" x14ac:dyDescent="0.2">
      <c r="V365" s="34" t="str">
        <f ca="1">IFERROR(IF(V364="","",IF(NOT($T$2=""),IF(AND(VALUE(LEFT(V364,4))+1+$T$3/100&gt;=$T$6,VALUE(LEFT(V364,4))+1+$T$3/100&lt;=$T$7),CONCATENATE(VALUE(LEFT(V364,4))+1,$T$2),""),IF(next_period(V364)=next_period(CONCATENATE($N$7,$N$8)),"",next_period(V364)))),"")</f>
        <v/>
      </c>
    </row>
    <row r="366" spans="22:22" x14ac:dyDescent="0.2">
      <c r="V366" s="34" t="str">
        <f ca="1">IFERROR(IF(V365="","",IF(NOT($T$2=""),IF(AND(VALUE(LEFT(V365,4))+1+$T$3/100&gt;=$T$6,VALUE(LEFT(V365,4))+1+$T$3/100&lt;=$T$7),CONCATENATE(VALUE(LEFT(V365,4))+1,$T$2),""),IF(next_period(V365)=next_period(CONCATENATE($N$7,$N$8)),"",next_period(V365)))),"")</f>
        <v/>
      </c>
    </row>
    <row r="367" spans="22:22" x14ac:dyDescent="0.2">
      <c r="V367" s="34" t="str">
        <f ca="1">IFERROR(IF(V366="","",IF(NOT($T$2=""),IF(AND(VALUE(LEFT(V366,4))+1+$T$3/100&gt;=$T$6,VALUE(LEFT(V366,4))+1+$T$3/100&lt;=$T$7),CONCATENATE(VALUE(LEFT(V366,4))+1,$T$2),""),IF(next_period(V366)=next_period(CONCATENATE($N$7,$N$8)),"",next_period(V366)))),"")</f>
        <v/>
      </c>
    </row>
    <row r="368" spans="22:22" x14ac:dyDescent="0.2">
      <c r="V368" s="34" t="str">
        <f ca="1">IFERROR(IF(V367="","",IF(NOT($T$2=""),IF(AND(VALUE(LEFT(V367,4))+1+$T$3/100&gt;=$T$6,VALUE(LEFT(V367,4))+1+$T$3/100&lt;=$T$7),CONCATENATE(VALUE(LEFT(V367,4))+1,$T$2),""),IF(next_period(V367)=next_period(CONCATENATE($N$7,$N$8)),"",next_period(V367)))),"")</f>
        <v/>
      </c>
    </row>
    <row r="369" spans="22:22" x14ac:dyDescent="0.2">
      <c r="V369" s="34" t="str">
        <f ca="1">IFERROR(IF(V368="","",IF(NOT($T$2=""),IF(AND(VALUE(LEFT(V368,4))+1+$T$3/100&gt;=$T$6,VALUE(LEFT(V368,4))+1+$T$3/100&lt;=$T$7),CONCATENATE(VALUE(LEFT(V368,4))+1,$T$2),""),IF(next_period(V368)=next_period(CONCATENATE($N$7,$N$8)),"",next_period(V368)))),"")</f>
        <v/>
      </c>
    </row>
    <row r="370" spans="22:22" x14ac:dyDescent="0.2">
      <c r="V370" s="34" t="str">
        <f ca="1">IFERROR(IF(V369="","",IF(NOT($T$2=""),IF(AND(VALUE(LEFT(V369,4))+1+$T$3/100&gt;=$T$6,VALUE(LEFT(V369,4))+1+$T$3/100&lt;=$T$7),CONCATENATE(VALUE(LEFT(V369,4))+1,$T$2),""),IF(next_period(V369)=next_period(CONCATENATE($N$7,$N$8)),"",next_period(V369)))),"")</f>
        <v/>
      </c>
    </row>
    <row r="371" spans="22:22" x14ac:dyDescent="0.2">
      <c r="V371" s="34" t="str">
        <f ca="1">IFERROR(IF(V370="","",IF(NOT($T$2=""),IF(AND(VALUE(LEFT(V370,4))+1+$T$3/100&gt;=$T$6,VALUE(LEFT(V370,4))+1+$T$3/100&lt;=$T$7),CONCATENATE(VALUE(LEFT(V370,4))+1,$T$2),""),IF(next_period(V370)=next_period(CONCATENATE($N$7,$N$8)),"",next_period(V370)))),"")</f>
        <v/>
      </c>
    </row>
    <row r="372" spans="22:22" x14ac:dyDescent="0.2">
      <c r="V372" s="34" t="str">
        <f ca="1">IFERROR(IF(V371="","",IF(NOT($T$2=""),IF(AND(VALUE(LEFT(V371,4))+1+$T$3/100&gt;=$T$6,VALUE(LEFT(V371,4))+1+$T$3/100&lt;=$T$7),CONCATENATE(VALUE(LEFT(V371,4))+1,$T$2),""),IF(next_period(V371)=next_period(CONCATENATE($N$7,$N$8)),"",next_period(V371)))),"")</f>
        <v/>
      </c>
    </row>
    <row r="373" spans="22:22" x14ac:dyDescent="0.2">
      <c r="V373" s="34" t="str">
        <f ca="1">IFERROR(IF(V372="","",IF(NOT($T$2=""),IF(AND(VALUE(LEFT(V372,4))+1+$T$3/100&gt;=$T$6,VALUE(LEFT(V372,4))+1+$T$3/100&lt;=$T$7),CONCATENATE(VALUE(LEFT(V372,4))+1,$T$2),""),IF(next_period(V372)=next_period(CONCATENATE($N$7,$N$8)),"",next_period(V372)))),"")</f>
        <v/>
      </c>
    </row>
    <row r="374" spans="22:22" x14ac:dyDescent="0.2">
      <c r="V374" s="34" t="str">
        <f ca="1">IFERROR(IF(V373="","",IF(NOT($T$2=""),IF(AND(VALUE(LEFT(V373,4))+1+$T$3/100&gt;=$T$6,VALUE(LEFT(V373,4))+1+$T$3/100&lt;=$T$7),CONCATENATE(VALUE(LEFT(V373,4))+1,$T$2),""),IF(next_period(V373)=next_period(CONCATENATE($N$7,$N$8)),"",next_period(V373)))),"")</f>
        <v/>
      </c>
    </row>
    <row r="375" spans="22:22" x14ac:dyDescent="0.2">
      <c r="V375" s="34" t="str">
        <f ca="1">IFERROR(IF(V374="","",IF(NOT($T$2=""),IF(AND(VALUE(LEFT(V374,4))+1+$T$3/100&gt;=$T$6,VALUE(LEFT(V374,4))+1+$T$3/100&lt;=$T$7),CONCATENATE(VALUE(LEFT(V374,4))+1,$T$2),""),IF(next_period(V374)=next_period(CONCATENATE($N$7,$N$8)),"",next_period(V374)))),"")</f>
        <v/>
      </c>
    </row>
    <row r="376" spans="22:22" x14ac:dyDescent="0.2">
      <c r="V376" s="34" t="str">
        <f ca="1">IFERROR(IF(V375="","",IF(NOT($T$2=""),IF(AND(VALUE(LEFT(V375,4))+1+$T$3/100&gt;=$T$6,VALUE(LEFT(V375,4))+1+$T$3/100&lt;=$T$7),CONCATENATE(VALUE(LEFT(V375,4))+1,$T$2),""),IF(next_period(V375)=next_period(CONCATENATE($N$7,$N$8)),"",next_period(V375)))),"")</f>
        <v/>
      </c>
    </row>
    <row r="377" spans="22:22" x14ac:dyDescent="0.2">
      <c r="V377" s="34" t="str">
        <f ca="1">IFERROR(IF(V376="","",IF(NOT($T$2=""),IF(AND(VALUE(LEFT(V376,4))+1+$T$3/100&gt;=$T$6,VALUE(LEFT(V376,4))+1+$T$3/100&lt;=$T$7),CONCATENATE(VALUE(LEFT(V376,4))+1,$T$2),""),IF(next_period(V376)=next_period(CONCATENATE($N$7,$N$8)),"",next_period(V376)))),"")</f>
        <v/>
      </c>
    </row>
    <row r="378" spans="22:22" x14ac:dyDescent="0.2">
      <c r="V378" s="34" t="str">
        <f ca="1">IFERROR(IF(V377="","",IF(NOT($T$2=""),IF(AND(VALUE(LEFT(V377,4))+1+$T$3/100&gt;=$T$6,VALUE(LEFT(V377,4))+1+$T$3/100&lt;=$T$7),CONCATENATE(VALUE(LEFT(V377,4))+1,$T$2),""),IF(next_period(V377)=next_period(CONCATENATE($N$7,$N$8)),"",next_period(V377)))),"")</f>
        <v/>
      </c>
    </row>
    <row r="379" spans="22:22" x14ac:dyDescent="0.2">
      <c r="V379" s="34" t="str">
        <f ca="1">IFERROR(IF(V378="","",IF(NOT($T$2=""),IF(AND(VALUE(LEFT(V378,4))+1+$T$3/100&gt;=$T$6,VALUE(LEFT(V378,4))+1+$T$3/100&lt;=$T$7),CONCATENATE(VALUE(LEFT(V378,4))+1,$T$2),""),IF(next_period(V378)=next_period(CONCATENATE($N$7,$N$8)),"",next_period(V378)))),"")</f>
        <v/>
      </c>
    </row>
    <row r="380" spans="22:22" x14ac:dyDescent="0.2">
      <c r="V380" s="34" t="str">
        <f ca="1">IFERROR(IF(V379="","",IF(NOT($T$2=""),IF(AND(VALUE(LEFT(V379,4))+1+$T$3/100&gt;=$T$6,VALUE(LEFT(V379,4))+1+$T$3/100&lt;=$T$7),CONCATENATE(VALUE(LEFT(V379,4))+1,$T$2),""),IF(next_period(V379)=next_period(CONCATENATE($N$7,$N$8)),"",next_period(V379)))),"")</f>
        <v/>
      </c>
    </row>
    <row r="381" spans="22:22" x14ac:dyDescent="0.2">
      <c r="V381" s="34" t="str">
        <f ca="1">IFERROR(IF(V380="","",IF(NOT($T$2=""),IF(AND(VALUE(LEFT(V380,4))+1+$T$3/100&gt;=$T$6,VALUE(LEFT(V380,4))+1+$T$3/100&lt;=$T$7),CONCATENATE(VALUE(LEFT(V380,4))+1,$T$2),""),IF(next_period(V380)=next_period(CONCATENATE($N$7,$N$8)),"",next_period(V380)))),"")</f>
        <v/>
      </c>
    </row>
    <row r="382" spans="22:22" x14ac:dyDescent="0.2">
      <c r="V382" s="34" t="str">
        <f ca="1">IFERROR(IF(V381="","",IF(NOT($T$2=""),IF(AND(VALUE(LEFT(V381,4))+1+$T$3/100&gt;=$T$6,VALUE(LEFT(V381,4))+1+$T$3/100&lt;=$T$7),CONCATENATE(VALUE(LEFT(V381,4))+1,$T$2),""),IF(next_period(V381)=next_period(CONCATENATE($N$7,$N$8)),"",next_period(V381)))),"")</f>
        <v/>
      </c>
    </row>
    <row r="383" spans="22:22" x14ac:dyDescent="0.2">
      <c r="V383" s="34" t="str">
        <f ca="1">IFERROR(IF(V382="","",IF(NOT($T$2=""),IF(AND(VALUE(LEFT(V382,4))+1+$T$3/100&gt;=$T$6,VALUE(LEFT(V382,4))+1+$T$3/100&lt;=$T$7),CONCATENATE(VALUE(LEFT(V382,4))+1,$T$2),""),IF(next_period(V382)=next_period(CONCATENATE($N$7,$N$8)),"",next_period(V382)))),"")</f>
        <v/>
      </c>
    </row>
    <row r="384" spans="22:22" x14ac:dyDescent="0.2">
      <c r="V384" s="34" t="str">
        <f ca="1">IFERROR(IF(V383="","",IF(NOT($T$2=""),IF(AND(VALUE(LEFT(V383,4))+1+$T$3/100&gt;=$T$6,VALUE(LEFT(V383,4))+1+$T$3/100&lt;=$T$7),CONCATENATE(VALUE(LEFT(V383,4))+1,$T$2),""),IF(next_period(V383)=next_period(CONCATENATE($N$7,$N$8)),"",next_period(V383)))),"")</f>
        <v/>
      </c>
    </row>
    <row r="385" spans="22:22" x14ac:dyDescent="0.2">
      <c r="V385" s="34" t="str">
        <f ca="1">IFERROR(IF(V384="","",IF(NOT($T$2=""),IF(AND(VALUE(LEFT(V384,4))+1+$T$3/100&gt;=$T$6,VALUE(LEFT(V384,4))+1+$T$3/100&lt;=$T$7),CONCATENATE(VALUE(LEFT(V384,4))+1,$T$2),""),IF(next_period(V384)=next_period(CONCATENATE($N$7,$N$8)),"",next_period(V384)))),"")</f>
        <v/>
      </c>
    </row>
    <row r="386" spans="22:22" x14ac:dyDescent="0.2">
      <c r="V386" s="34" t="str">
        <f ca="1">IFERROR(IF(V385="","",IF(NOT($T$2=""),IF(AND(VALUE(LEFT(V385,4))+1+$T$3/100&gt;=$T$6,VALUE(LEFT(V385,4))+1+$T$3/100&lt;=$T$7),CONCATENATE(VALUE(LEFT(V385,4))+1,$T$2),""),IF(next_period(V385)=next_period(CONCATENATE($N$7,$N$8)),"",next_period(V385)))),"")</f>
        <v/>
      </c>
    </row>
    <row r="387" spans="22:22" x14ac:dyDescent="0.2">
      <c r="V387" s="34" t="str">
        <f ca="1">IFERROR(IF(V386="","",IF(NOT($T$2=""),IF(AND(VALUE(LEFT(V386,4))+1+$T$3/100&gt;=$T$6,VALUE(LEFT(V386,4))+1+$T$3/100&lt;=$T$7),CONCATENATE(VALUE(LEFT(V386,4))+1,$T$2),""),IF(next_period(V386)=next_period(CONCATENATE($N$7,$N$8)),"",next_period(V386)))),"")</f>
        <v/>
      </c>
    </row>
    <row r="388" spans="22:22" x14ac:dyDescent="0.2">
      <c r="V388" s="34" t="str">
        <f ca="1">IFERROR(IF(V387="","",IF(NOT($T$2=""),IF(AND(VALUE(LEFT(V387,4))+1+$T$3/100&gt;=$T$6,VALUE(LEFT(V387,4))+1+$T$3/100&lt;=$T$7),CONCATENATE(VALUE(LEFT(V387,4))+1,$T$2),""),IF(next_period(V387)=next_period(CONCATENATE($N$7,$N$8)),"",next_period(V387)))),"")</f>
        <v/>
      </c>
    </row>
    <row r="389" spans="22:22" x14ac:dyDescent="0.2">
      <c r="V389" s="34" t="str">
        <f ca="1">IFERROR(IF(V388="","",IF(NOT($T$2=""),IF(AND(VALUE(LEFT(V388,4))+1+$T$3/100&gt;=$T$6,VALUE(LEFT(V388,4))+1+$T$3/100&lt;=$T$7),CONCATENATE(VALUE(LEFT(V388,4))+1,$T$2),""),IF(next_period(V388)=next_period(CONCATENATE($N$7,$N$8)),"",next_period(V388)))),"")</f>
        <v/>
      </c>
    </row>
    <row r="390" spans="22:22" x14ac:dyDescent="0.2">
      <c r="V390" s="34" t="str">
        <f ca="1">IFERROR(IF(V389="","",IF(NOT($T$2=""),IF(AND(VALUE(LEFT(V389,4))+1+$T$3/100&gt;=$T$6,VALUE(LEFT(V389,4))+1+$T$3/100&lt;=$T$7),CONCATENATE(VALUE(LEFT(V389,4))+1,$T$2),""),IF(next_period(V389)=next_period(CONCATENATE($N$7,$N$8)),"",next_period(V389)))),"")</f>
        <v/>
      </c>
    </row>
    <row r="391" spans="22:22" x14ac:dyDescent="0.2">
      <c r="V391" s="34" t="str">
        <f ca="1">IFERROR(IF(V390="","",IF(NOT($T$2=""),IF(AND(VALUE(LEFT(V390,4))+1+$T$3/100&gt;=$T$6,VALUE(LEFT(V390,4))+1+$T$3/100&lt;=$T$7),CONCATENATE(VALUE(LEFT(V390,4))+1,$T$2),""),IF(next_period(V390)=next_period(CONCATENATE($N$7,$N$8)),"",next_period(V390)))),"")</f>
        <v/>
      </c>
    </row>
    <row r="392" spans="22:22" x14ac:dyDescent="0.2">
      <c r="V392" s="34" t="str">
        <f ca="1">IFERROR(IF(V391="","",IF(NOT($T$2=""),IF(AND(VALUE(LEFT(V391,4))+1+$T$3/100&gt;=$T$6,VALUE(LEFT(V391,4))+1+$T$3/100&lt;=$T$7),CONCATENATE(VALUE(LEFT(V391,4))+1,$T$2),""),IF(next_period(V391)=next_period(CONCATENATE($N$7,$N$8)),"",next_period(V391)))),"")</f>
        <v/>
      </c>
    </row>
    <row r="393" spans="22:22" x14ac:dyDescent="0.2">
      <c r="V393" s="34" t="str">
        <f ca="1">IFERROR(IF(V392="","",IF(NOT($T$2=""),IF(AND(VALUE(LEFT(V392,4))+1+$T$3/100&gt;=$T$6,VALUE(LEFT(V392,4))+1+$T$3/100&lt;=$T$7),CONCATENATE(VALUE(LEFT(V392,4))+1,$T$2),""),IF(next_period(V392)=next_period(CONCATENATE($N$7,$N$8)),"",next_period(V392)))),"")</f>
        <v/>
      </c>
    </row>
    <row r="394" spans="22:22" x14ac:dyDescent="0.2">
      <c r="V394" s="34" t="str">
        <f ca="1">IFERROR(IF(V393="","",IF(NOT($T$2=""),IF(AND(VALUE(LEFT(V393,4))+1+$T$3/100&gt;=$T$6,VALUE(LEFT(V393,4))+1+$T$3/100&lt;=$T$7),CONCATENATE(VALUE(LEFT(V393,4))+1,$T$2),""),IF(next_period(V393)=next_period(CONCATENATE($N$7,$N$8)),"",next_period(V393)))),"")</f>
        <v/>
      </c>
    </row>
    <row r="395" spans="22:22" x14ac:dyDescent="0.2">
      <c r="V395" s="34" t="str">
        <f ca="1">IFERROR(IF(V394="","",IF(NOT($T$2=""),IF(AND(VALUE(LEFT(V394,4))+1+$T$3/100&gt;=$T$6,VALUE(LEFT(V394,4))+1+$T$3/100&lt;=$T$7),CONCATENATE(VALUE(LEFT(V394,4))+1,$T$2),""),IF(next_period(V394)=next_period(CONCATENATE($N$7,$N$8)),"",next_period(V394)))),"")</f>
        <v/>
      </c>
    </row>
    <row r="396" spans="22:22" x14ac:dyDescent="0.2">
      <c r="V396" s="34" t="str">
        <f ca="1">IFERROR(IF(V395="","",IF(NOT($T$2=""),IF(AND(VALUE(LEFT(V395,4))+1+$T$3/100&gt;=$T$6,VALUE(LEFT(V395,4))+1+$T$3/100&lt;=$T$7),CONCATENATE(VALUE(LEFT(V395,4))+1,$T$2),""),IF(next_period(V395)=next_period(CONCATENATE($N$7,$N$8)),"",next_period(V395)))),"")</f>
        <v/>
      </c>
    </row>
    <row r="397" spans="22:22" x14ac:dyDescent="0.2">
      <c r="V397" s="34" t="str">
        <f ca="1">IFERROR(IF(V396="","",IF(NOT($T$2=""),IF(AND(VALUE(LEFT(V396,4))+1+$T$3/100&gt;=$T$6,VALUE(LEFT(V396,4))+1+$T$3/100&lt;=$T$7),CONCATENATE(VALUE(LEFT(V396,4))+1,$T$2),""),IF(next_period(V396)=next_period(CONCATENATE($N$7,$N$8)),"",next_period(V396)))),"")</f>
        <v/>
      </c>
    </row>
    <row r="398" spans="22:22" x14ac:dyDescent="0.2">
      <c r="V398" s="34" t="str">
        <f ca="1">IFERROR(IF(V397="","",IF(NOT($T$2=""),IF(AND(VALUE(LEFT(V397,4))+1+$T$3/100&gt;=$T$6,VALUE(LEFT(V397,4))+1+$T$3/100&lt;=$T$7),CONCATENATE(VALUE(LEFT(V397,4))+1,$T$2),""),IF(next_period(V397)=next_period(CONCATENATE($N$7,$N$8)),"",next_period(V397)))),"")</f>
        <v/>
      </c>
    </row>
    <row r="399" spans="22:22" x14ac:dyDescent="0.2">
      <c r="V399" s="34" t="str">
        <f ca="1">IFERROR(IF(V398="","",IF(NOT($T$2=""),IF(AND(VALUE(LEFT(V398,4))+1+$T$3/100&gt;=$T$6,VALUE(LEFT(V398,4))+1+$T$3/100&lt;=$T$7),CONCATENATE(VALUE(LEFT(V398,4))+1,$T$2),""),IF(next_period(V398)=next_period(CONCATENATE($N$7,$N$8)),"",next_period(V398)))),"")</f>
        <v/>
      </c>
    </row>
    <row r="400" spans="22:22" x14ac:dyDescent="0.2">
      <c r="V400" s="34" t="str">
        <f ca="1">IFERROR(IF(V399="","",IF(NOT($T$2=""),IF(AND(VALUE(LEFT(V399,4))+1+$T$3/100&gt;=$T$6,VALUE(LEFT(V399,4))+1+$T$3/100&lt;=$T$7),CONCATENATE(VALUE(LEFT(V399,4))+1,$T$2),""),IF(next_period(V399)=next_period(CONCATENATE($N$7,$N$8)),"",next_period(V399)))),"")</f>
        <v/>
      </c>
    </row>
    <row r="401" spans="22:22" x14ac:dyDescent="0.2">
      <c r="V401" s="34" t="str">
        <f ca="1">IFERROR(IF(V400="","",IF(NOT($T$2=""),IF(AND(VALUE(LEFT(V400,4))+1+$T$3/100&gt;=$T$6,VALUE(LEFT(V400,4))+1+$T$3/100&lt;=$T$7),CONCATENATE(VALUE(LEFT(V400,4))+1,$T$2),""),IF(next_period(V400)=next_period(CONCATENATE($N$7,$N$8)),"",next_period(V400)))),"")</f>
        <v/>
      </c>
    </row>
    <row r="402" spans="22:22" x14ac:dyDescent="0.2">
      <c r="V402" s="34" t="str">
        <f ca="1">IFERROR(IF(V401="","",IF(NOT($T$2=""),IF(AND(VALUE(LEFT(V401,4))+1+$T$3/100&gt;=$T$6,VALUE(LEFT(V401,4))+1+$T$3/100&lt;=$T$7),CONCATENATE(VALUE(LEFT(V401,4))+1,$T$2),""),IF(next_period(V401)=next_period(CONCATENATE($N$7,$N$8)),"",next_period(V401)))),"")</f>
        <v/>
      </c>
    </row>
    <row r="403" spans="22:22" x14ac:dyDescent="0.2">
      <c r="V403" s="34" t="str">
        <f ca="1">IFERROR(IF(V402="","",IF(NOT($T$2=""),IF(AND(VALUE(LEFT(V402,4))+1+$T$3/100&gt;=$T$6,VALUE(LEFT(V402,4))+1+$T$3/100&lt;=$T$7),CONCATENATE(VALUE(LEFT(V402,4))+1,$T$2),""),IF(next_period(V402)=next_period(CONCATENATE($N$7,$N$8)),"",next_period(V402)))),"")</f>
        <v/>
      </c>
    </row>
    <row r="404" spans="22:22" x14ac:dyDescent="0.2">
      <c r="V404" s="34" t="str">
        <f ca="1">IFERROR(IF(V403="","",IF(NOT($T$2=""),IF(AND(VALUE(LEFT(V403,4))+1+$T$3/100&gt;=$T$6,VALUE(LEFT(V403,4))+1+$T$3/100&lt;=$T$7),CONCATENATE(VALUE(LEFT(V403,4))+1,$T$2),""),IF(next_period(V403)=next_period(CONCATENATE($N$7,$N$8)),"",next_period(V403)))),"")</f>
        <v/>
      </c>
    </row>
    <row r="405" spans="22:22" x14ac:dyDescent="0.2">
      <c r="V405" s="34" t="str">
        <f ca="1">IFERROR(IF(V404="","",IF(NOT($T$2=""),IF(AND(VALUE(LEFT(V404,4))+1+$T$3/100&gt;=$T$6,VALUE(LEFT(V404,4))+1+$T$3/100&lt;=$T$7),CONCATENATE(VALUE(LEFT(V404,4))+1,$T$2),""),IF(next_period(V404)=next_period(CONCATENATE($N$7,$N$8)),"",next_period(V404)))),"")</f>
        <v/>
      </c>
    </row>
    <row r="406" spans="22:22" x14ac:dyDescent="0.2">
      <c r="V406" s="34" t="str">
        <f ca="1">IFERROR(IF(V405="","",IF(NOT($T$2=""),IF(AND(VALUE(LEFT(V405,4))+1+$T$3/100&gt;=$T$6,VALUE(LEFT(V405,4))+1+$T$3/100&lt;=$T$7),CONCATENATE(VALUE(LEFT(V405,4))+1,$T$2),""),IF(next_period(V405)=next_period(CONCATENATE($N$7,$N$8)),"",next_period(V405)))),"")</f>
        <v/>
      </c>
    </row>
    <row r="407" spans="22:22" x14ac:dyDescent="0.2">
      <c r="V407" s="34" t="str">
        <f ca="1">IFERROR(IF(V406="","",IF(NOT($T$2=""),IF(AND(VALUE(LEFT(V406,4))+1+$T$3/100&gt;=$T$6,VALUE(LEFT(V406,4))+1+$T$3/100&lt;=$T$7),CONCATENATE(VALUE(LEFT(V406,4))+1,$T$2),""),IF(next_period(V406)=next_period(CONCATENATE($N$7,$N$8)),"",next_period(V406)))),"")</f>
        <v/>
      </c>
    </row>
    <row r="408" spans="22:22" x14ac:dyDescent="0.2">
      <c r="V408" s="34" t="str">
        <f ca="1">IFERROR(IF(V407="","",IF(NOT($T$2=""),IF(AND(VALUE(LEFT(V407,4))+1+$T$3/100&gt;=$T$6,VALUE(LEFT(V407,4))+1+$T$3/100&lt;=$T$7),CONCATENATE(VALUE(LEFT(V407,4))+1,$T$2),""),IF(next_period(V407)=next_period(CONCATENATE($N$7,$N$8)),"",next_period(V407)))),"")</f>
        <v/>
      </c>
    </row>
    <row r="409" spans="22:22" x14ac:dyDescent="0.2">
      <c r="V409" s="34" t="str">
        <f ca="1">IFERROR(IF(V408="","",IF(NOT($T$2=""),IF(AND(VALUE(LEFT(V408,4))+1+$T$3/100&gt;=$T$6,VALUE(LEFT(V408,4))+1+$T$3/100&lt;=$T$7),CONCATENATE(VALUE(LEFT(V408,4))+1,$T$2),""),IF(next_period(V408)=next_period(CONCATENATE($N$7,$N$8)),"",next_period(V408)))),"")</f>
        <v/>
      </c>
    </row>
    <row r="410" spans="22:22" x14ac:dyDescent="0.2">
      <c r="V410" s="34" t="str">
        <f ca="1">IFERROR(IF(V409="","",IF(NOT($T$2=""),IF(AND(VALUE(LEFT(V409,4))+1+$T$3/100&gt;=$T$6,VALUE(LEFT(V409,4))+1+$T$3/100&lt;=$T$7),CONCATENATE(VALUE(LEFT(V409,4))+1,$T$2),""),IF(next_period(V409)=next_period(CONCATENATE($N$7,$N$8)),"",next_period(V409)))),"")</f>
        <v/>
      </c>
    </row>
    <row r="411" spans="22:22" x14ac:dyDescent="0.2">
      <c r="V411" s="34" t="str">
        <f ca="1">IFERROR(IF(V410="","",IF(NOT($T$2=""),IF(AND(VALUE(LEFT(V410,4))+1+$T$3/100&gt;=$T$6,VALUE(LEFT(V410,4))+1+$T$3/100&lt;=$T$7),CONCATENATE(VALUE(LEFT(V410,4))+1,$T$2),""),IF(next_period(V410)=next_period(CONCATENATE($N$7,$N$8)),"",next_period(V410)))),"")</f>
        <v/>
      </c>
    </row>
    <row r="412" spans="22:22" x14ac:dyDescent="0.2">
      <c r="V412" s="34" t="str">
        <f ca="1">IFERROR(IF(V411="","",IF(NOT($T$2=""),IF(AND(VALUE(LEFT(V411,4))+1+$T$3/100&gt;=$T$6,VALUE(LEFT(V411,4))+1+$T$3/100&lt;=$T$7),CONCATENATE(VALUE(LEFT(V411,4))+1,$T$2),""),IF(next_period(V411)=next_period(CONCATENATE($N$7,$N$8)),"",next_period(V411)))),"")</f>
        <v/>
      </c>
    </row>
    <row r="413" spans="22:22" x14ac:dyDescent="0.2">
      <c r="V413" s="34" t="str">
        <f ca="1">IFERROR(IF(V412="","",IF(NOT($T$2=""),IF(AND(VALUE(LEFT(V412,4))+1+$T$3/100&gt;=$T$6,VALUE(LEFT(V412,4))+1+$T$3/100&lt;=$T$7),CONCATENATE(VALUE(LEFT(V412,4))+1,$T$2),""),IF(next_period(V412)=next_period(CONCATENATE($N$7,$N$8)),"",next_period(V412)))),"")</f>
        <v/>
      </c>
    </row>
    <row r="414" spans="22:22" x14ac:dyDescent="0.2">
      <c r="V414" s="34" t="str">
        <f ca="1">IFERROR(IF(V413="","",IF(NOT($T$2=""),IF(AND(VALUE(LEFT(V413,4))+1+$T$3/100&gt;=$T$6,VALUE(LEFT(V413,4))+1+$T$3/100&lt;=$T$7),CONCATENATE(VALUE(LEFT(V413,4))+1,$T$2),""),IF(next_period(V413)=next_period(CONCATENATE($N$7,$N$8)),"",next_period(V413)))),"")</f>
        <v/>
      </c>
    </row>
    <row r="415" spans="22:22" x14ac:dyDescent="0.2">
      <c r="V415" s="34" t="str">
        <f ca="1">IFERROR(IF(V414="","",IF(NOT($T$2=""),IF(AND(VALUE(LEFT(V414,4))+1+$T$3/100&gt;=$T$6,VALUE(LEFT(V414,4))+1+$T$3/100&lt;=$T$7),CONCATENATE(VALUE(LEFT(V414,4))+1,$T$2),""),IF(next_period(V414)=next_period(CONCATENATE($N$7,$N$8)),"",next_period(V414)))),"")</f>
        <v/>
      </c>
    </row>
    <row r="416" spans="22:22" x14ac:dyDescent="0.2">
      <c r="V416" s="34" t="str">
        <f ca="1">IFERROR(IF(V415="","",IF(NOT($T$2=""),IF(AND(VALUE(LEFT(V415,4))+1+$T$3/100&gt;=$T$6,VALUE(LEFT(V415,4))+1+$T$3/100&lt;=$T$7),CONCATENATE(VALUE(LEFT(V415,4))+1,$T$2),""),IF(next_period(V415)=next_period(CONCATENATE($N$7,$N$8)),"",next_period(V415)))),"")</f>
        <v/>
      </c>
    </row>
    <row r="417" spans="22:22" x14ac:dyDescent="0.2">
      <c r="V417" s="34" t="str">
        <f ca="1">IFERROR(IF(V416="","",IF(NOT($T$2=""),IF(AND(VALUE(LEFT(V416,4))+1+$T$3/100&gt;=$T$6,VALUE(LEFT(V416,4))+1+$T$3/100&lt;=$T$7),CONCATENATE(VALUE(LEFT(V416,4))+1,$T$2),""),IF(next_period(V416)=next_period(CONCATENATE($N$7,$N$8)),"",next_period(V416)))),"")</f>
        <v/>
      </c>
    </row>
    <row r="418" spans="22:22" x14ac:dyDescent="0.2">
      <c r="V418" s="34" t="str">
        <f ca="1">IFERROR(IF(V417="","",IF(NOT($T$2=""),IF(AND(VALUE(LEFT(V417,4))+1+$T$3/100&gt;=$T$6,VALUE(LEFT(V417,4))+1+$T$3/100&lt;=$T$7),CONCATENATE(VALUE(LEFT(V417,4))+1,$T$2),""),IF(next_period(V417)=next_period(CONCATENATE($N$7,$N$8)),"",next_period(V417)))),"")</f>
        <v/>
      </c>
    </row>
    <row r="419" spans="22:22" x14ac:dyDescent="0.2">
      <c r="V419" s="34" t="str">
        <f ca="1">IFERROR(IF(V418="","",IF(NOT($T$2=""),IF(AND(VALUE(LEFT(V418,4))+1+$T$3/100&gt;=$T$6,VALUE(LEFT(V418,4))+1+$T$3/100&lt;=$T$7),CONCATENATE(VALUE(LEFT(V418,4))+1,$T$2),""),IF(next_period(V418)=next_period(CONCATENATE($N$7,$N$8)),"",next_period(V418)))),"")</f>
        <v/>
      </c>
    </row>
    <row r="420" spans="22:22" x14ac:dyDescent="0.2">
      <c r="V420" s="34" t="str">
        <f ca="1">IFERROR(IF(V419="","",IF(NOT($T$2=""),IF(AND(VALUE(LEFT(V419,4))+1+$T$3/100&gt;=$T$6,VALUE(LEFT(V419,4))+1+$T$3/100&lt;=$T$7),CONCATENATE(VALUE(LEFT(V419,4))+1,$T$2),""),IF(next_period(V419)=next_period(CONCATENATE($N$7,$N$8)),"",next_period(V419)))),"")</f>
        <v/>
      </c>
    </row>
    <row r="421" spans="22:22" x14ac:dyDescent="0.2">
      <c r="V421" s="34" t="str">
        <f ca="1">IFERROR(IF(V420="","",IF(NOT($T$2=""),IF(AND(VALUE(LEFT(V420,4))+1+$T$3/100&gt;=$T$6,VALUE(LEFT(V420,4))+1+$T$3/100&lt;=$T$7),CONCATENATE(VALUE(LEFT(V420,4))+1,$T$2),""),IF(next_period(V420)=next_period(CONCATENATE($N$7,$N$8)),"",next_period(V420)))),"")</f>
        <v/>
      </c>
    </row>
    <row r="422" spans="22:22" x14ac:dyDescent="0.2">
      <c r="V422" s="34" t="str">
        <f ca="1">IFERROR(IF(V421="","",IF(NOT($T$2=""),IF(AND(VALUE(LEFT(V421,4))+1+$T$3/100&gt;=$T$6,VALUE(LEFT(V421,4))+1+$T$3/100&lt;=$T$7),CONCATENATE(VALUE(LEFT(V421,4))+1,$T$2),""),IF(next_period(V421)=next_period(CONCATENATE($N$7,$N$8)),"",next_period(V421)))),"")</f>
        <v/>
      </c>
    </row>
    <row r="423" spans="22:22" x14ac:dyDescent="0.2">
      <c r="V423" s="34" t="str">
        <f ca="1">IFERROR(IF(V422="","",IF(NOT($T$2=""),IF(AND(VALUE(LEFT(V422,4))+1+$T$3/100&gt;=$T$6,VALUE(LEFT(V422,4))+1+$T$3/100&lt;=$T$7),CONCATENATE(VALUE(LEFT(V422,4))+1,$T$2),""),IF(next_period(V422)=next_period(CONCATENATE($N$7,$N$8)),"",next_period(V422)))),"")</f>
        <v/>
      </c>
    </row>
    <row r="424" spans="22:22" x14ac:dyDescent="0.2">
      <c r="V424" s="34" t="str">
        <f ca="1">IFERROR(IF(V423="","",IF(NOT($T$2=""),IF(AND(VALUE(LEFT(V423,4))+1+$T$3/100&gt;=$T$6,VALUE(LEFT(V423,4))+1+$T$3/100&lt;=$T$7),CONCATENATE(VALUE(LEFT(V423,4))+1,$T$2),""),IF(next_period(V423)=next_period(CONCATENATE($N$7,$N$8)),"",next_period(V423)))),"")</f>
        <v/>
      </c>
    </row>
    <row r="425" spans="22:22" x14ac:dyDescent="0.2">
      <c r="V425" s="34" t="str">
        <f ca="1">IFERROR(IF(V424="","",IF(NOT($T$2=""),IF(AND(VALUE(LEFT(V424,4))+1+$T$3/100&gt;=$T$6,VALUE(LEFT(V424,4))+1+$T$3/100&lt;=$T$7),CONCATENATE(VALUE(LEFT(V424,4))+1,$T$2),""),IF(next_period(V424)=next_period(CONCATENATE($N$7,$N$8)),"",next_period(V424)))),"")</f>
        <v/>
      </c>
    </row>
    <row r="426" spans="22:22" x14ac:dyDescent="0.2">
      <c r="V426" s="34" t="str">
        <f ca="1">IFERROR(IF(V425="","",IF(NOT($T$2=""),IF(AND(VALUE(LEFT(V425,4))+1+$T$3/100&gt;=$T$6,VALUE(LEFT(V425,4))+1+$T$3/100&lt;=$T$7),CONCATENATE(VALUE(LEFT(V425,4))+1,$T$2),""),IF(next_period(V425)=next_period(CONCATENATE($N$7,$N$8)),"",next_period(V425)))),"")</f>
        <v/>
      </c>
    </row>
    <row r="427" spans="22:22" x14ac:dyDescent="0.2">
      <c r="V427" s="34" t="str">
        <f ca="1">IFERROR(IF(V426="","",IF(NOT($T$2=""),IF(AND(VALUE(LEFT(V426,4))+1+$T$3/100&gt;=$T$6,VALUE(LEFT(V426,4))+1+$T$3/100&lt;=$T$7),CONCATENATE(VALUE(LEFT(V426,4))+1,$T$2),""),IF(next_period(V426)=next_period(CONCATENATE($N$7,$N$8)),"",next_period(V426)))),"")</f>
        <v/>
      </c>
    </row>
    <row r="428" spans="22:22" x14ac:dyDescent="0.2">
      <c r="V428" s="34" t="str">
        <f ca="1">IFERROR(IF(V427="","",IF(NOT($T$2=""),IF(AND(VALUE(LEFT(V427,4))+1+$T$3/100&gt;=$T$6,VALUE(LEFT(V427,4))+1+$T$3/100&lt;=$T$7),CONCATENATE(VALUE(LEFT(V427,4))+1,$T$2),""),IF(next_period(V427)=next_period(CONCATENATE($N$7,$N$8)),"",next_period(V427)))),"")</f>
        <v/>
      </c>
    </row>
    <row r="429" spans="22:22" x14ac:dyDescent="0.2">
      <c r="V429" s="34" t="str">
        <f ca="1">IFERROR(IF(V428="","",IF(NOT($T$2=""),IF(AND(VALUE(LEFT(V428,4))+1+$T$3/100&gt;=$T$6,VALUE(LEFT(V428,4))+1+$T$3/100&lt;=$T$7),CONCATENATE(VALUE(LEFT(V428,4))+1,$T$2),""),IF(next_period(V428)=next_period(CONCATENATE($N$7,$N$8)),"",next_period(V428)))),"")</f>
        <v/>
      </c>
    </row>
    <row r="430" spans="22:22" x14ac:dyDescent="0.2">
      <c r="V430" s="34" t="str">
        <f ca="1">IFERROR(IF(V429="","",IF(NOT($T$2=""),IF(AND(VALUE(LEFT(V429,4))+1+$T$3/100&gt;=$T$6,VALUE(LEFT(V429,4))+1+$T$3/100&lt;=$T$7),CONCATENATE(VALUE(LEFT(V429,4))+1,$T$2),""),IF(next_period(V429)=next_period(CONCATENATE($N$7,$N$8)),"",next_period(V429)))),"")</f>
        <v/>
      </c>
    </row>
    <row r="431" spans="22:22" x14ac:dyDescent="0.2">
      <c r="V431" s="34" t="str">
        <f ca="1">IFERROR(IF(V430="","",IF(NOT($T$2=""),IF(AND(VALUE(LEFT(V430,4))+1+$T$3/100&gt;=$T$6,VALUE(LEFT(V430,4))+1+$T$3/100&lt;=$T$7),CONCATENATE(VALUE(LEFT(V430,4))+1,$T$2),""),IF(next_period(V430)=next_period(CONCATENATE($N$7,$N$8)),"",next_period(V430)))),"")</f>
        <v/>
      </c>
    </row>
    <row r="432" spans="22:22" x14ac:dyDescent="0.2">
      <c r="V432" s="34" t="str">
        <f ca="1">IFERROR(IF(V431="","",IF(NOT($T$2=""),IF(AND(VALUE(LEFT(V431,4))+1+$T$3/100&gt;=$T$6,VALUE(LEFT(V431,4))+1+$T$3/100&lt;=$T$7),CONCATENATE(VALUE(LEFT(V431,4))+1,$T$2),""),IF(next_period(V431)=next_period(CONCATENATE($N$7,$N$8)),"",next_period(V431)))),"")</f>
        <v/>
      </c>
    </row>
    <row r="433" spans="22:22" x14ac:dyDescent="0.2">
      <c r="V433" s="34" t="str">
        <f ca="1">IFERROR(IF(V432="","",IF(NOT($T$2=""),IF(AND(VALUE(LEFT(V432,4))+1+$T$3/100&gt;=$T$6,VALUE(LEFT(V432,4))+1+$T$3/100&lt;=$T$7),CONCATENATE(VALUE(LEFT(V432,4))+1,$T$2),""),IF(next_period(V432)=next_period(CONCATENATE($N$7,$N$8)),"",next_period(V432)))),"")</f>
        <v/>
      </c>
    </row>
    <row r="434" spans="22:22" x14ac:dyDescent="0.2">
      <c r="V434" s="34" t="str">
        <f ca="1">IFERROR(IF(V433="","",IF(NOT($T$2=""),IF(AND(VALUE(LEFT(V433,4))+1+$T$3/100&gt;=$T$6,VALUE(LEFT(V433,4))+1+$T$3/100&lt;=$T$7),CONCATENATE(VALUE(LEFT(V433,4))+1,$T$2),""),IF(next_period(V433)=next_period(CONCATENATE($N$7,$N$8)),"",next_period(V433)))),"")</f>
        <v/>
      </c>
    </row>
    <row r="435" spans="22:22" x14ac:dyDescent="0.2">
      <c r="V435" s="34" t="str">
        <f ca="1">IFERROR(IF(V434="","",IF(NOT($T$2=""),IF(AND(VALUE(LEFT(V434,4))+1+$T$3/100&gt;=$T$6,VALUE(LEFT(V434,4))+1+$T$3/100&lt;=$T$7),CONCATENATE(VALUE(LEFT(V434,4))+1,$T$2),""),IF(next_period(V434)=next_period(CONCATENATE($N$7,$N$8)),"",next_period(V434)))),"")</f>
        <v/>
      </c>
    </row>
    <row r="436" spans="22:22" x14ac:dyDescent="0.2">
      <c r="V436" s="34" t="str">
        <f ca="1">IFERROR(IF(V435="","",IF(NOT($T$2=""),IF(AND(VALUE(LEFT(V435,4))+1+$T$3/100&gt;=$T$6,VALUE(LEFT(V435,4))+1+$T$3/100&lt;=$T$7),CONCATENATE(VALUE(LEFT(V435,4))+1,$T$2),""),IF(next_period(V435)=next_period(CONCATENATE($N$7,$N$8)),"",next_period(V435)))),"")</f>
        <v/>
      </c>
    </row>
    <row r="437" spans="22:22" x14ac:dyDescent="0.2">
      <c r="V437" s="34" t="str">
        <f ca="1">IFERROR(IF(V436="","",IF(NOT($T$2=""),IF(AND(VALUE(LEFT(V436,4))+1+$T$3/100&gt;=$T$6,VALUE(LEFT(V436,4))+1+$T$3/100&lt;=$T$7),CONCATENATE(VALUE(LEFT(V436,4))+1,$T$2),""),IF(next_period(V436)=next_period(CONCATENATE($N$7,$N$8)),"",next_period(V436)))),"")</f>
        <v/>
      </c>
    </row>
    <row r="438" spans="22:22" x14ac:dyDescent="0.2">
      <c r="V438" s="34" t="str">
        <f ca="1">IFERROR(IF(V437="","",IF(NOT($T$2=""),IF(AND(VALUE(LEFT(V437,4))+1+$T$3/100&gt;=$T$6,VALUE(LEFT(V437,4))+1+$T$3/100&lt;=$T$7),CONCATENATE(VALUE(LEFT(V437,4))+1,$T$2),""),IF(next_period(V437)=next_period(CONCATENATE($N$7,$N$8)),"",next_period(V437)))),"")</f>
        <v/>
      </c>
    </row>
    <row r="439" spans="22:22" x14ac:dyDescent="0.2">
      <c r="V439" s="34" t="str">
        <f ca="1">IFERROR(IF(V438="","",IF(NOT($T$2=""),IF(AND(VALUE(LEFT(V438,4))+1+$T$3/100&gt;=$T$6,VALUE(LEFT(V438,4))+1+$T$3/100&lt;=$T$7),CONCATENATE(VALUE(LEFT(V438,4))+1,$T$2),""),IF(next_period(V438)=next_period(CONCATENATE($N$7,$N$8)),"",next_period(V438)))),"")</f>
        <v/>
      </c>
    </row>
    <row r="440" spans="22:22" x14ac:dyDescent="0.2">
      <c r="V440" s="34" t="str">
        <f ca="1">IFERROR(IF(V439="","",IF(NOT($T$2=""),IF(AND(VALUE(LEFT(V439,4))+1+$T$3/100&gt;=$T$6,VALUE(LEFT(V439,4))+1+$T$3/100&lt;=$T$7),CONCATENATE(VALUE(LEFT(V439,4))+1,$T$2),""),IF(next_period(V439)=next_period(CONCATENATE($N$7,$N$8)),"",next_period(V439)))),"")</f>
        <v/>
      </c>
    </row>
    <row r="441" spans="22:22" x14ac:dyDescent="0.2">
      <c r="V441" s="34" t="str">
        <f ca="1">IFERROR(IF(V440="","",IF(NOT($T$2=""),IF(AND(VALUE(LEFT(V440,4))+1+$T$3/100&gt;=$T$6,VALUE(LEFT(V440,4))+1+$T$3/100&lt;=$T$7),CONCATENATE(VALUE(LEFT(V440,4))+1,$T$2),""),IF(next_period(V440)=next_period(CONCATENATE($N$7,$N$8)),"",next_period(V440)))),"")</f>
        <v/>
      </c>
    </row>
    <row r="442" spans="22:22" x14ac:dyDescent="0.2">
      <c r="V442" s="34" t="str">
        <f ca="1">IFERROR(IF(V441="","",IF(NOT($T$2=""),IF(AND(VALUE(LEFT(V441,4))+1+$T$3/100&gt;=$T$6,VALUE(LEFT(V441,4))+1+$T$3/100&lt;=$T$7),CONCATENATE(VALUE(LEFT(V441,4))+1,$T$2),""),IF(next_period(V441)=next_period(CONCATENATE($N$7,$N$8)),"",next_period(V441)))),"")</f>
        <v/>
      </c>
    </row>
    <row r="443" spans="22:22" x14ac:dyDescent="0.2">
      <c r="V443" s="34" t="str">
        <f ca="1">IFERROR(IF(V442="","",IF(NOT($T$2=""),IF(AND(VALUE(LEFT(V442,4))+1+$T$3/100&gt;=$T$6,VALUE(LEFT(V442,4))+1+$T$3/100&lt;=$T$7),CONCATENATE(VALUE(LEFT(V442,4))+1,$T$2),""),IF(next_period(V442)=next_period(CONCATENATE($N$7,$N$8)),"",next_period(V442)))),"")</f>
        <v/>
      </c>
    </row>
    <row r="444" spans="22:22" x14ac:dyDescent="0.2">
      <c r="V444" s="34" t="str">
        <f ca="1">IFERROR(IF(V443="","",IF(NOT($T$2=""),IF(AND(VALUE(LEFT(V443,4))+1+$T$3/100&gt;=$T$6,VALUE(LEFT(V443,4))+1+$T$3/100&lt;=$T$7),CONCATENATE(VALUE(LEFT(V443,4))+1,$T$2),""),IF(next_period(V443)=next_period(CONCATENATE($N$7,$N$8)),"",next_period(V443)))),"")</f>
        <v/>
      </c>
    </row>
    <row r="445" spans="22:22" x14ac:dyDescent="0.2">
      <c r="V445" s="34" t="str">
        <f ca="1">IFERROR(IF(V444="","",IF(NOT($T$2=""),IF(AND(VALUE(LEFT(V444,4))+1+$T$3/100&gt;=$T$6,VALUE(LEFT(V444,4))+1+$T$3/100&lt;=$T$7),CONCATENATE(VALUE(LEFT(V444,4))+1,$T$2),""),IF(next_period(V444)=next_period(CONCATENATE($N$7,$N$8)),"",next_period(V444)))),"")</f>
        <v/>
      </c>
    </row>
    <row r="446" spans="22:22" x14ac:dyDescent="0.2">
      <c r="V446" s="34" t="str">
        <f ca="1">IFERROR(IF(V445="","",IF(NOT($T$2=""),IF(AND(VALUE(LEFT(V445,4))+1+$T$3/100&gt;=$T$6,VALUE(LEFT(V445,4))+1+$T$3/100&lt;=$T$7),CONCATENATE(VALUE(LEFT(V445,4))+1,$T$2),""),IF(next_period(V445)=next_period(CONCATENATE($N$7,$N$8)),"",next_period(V445)))),"")</f>
        <v/>
      </c>
    </row>
    <row r="447" spans="22:22" x14ac:dyDescent="0.2">
      <c r="V447" s="34" t="str">
        <f ca="1">IFERROR(IF(V446="","",IF(NOT($T$2=""),IF(AND(VALUE(LEFT(V446,4))+1+$T$3/100&gt;=$T$6,VALUE(LEFT(V446,4))+1+$T$3/100&lt;=$T$7),CONCATENATE(VALUE(LEFT(V446,4))+1,$T$2),""),IF(next_period(V446)=next_period(CONCATENATE($N$7,$N$8)),"",next_period(V446)))),"")</f>
        <v/>
      </c>
    </row>
    <row r="448" spans="22:22" x14ac:dyDescent="0.2">
      <c r="V448" s="34" t="str">
        <f ca="1">IFERROR(IF(V447="","",IF(NOT($T$2=""),IF(AND(VALUE(LEFT(V447,4))+1+$T$3/100&gt;=$T$6,VALUE(LEFT(V447,4))+1+$T$3/100&lt;=$T$7),CONCATENATE(VALUE(LEFT(V447,4))+1,$T$2),""),IF(next_period(V447)=next_period(CONCATENATE($N$7,$N$8)),"",next_period(V447)))),"")</f>
        <v/>
      </c>
    </row>
    <row r="449" spans="22:22" x14ac:dyDescent="0.2">
      <c r="V449" s="34" t="str">
        <f ca="1">IFERROR(IF(V448="","",IF(NOT($T$2=""),IF(AND(VALUE(LEFT(V448,4))+1+$T$3/100&gt;=$T$6,VALUE(LEFT(V448,4))+1+$T$3/100&lt;=$T$7),CONCATENATE(VALUE(LEFT(V448,4))+1,$T$2),""),IF(next_period(V448)=next_period(CONCATENATE($N$7,$N$8)),"",next_period(V448)))),"")</f>
        <v/>
      </c>
    </row>
    <row r="450" spans="22:22" x14ac:dyDescent="0.2">
      <c r="V450" s="34" t="str">
        <f ca="1">IFERROR(IF(V449="","",IF(NOT($T$2=""),IF(AND(VALUE(LEFT(V449,4))+1+$T$3/100&gt;=$T$6,VALUE(LEFT(V449,4))+1+$T$3/100&lt;=$T$7),CONCATENATE(VALUE(LEFT(V449,4))+1,$T$2),""),IF(next_period(V449)=next_period(CONCATENATE($N$7,$N$8)),"",next_period(V449)))),"")</f>
        <v/>
      </c>
    </row>
    <row r="451" spans="22:22" x14ac:dyDescent="0.2">
      <c r="V451" s="34" t="str">
        <f ca="1">IFERROR(IF(V450="","",IF(NOT($T$2=""),IF(AND(VALUE(LEFT(V450,4))+1+$T$3/100&gt;=$T$6,VALUE(LEFT(V450,4))+1+$T$3/100&lt;=$T$7),CONCATENATE(VALUE(LEFT(V450,4))+1,$T$2),""),IF(next_period(V450)=next_period(CONCATENATE($N$7,$N$8)),"",next_period(V450)))),"")</f>
        <v/>
      </c>
    </row>
    <row r="452" spans="22:22" x14ac:dyDescent="0.2">
      <c r="V452" s="34" t="str">
        <f ca="1">IFERROR(IF(V451="","",IF(NOT($T$2=""),IF(AND(VALUE(LEFT(V451,4))+1+$T$3/100&gt;=$T$6,VALUE(LEFT(V451,4))+1+$T$3/100&lt;=$T$7),CONCATENATE(VALUE(LEFT(V451,4))+1,$T$2),""),IF(next_period(V451)=next_period(CONCATENATE($N$7,$N$8)),"",next_period(V451)))),"")</f>
        <v/>
      </c>
    </row>
    <row r="453" spans="22:22" x14ac:dyDescent="0.2">
      <c r="V453" s="34" t="str">
        <f ca="1">IFERROR(IF(V452="","",IF(NOT($T$2=""),IF(AND(VALUE(LEFT(V452,4))+1+$T$3/100&gt;=$T$6,VALUE(LEFT(V452,4))+1+$T$3/100&lt;=$T$7),CONCATENATE(VALUE(LEFT(V452,4))+1,$T$2),""),IF(next_period(V452)=next_period(CONCATENATE($N$7,$N$8)),"",next_period(V452)))),"")</f>
        <v/>
      </c>
    </row>
    <row r="454" spans="22:22" x14ac:dyDescent="0.2">
      <c r="V454" s="34" t="str">
        <f ca="1">IFERROR(IF(V453="","",IF(NOT($T$2=""),IF(AND(VALUE(LEFT(V453,4))+1+$T$3/100&gt;=$T$6,VALUE(LEFT(V453,4))+1+$T$3/100&lt;=$T$7),CONCATENATE(VALUE(LEFT(V453,4))+1,$T$2),""),IF(next_period(V453)=next_period(CONCATENATE($N$7,$N$8)),"",next_period(V453)))),"")</f>
        <v/>
      </c>
    </row>
    <row r="455" spans="22:22" x14ac:dyDescent="0.2">
      <c r="V455" s="34" t="str">
        <f ca="1">IFERROR(IF(V454="","",IF(NOT($T$2=""),IF(AND(VALUE(LEFT(V454,4))+1+$T$3/100&gt;=$T$6,VALUE(LEFT(V454,4))+1+$T$3/100&lt;=$T$7),CONCATENATE(VALUE(LEFT(V454,4))+1,$T$2),""),IF(next_period(V454)=next_period(CONCATENATE($N$7,$N$8)),"",next_period(V454)))),"")</f>
        <v/>
      </c>
    </row>
    <row r="456" spans="22:22" x14ac:dyDescent="0.2">
      <c r="V456" s="34" t="str">
        <f ca="1">IFERROR(IF(V455="","",IF(NOT($T$2=""),IF(AND(VALUE(LEFT(V455,4))+1+$T$3/100&gt;=$T$6,VALUE(LEFT(V455,4))+1+$T$3/100&lt;=$T$7),CONCATENATE(VALUE(LEFT(V455,4))+1,$T$2),""),IF(next_period(V455)=next_period(CONCATENATE($N$7,$N$8)),"",next_period(V455)))),"")</f>
        <v/>
      </c>
    </row>
    <row r="457" spans="22:22" x14ac:dyDescent="0.2">
      <c r="V457" s="34" t="str">
        <f ca="1">IFERROR(IF(V456="","",IF(NOT($T$2=""),IF(AND(VALUE(LEFT(V456,4))+1+$T$3/100&gt;=$T$6,VALUE(LEFT(V456,4))+1+$T$3/100&lt;=$T$7),CONCATENATE(VALUE(LEFT(V456,4))+1,$T$2),""),IF(next_period(V456)=next_period(CONCATENATE($N$7,$N$8)),"",next_period(V456)))),"")</f>
        <v/>
      </c>
    </row>
    <row r="458" spans="22:22" x14ac:dyDescent="0.2">
      <c r="V458" s="34" t="str">
        <f ca="1">IFERROR(IF(V457="","",IF(NOT($T$2=""),IF(AND(VALUE(LEFT(V457,4))+1+$T$3/100&gt;=$T$6,VALUE(LEFT(V457,4))+1+$T$3/100&lt;=$T$7),CONCATENATE(VALUE(LEFT(V457,4))+1,$T$2),""),IF(next_period(V457)=next_period(CONCATENATE($N$7,$N$8)),"",next_period(V457)))),"")</f>
        <v/>
      </c>
    </row>
    <row r="459" spans="22:22" x14ac:dyDescent="0.2">
      <c r="V459" s="34" t="str">
        <f ca="1">IFERROR(IF(V458="","",IF(NOT($T$2=""),IF(AND(VALUE(LEFT(V458,4))+1+$T$3/100&gt;=$T$6,VALUE(LEFT(V458,4))+1+$T$3/100&lt;=$T$7),CONCATENATE(VALUE(LEFT(V458,4))+1,$T$2),""),IF(next_period(V458)=next_period(CONCATENATE($N$7,$N$8)),"",next_period(V458)))),"")</f>
        <v/>
      </c>
    </row>
    <row r="460" spans="22:22" x14ac:dyDescent="0.2">
      <c r="V460" s="34" t="str">
        <f ca="1">IFERROR(IF(V459="","",IF(NOT($T$2=""),IF(AND(VALUE(LEFT(V459,4))+1+$T$3/100&gt;=$T$6,VALUE(LEFT(V459,4))+1+$T$3/100&lt;=$T$7),CONCATENATE(VALUE(LEFT(V459,4))+1,$T$2),""),IF(next_period(V459)=next_period(CONCATENATE($N$7,$N$8)),"",next_period(V459)))),"")</f>
        <v/>
      </c>
    </row>
    <row r="461" spans="22:22" x14ac:dyDescent="0.2">
      <c r="V461" s="34" t="str">
        <f ca="1">IFERROR(IF(V460="","",IF(NOT($T$2=""),IF(AND(VALUE(LEFT(V460,4))+1+$T$3/100&gt;=$T$6,VALUE(LEFT(V460,4))+1+$T$3/100&lt;=$T$7),CONCATENATE(VALUE(LEFT(V460,4))+1,$T$2),""),IF(next_period(V460)=next_period(CONCATENATE($N$7,$N$8)),"",next_period(V460)))),"")</f>
        <v/>
      </c>
    </row>
    <row r="462" spans="22:22" x14ac:dyDescent="0.2">
      <c r="V462" s="34" t="str">
        <f ca="1">IFERROR(IF(V461="","",IF(NOT($T$2=""),IF(AND(VALUE(LEFT(V461,4))+1+$T$3/100&gt;=$T$6,VALUE(LEFT(V461,4))+1+$T$3/100&lt;=$T$7),CONCATENATE(VALUE(LEFT(V461,4))+1,$T$2),""),IF(next_period(V461)=next_period(CONCATENATE($N$7,$N$8)),"",next_period(V461)))),"")</f>
        <v/>
      </c>
    </row>
    <row r="463" spans="22:22" x14ac:dyDescent="0.2">
      <c r="V463" s="34" t="str">
        <f ca="1">IFERROR(IF(V462="","",IF(NOT($T$2=""),IF(AND(VALUE(LEFT(V462,4))+1+$T$3/100&gt;=$T$6,VALUE(LEFT(V462,4))+1+$T$3/100&lt;=$T$7),CONCATENATE(VALUE(LEFT(V462,4))+1,$T$2),""),IF(next_period(V462)=next_period(CONCATENATE($N$7,$N$8)),"",next_period(V462)))),"")</f>
        <v/>
      </c>
    </row>
    <row r="464" spans="22:22" x14ac:dyDescent="0.2">
      <c r="V464" s="34" t="str">
        <f ca="1">IFERROR(IF(V463="","",IF(NOT($T$2=""),IF(AND(VALUE(LEFT(V463,4))+1+$T$3/100&gt;=$T$6,VALUE(LEFT(V463,4))+1+$T$3/100&lt;=$T$7),CONCATENATE(VALUE(LEFT(V463,4))+1,$T$2),""),IF(next_period(V463)=next_period(CONCATENATE($N$7,$N$8)),"",next_period(V463)))),"")</f>
        <v/>
      </c>
    </row>
    <row r="465" spans="22:22" x14ac:dyDescent="0.2">
      <c r="V465" s="34" t="str">
        <f ca="1">IFERROR(IF(V464="","",IF(NOT($T$2=""),IF(AND(VALUE(LEFT(V464,4))+1+$T$3/100&gt;=$T$6,VALUE(LEFT(V464,4))+1+$T$3/100&lt;=$T$7),CONCATENATE(VALUE(LEFT(V464,4))+1,$T$2),""),IF(next_period(V464)=next_period(CONCATENATE($N$7,$N$8)),"",next_period(V464)))),"")</f>
        <v/>
      </c>
    </row>
    <row r="466" spans="22:22" x14ac:dyDescent="0.2">
      <c r="V466" s="34" t="str">
        <f ca="1">IFERROR(IF(V465="","",IF(NOT($T$2=""),IF(AND(VALUE(LEFT(V465,4))+1+$T$3/100&gt;=$T$6,VALUE(LEFT(V465,4))+1+$T$3/100&lt;=$T$7),CONCATENATE(VALUE(LEFT(V465,4))+1,$T$2),""),IF(next_period(V465)=next_period(CONCATENATE($N$7,$N$8)),"",next_period(V465)))),"")</f>
        <v/>
      </c>
    </row>
    <row r="467" spans="22:22" x14ac:dyDescent="0.2">
      <c r="V467" s="34" t="str">
        <f ca="1">IFERROR(IF(V466="","",IF(NOT($T$2=""),IF(AND(VALUE(LEFT(V466,4))+1+$T$3/100&gt;=$T$6,VALUE(LEFT(V466,4))+1+$T$3/100&lt;=$T$7),CONCATENATE(VALUE(LEFT(V466,4))+1,$T$2),""),IF(next_period(V466)=next_period(CONCATENATE($N$7,$N$8)),"",next_period(V466)))),"")</f>
        <v/>
      </c>
    </row>
    <row r="468" spans="22:22" x14ac:dyDescent="0.2">
      <c r="V468" s="34" t="str">
        <f ca="1">IFERROR(IF(V467="","",IF(NOT($T$2=""),IF(AND(VALUE(LEFT(V467,4))+1+$T$3/100&gt;=$T$6,VALUE(LEFT(V467,4))+1+$T$3/100&lt;=$T$7),CONCATENATE(VALUE(LEFT(V467,4))+1,$T$2),""),IF(next_period(V467)=next_period(CONCATENATE($N$7,$N$8)),"",next_period(V467)))),"")</f>
        <v/>
      </c>
    </row>
    <row r="469" spans="22:22" x14ac:dyDescent="0.2">
      <c r="V469" s="34" t="str">
        <f ca="1">IFERROR(IF(V468="","",IF(NOT($T$2=""),IF(AND(VALUE(LEFT(V468,4))+1+$T$3/100&gt;=$T$6,VALUE(LEFT(V468,4))+1+$T$3/100&lt;=$T$7),CONCATENATE(VALUE(LEFT(V468,4))+1,$T$2),""),IF(next_period(V468)=next_period(CONCATENATE($N$7,$N$8)),"",next_period(V468)))),"")</f>
        <v/>
      </c>
    </row>
    <row r="470" spans="22:22" x14ac:dyDescent="0.2">
      <c r="V470" s="34" t="str">
        <f ca="1">IFERROR(IF(V469="","",IF(NOT($T$2=""),IF(AND(VALUE(LEFT(V469,4))+1+$T$3/100&gt;=$T$6,VALUE(LEFT(V469,4))+1+$T$3/100&lt;=$T$7),CONCATENATE(VALUE(LEFT(V469,4))+1,$T$2),""),IF(next_period(V469)=next_period(CONCATENATE($N$7,$N$8)),"",next_period(V469)))),"")</f>
        <v/>
      </c>
    </row>
    <row r="471" spans="22:22" x14ac:dyDescent="0.2">
      <c r="V471" s="34" t="str">
        <f ca="1">IFERROR(IF(V470="","",IF(NOT($T$2=""),IF(AND(VALUE(LEFT(V470,4))+1+$T$3/100&gt;=$T$6,VALUE(LEFT(V470,4))+1+$T$3/100&lt;=$T$7),CONCATENATE(VALUE(LEFT(V470,4))+1,$T$2),""),IF(next_period(V470)=next_period(CONCATENATE($N$7,$N$8)),"",next_period(V470)))),"")</f>
        <v/>
      </c>
    </row>
    <row r="472" spans="22:22" x14ac:dyDescent="0.2">
      <c r="V472" s="34" t="str">
        <f ca="1">IFERROR(IF(V471="","",IF(NOT($T$2=""),IF(AND(VALUE(LEFT(V471,4))+1+$T$3/100&gt;=$T$6,VALUE(LEFT(V471,4))+1+$T$3/100&lt;=$T$7),CONCATENATE(VALUE(LEFT(V471,4))+1,$T$2),""),IF(next_period(V471)=next_period(CONCATENATE($N$7,$N$8)),"",next_period(V471)))),"")</f>
        <v/>
      </c>
    </row>
    <row r="473" spans="22:22" x14ac:dyDescent="0.2">
      <c r="V473" s="34" t="str">
        <f ca="1">IFERROR(IF(V472="","",IF(NOT($T$2=""),IF(AND(VALUE(LEFT(V472,4))+1+$T$3/100&gt;=$T$6,VALUE(LEFT(V472,4))+1+$T$3/100&lt;=$T$7),CONCATENATE(VALUE(LEFT(V472,4))+1,$T$2),""),IF(next_period(V472)=next_period(CONCATENATE($N$7,$N$8)),"",next_period(V472)))),"")</f>
        <v/>
      </c>
    </row>
    <row r="474" spans="22:22" x14ac:dyDescent="0.2">
      <c r="V474" s="34" t="str">
        <f ca="1">IFERROR(IF(V473="","",IF(NOT($T$2=""),IF(AND(VALUE(LEFT(V473,4))+1+$T$3/100&gt;=$T$6,VALUE(LEFT(V473,4))+1+$T$3/100&lt;=$T$7),CONCATENATE(VALUE(LEFT(V473,4))+1,$T$2),""),IF(next_period(V473)=next_period(CONCATENATE($N$7,$N$8)),"",next_period(V473)))),"")</f>
        <v/>
      </c>
    </row>
    <row r="475" spans="22:22" x14ac:dyDescent="0.2">
      <c r="V475" s="34" t="str">
        <f ca="1">IFERROR(IF(V474="","",IF(NOT($T$2=""),IF(AND(VALUE(LEFT(V474,4))+1+$T$3/100&gt;=$T$6,VALUE(LEFT(V474,4))+1+$T$3/100&lt;=$T$7),CONCATENATE(VALUE(LEFT(V474,4))+1,$T$2),""),IF(next_period(V474)=next_period(CONCATENATE($N$7,$N$8)),"",next_period(V474)))),"")</f>
        <v/>
      </c>
    </row>
    <row r="476" spans="22:22" x14ac:dyDescent="0.2">
      <c r="V476" s="34" t="str">
        <f ca="1">IFERROR(IF(V475="","",IF(NOT($T$2=""),IF(AND(VALUE(LEFT(V475,4))+1+$T$3/100&gt;=$T$6,VALUE(LEFT(V475,4))+1+$T$3/100&lt;=$T$7),CONCATENATE(VALUE(LEFT(V475,4))+1,$T$2),""),IF(next_period(V475)=next_period(CONCATENATE($N$7,$N$8)),"",next_period(V475)))),"")</f>
        <v/>
      </c>
    </row>
    <row r="477" spans="22:22" x14ac:dyDescent="0.2">
      <c r="V477" s="34" t="str">
        <f ca="1">IFERROR(IF(V476="","",IF(NOT($T$2=""),IF(AND(VALUE(LEFT(V476,4))+1+$T$3/100&gt;=$T$6,VALUE(LEFT(V476,4))+1+$T$3/100&lt;=$T$7),CONCATENATE(VALUE(LEFT(V476,4))+1,$T$2),""),IF(next_period(V476)=next_period(CONCATENATE($N$7,$N$8)),"",next_period(V476)))),"")</f>
        <v/>
      </c>
    </row>
    <row r="478" spans="22:22" x14ac:dyDescent="0.2">
      <c r="V478" s="34" t="str">
        <f ca="1">IFERROR(IF(V477="","",IF(NOT($T$2=""),IF(AND(VALUE(LEFT(V477,4))+1+$T$3/100&gt;=$T$6,VALUE(LEFT(V477,4))+1+$T$3/100&lt;=$T$7),CONCATENATE(VALUE(LEFT(V477,4))+1,$T$2),""),IF(next_period(V477)=next_period(CONCATENATE($N$7,$N$8)),"",next_period(V477)))),"")</f>
        <v/>
      </c>
    </row>
    <row r="479" spans="22:22" x14ac:dyDescent="0.2">
      <c r="V479" s="34" t="str">
        <f ca="1">IFERROR(IF(V478="","",IF(NOT($T$2=""),IF(AND(VALUE(LEFT(V478,4))+1+$T$3/100&gt;=$T$6,VALUE(LEFT(V478,4))+1+$T$3/100&lt;=$T$7),CONCATENATE(VALUE(LEFT(V478,4))+1,$T$2),""),IF(next_period(V478)=next_period(CONCATENATE($N$7,$N$8)),"",next_period(V478)))),"")</f>
        <v/>
      </c>
    </row>
    <row r="480" spans="22:22" x14ac:dyDescent="0.2">
      <c r="V480" s="34" t="str">
        <f ca="1">IFERROR(IF(V479="","",IF(NOT($T$2=""),IF(AND(VALUE(LEFT(V479,4))+1+$T$3/100&gt;=$T$6,VALUE(LEFT(V479,4))+1+$T$3/100&lt;=$T$7),CONCATENATE(VALUE(LEFT(V479,4))+1,$T$2),""),IF(next_period(V479)=next_period(CONCATENATE($N$7,$N$8)),"",next_period(V479)))),"")</f>
        <v/>
      </c>
    </row>
    <row r="481" spans="22:22" x14ac:dyDescent="0.2">
      <c r="V481" s="34" t="str">
        <f ca="1">IFERROR(IF(V480="","",IF(NOT($T$2=""),IF(AND(VALUE(LEFT(V480,4))+1+$T$3/100&gt;=$T$6,VALUE(LEFT(V480,4))+1+$T$3/100&lt;=$T$7),CONCATENATE(VALUE(LEFT(V480,4))+1,$T$2),""),IF(next_period(V480)=next_period(CONCATENATE($N$7,$N$8)),"",next_period(V480)))),"")</f>
        <v/>
      </c>
    </row>
    <row r="482" spans="22:22" x14ac:dyDescent="0.2">
      <c r="V482" s="34" t="str">
        <f ca="1">IFERROR(IF(V481="","",IF(NOT($T$2=""),IF(AND(VALUE(LEFT(V481,4))+1+$T$3/100&gt;=$T$6,VALUE(LEFT(V481,4))+1+$T$3/100&lt;=$T$7),CONCATENATE(VALUE(LEFT(V481,4))+1,$T$2),""),IF(next_period(V481)=next_period(CONCATENATE($N$7,$N$8)),"",next_period(V481)))),"")</f>
        <v/>
      </c>
    </row>
    <row r="483" spans="22:22" x14ac:dyDescent="0.2">
      <c r="V483" s="34" t="str">
        <f ca="1">IFERROR(IF(V482="","",IF(NOT($T$2=""),IF(AND(VALUE(LEFT(V482,4))+1+$T$3/100&gt;=$T$6,VALUE(LEFT(V482,4))+1+$T$3/100&lt;=$T$7),CONCATENATE(VALUE(LEFT(V482,4))+1,$T$2),""),IF(next_period(V482)=next_period(CONCATENATE($N$7,$N$8)),"",next_period(V482)))),"")</f>
        <v/>
      </c>
    </row>
    <row r="484" spans="22:22" x14ac:dyDescent="0.2">
      <c r="V484" s="34" t="str">
        <f ca="1">IFERROR(IF(V483="","",IF(NOT($T$2=""),IF(AND(VALUE(LEFT(V483,4))+1+$T$3/100&gt;=$T$6,VALUE(LEFT(V483,4))+1+$T$3/100&lt;=$T$7),CONCATENATE(VALUE(LEFT(V483,4))+1,$T$2),""),IF(next_period(V483)=next_period(CONCATENATE($N$7,$N$8)),"",next_period(V483)))),"")</f>
        <v/>
      </c>
    </row>
    <row r="485" spans="22:22" x14ac:dyDescent="0.2">
      <c r="V485" s="34" t="str">
        <f ca="1">IFERROR(IF(V484="","",IF(NOT($T$2=""),IF(AND(VALUE(LEFT(V484,4))+1+$T$3/100&gt;=$T$6,VALUE(LEFT(V484,4))+1+$T$3/100&lt;=$T$7),CONCATENATE(VALUE(LEFT(V484,4))+1,$T$2),""),IF(next_period(V484)=next_period(CONCATENATE($N$7,$N$8)),"",next_period(V484)))),"")</f>
        <v/>
      </c>
    </row>
    <row r="486" spans="22:22" x14ac:dyDescent="0.2">
      <c r="V486" s="34" t="str">
        <f ca="1">IFERROR(IF(V485="","",IF(NOT($T$2=""),IF(AND(VALUE(LEFT(V485,4))+1+$T$3/100&gt;=$T$6,VALUE(LEFT(V485,4))+1+$T$3/100&lt;=$T$7),CONCATENATE(VALUE(LEFT(V485,4))+1,$T$2),""),IF(next_period(V485)=next_period(CONCATENATE($N$7,$N$8)),"",next_period(V485)))),"")</f>
        <v/>
      </c>
    </row>
    <row r="487" spans="22:22" x14ac:dyDescent="0.2">
      <c r="V487" s="34" t="str">
        <f ca="1">IFERROR(IF(V486="","",IF(NOT($T$2=""),IF(AND(VALUE(LEFT(V486,4))+1+$T$3/100&gt;=$T$6,VALUE(LEFT(V486,4))+1+$T$3/100&lt;=$T$7),CONCATENATE(VALUE(LEFT(V486,4))+1,$T$2),""),IF(next_period(V486)=next_period(CONCATENATE($N$7,$N$8)),"",next_period(V486)))),"")</f>
        <v/>
      </c>
    </row>
    <row r="488" spans="22:22" x14ac:dyDescent="0.2">
      <c r="V488" s="34" t="str">
        <f ca="1">IFERROR(IF(V487="","",IF(NOT($T$2=""),IF(AND(VALUE(LEFT(V487,4))+1+$T$3/100&gt;=$T$6,VALUE(LEFT(V487,4))+1+$T$3/100&lt;=$T$7),CONCATENATE(VALUE(LEFT(V487,4))+1,$T$2),""),IF(next_period(V487)=next_period(CONCATENATE($N$7,$N$8)),"",next_period(V487)))),"")</f>
        <v/>
      </c>
    </row>
    <row r="489" spans="22:22" x14ac:dyDescent="0.2">
      <c r="V489" s="34" t="str">
        <f ca="1">IFERROR(IF(V488="","",IF(NOT($T$2=""),IF(AND(VALUE(LEFT(V488,4))+1+$T$3/100&gt;=$T$6,VALUE(LEFT(V488,4))+1+$T$3/100&lt;=$T$7),CONCATENATE(VALUE(LEFT(V488,4))+1,$T$2),""),IF(next_period(V488)=next_period(CONCATENATE($N$7,$N$8)),"",next_period(V488)))),"")</f>
        <v/>
      </c>
    </row>
    <row r="490" spans="22:22" x14ac:dyDescent="0.2">
      <c r="V490" s="34" t="str">
        <f ca="1">IFERROR(IF(V489="","",IF(NOT($T$2=""),IF(AND(VALUE(LEFT(V489,4))+1+$T$3/100&gt;=$T$6,VALUE(LEFT(V489,4))+1+$T$3/100&lt;=$T$7),CONCATENATE(VALUE(LEFT(V489,4))+1,$T$2),""),IF(next_period(V489)=next_period(CONCATENATE($N$7,$N$8)),"",next_period(V489)))),"")</f>
        <v/>
      </c>
    </row>
    <row r="491" spans="22:22" x14ac:dyDescent="0.2">
      <c r="V491" s="34" t="str">
        <f ca="1">IFERROR(IF(V490="","",IF(NOT($T$2=""),IF(AND(VALUE(LEFT(V490,4))+1+$T$3/100&gt;=$T$6,VALUE(LEFT(V490,4))+1+$T$3/100&lt;=$T$7),CONCATENATE(VALUE(LEFT(V490,4))+1,$T$2),""),IF(next_period(V490)=next_period(CONCATENATE($N$7,$N$8)),"",next_period(V490)))),"")</f>
        <v/>
      </c>
    </row>
    <row r="492" spans="22:22" x14ac:dyDescent="0.2">
      <c r="V492" s="34" t="str">
        <f ca="1">IFERROR(IF(V491="","",IF(NOT($T$2=""),IF(AND(VALUE(LEFT(V491,4))+1+$T$3/100&gt;=$T$6,VALUE(LEFT(V491,4))+1+$T$3/100&lt;=$T$7),CONCATENATE(VALUE(LEFT(V491,4))+1,$T$2),""),IF(next_period(V491)=next_period(CONCATENATE($N$7,$N$8)),"",next_period(V491)))),"")</f>
        <v/>
      </c>
    </row>
    <row r="493" spans="22:22" x14ac:dyDescent="0.2">
      <c r="V493" s="34" t="str">
        <f ca="1">IFERROR(IF(V492="","",IF(NOT($T$2=""),IF(AND(VALUE(LEFT(V492,4))+1+$T$3/100&gt;=$T$6,VALUE(LEFT(V492,4))+1+$T$3/100&lt;=$T$7),CONCATENATE(VALUE(LEFT(V492,4))+1,$T$2),""),IF(next_period(V492)=next_period(CONCATENATE($N$7,$N$8)),"",next_period(V492)))),"")</f>
        <v/>
      </c>
    </row>
    <row r="494" spans="22:22" x14ac:dyDescent="0.2">
      <c r="V494" s="34" t="str">
        <f ca="1">IFERROR(IF(V493="","",IF(NOT($T$2=""),IF(AND(VALUE(LEFT(V493,4))+1+$T$3/100&gt;=$T$6,VALUE(LEFT(V493,4))+1+$T$3/100&lt;=$T$7),CONCATENATE(VALUE(LEFT(V493,4))+1,$T$2),""),IF(next_period(V493)=next_period(CONCATENATE($N$7,$N$8)),"",next_period(V493)))),"")</f>
        <v/>
      </c>
    </row>
    <row r="495" spans="22:22" x14ac:dyDescent="0.2">
      <c r="V495" s="34" t="str">
        <f ca="1">IFERROR(IF(V494="","",IF(NOT($T$2=""),IF(AND(VALUE(LEFT(V494,4))+1+$T$3/100&gt;=$T$6,VALUE(LEFT(V494,4))+1+$T$3/100&lt;=$T$7),CONCATENATE(VALUE(LEFT(V494,4))+1,$T$2),""),IF(next_period(V494)=next_period(CONCATENATE($N$7,$N$8)),"",next_period(V494)))),"")</f>
        <v/>
      </c>
    </row>
    <row r="496" spans="22:22" x14ac:dyDescent="0.2">
      <c r="V496" s="34" t="str">
        <f ca="1">IFERROR(IF(V495="","",IF(NOT($T$2=""),IF(AND(VALUE(LEFT(V495,4))+1+$T$3/100&gt;=$T$6,VALUE(LEFT(V495,4))+1+$T$3/100&lt;=$T$7),CONCATENATE(VALUE(LEFT(V495,4))+1,$T$2),""),IF(next_period(V495)=next_period(CONCATENATE($N$7,$N$8)),"",next_period(V495)))),"")</f>
        <v/>
      </c>
    </row>
    <row r="497" spans="22:22" x14ac:dyDescent="0.2">
      <c r="V497" s="34" t="str">
        <f ca="1">IFERROR(IF(V496="","",IF(NOT($T$2=""),IF(AND(VALUE(LEFT(V496,4))+1+$T$3/100&gt;=$T$6,VALUE(LEFT(V496,4))+1+$T$3/100&lt;=$T$7),CONCATENATE(VALUE(LEFT(V496,4))+1,$T$2),""),IF(next_period(V496)=next_period(CONCATENATE($N$7,$N$8)),"",next_period(V496)))),"")</f>
        <v/>
      </c>
    </row>
    <row r="498" spans="22:22" x14ac:dyDescent="0.2">
      <c r="V498" s="34" t="str">
        <f ca="1">IFERROR(IF(V497="","",IF(NOT($T$2=""),IF(AND(VALUE(LEFT(V497,4))+1+$T$3/100&gt;=$T$6,VALUE(LEFT(V497,4))+1+$T$3/100&lt;=$T$7),CONCATENATE(VALUE(LEFT(V497,4))+1,$T$2),""),IF(next_period(V497)=next_period(CONCATENATE($N$7,$N$8)),"",next_period(V497)))),"")</f>
        <v/>
      </c>
    </row>
    <row r="499" spans="22:22" x14ac:dyDescent="0.2">
      <c r="V499" s="34" t="str">
        <f ca="1">IFERROR(IF(V498="","",IF(NOT($T$2=""),IF(AND(VALUE(LEFT(V498,4))+1+$T$3/100&gt;=$T$6,VALUE(LEFT(V498,4))+1+$T$3/100&lt;=$T$7),CONCATENATE(VALUE(LEFT(V498,4))+1,$T$2),""),IF(next_period(V498)=next_period(CONCATENATE($N$7,$N$8)),"",next_period(V498)))),"")</f>
        <v/>
      </c>
    </row>
    <row r="500" spans="22:22" x14ac:dyDescent="0.2">
      <c r="V500" s="34" t="str">
        <f ca="1">IFERROR(IF(V499="","",IF(NOT($T$2=""),IF(AND(VALUE(LEFT(V499,4))+1+$T$3/100&gt;=$T$6,VALUE(LEFT(V499,4))+1+$T$3/100&lt;=$T$7),CONCATENATE(VALUE(LEFT(V499,4))+1,$T$2),""),IF(next_period(V499)=next_period(CONCATENATE($N$7,$N$8)),"",next_period(V499)))),"")</f>
        <v/>
      </c>
    </row>
    <row r="501" spans="22:22" x14ac:dyDescent="0.2">
      <c r="V501" s="34" t="str">
        <f ca="1">IFERROR(IF(V500="","",IF(NOT($T$2=""),IF(AND(VALUE(LEFT(V500,4))+1+$T$3/100&gt;=$T$6,VALUE(LEFT(V500,4))+1+$T$3/100&lt;=$T$7),CONCATENATE(VALUE(LEFT(V500,4))+1,$T$2),""),IF(next_period(V500)=next_period(CONCATENATE($N$7,$N$8)),"",next_period(V500)))),"")</f>
        <v/>
      </c>
    </row>
    <row r="502" spans="22:22" x14ac:dyDescent="0.2">
      <c r="V502" s="34" t="str">
        <f ca="1">IFERROR(IF(V501="","",IF(NOT($T$2=""),IF(AND(VALUE(LEFT(V501,4))+1+$T$3/100&gt;=$T$6,VALUE(LEFT(V501,4))+1+$T$3/100&lt;=$T$7),CONCATENATE(VALUE(LEFT(V501,4))+1,$T$2),""),IF(next_period(V501)=next_period(CONCATENATE($N$7,$N$8)),"",next_period(V501)))),"")</f>
        <v/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1EFC-86D6-44D3-92C0-B76D76050A24}">
  <sheetPr codeName="Sheet3"/>
  <dimension ref="B1:AD200"/>
  <sheetViews>
    <sheetView workbookViewId="0">
      <selection activeCell="C3" sqref="C3:D3"/>
    </sheetView>
  </sheetViews>
  <sheetFormatPr defaultColWidth="11.625" defaultRowHeight="12" x14ac:dyDescent="0.2"/>
  <cols>
    <col min="1" max="1" width="3.375" style="12" customWidth="1"/>
    <col min="2" max="2" width="23.875" style="12" bestFit="1" customWidth="1"/>
    <col min="3" max="4" width="9.125" style="42" customWidth="1"/>
    <col min="5" max="5" width="3.125" style="42" customWidth="1"/>
    <col min="6" max="6" width="12.625" style="42" customWidth="1"/>
    <col min="7" max="7" width="13" style="42" customWidth="1"/>
    <col min="8" max="16384" width="11.625" style="12"/>
  </cols>
  <sheetData>
    <row r="1" spans="2:30" x14ac:dyDescent="0.2">
      <c r="C1" s="12"/>
      <c r="D1" s="12"/>
      <c r="E1" s="12"/>
      <c r="F1" s="12"/>
      <c r="G1" s="12"/>
    </row>
    <row r="2" spans="2:30" x14ac:dyDescent="0.2">
      <c r="C2" s="12"/>
      <c r="D2" s="12"/>
      <c r="E2" s="12"/>
      <c r="F2" s="12"/>
      <c r="G2" s="12"/>
    </row>
    <row r="3" spans="2:30" x14ac:dyDescent="0.2">
      <c r="B3" s="63" t="s">
        <v>685</v>
      </c>
      <c r="C3" s="61" t="s">
        <v>686</v>
      </c>
      <c r="D3" s="61"/>
      <c r="E3" s="12"/>
      <c r="F3" s="60" t="s">
        <v>729</v>
      </c>
      <c r="G3" s="60"/>
    </row>
    <row r="4" spans="2:30" x14ac:dyDescent="0.2">
      <c r="B4" s="63" t="s">
        <v>689</v>
      </c>
      <c r="C4" s="61"/>
      <c r="D4" s="61"/>
      <c r="E4" s="12"/>
      <c r="F4" s="24" t="str">
        <f>LN_0</f>
        <v>2022M01</v>
      </c>
      <c r="G4" s="25" t="str">
        <f ca="1">L_0</f>
        <v>6/224 (3%)</v>
      </c>
    </row>
    <row r="5" spans="2:30" x14ac:dyDescent="0.2">
      <c r="B5" s="63" t="s">
        <v>706</v>
      </c>
      <c r="C5" s="44" t="s">
        <v>711</v>
      </c>
      <c r="D5" s="44"/>
      <c r="E5" s="12"/>
      <c r="F5" s="24" t="str">
        <f>LN_1</f>
        <v>2021M12</v>
      </c>
      <c r="G5" s="25" t="str">
        <f ca="1">L_1</f>
        <v>219/292 (75%)</v>
      </c>
    </row>
    <row r="6" spans="2:30" x14ac:dyDescent="0.2">
      <c r="B6" s="63" t="s">
        <v>707</v>
      </c>
      <c r="C6" s="44" t="s">
        <v>712</v>
      </c>
      <c r="D6" s="44"/>
      <c r="E6" s="12"/>
      <c r="F6" s="24" t="str">
        <f>LN_2</f>
        <v>2021M11</v>
      </c>
      <c r="G6" s="25" t="str">
        <f ca="1">L_2</f>
        <v>224/224 (100%)</v>
      </c>
    </row>
    <row r="7" spans="2:30" x14ac:dyDescent="0.2">
      <c r="B7" s="64" t="s">
        <v>738</v>
      </c>
      <c r="C7" s="61" t="s">
        <v>745</v>
      </c>
      <c r="D7" s="61"/>
      <c r="E7" s="12"/>
      <c r="F7" s="29"/>
      <c r="G7" s="30"/>
    </row>
    <row r="8" spans="2:30" x14ac:dyDescent="0.2">
      <c r="C8" s="12"/>
      <c r="D8" s="12"/>
      <c r="E8" s="12"/>
      <c r="F8" s="55"/>
      <c r="G8" s="12"/>
      <c r="J8" s="37"/>
    </row>
    <row r="9" spans="2:30" x14ac:dyDescent="0.2">
      <c r="C9" s="12"/>
      <c r="D9" s="12"/>
      <c r="E9" s="12"/>
      <c r="F9" s="12"/>
      <c r="G9" s="12"/>
    </row>
    <row r="10" spans="2:30" s="23" customFormat="1" x14ac:dyDescent="0.2">
      <c r="B10" s="36" t="s">
        <v>728</v>
      </c>
      <c r="C10" s="62" t="s">
        <v>3</v>
      </c>
      <c r="D10" s="62"/>
      <c r="E10" s="62"/>
      <c r="F10" s="36" t="s">
        <v>4</v>
      </c>
      <c r="G10" s="36" t="s">
        <v>5</v>
      </c>
      <c r="H10" s="23" t="str">
        <f ca="1">INDEX(headers[],COLUMN()-COLUMN($G$10))</f>
        <v>2000</v>
      </c>
      <c r="I10" s="23" t="str">
        <f ca="1">INDEX(headers[],COLUMN()-COLUMN($G$10))</f>
        <v>2001</v>
      </c>
      <c r="J10" s="23" t="str">
        <f ca="1">INDEX(headers[],COLUMN()-COLUMN($G$10))</f>
        <v>2002</v>
      </c>
      <c r="K10" s="23" t="str">
        <f ca="1">INDEX(headers[],COLUMN()-COLUMN($G$10))</f>
        <v>2003</v>
      </c>
      <c r="L10" s="23" t="str">
        <f ca="1">INDEX(headers[],COLUMN()-COLUMN($G$10))</f>
        <v>2004</v>
      </c>
      <c r="M10" s="23" t="str">
        <f ca="1">INDEX(headers[],COLUMN()-COLUMN($G$10))</f>
        <v>2005</v>
      </c>
      <c r="N10" s="23" t="str">
        <f ca="1">INDEX(headers[],COLUMN()-COLUMN($G$10))</f>
        <v>2006</v>
      </c>
      <c r="O10" s="23" t="str">
        <f ca="1">INDEX(headers[],COLUMN()-COLUMN($G$10))</f>
        <v>2007</v>
      </c>
      <c r="P10" s="23" t="str">
        <f ca="1">INDEX(headers[],COLUMN()-COLUMN($G$10))</f>
        <v>2008</v>
      </c>
      <c r="Q10" s="23" t="str">
        <f ca="1">INDEX(headers[],COLUMN()-COLUMN($G$10))</f>
        <v>2009</v>
      </c>
      <c r="R10" s="23" t="str">
        <f ca="1">INDEX(headers[],COLUMN()-COLUMN($G$10))</f>
        <v>2010</v>
      </c>
      <c r="S10" s="23" t="str">
        <f ca="1">INDEX(headers[],COLUMN()-COLUMN($G$10))</f>
        <v>2011</v>
      </c>
      <c r="T10" s="23" t="str">
        <f ca="1">INDEX(headers[],COLUMN()-COLUMN($G$10))</f>
        <v>2012</v>
      </c>
      <c r="U10" s="23" t="str">
        <f ca="1">INDEX(headers[],COLUMN()-COLUMN($G$10))</f>
        <v>2013</v>
      </c>
      <c r="V10" s="23" t="str">
        <f ca="1">INDEX(headers[],COLUMN()-COLUMN($G$10))</f>
        <v>2014</v>
      </c>
      <c r="W10" s="23" t="str">
        <f ca="1">INDEX(headers[],COLUMN()-COLUMN($G$10))</f>
        <v>2015</v>
      </c>
      <c r="X10" s="23" t="str">
        <f ca="1">INDEX(headers[],COLUMN()-COLUMN($G$10))</f>
        <v>2016</v>
      </c>
      <c r="Y10" s="23" t="str">
        <f ca="1">INDEX(headers[],COLUMN()-COLUMN($G$10))</f>
        <v>2017</v>
      </c>
      <c r="Z10" s="23" t="str">
        <f ca="1">INDEX(headers[],COLUMN()-COLUMN($G$10))</f>
        <v>2018</v>
      </c>
      <c r="AA10" s="23" t="str">
        <f ca="1">INDEX(headers[],COLUMN()-COLUMN($G$10))</f>
        <v>2019</v>
      </c>
      <c r="AB10" s="23" t="str">
        <f ca="1">INDEX(headers[],COLUMN()-COLUMN($G$10))</f>
        <v>2020</v>
      </c>
      <c r="AC10" s="23" t="str">
        <f ca="1">INDEX(headers[],COLUMN()-COLUMN($G$10))</f>
        <v>2021</v>
      </c>
      <c r="AD10" s="23" t="str">
        <f ca="1">INDEX(headers[],COLUMN()-COLUMN($G$10))</f>
        <v>2022</v>
      </c>
    </row>
    <row r="11" spans="2:30" x14ac:dyDescent="0.2">
      <c r="B11" s="43"/>
      <c r="C11" s="59" t="s">
        <v>796</v>
      </c>
      <c r="D11" s="59" t="s">
        <v>796</v>
      </c>
      <c r="E11" s="59" t="s">
        <v>796</v>
      </c>
      <c r="F11" s="41" t="s">
        <v>796</v>
      </c>
      <c r="G11" s="41" t="s">
        <v>796</v>
      </c>
      <c r="H11" s="45" t="s">
        <v>796</v>
      </c>
      <c r="I11" s="45" t="s">
        <v>796</v>
      </c>
      <c r="J11" s="45" t="s">
        <v>796</v>
      </c>
      <c r="K11" s="45" t="s">
        <v>796</v>
      </c>
      <c r="L11" s="45" t="s">
        <v>796</v>
      </c>
      <c r="M11" s="45" t="s">
        <v>796</v>
      </c>
      <c r="N11" s="45" t="s">
        <v>796</v>
      </c>
      <c r="O11" s="45" t="s">
        <v>796</v>
      </c>
      <c r="P11" s="45" t="s">
        <v>796</v>
      </c>
      <c r="Q11" s="45" t="s">
        <v>796</v>
      </c>
      <c r="R11" s="45" t="s">
        <v>796</v>
      </c>
      <c r="S11" s="45" t="s">
        <v>796</v>
      </c>
      <c r="T11" s="45" t="s">
        <v>796</v>
      </c>
      <c r="U11" s="45" t="s">
        <v>796</v>
      </c>
      <c r="V11" s="45" t="s">
        <v>796</v>
      </c>
      <c r="W11" s="45" t="s">
        <v>796</v>
      </c>
      <c r="X11" s="45" t="s">
        <v>796</v>
      </c>
      <c r="Y11" s="45" t="s">
        <v>796</v>
      </c>
      <c r="Z11" s="45" t="s">
        <v>796</v>
      </c>
      <c r="AA11" s="45" t="s">
        <v>796</v>
      </c>
      <c r="AB11" s="45" t="s">
        <v>796</v>
      </c>
      <c r="AC11" s="45" t="s">
        <v>796</v>
      </c>
      <c r="AD11" s="12" t="s">
        <v>796</v>
      </c>
    </row>
    <row r="12" spans="2:30" x14ac:dyDescent="0.2">
      <c r="B12" s="43"/>
      <c r="C12" s="59"/>
      <c r="D12" s="59"/>
      <c r="E12" s="59"/>
      <c r="F12" s="41"/>
      <c r="G12" s="41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</row>
    <row r="13" spans="2:30" x14ac:dyDescent="0.2">
      <c r="B13" s="43"/>
      <c r="C13" s="59"/>
      <c r="D13" s="59"/>
      <c r="E13" s="59"/>
      <c r="F13" s="41"/>
      <c r="G13" s="41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</row>
    <row r="14" spans="2:30" x14ac:dyDescent="0.2">
      <c r="B14" s="43"/>
      <c r="C14" s="59"/>
      <c r="D14" s="59"/>
      <c r="E14" s="59"/>
      <c r="F14" s="41"/>
      <c r="G14" s="41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2:30" x14ac:dyDescent="0.2">
      <c r="B15" s="43"/>
      <c r="C15" s="59"/>
      <c r="D15" s="59"/>
      <c r="E15" s="59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2:30" x14ac:dyDescent="0.2">
      <c r="B16" s="43"/>
      <c r="C16" s="59"/>
      <c r="D16" s="59"/>
      <c r="E16" s="59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</row>
    <row r="17" spans="2:29" x14ac:dyDescent="0.2">
      <c r="B17" s="43"/>
      <c r="C17" s="59"/>
      <c r="D17" s="59"/>
      <c r="E17" s="59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</row>
    <row r="18" spans="2:29" x14ac:dyDescent="0.2">
      <c r="B18" s="43"/>
      <c r="C18" s="59"/>
      <c r="D18" s="59"/>
      <c r="E18" s="59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</row>
    <row r="19" spans="2:29" x14ac:dyDescent="0.2">
      <c r="B19" s="43"/>
      <c r="C19" s="59"/>
      <c r="D19" s="59"/>
      <c r="E19" s="59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</row>
    <row r="20" spans="2:29" x14ac:dyDescent="0.2">
      <c r="B20" s="43"/>
      <c r="C20" s="59"/>
      <c r="D20" s="59"/>
      <c r="E20" s="59"/>
      <c r="H20" s="41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</row>
    <row r="21" spans="2:29" x14ac:dyDescent="0.2">
      <c r="B21" s="43"/>
      <c r="C21" s="59"/>
      <c r="D21" s="59"/>
      <c r="E21" s="59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</row>
    <row r="22" spans="2:29" x14ac:dyDescent="0.2">
      <c r="B22" s="43"/>
      <c r="C22" s="59"/>
      <c r="D22" s="59"/>
      <c r="E22" s="59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</row>
    <row r="23" spans="2:29" x14ac:dyDescent="0.2">
      <c r="B23" s="43"/>
      <c r="C23" s="59"/>
      <c r="D23" s="59"/>
      <c r="E23" s="59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</row>
    <row r="24" spans="2:29" x14ac:dyDescent="0.2">
      <c r="B24" s="43"/>
      <c r="C24" s="59"/>
      <c r="D24" s="59"/>
      <c r="E24" s="59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</row>
    <row r="25" spans="2:29" x14ac:dyDescent="0.2">
      <c r="B25" s="43"/>
      <c r="C25" s="59"/>
      <c r="D25" s="59"/>
      <c r="E25" s="59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</row>
    <row r="26" spans="2:29" x14ac:dyDescent="0.2">
      <c r="B26" s="43"/>
      <c r="C26" s="59"/>
      <c r="D26" s="59"/>
      <c r="E26" s="59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</row>
    <row r="27" spans="2:29" x14ac:dyDescent="0.2">
      <c r="B27" s="43"/>
      <c r="C27" s="59"/>
      <c r="D27" s="59"/>
      <c r="E27" s="59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</row>
    <row r="28" spans="2:29" x14ac:dyDescent="0.2">
      <c r="B28" s="43"/>
      <c r="C28" s="59"/>
      <c r="D28" s="59"/>
      <c r="E28" s="59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</row>
    <row r="29" spans="2:29" x14ac:dyDescent="0.2">
      <c r="B29" s="43"/>
      <c r="C29" s="59"/>
      <c r="D29" s="59"/>
      <c r="E29" s="59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</row>
    <row r="30" spans="2:29" x14ac:dyDescent="0.2">
      <c r="B30" s="43"/>
      <c r="C30" s="59"/>
      <c r="D30" s="59"/>
      <c r="E30" s="59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</row>
    <row r="31" spans="2:29" x14ac:dyDescent="0.2">
      <c r="B31" s="43"/>
      <c r="C31" s="59"/>
      <c r="D31" s="59"/>
      <c r="E31" s="59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</row>
    <row r="32" spans="2:29" x14ac:dyDescent="0.2">
      <c r="B32" s="43"/>
      <c r="C32" s="59"/>
      <c r="D32" s="59"/>
      <c r="E32" s="59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</row>
    <row r="33" spans="2:23" x14ac:dyDescent="0.2">
      <c r="B33" s="43"/>
      <c r="C33" s="59"/>
      <c r="D33" s="59"/>
      <c r="E33" s="59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</row>
    <row r="34" spans="2:23" x14ac:dyDescent="0.2">
      <c r="B34" s="43"/>
      <c r="C34" s="59"/>
      <c r="D34" s="59"/>
      <c r="E34" s="59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</row>
    <row r="35" spans="2:23" x14ac:dyDescent="0.2">
      <c r="B35" s="43"/>
      <c r="C35" s="59"/>
      <c r="D35" s="59"/>
      <c r="E35" s="59"/>
    </row>
    <row r="36" spans="2:23" x14ac:dyDescent="0.2">
      <c r="B36" s="43"/>
      <c r="C36" s="59"/>
      <c r="D36" s="59"/>
      <c r="E36" s="59"/>
    </row>
    <row r="37" spans="2:23" x14ac:dyDescent="0.2">
      <c r="B37" s="43"/>
      <c r="C37" s="59"/>
      <c r="D37" s="59"/>
      <c r="E37" s="59"/>
    </row>
    <row r="38" spans="2:23" x14ac:dyDescent="0.2">
      <c r="B38" s="43"/>
      <c r="C38" s="59"/>
      <c r="D38" s="59"/>
      <c r="E38" s="59"/>
    </row>
    <row r="39" spans="2:23" x14ac:dyDescent="0.2">
      <c r="B39" s="43"/>
      <c r="C39" s="59"/>
      <c r="D39" s="59"/>
      <c r="E39" s="59"/>
    </row>
    <row r="40" spans="2:23" x14ac:dyDescent="0.2">
      <c r="B40" s="43"/>
      <c r="C40" s="59"/>
      <c r="D40" s="59"/>
      <c r="E40" s="59"/>
    </row>
    <row r="41" spans="2:23" x14ac:dyDescent="0.2">
      <c r="B41" s="43"/>
      <c r="C41" s="59"/>
      <c r="D41" s="59"/>
      <c r="E41" s="59"/>
    </row>
    <row r="42" spans="2:23" x14ac:dyDescent="0.2">
      <c r="B42" s="43"/>
      <c r="C42" s="59"/>
      <c r="D42" s="59"/>
      <c r="E42" s="59"/>
    </row>
    <row r="43" spans="2:23" x14ac:dyDescent="0.2">
      <c r="B43" s="43"/>
      <c r="C43" s="59"/>
      <c r="D43" s="59"/>
      <c r="E43" s="59"/>
    </row>
    <row r="44" spans="2:23" x14ac:dyDescent="0.2">
      <c r="B44" s="43"/>
      <c r="C44" s="59"/>
      <c r="D44" s="59"/>
      <c r="E44" s="59"/>
    </row>
    <row r="45" spans="2:23" x14ac:dyDescent="0.2">
      <c r="B45" s="43"/>
      <c r="C45" s="59"/>
      <c r="D45" s="59"/>
      <c r="E45" s="59"/>
    </row>
    <row r="46" spans="2:23" x14ac:dyDescent="0.2">
      <c r="B46" s="43"/>
      <c r="C46" s="59"/>
      <c r="D46" s="59"/>
      <c r="E46" s="59"/>
    </row>
    <row r="47" spans="2:23" x14ac:dyDescent="0.2">
      <c r="B47" s="43"/>
      <c r="C47" s="59"/>
      <c r="D47" s="59"/>
      <c r="E47" s="59"/>
    </row>
    <row r="48" spans="2:23" x14ac:dyDescent="0.2">
      <c r="B48" s="43"/>
      <c r="C48" s="59"/>
      <c r="D48" s="59"/>
      <c r="E48" s="59"/>
    </row>
    <row r="49" spans="2:5" x14ac:dyDescent="0.2">
      <c r="B49" s="43"/>
      <c r="C49" s="59"/>
      <c r="D49" s="59"/>
      <c r="E49" s="59"/>
    </row>
    <row r="50" spans="2:5" x14ac:dyDescent="0.2">
      <c r="B50" s="43"/>
      <c r="C50" s="59"/>
      <c r="D50" s="59"/>
      <c r="E50" s="59"/>
    </row>
    <row r="51" spans="2:5" x14ac:dyDescent="0.2">
      <c r="B51" s="43"/>
      <c r="C51" s="59"/>
      <c r="D51" s="59"/>
      <c r="E51" s="59"/>
    </row>
    <row r="52" spans="2:5" x14ac:dyDescent="0.2">
      <c r="B52" s="43"/>
      <c r="C52" s="59"/>
      <c r="D52" s="59"/>
      <c r="E52" s="59"/>
    </row>
    <row r="53" spans="2:5" x14ac:dyDescent="0.2">
      <c r="B53" s="43"/>
      <c r="C53" s="59"/>
      <c r="D53" s="59"/>
      <c r="E53" s="59"/>
    </row>
    <row r="54" spans="2:5" x14ac:dyDescent="0.2">
      <c r="B54" s="43"/>
      <c r="C54" s="59"/>
      <c r="D54" s="59"/>
      <c r="E54" s="59"/>
    </row>
    <row r="55" spans="2:5" x14ac:dyDescent="0.2">
      <c r="B55" s="43"/>
      <c r="C55" s="59"/>
      <c r="D55" s="59"/>
      <c r="E55" s="59"/>
    </row>
    <row r="56" spans="2:5" x14ac:dyDescent="0.2">
      <c r="B56" s="43"/>
      <c r="C56" s="59"/>
      <c r="D56" s="59"/>
      <c r="E56" s="59"/>
    </row>
    <row r="57" spans="2:5" x14ac:dyDescent="0.2">
      <c r="B57" s="43"/>
      <c r="C57" s="59"/>
      <c r="D57" s="59"/>
      <c r="E57" s="59"/>
    </row>
    <row r="58" spans="2:5" x14ac:dyDescent="0.2">
      <c r="B58" s="43"/>
      <c r="C58" s="59"/>
      <c r="D58" s="59"/>
      <c r="E58" s="59"/>
    </row>
    <row r="59" spans="2:5" x14ac:dyDescent="0.2">
      <c r="B59" s="43"/>
      <c r="C59" s="59"/>
      <c r="D59" s="59"/>
      <c r="E59" s="59"/>
    </row>
    <row r="60" spans="2:5" x14ac:dyDescent="0.2">
      <c r="B60" s="43"/>
      <c r="C60" s="59"/>
      <c r="D60" s="59"/>
      <c r="E60" s="59"/>
    </row>
    <row r="61" spans="2:5" x14ac:dyDescent="0.2">
      <c r="B61" s="43"/>
      <c r="C61" s="59"/>
      <c r="D61" s="59"/>
      <c r="E61" s="59"/>
    </row>
    <row r="62" spans="2:5" x14ac:dyDescent="0.2">
      <c r="B62" s="43"/>
      <c r="C62" s="59"/>
      <c r="D62" s="59"/>
      <c r="E62" s="59"/>
    </row>
    <row r="63" spans="2:5" x14ac:dyDescent="0.2">
      <c r="B63" s="43"/>
      <c r="C63" s="59"/>
      <c r="D63" s="59"/>
      <c r="E63" s="59"/>
    </row>
    <row r="64" spans="2:5" x14ac:dyDescent="0.2">
      <c r="B64" s="43"/>
      <c r="C64" s="59"/>
      <c r="D64" s="59"/>
      <c r="E64" s="59"/>
    </row>
    <row r="65" spans="2:5" x14ac:dyDescent="0.2">
      <c r="B65" s="43"/>
      <c r="C65" s="59"/>
      <c r="D65" s="59"/>
      <c r="E65" s="59"/>
    </row>
    <row r="66" spans="2:5" x14ac:dyDescent="0.2">
      <c r="B66" s="43"/>
      <c r="C66" s="59"/>
      <c r="D66" s="59"/>
      <c r="E66" s="59"/>
    </row>
    <row r="67" spans="2:5" x14ac:dyDescent="0.2">
      <c r="B67" s="43"/>
      <c r="C67" s="59"/>
      <c r="D67" s="59"/>
      <c r="E67" s="59"/>
    </row>
    <row r="68" spans="2:5" x14ac:dyDescent="0.2">
      <c r="B68" s="43"/>
      <c r="C68" s="59"/>
      <c r="D68" s="59"/>
      <c r="E68" s="59"/>
    </row>
    <row r="69" spans="2:5" x14ac:dyDescent="0.2">
      <c r="B69" s="43"/>
      <c r="C69" s="59"/>
      <c r="D69" s="59"/>
      <c r="E69" s="59"/>
    </row>
    <row r="70" spans="2:5" x14ac:dyDescent="0.2">
      <c r="B70" s="43"/>
      <c r="C70" s="59"/>
      <c r="D70" s="59"/>
      <c r="E70" s="59"/>
    </row>
    <row r="71" spans="2:5" x14ac:dyDescent="0.2">
      <c r="B71" s="43"/>
      <c r="C71" s="59"/>
      <c r="D71" s="59"/>
      <c r="E71" s="59"/>
    </row>
    <row r="72" spans="2:5" x14ac:dyDescent="0.2">
      <c r="B72" s="43"/>
      <c r="C72" s="59"/>
      <c r="D72" s="59"/>
      <c r="E72" s="59"/>
    </row>
    <row r="73" spans="2:5" x14ac:dyDescent="0.2">
      <c r="B73" s="43"/>
      <c r="C73" s="59"/>
      <c r="D73" s="59"/>
      <c r="E73" s="59"/>
    </row>
    <row r="74" spans="2:5" x14ac:dyDescent="0.2">
      <c r="B74" s="43"/>
      <c r="C74" s="59"/>
      <c r="D74" s="59"/>
      <c r="E74" s="59"/>
    </row>
    <row r="75" spans="2:5" x14ac:dyDescent="0.2">
      <c r="B75" s="43"/>
      <c r="C75" s="59"/>
      <c r="D75" s="59"/>
      <c r="E75" s="59"/>
    </row>
    <row r="76" spans="2:5" x14ac:dyDescent="0.2">
      <c r="B76" s="43"/>
      <c r="C76" s="59"/>
      <c r="D76" s="59"/>
      <c r="E76" s="59"/>
    </row>
    <row r="77" spans="2:5" x14ac:dyDescent="0.2">
      <c r="B77" s="43"/>
      <c r="C77" s="59"/>
      <c r="D77" s="59"/>
      <c r="E77" s="59"/>
    </row>
    <row r="78" spans="2:5" x14ac:dyDescent="0.2">
      <c r="B78" s="43"/>
      <c r="C78" s="59"/>
      <c r="D78" s="59"/>
      <c r="E78" s="59"/>
    </row>
    <row r="79" spans="2:5" x14ac:dyDescent="0.2">
      <c r="B79" s="43"/>
      <c r="C79" s="59"/>
      <c r="D79" s="59"/>
      <c r="E79" s="59"/>
    </row>
    <row r="80" spans="2:5" x14ac:dyDescent="0.2">
      <c r="B80" s="43"/>
      <c r="C80" s="59"/>
      <c r="D80" s="59"/>
      <c r="E80" s="59"/>
    </row>
    <row r="81" spans="2:5" x14ac:dyDescent="0.2">
      <c r="B81" s="43"/>
      <c r="C81" s="59"/>
      <c r="D81" s="59"/>
      <c r="E81" s="59"/>
    </row>
    <row r="82" spans="2:5" x14ac:dyDescent="0.2">
      <c r="B82" s="43"/>
      <c r="C82" s="59"/>
      <c r="D82" s="59"/>
      <c r="E82" s="59"/>
    </row>
    <row r="83" spans="2:5" x14ac:dyDescent="0.2">
      <c r="B83" s="43"/>
      <c r="C83" s="59"/>
      <c r="D83" s="59"/>
      <c r="E83" s="59"/>
    </row>
    <row r="84" spans="2:5" x14ac:dyDescent="0.2">
      <c r="B84" s="43"/>
      <c r="C84" s="59"/>
      <c r="D84" s="59"/>
      <c r="E84" s="59"/>
    </row>
    <row r="85" spans="2:5" x14ac:dyDescent="0.2">
      <c r="B85" s="43"/>
      <c r="C85" s="59"/>
      <c r="D85" s="59"/>
      <c r="E85" s="59"/>
    </row>
    <row r="86" spans="2:5" x14ac:dyDescent="0.2">
      <c r="B86" s="43"/>
      <c r="C86" s="59"/>
      <c r="D86" s="59"/>
      <c r="E86" s="59"/>
    </row>
    <row r="87" spans="2:5" x14ac:dyDescent="0.2">
      <c r="B87" s="43"/>
      <c r="C87" s="59"/>
      <c r="D87" s="59"/>
      <c r="E87" s="59"/>
    </row>
    <row r="88" spans="2:5" x14ac:dyDescent="0.2">
      <c r="B88" s="43"/>
      <c r="C88" s="59"/>
      <c r="D88" s="59"/>
      <c r="E88" s="59"/>
    </row>
    <row r="89" spans="2:5" x14ac:dyDescent="0.2">
      <c r="B89" s="43"/>
      <c r="C89" s="59"/>
      <c r="D89" s="59"/>
      <c r="E89" s="59"/>
    </row>
    <row r="90" spans="2:5" x14ac:dyDescent="0.2">
      <c r="B90" s="43"/>
      <c r="C90" s="59"/>
      <c r="D90" s="59"/>
      <c r="E90" s="59"/>
    </row>
    <row r="91" spans="2:5" x14ac:dyDescent="0.2">
      <c r="B91" s="43"/>
      <c r="C91" s="59"/>
      <c r="D91" s="59"/>
      <c r="E91" s="59"/>
    </row>
    <row r="92" spans="2:5" x14ac:dyDescent="0.2">
      <c r="B92" s="43"/>
      <c r="C92" s="59"/>
      <c r="D92" s="59"/>
      <c r="E92" s="59"/>
    </row>
    <row r="93" spans="2:5" x14ac:dyDescent="0.2">
      <c r="B93" s="43"/>
      <c r="C93" s="59"/>
      <c r="D93" s="59"/>
      <c r="E93" s="59"/>
    </row>
    <row r="94" spans="2:5" x14ac:dyDescent="0.2">
      <c r="B94" s="43"/>
      <c r="C94" s="59"/>
      <c r="D94" s="59"/>
      <c r="E94" s="59"/>
    </row>
    <row r="95" spans="2:5" x14ac:dyDescent="0.2">
      <c r="B95" s="43"/>
      <c r="C95" s="59"/>
      <c r="D95" s="59"/>
      <c r="E95" s="59"/>
    </row>
    <row r="96" spans="2:5" x14ac:dyDescent="0.2">
      <c r="B96" s="43"/>
      <c r="C96" s="59"/>
      <c r="D96" s="59"/>
      <c r="E96" s="59"/>
    </row>
    <row r="97" spans="2:5" x14ac:dyDescent="0.2">
      <c r="B97" s="43"/>
      <c r="C97" s="59"/>
      <c r="D97" s="59"/>
      <c r="E97" s="59"/>
    </row>
    <row r="98" spans="2:5" x14ac:dyDescent="0.2">
      <c r="B98" s="43"/>
      <c r="C98" s="59"/>
      <c r="D98" s="59"/>
      <c r="E98" s="59"/>
    </row>
    <row r="99" spans="2:5" x14ac:dyDescent="0.2">
      <c r="B99" s="43"/>
      <c r="C99" s="59"/>
      <c r="D99" s="59"/>
      <c r="E99" s="59"/>
    </row>
    <row r="100" spans="2:5" x14ac:dyDescent="0.2">
      <c r="B100" s="43"/>
      <c r="C100" s="59"/>
      <c r="D100" s="59"/>
      <c r="E100" s="59"/>
    </row>
    <row r="101" spans="2:5" x14ac:dyDescent="0.2">
      <c r="B101" s="43"/>
      <c r="C101" s="59"/>
      <c r="D101" s="59"/>
      <c r="E101" s="59"/>
    </row>
    <row r="102" spans="2:5" x14ac:dyDescent="0.2">
      <c r="B102" s="43"/>
      <c r="C102" s="59"/>
      <c r="D102" s="59"/>
      <c r="E102" s="59"/>
    </row>
    <row r="103" spans="2:5" x14ac:dyDescent="0.2">
      <c r="B103" s="43"/>
      <c r="C103" s="59"/>
      <c r="D103" s="59"/>
      <c r="E103" s="59"/>
    </row>
    <row r="104" spans="2:5" x14ac:dyDescent="0.2">
      <c r="B104" s="43"/>
      <c r="C104" s="59"/>
      <c r="D104" s="59"/>
      <c r="E104" s="59"/>
    </row>
    <row r="105" spans="2:5" x14ac:dyDescent="0.2">
      <c r="B105" s="43"/>
      <c r="C105" s="59"/>
      <c r="D105" s="59"/>
      <c r="E105" s="59"/>
    </row>
    <row r="106" spans="2:5" x14ac:dyDescent="0.2">
      <c r="B106" s="43"/>
      <c r="C106" s="59"/>
      <c r="D106" s="59"/>
      <c r="E106" s="59"/>
    </row>
    <row r="107" spans="2:5" x14ac:dyDescent="0.2">
      <c r="B107" s="43"/>
      <c r="C107" s="59"/>
      <c r="D107" s="59"/>
      <c r="E107" s="59"/>
    </row>
    <row r="108" spans="2:5" x14ac:dyDescent="0.2">
      <c r="B108" s="43"/>
      <c r="C108" s="59"/>
      <c r="D108" s="59"/>
      <c r="E108" s="59"/>
    </row>
    <row r="109" spans="2:5" x14ac:dyDescent="0.2">
      <c r="B109" s="43"/>
      <c r="C109" s="59"/>
      <c r="D109" s="59"/>
      <c r="E109" s="59"/>
    </row>
    <row r="110" spans="2:5" x14ac:dyDescent="0.2">
      <c r="B110" s="43"/>
      <c r="C110" s="59"/>
      <c r="D110" s="59"/>
      <c r="E110" s="59"/>
    </row>
    <row r="111" spans="2:5" x14ac:dyDescent="0.2">
      <c r="B111" s="43"/>
      <c r="C111" s="59"/>
      <c r="D111" s="59"/>
      <c r="E111" s="59"/>
    </row>
    <row r="112" spans="2:5" x14ac:dyDescent="0.2">
      <c r="B112" s="43"/>
      <c r="C112" s="59"/>
      <c r="D112" s="59"/>
      <c r="E112" s="59"/>
    </row>
    <row r="113" spans="2:5" x14ac:dyDescent="0.2">
      <c r="B113" s="43"/>
      <c r="C113" s="59"/>
      <c r="D113" s="59"/>
      <c r="E113" s="59"/>
    </row>
    <row r="114" spans="2:5" x14ac:dyDescent="0.2">
      <c r="B114" s="43"/>
      <c r="C114" s="59"/>
      <c r="D114" s="59"/>
      <c r="E114" s="59"/>
    </row>
    <row r="115" spans="2:5" x14ac:dyDescent="0.2">
      <c r="B115" s="43"/>
      <c r="C115" s="59"/>
      <c r="D115" s="59"/>
      <c r="E115" s="59"/>
    </row>
    <row r="116" spans="2:5" x14ac:dyDescent="0.2">
      <c r="B116" s="43"/>
      <c r="C116" s="59"/>
      <c r="D116" s="59"/>
      <c r="E116" s="59"/>
    </row>
    <row r="117" spans="2:5" x14ac:dyDescent="0.2">
      <c r="B117" s="43"/>
      <c r="C117" s="59"/>
      <c r="D117" s="59"/>
      <c r="E117" s="59"/>
    </row>
    <row r="118" spans="2:5" x14ac:dyDescent="0.2">
      <c r="B118" s="43"/>
      <c r="C118" s="59"/>
      <c r="D118" s="59"/>
      <c r="E118" s="59"/>
    </row>
    <row r="119" spans="2:5" x14ac:dyDescent="0.2">
      <c r="B119" s="43"/>
      <c r="C119" s="59"/>
      <c r="D119" s="59"/>
      <c r="E119" s="59"/>
    </row>
    <row r="120" spans="2:5" x14ac:dyDescent="0.2">
      <c r="B120" s="43"/>
      <c r="C120" s="59"/>
      <c r="D120" s="59"/>
      <c r="E120" s="59"/>
    </row>
    <row r="121" spans="2:5" x14ac:dyDescent="0.2">
      <c r="B121" s="43"/>
      <c r="C121" s="59"/>
      <c r="D121" s="59"/>
      <c r="E121" s="59"/>
    </row>
    <row r="122" spans="2:5" x14ac:dyDescent="0.2">
      <c r="B122" s="43"/>
      <c r="C122" s="59"/>
      <c r="D122" s="59"/>
      <c r="E122" s="59"/>
    </row>
    <row r="123" spans="2:5" x14ac:dyDescent="0.2">
      <c r="B123" s="43"/>
      <c r="C123" s="59"/>
      <c r="D123" s="59"/>
      <c r="E123" s="59"/>
    </row>
    <row r="124" spans="2:5" x14ac:dyDescent="0.2">
      <c r="B124" s="43"/>
      <c r="C124" s="59"/>
      <c r="D124" s="59"/>
      <c r="E124" s="59"/>
    </row>
    <row r="125" spans="2:5" x14ac:dyDescent="0.2">
      <c r="B125" s="43"/>
      <c r="C125" s="59"/>
      <c r="D125" s="59"/>
      <c r="E125" s="59"/>
    </row>
    <row r="126" spans="2:5" x14ac:dyDescent="0.2">
      <c r="B126" s="43"/>
      <c r="C126" s="59"/>
      <c r="D126" s="59"/>
      <c r="E126" s="59"/>
    </row>
    <row r="127" spans="2:5" x14ac:dyDescent="0.2">
      <c r="B127" s="43"/>
      <c r="C127" s="59"/>
      <c r="D127" s="59"/>
      <c r="E127" s="59"/>
    </row>
    <row r="128" spans="2:5" x14ac:dyDescent="0.2">
      <c r="B128" s="43"/>
      <c r="C128" s="59"/>
      <c r="D128" s="59"/>
      <c r="E128" s="59"/>
    </row>
    <row r="129" spans="2:5" x14ac:dyDescent="0.2">
      <c r="B129" s="43"/>
      <c r="C129" s="59"/>
      <c r="D129" s="59"/>
      <c r="E129" s="59"/>
    </row>
    <row r="130" spans="2:5" x14ac:dyDescent="0.2">
      <c r="B130" s="43"/>
      <c r="C130" s="59"/>
      <c r="D130" s="59"/>
      <c r="E130" s="59"/>
    </row>
    <row r="131" spans="2:5" x14ac:dyDescent="0.2">
      <c r="B131" s="43"/>
      <c r="C131" s="59"/>
      <c r="D131" s="59"/>
      <c r="E131" s="59"/>
    </row>
    <row r="132" spans="2:5" x14ac:dyDescent="0.2">
      <c r="B132" s="43"/>
      <c r="C132" s="59"/>
      <c r="D132" s="59"/>
      <c r="E132" s="59"/>
    </row>
    <row r="133" spans="2:5" x14ac:dyDescent="0.2">
      <c r="B133" s="43"/>
      <c r="C133" s="59"/>
      <c r="D133" s="59"/>
      <c r="E133" s="59"/>
    </row>
    <row r="134" spans="2:5" x14ac:dyDescent="0.2">
      <c r="B134" s="43"/>
      <c r="C134" s="59"/>
      <c r="D134" s="59"/>
      <c r="E134" s="59"/>
    </row>
    <row r="135" spans="2:5" x14ac:dyDescent="0.2">
      <c r="B135" s="43"/>
      <c r="C135" s="59"/>
      <c r="D135" s="59"/>
      <c r="E135" s="59"/>
    </row>
    <row r="136" spans="2:5" x14ac:dyDescent="0.2">
      <c r="B136" s="43"/>
      <c r="C136" s="59"/>
      <c r="D136" s="59"/>
      <c r="E136" s="59"/>
    </row>
    <row r="137" spans="2:5" x14ac:dyDescent="0.2">
      <c r="B137" s="43"/>
      <c r="C137" s="59"/>
      <c r="D137" s="59"/>
      <c r="E137" s="59"/>
    </row>
    <row r="138" spans="2:5" x14ac:dyDescent="0.2">
      <c r="B138" s="43"/>
      <c r="C138" s="59"/>
      <c r="D138" s="59"/>
      <c r="E138" s="59"/>
    </row>
    <row r="139" spans="2:5" x14ac:dyDescent="0.2">
      <c r="B139" s="43"/>
      <c r="C139" s="59"/>
      <c r="D139" s="59"/>
      <c r="E139" s="59"/>
    </row>
    <row r="140" spans="2:5" x14ac:dyDescent="0.2">
      <c r="B140" s="43"/>
      <c r="C140" s="59"/>
      <c r="D140" s="59"/>
      <c r="E140" s="59"/>
    </row>
    <row r="141" spans="2:5" x14ac:dyDescent="0.2">
      <c r="B141" s="43"/>
      <c r="C141" s="59"/>
      <c r="D141" s="59"/>
      <c r="E141" s="59"/>
    </row>
    <row r="142" spans="2:5" x14ac:dyDescent="0.2">
      <c r="B142" s="43"/>
      <c r="C142" s="59"/>
      <c r="D142" s="59"/>
      <c r="E142" s="59"/>
    </row>
    <row r="143" spans="2:5" x14ac:dyDescent="0.2">
      <c r="B143" s="43"/>
      <c r="C143" s="59"/>
      <c r="D143" s="59"/>
      <c r="E143" s="59"/>
    </row>
    <row r="144" spans="2:5" x14ac:dyDescent="0.2">
      <c r="B144" s="43"/>
      <c r="C144" s="59"/>
      <c r="D144" s="59"/>
      <c r="E144" s="59"/>
    </row>
    <row r="145" spans="2:5" x14ac:dyDescent="0.2">
      <c r="B145" s="43"/>
      <c r="C145" s="59"/>
      <c r="D145" s="59"/>
      <c r="E145" s="59"/>
    </row>
    <row r="146" spans="2:5" x14ac:dyDescent="0.2">
      <c r="B146" s="43"/>
      <c r="C146" s="59"/>
      <c r="D146" s="59"/>
      <c r="E146" s="59"/>
    </row>
    <row r="147" spans="2:5" x14ac:dyDescent="0.2">
      <c r="B147" s="43"/>
      <c r="C147" s="59"/>
      <c r="D147" s="59"/>
      <c r="E147" s="59"/>
    </row>
    <row r="148" spans="2:5" x14ac:dyDescent="0.2">
      <c r="B148" s="43"/>
      <c r="C148" s="59"/>
      <c r="D148" s="59"/>
      <c r="E148" s="59"/>
    </row>
    <row r="149" spans="2:5" x14ac:dyDescent="0.2">
      <c r="B149" s="43"/>
      <c r="C149" s="59"/>
      <c r="D149" s="59"/>
      <c r="E149" s="59"/>
    </row>
    <row r="150" spans="2:5" x14ac:dyDescent="0.2">
      <c r="B150" s="43"/>
      <c r="C150" s="59"/>
      <c r="D150" s="59"/>
      <c r="E150" s="59"/>
    </row>
    <row r="151" spans="2:5" x14ac:dyDescent="0.2">
      <c r="B151" s="43"/>
      <c r="C151" s="59"/>
      <c r="D151" s="59"/>
      <c r="E151" s="59"/>
    </row>
    <row r="152" spans="2:5" x14ac:dyDescent="0.2">
      <c r="B152" s="43"/>
      <c r="C152" s="59"/>
      <c r="D152" s="59"/>
      <c r="E152" s="59"/>
    </row>
    <row r="153" spans="2:5" x14ac:dyDescent="0.2">
      <c r="B153" s="43"/>
      <c r="C153" s="59"/>
      <c r="D153" s="59"/>
      <c r="E153" s="59"/>
    </row>
    <row r="154" spans="2:5" x14ac:dyDescent="0.2">
      <c r="B154" s="43"/>
      <c r="C154" s="59"/>
      <c r="D154" s="59"/>
      <c r="E154" s="59"/>
    </row>
    <row r="155" spans="2:5" x14ac:dyDescent="0.2">
      <c r="B155" s="43"/>
      <c r="C155" s="59"/>
      <c r="D155" s="59"/>
      <c r="E155" s="59"/>
    </row>
    <row r="156" spans="2:5" x14ac:dyDescent="0.2">
      <c r="B156" s="43"/>
      <c r="C156" s="59"/>
      <c r="D156" s="59"/>
      <c r="E156" s="59"/>
    </row>
    <row r="157" spans="2:5" x14ac:dyDescent="0.2">
      <c r="B157" s="43"/>
      <c r="C157" s="59"/>
      <c r="D157" s="59"/>
      <c r="E157" s="59"/>
    </row>
    <row r="158" spans="2:5" x14ac:dyDescent="0.2">
      <c r="B158" s="43"/>
      <c r="C158" s="59"/>
      <c r="D158" s="59"/>
      <c r="E158" s="59"/>
    </row>
    <row r="159" spans="2:5" x14ac:dyDescent="0.2">
      <c r="B159" s="43"/>
      <c r="C159" s="59"/>
      <c r="D159" s="59"/>
      <c r="E159" s="59"/>
    </row>
    <row r="160" spans="2:5" x14ac:dyDescent="0.2">
      <c r="B160" s="43"/>
      <c r="C160" s="59"/>
      <c r="D160" s="59"/>
      <c r="E160" s="59"/>
    </row>
    <row r="161" spans="2:5" x14ac:dyDescent="0.2">
      <c r="B161" s="43"/>
      <c r="C161" s="59"/>
      <c r="D161" s="59"/>
      <c r="E161" s="59"/>
    </row>
    <row r="162" spans="2:5" x14ac:dyDescent="0.2">
      <c r="B162" s="43"/>
      <c r="C162" s="59"/>
      <c r="D162" s="59"/>
      <c r="E162" s="59"/>
    </row>
    <row r="163" spans="2:5" x14ac:dyDescent="0.2">
      <c r="B163" s="43"/>
      <c r="C163" s="59"/>
      <c r="D163" s="59"/>
      <c r="E163" s="59"/>
    </row>
    <row r="164" spans="2:5" x14ac:dyDescent="0.2">
      <c r="B164" s="43"/>
      <c r="C164" s="59"/>
      <c r="D164" s="59"/>
      <c r="E164" s="59"/>
    </row>
    <row r="165" spans="2:5" x14ac:dyDescent="0.2">
      <c r="B165" s="43"/>
      <c r="C165" s="59"/>
      <c r="D165" s="59"/>
      <c r="E165" s="59"/>
    </row>
    <row r="166" spans="2:5" x14ac:dyDescent="0.2">
      <c r="B166" s="43"/>
      <c r="C166" s="59"/>
      <c r="D166" s="59"/>
      <c r="E166" s="59"/>
    </row>
    <row r="167" spans="2:5" x14ac:dyDescent="0.2">
      <c r="B167" s="43"/>
      <c r="C167" s="59"/>
      <c r="D167" s="59"/>
      <c r="E167" s="59"/>
    </row>
    <row r="168" spans="2:5" x14ac:dyDescent="0.2">
      <c r="B168" s="43"/>
      <c r="C168" s="59"/>
      <c r="D168" s="59"/>
      <c r="E168" s="59"/>
    </row>
    <row r="169" spans="2:5" x14ac:dyDescent="0.2">
      <c r="B169" s="43"/>
      <c r="C169" s="59"/>
      <c r="D169" s="59"/>
      <c r="E169" s="59"/>
    </row>
    <row r="170" spans="2:5" x14ac:dyDescent="0.2">
      <c r="B170" s="43"/>
      <c r="C170" s="59"/>
      <c r="D170" s="59"/>
      <c r="E170" s="59"/>
    </row>
    <row r="171" spans="2:5" x14ac:dyDescent="0.2">
      <c r="B171" s="43"/>
      <c r="C171" s="59"/>
      <c r="D171" s="59"/>
      <c r="E171" s="59"/>
    </row>
    <row r="172" spans="2:5" x14ac:dyDescent="0.2">
      <c r="B172" s="43"/>
      <c r="C172" s="59"/>
      <c r="D172" s="59"/>
      <c r="E172" s="59"/>
    </row>
    <row r="173" spans="2:5" x14ac:dyDescent="0.2">
      <c r="B173" s="43"/>
      <c r="C173" s="59"/>
      <c r="D173" s="59"/>
      <c r="E173" s="59"/>
    </row>
    <row r="174" spans="2:5" x14ac:dyDescent="0.2">
      <c r="B174" s="43"/>
      <c r="C174" s="59"/>
      <c r="D174" s="59"/>
      <c r="E174" s="59"/>
    </row>
    <row r="175" spans="2:5" x14ac:dyDescent="0.2">
      <c r="B175" s="43"/>
      <c r="C175" s="59"/>
      <c r="D175" s="59"/>
      <c r="E175" s="59"/>
    </row>
    <row r="176" spans="2:5" x14ac:dyDescent="0.2">
      <c r="B176" s="43"/>
      <c r="C176" s="59"/>
      <c r="D176" s="59"/>
      <c r="E176" s="59"/>
    </row>
    <row r="177" spans="2:5" x14ac:dyDescent="0.2">
      <c r="B177" s="43"/>
      <c r="C177" s="59"/>
      <c r="D177" s="59"/>
      <c r="E177" s="59"/>
    </row>
    <row r="178" spans="2:5" x14ac:dyDescent="0.2">
      <c r="B178" s="43"/>
      <c r="C178" s="59"/>
      <c r="D178" s="59"/>
      <c r="E178" s="59"/>
    </row>
    <row r="179" spans="2:5" x14ac:dyDescent="0.2">
      <c r="B179" s="43"/>
      <c r="C179" s="59"/>
      <c r="D179" s="59"/>
      <c r="E179" s="59"/>
    </row>
    <row r="180" spans="2:5" x14ac:dyDescent="0.2">
      <c r="B180" s="43"/>
      <c r="C180" s="59"/>
      <c r="D180" s="59"/>
      <c r="E180" s="59"/>
    </row>
    <row r="181" spans="2:5" x14ac:dyDescent="0.2">
      <c r="B181" s="43"/>
      <c r="C181" s="59"/>
      <c r="D181" s="59"/>
      <c r="E181" s="59"/>
    </row>
    <row r="182" spans="2:5" x14ac:dyDescent="0.2">
      <c r="B182" s="43"/>
      <c r="C182" s="59"/>
      <c r="D182" s="59"/>
      <c r="E182" s="59"/>
    </row>
    <row r="183" spans="2:5" x14ac:dyDescent="0.2">
      <c r="B183" s="43"/>
      <c r="C183" s="59"/>
      <c r="D183" s="59"/>
      <c r="E183" s="59"/>
    </row>
    <row r="184" spans="2:5" x14ac:dyDescent="0.2">
      <c r="B184" s="43"/>
      <c r="C184" s="59"/>
      <c r="D184" s="59"/>
      <c r="E184" s="59"/>
    </row>
    <row r="185" spans="2:5" x14ac:dyDescent="0.2">
      <c r="B185" s="43"/>
      <c r="C185" s="59"/>
      <c r="D185" s="59"/>
      <c r="E185" s="59"/>
    </row>
    <row r="186" spans="2:5" x14ac:dyDescent="0.2">
      <c r="B186" s="43"/>
      <c r="C186" s="59"/>
      <c r="D186" s="59"/>
      <c r="E186" s="59"/>
    </row>
    <row r="187" spans="2:5" x14ac:dyDescent="0.2">
      <c r="B187" s="43"/>
      <c r="C187" s="59"/>
      <c r="D187" s="59"/>
      <c r="E187" s="59"/>
    </row>
    <row r="188" spans="2:5" x14ac:dyDescent="0.2">
      <c r="B188" s="43"/>
      <c r="C188" s="59"/>
      <c r="D188" s="59"/>
      <c r="E188" s="59"/>
    </row>
    <row r="189" spans="2:5" x14ac:dyDescent="0.2">
      <c r="B189" s="43"/>
      <c r="C189" s="59"/>
      <c r="D189" s="59"/>
      <c r="E189" s="59"/>
    </row>
    <row r="190" spans="2:5" x14ac:dyDescent="0.2">
      <c r="B190" s="43"/>
      <c r="C190" s="59"/>
      <c r="D190" s="59"/>
      <c r="E190" s="59"/>
    </row>
    <row r="191" spans="2:5" x14ac:dyDescent="0.2">
      <c r="B191" s="43"/>
      <c r="C191" s="59"/>
      <c r="D191" s="59"/>
      <c r="E191" s="59"/>
    </row>
    <row r="192" spans="2:5" x14ac:dyDescent="0.2">
      <c r="B192" s="43"/>
      <c r="C192" s="59"/>
      <c r="D192" s="59"/>
      <c r="E192" s="59"/>
    </row>
    <row r="193" spans="2:5" x14ac:dyDescent="0.2">
      <c r="B193" s="43"/>
      <c r="C193" s="59"/>
      <c r="D193" s="59"/>
      <c r="E193" s="59"/>
    </row>
    <row r="194" spans="2:5" x14ac:dyDescent="0.2">
      <c r="B194" s="43"/>
      <c r="C194" s="59"/>
      <c r="D194" s="59"/>
      <c r="E194" s="59"/>
    </row>
    <row r="195" spans="2:5" x14ac:dyDescent="0.2">
      <c r="B195" s="43"/>
      <c r="C195" s="59"/>
      <c r="D195" s="59"/>
      <c r="E195" s="59"/>
    </row>
    <row r="196" spans="2:5" x14ac:dyDescent="0.2">
      <c r="B196" s="43"/>
      <c r="C196" s="59"/>
      <c r="D196" s="59"/>
      <c r="E196" s="59"/>
    </row>
    <row r="197" spans="2:5" x14ac:dyDescent="0.2">
      <c r="B197" s="43"/>
      <c r="C197" s="59"/>
      <c r="D197" s="59"/>
      <c r="E197" s="59"/>
    </row>
    <row r="198" spans="2:5" x14ac:dyDescent="0.2">
      <c r="B198" s="43"/>
      <c r="C198" s="59"/>
      <c r="D198" s="59"/>
      <c r="E198" s="59"/>
    </row>
    <row r="199" spans="2:5" x14ac:dyDescent="0.2">
      <c r="B199" s="43"/>
      <c r="C199" s="59"/>
      <c r="D199" s="59"/>
      <c r="E199" s="59"/>
    </row>
    <row r="200" spans="2:5" x14ac:dyDescent="0.2">
      <c r="B200" s="43"/>
      <c r="C200" s="59"/>
      <c r="D200" s="59"/>
      <c r="E200" s="59"/>
    </row>
  </sheetData>
  <sheetProtection algorithmName="SHA-512" hashValue="5KatuRTS6e/SXsu3NjOoe9ezHj880Wj3KgmTNWzOxgMUazml99rZj8Fs8m1WtpY6sRBMnErmynczLcBh9Cd0Qw==" saltValue="QD7u+c1GM13lhTAumERCdQ==" spinCount="100000" sheet="1" objects="1" scenarios="1" formatColumns="0" formatRows="0"/>
  <mergeCells count="195">
    <mergeCell ref="C197:E197"/>
    <mergeCell ref="C198:E198"/>
    <mergeCell ref="C199:E199"/>
    <mergeCell ref="C200:E200"/>
    <mergeCell ref="C192:E192"/>
    <mergeCell ref="C193:E193"/>
    <mergeCell ref="C194:E194"/>
    <mergeCell ref="C195:E195"/>
    <mergeCell ref="C196:E196"/>
    <mergeCell ref="C187:E187"/>
    <mergeCell ref="C188:E188"/>
    <mergeCell ref="C189:E189"/>
    <mergeCell ref="C190:E190"/>
    <mergeCell ref="C191:E191"/>
    <mergeCell ref="C182:E182"/>
    <mergeCell ref="C183:E183"/>
    <mergeCell ref="C184:E184"/>
    <mergeCell ref="C185:E185"/>
    <mergeCell ref="C186:E186"/>
    <mergeCell ref="C177:E177"/>
    <mergeCell ref="C178:E178"/>
    <mergeCell ref="C179:E179"/>
    <mergeCell ref="C180:E180"/>
    <mergeCell ref="C181:E181"/>
    <mergeCell ref="C172:E172"/>
    <mergeCell ref="C173:E173"/>
    <mergeCell ref="C174:E174"/>
    <mergeCell ref="C175:E175"/>
    <mergeCell ref="C176:E176"/>
    <mergeCell ref="C167:E167"/>
    <mergeCell ref="C168:E168"/>
    <mergeCell ref="C169:E169"/>
    <mergeCell ref="C170:E170"/>
    <mergeCell ref="C171:E171"/>
    <mergeCell ref="C162:E162"/>
    <mergeCell ref="C163:E163"/>
    <mergeCell ref="C164:E164"/>
    <mergeCell ref="C165:E165"/>
    <mergeCell ref="C166:E166"/>
    <mergeCell ref="C157:E157"/>
    <mergeCell ref="C158:E158"/>
    <mergeCell ref="C159:E159"/>
    <mergeCell ref="C160:E160"/>
    <mergeCell ref="C161:E161"/>
    <mergeCell ref="C152:E152"/>
    <mergeCell ref="C153:E153"/>
    <mergeCell ref="C154:E154"/>
    <mergeCell ref="C155:E155"/>
    <mergeCell ref="C156:E156"/>
    <mergeCell ref="C147:E147"/>
    <mergeCell ref="C148:E148"/>
    <mergeCell ref="C149:E149"/>
    <mergeCell ref="C150:E150"/>
    <mergeCell ref="C151:E151"/>
    <mergeCell ref="C142:E142"/>
    <mergeCell ref="C143:E143"/>
    <mergeCell ref="C144:E144"/>
    <mergeCell ref="C145:E145"/>
    <mergeCell ref="C146:E146"/>
    <mergeCell ref="C137:E137"/>
    <mergeCell ref="C138:E138"/>
    <mergeCell ref="C139:E139"/>
    <mergeCell ref="C140:E140"/>
    <mergeCell ref="C141:E141"/>
    <mergeCell ref="C132:E132"/>
    <mergeCell ref="C133:E133"/>
    <mergeCell ref="C134:E134"/>
    <mergeCell ref="C135:E135"/>
    <mergeCell ref="C136:E136"/>
    <mergeCell ref="C127:E127"/>
    <mergeCell ref="C128:E128"/>
    <mergeCell ref="C129:E129"/>
    <mergeCell ref="C130:E130"/>
    <mergeCell ref="C131:E131"/>
    <mergeCell ref="C122:E122"/>
    <mergeCell ref="C123:E123"/>
    <mergeCell ref="C124:E124"/>
    <mergeCell ref="C125:E125"/>
    <mergeCell ref="C126:E126"/>
    <mergeCell ref="C117:E117"/>
    <mergeCell ref="C118:E118"/>
    <mergeCell ref="C119:E119"/>
    <mergeCell ref="C120:E120"/>
    <mergeCell ref="C121:E121"/>
    <mergeCell ref="C112:E112"/>
    <mergeCell ref="C113:E113"/>
    <mergeCell ref="C114:E114"/>
    <mergeCell ref="C115:E115"/>
    <mergeCell ref="C116:E116"/>
    <mergeCell ref="C107:E107"/>
    <mergeCell ref="C108:E108"/>
    <mergeCell ref="C109:E109"/>
    <mergeCell ref="C110:E110"/>
    <mergeCell ref="C111:E111"/>
    <mergeCell ref="C102:E102"/>
    <mergeCell ref="C103:E103"/>
    <mergeCell ref="C104:E104"/>
    <mergeCell ref="C105:E105"/>
    <mergeCell ref="C106:E106"/>
    <mergeCell ref="C3:D3"/>
    <mergeCell ref="C4:D4"/>
    <mergeCell ref="C10:E10"/>
    <mergeCell ref="C11:E11"/>
    <mergeCell ref="C12:E12"/>
    <mergeCell ref="C13:E1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66:E66"/>
    <mergeCell ref="C67:E67"/>
    <mergeCell ref="C68:E68"/>
    <mergeCell ref="C69:E69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79:E79"/>
    <mergeCell ref="C99:E99"/>
    <mergeCell ref="C100:E100"/>
    <mergeCell ref="C101:E101"/>
    <mergeCell ref="F3:G3"/>
    <mergeCell ref="C7:D7"/>
    <mergeCell ref="C93:E93"/>
    <mergeCell ref="C94:E94"/>
    <mergeCell ref="C95:E95"/>
    <mergeCell ref="C96:E96"/>
    <mergeCell ref="C97:E97"/>
    <mergeCell ref="C88:E88"/>
    <mergeCell ref="C89:E89"/>
    <mergeCell ref="C90:E90"/>
    <mergeCell ref="C91:E91"/>
    <mergeCell ref="C92:E92"/>
    <mergeCell ref="C80:E80"/>
    <mergeCell ref="C81:E81"/>
    <mergeCell ref="C82:E82"/>
    <mergeCell ref="C83:E83"/>
    <mergeCell ref="C84:E84"/>
    <mergeCell ref="C85:E85"/>
    <mergeCell ref="C86:E86"/>
    <mergeCell ref="C87:E87"/>
    <mergeCell ref="C98:E98"/>
  </mergeCells>
  <conditionalFormatting sqref="B11:SZ200">
    <cfRule type="expression" dxfId="7" priority="8">
      <formula>AND(NOT(ISBLANK($B11)),NOT(B$10=""))</formula>
    </cfRule>
  </conditionalFormatting>
  <conditionalFormatting sqref="B11:B200">
    <cfRule type="expression" dxfId="6" priority="7">
      <formula>OR(NOT(ISBLANK(B11)),NOT(ISBLANK(B10)))</formula>
    </cfRule>
  </conditionalFormatting>
  <conditionalFormatting sqref="H10:SZ10">
    <cfRule type="expression" dxfId="5" priority="5">
      <formula>NOT(H10="")</formula>
    </cfRule>
  </conditionalFormatting>
  <conditionalFormatting sqref="H11:SZ200">
    <cfRule type="expression" dxfId="4" priority="1">
      <formula>NOT(RIGHT($C$7,1)="g")</formula>
    </cfRule>
    <cfRule type="expression" dxfId="3" priority="2">
      <formula>RIGHT($C$7,1)="g"</formula>
    </cfRule>
  </conditionalFormatting>
  <dataValidations count="4">
    <dataValidation type="list" allowBlank="1" showInputMessage="1" showErrorMessage="1" sqref="C5" xr:uid="{11D6269D-F9E4-4229-9B5F-7A2913AD6A2F}">
      <formula1>start_year</formula1>
    </dataValidation>
    <dataValidation type="list" allowBlank="1" showInputMessage="1" showErrorMessage="1" sqref="C6" xr:uid="{20F4232B-299D-45EA-9C98-3BA479ACBE7C}">
      <formula1>end_year</formula1>
    </dataValidation>
    <dataValidation type="list" allowBlank="1" showInputMessage="1" showErrorMessage="1" sqref="D5" xr:uid="{D27759A5-EB20-4063-964A-B585761850C8}">
      <formula1>start_sub</formula1>
    </dataValidation>
    <dataValidation type="list" allowBlank="1" showInputMessage="1" showErrorMessage="1" sqref="D6" xr:uid="{A8599B68-E2D7-47E0-B160-CD8C2E8BFEB3}">
      <formula1>end_sub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B69E968-E05A-44F8-950B-49CAA8E19B26}">
            <xm:f>$C$3=technicals!$B$3</xm:f>
            <x14:dxf>
              <font>
                <color theme="2" tint="-0.24994659260841701"/>
              </font>
            </x14:dxf>
          </x14:cfRule>
          <xm:sqref>D4:E4</xm:sqref>
        </x14:conditionalFormatting>
        <x14:conditionalFormatting xmlns:xm="http://schemas.microsoft.com/office/excel/2006/main">
          <x14:cfRule type="expression" priority="11" id="{96118AEB-E2A8-421C-9DF0-4298D5F58DE6}">
            <xm:f>$C$5=technicals!$G$3</xm:f>
            <x14:dxf>
              <font>
                <color theme="2" tint="-0.24994659260841701"/>
              </font>
            </x14:dxf>
          </x14:cfRule>
          <xm:sqref>D5</xm:sqref>
        </x14:conditionalFormatting>
        <x14:conditionalFormatting xmlns:xm="http://schemas.microsoft.com/office/excel/2006/main">
          <x14:cfRule type="expression" priority="10" id="{1317AE3E-C4DF-46C4-8A76-39E9507F7BFC}">
            <xm:f>$C$6=technicals!$H$3</xm:f>
            <x14:dxf>
              <font>
                <color theme="2" tint="-0.24994659260841701"/>
              </font>
            </x14:dxf>
          </x14:cfRule>
          <xm:sqref>D6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E393354-3B0E-42D2-8B65-1BE7F7B4131C}">
          <x14:formula1>
            <xm:f>technicals!$B$3:$B$5</xm:f>
          </x14:formula1>
          <xm:sqref>C3</xm:sqref>
        </x14:dataValidation>
        <x14:dataValidation type="list" allowBlank="1" showInputMessage="1" showErrorMessage="1" xr:uid="{121020FB-2713-47EC-A3D4-9959E7D270A4}">
          <x14:formula1>
            <xm:f>OFFSET(technicals!$D$2,MATCH($C$3,technicals!$D$3:$D$18,0),1,COUNTIFS(technicals!$D$3:$D$18,$C$3))</xm:f>
          </x14:formula1>
          <xm:sqref>C4</xm:sqref>
        </x14:dataValidation>
        <x14:dataValidation type="list" allowBlank="1" showInputMessage="1" showErrorMessage="1" xr:uid="{2A02550B-B49A-4CCC-807E-B804A9CE97E3}">
          <x14:formula1>
            <xm:f>technicals!$Y$24:$Y$31</xm:f>
          </x14:formula1>
          <xm:sqref>C7:D7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E91CE88-8178-429F-BF3A-576D68C81D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START</vt:lpstr>
      <vt:lpstr>avg</vt:lpstr>
      <vt:lpstr>cum</vt:lpstr>
      <vt:lpstr>L_0</vt:lpstr>
      <vt:lpstr>L_1</vt:lpstr>
      <vt:lpstr>L_2</vt:lpstr>
      <vt:lpstr>LN_0</vt:lpstr>
      <vt:lpstr>LN_1</vt:lpstr>
      <vt:lpstr>LN_2</vt:lpstr>
      <vt:lpstr>m</vt:lpstr>
      <vt:lpstr>net</vt:lpstr>
      <vt:lpstr>q</vt:lpstr>
      <vt:lpstr>y</vt:lpstr>
    </vt:vector>
  </TitlesOfParts>
  <Manager>murunofc</Manager>
  <Company>murunofc</Company>
  <LinksUpToDate>false</LinksUpToDate>
  <SharedDoc>false</SharedDoc>
  <HyperlinkBase>https://murunofc.github.io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Macro Database</dc:title>
  <dc:subject>database</dc:subject>
  <dc:creator>murunofc@gmail.com</dc:creator>
  <cp:lastModifiedBy>Dell-PC</cp:lastModifiedBy>
  <dcterms:created xsi:type="dcterms:W3CDTF">2021-07-17T11:01:18Z</dcterms:created>
  <dcterms:modified xsi:type="dcterms:W3CDTF">2022-02-09T12:29:37Z</dcterms:modified>
  <cp:category>Query Database</cp:category>
</cp:coreProperties>
</file>