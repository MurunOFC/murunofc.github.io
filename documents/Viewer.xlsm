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Other\Apps\"/>
    </mc:Choice>
  </mc:AlternateContent>
  <xr:revisionPtr revIDLastSave="0" documentId="13_ncr:1_{078B011D-8117-4384-B0E5-1357A125BB6B}" xr6:coauthVersionLast="47" xr6:coauthVersionMax="47" xr10:uidLastSave="{00000000-0000-0000-0000-000000000000}"/>
  <workbookProtection workbookAlgorithmName="SHA-512" workbookHashValue="DID/MuCmm8RdGRNEwDrikdkUhKfdR2Sm8OOJ6dK1TARiunzUDEBRA5tm6thMyE18yLroy1HG7YKe2ZD5xuIiEg==" workbookSaltValue="xNIgBBVMUPuh53IQvqagZA==" workbookSpinCount="100000" lockStructure="1"/>
  <bookViews>
    <workbookView xWindow="-120" yWindow="-120" windowWidth="29040" windowHeight="15990" xr2:uid="{125FD657-1419-4F0F-99F6-FB5684F0B840}"/>
  </bookViews>
  <sheets>
    <sheet name="START" sheetId="7" r:id="rId1"/>
    <sheet name="data" sheetId="2" state="veryHidden" r:id="rId2"/>
    <sheet name="technicals" sheetId="6" state="veryHidden" r:id="rId3"/>
    <sheet name="meta" sheetId="4" state="veryHidden" r:id="rId4"/>
    <sheet name="Viewer" sheetId="5" state="veryHidden" r:id="rId5"/>
  </sheets>
  <functionGroups builtInGroupCount="19"/>
  <definedNames>
    <definedName name="avg">technicals!$B$26</definedName>
    <definedName name="cperiod">CONCATENATE("period_",LOWER(LEFT(technicals!$G$2,1)))</definedName>
    <definedName name="cum">technicals!$B$25</definedName>
    <definedName name="end_sub">OFFSET(technicals!$K$20,0,0,technicals!$K$18)</definedName>
    <definedName name="end_year">OFFSET(technicals!$H$3,0,0,technicals!$K$14)</definedName>
    <definedName name="ExternalData_1" localSheetId="1" hidden="1">data!$A$1:$GM$261</definedName>
    <definedName name="ExternalData_1" localSheetId="3" hidden="1">meta!$A$1:$F$196</definedName>
    <definedName name="L_0">technicals!$R$30</definedName>
    <definedName name="L_1">technicals!$R$31</definedName>
    <definedName name="L_2">technicals!$R$32</definedName>
    <definedName name="LN_0">technicals!$N$30</definedName>
    <definedName name="LN_1">technicals!$N$31</definedName>
    <definedName name="LN_2">technicals!$N$32</definedName>
    <definedName name="m">technicals!$B$56</definedName>
    <definedName name="net">technicals!$B$24</definedName>
    <definedName name="q">technicals!$B$55</definedName>
    <definedName name="start_sub">OFFSET(technicals!$J$20,0,0,technicals!$J$18)</definedName>
    <definedName name="start_year">OFFSET(technicals!$G$3,0,0,technicals!$K$13)</definedName>
    <definedName name="y">technicals!$B$54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Z23" i="6" l="1"/>
  <c r="Z25" i="6"/>
  <c r="Z11" i="6"/>
  <c r="T14" i="6" a="1"/>
  <c r="T14" i="6" s="1"/>
  <c r="Y4" i="6" s="1"/>
  <c r="T13" i="6"/>
  <c r="Z29" i="6"/>
  <c r="Z31" i="6"/>
  <c r="Z27" i="6"/>
  <c r="AD17" i="6"/>
  <c r="AD6" i="6"/>
  <c r="AD18" i="6"/>
  <c r="AD7" i="6"/>
  <c r="Z4" i="6"/>
  <c r="AD19" i="6"/>
  <c r="AD20" i="6"/>
  <c r="AD15" i="6"/>
  <c r="AD21" i="6"/>
  <c r="AD14" i="6"/>
  <c r="AD16" i="6"/>
  <c r="AD4" i="6"/>
  <c r="AD9" i="6"/>
  <c r="AD12" i="6"/>
  <c r="AD5" i="6"/>
  <c r="AD13" i="6"/>
  <c r="AD10" i="6"/>
  <c r="AD8" i="6"/>
  <c r="AD11" i="6"/>
  <c r="T2" i="6" l="1"/>
  <c r="N32" i="6" a="1"/>
  <c r="N32" i="6" s="1"/>
  <c r="P32" i="6" s="1"/>
  <c r="N31" i="6" a="1"/>
  <c r="N31" i="6" s="1"/>
  <c r="O31" i="6" s="1"/>
  <c r="N30" i="6" a="1"/>
  <c r="N30" i="6" s="1"/>
  <c r="O30" i="6" s="1"/>
  <c r="K32" i="6"/>
  <c r="J32" i="6"/>
  <c r="Q11" i="6"/>
  <c r="Q16" i="6" s="1"/>
  <c r="P11" i="6"/>
  <c r="P16" i="6" s="1"/>
  <c r="N11" i="6"/>
  <c r="M11" i="6"/>
  <c r="Q2" i="6"/>
  <c r="P2" i="6"/>
  <c r="O2" i="6"/>
  <c r="G2" i="6"/>
  <c r="Z5" i="6"/>
  <c r="Z28" i="6"/>
  <c r="K3" i="6" a="1"/>
  <c r="Z24" i="6"/>
  <c r="K2" i="6" a="1"/>
  <c r="Z26" i="6"/>
  <c r="Z30" i="6"/>
  <c r="O32" i="6" l="1"/>
  <c r="Q32" i="6" s="1"/>
  <c r="R32" i="6" s="1"/>
  <c r="G6" i="5" s="1"/>
  <c r="T3" i="6"/>
  <c r="F4" i="5"/>
  <c r="P30" i="6"/>
  <c r="Q30" i="6" s="1"/>
  <c r="R30" i="6" s="1"/>
  <c r="G4" i="5" s="1"/>
  <c r="F5" i="5"/>
  <c r="M2" i="6"/>
  <c r="P31" i="6"/>
  <c r="Q31" i="6" s="1"/>
  <c r="F6" i="5"/>
  <c r="K2" i="6"/>
  <c r="K3" i="6"/>
  <c r="R31" i="6" l="1"/>
  <c r="G5" i="5" s="1"/>
  <c r="K5" i="6"/>
  <c r="K8" i="6"/>
  <c r="K15" i="6" s="1"/>
  <c r="N5" i="6" s="1"/>
  <c r="T4" i="6" s="1"/>
  <c r="K6" i="6"/>
  <c r="K12" i="6" s="1"/>
  <c r="N7" i="6" s="1"/>
  <c r="K9" i="6"/>
  <c r="K16" i="6" s="1"/>
  <c r="N8" i="6" s="1"/>
  <c r="T5" i="6" s="1"/>
  <c r="T7" i="6" l="1"/>
  <c r="O7" i="6"/>
  <c r="P7" i="6" s="1"/>
  <c r="G4" i="6"/>
  <c r="K11" i="6"/>
  <c r="J20" i="6" s="1"/>
  <c r="J21" i="6" s="1"/>
  <c r="J22" i="6" s="1"/>
  <c r="J23" i="6" s="1"/>
  <c r="J24" i="6" s="1"/>
  <c r="J25" i="6" s="1"/>
  <c r="J26" i="6" s="1"/>
  <c r="J27" i="6" s="1"/>
  <c r="J28" i="6" s="1"/>
  <c r="J29" i="6" s="1"/>
  <c r="J30" i="6" s="1"/>
  <c r="J31" i="6" s="1"/>
  <c r="K13" i="6"/>
  <c r="G5" i="6" l="1"/>
  <c r="O8" i="6"/>
  <c r="Q7" i="6"/>
  <c r="P8" i="6"/>
  <c r="N4" i="6"/>
  <c r="T6" i="6" s="1"/>
  <c r="H4" i="6"/>
  <c r="H5" i="6" s="1"/>
  <c r="H6" i="6" s="1"/>
  <c r="H7" i="6" s="1"/>
  <c r="H8" i="6" s="1"/>
  <c r="H9" i="6" s="1"/>
  <c r="H10" i="6" s="1"/>
  <c r="H11" i="6" s="1"/>
  <c r="H12" i="6" s="1"/>
  <c r="H13" i="6" s="1"/>
  <c r="H14" i="6" s="1"/>
  <c r="H15" i="6" s="1"/>
  <c r="H16" i="6" s="1"/>
  <c r="H17" i="6" s="1"/>
  <c r="H18" i="6" s="1"/>
  <c r="H19" i="6" s="1"/>
  <c r="H20" i="6" s="1"/>
  <c r="H21" i="6" s="1"/>
  <c r="H22" i="6" s="1"/>
  <c r="H23" i="6" s="1"/>
  <c r="H24" i="6" s="1"/>
  <c r="H25" i="6" s="1"/>
  <c r="H26" i="6" s="1"/>
  <c r="H27" i="6" s="1"/>
  <c r="H28" i="6" s="1"/>
  <c r="H29" i="6" s="1"/>
  <c r="H30" i="6" s="1"/>
  <c r="H31" i="6" s="1"/>
  <c r="H32" i="6" s="1"/>
  <c r="H33" i="6" s="1"/>
  <c r="H34" i="6" s="1"/>
  <c r="H35" i="6" s="1"/>
  <c r="H36" i="6" s="1"/>
  <c r="H37" i="6" s="1"/>
  <c r="H38" i="6" s="1"/>
  <c r="H39" i="6" s="1"/>
  <c r="H40" i="6" s="1"/>
  <c r="H41" i="6" s="1"/>
  <c r="H42" i="6" s="1"/>
  <c r="H43" i="6" s="1"/>
  <c r="H44" i="6" s="1"/>
  <c r="H45" i="6" s="1"/>
  <c r="H46" i="6" s="1"/>
  <c r="H47" i="6" s="1"/>
  <c r="H48" i="6" s="1"/>
  <c r="H49" i="6" s="1"/>
  <c r="H50" i="6" s="1"/>
  <c r="H51" i="6" s="1"/>
  <c r="H52" i="6" s="1"/>
  <c r="H53" i="6" s="1"/>
  <c r="H54" i="6" s="1"/>
  <c r="H55" i="6" s="1"/>
  <c r="H56" i="6" s="1"/>
  <c r="K20" i="6"/>
  <c r="K21" i="6" s="1"/>
  <c r="K22" i="6" s="1"/>
  <c r="K23" i="6" s="1"/>
  <c r="K24" i="6" s="1"/>
  <c r="K25" i="6" s="1"/>
  <c r="K26" i="6" s="1"/>
  <c r="K27" i="6" s="1"/>
  <c r="K28" i="6" s="1"/>
  <c r="K29" i="6" s="1"/>
  <c r="K30" i="6" s="1"/>
  <c r="K31" i="6" s="1"/>
  <c r="K14" i="6"/>
  <c r="J18" i="6"/>
  <c r="G6" i="6" l="1"/>
  <c r="G7" i="6" s="1"/>
  <c r="G8" i="6" s="1"/>
  <c r="G9" i="6" s="1"/>
  <c r="G10" i="6" s="1"/>
  <c r="G11" i="6" s="1"/>
  <c r="G12" i="6" s="1"/>
  <c r="G13" i="6" s="1"/>
  <c r="G14" i="6" s="1"/>
  <c r="G15" i="6" s="1"/>
  <c r="G16" i="6" s="1"/>
  <c r="G17" i="6" s="1"/>
  <c r="G18" i="6" s="1"/>
  <c r="G19" i="6" s="1"/>
  <c r="G20" i="6" s="1"/>
  <c r="G21" i="6" s="1"/>
  <c r="G22" i="6" s="1"/>
  <c r="G23" i="6" s="1"/>
  <c r="G24" i="6" s="1"/>
  <c r="G25" i="6" s="1"/>
  <c r="G26" i="6" s="1"/>
  <c r="G27" i="6" s="1"/>
  <c r="G28" i="6" s="1"/>
  <c r="G29" i="6" s="1"/>
  <c r="G30" i="6" s="1"/>
  <c r="G31" i="6" s="1"/>
  <c r="G32" i="6" s="1"/>
  <c r="G33" i="6" s="1"/>
  <c r="G34" i="6" s="1"/>
  <c r="G35" i="6" s="1"/>
  <c r="G36" i="6" s="1"/>
  <c r="G37" i="6" s="1"/>
  <c r="G38" i="6" s="1"/>
  <c r="G39" i="6" s="1"/>
  <c r="G40" i="6" s="1"/>
  <c r="G41" i="6" s="1"/>
  <c r="G42" i="6" s="1"/>
  <c r="G43" i="6" s="1"/>
  <c r="G44" i="6" s="1"/>
  <c r="G45" i="6" s="1"/>
  <c r="G46" i="6" s="1"/>
  <c r="G47" i="6" s="1"/>
  <c r="G48" i="6" s="1"/>
  <c r="G49" i="6" s="1"/>
  <c r="G50" i="6" s="1"/>
  <c r="G51" i="6" s="1"/>
  <c r="G52" i="6" s="1"/>
  <c r="G53" i="6" s="1"/>
  <c r="G54" i="6" s="1"/>
  <c r="G55" i="6" s="1"/>
  <c r="G56" i="6" s="1"/>
  <c r="T9" i="6"/>
  <c r="V3" i="6" s="1"/>
  <c r="H10" i="5" s="1"/>
  <c r="O4" i="6"/>
  <c r="P4" i="6" s="1"/>
  <c r="K18" i="6"/>
  <c r="O5" i="6" l="1"/>
  <c r="Q4" i="6"/>
  <c r="P5" i="6"/>
  <c r="V4" i="6"/>
  <c r="V5" i="6"/>
  <c r="V6" i="6"/>
  <c r="V7" i="6"/>
  <c r="V8" i="6"/>
  <c r="M10" i="5" l="1"/>
  <c r="L10" i="5"/>
  <c r="K10" i="5"/>
  <c r="J10" i="5"/>
  <c r="I10" i="5"/>
  <c r="V9" i="6"/>
  <c r="N10" i="5" l="1"/>
  <c r="V10" i="6"/>
  <c r="O10" i="5" l="1"/>
  <c r="V11" i="6"/>
  <c r="V12" i="6"/>
  <c r="V13" i="6"/>
  <c r="V14" i="6"/>
  <c r="V15" i="6"/>
  <c r="V16" i="6"/>
  <c r="V17" i="6"/>
  <c r="V18" i="6"/>
  <c r="V19" i="6"/>
  <c r="V20" i="6"/>
  <c r="V21" i="6"/>
  <c r="V22" i="6"/>
  <c r="V23" i="6"/>
  <c r="V24" i="6"/>
  <c r="V25" i="6"/>
  <c r="V26" i="6"/>
  <c r="V27" i="6"/>
  <c r="V28" i="6"/>
  <c r="V29" i="6"/>
  <c r="V30" i="6"/>
  <c r="V31" i="6"/>
  <c r="V32" i="6"/>
  <c r="V33" i="6"/>
  <c r="V34" i="6"/>
  <c r="V35" i="6"/>
  <c r="V36" i="6"/>
  <c r="V37" i="6"/>
  <c r="V38" i="6"/>
  <c r="V39" i="6"/>
  <c r="V40" i="6"/>
  <c r="V41" i="6"/>
  <c r="V42" i="6"/>
  <c r="V43" i="6"/>
  <c r="V44" i="6"/>
  <c r="V45" i="6"/>
  <c r="V46" i="6"/>
  <c r="V47" i="6"/>
  <c r="V48" i="6"/>
  <c r="V49" i="6"/>
  <c r="V50" i="6"/>
  <c r="V51" i="6"/>
  <c r="V52" i="6"/>
  <c r="V53" i="6"/>
  <c r="V54" i="6"/>
  <c r="V55" i="6"/>
  <c r="V56" i="6"/>
  <c r="V57" i="6"/>
  <c r="V58" i="6"/>
  <c r="V59" i="6"/>
  <c r="V60" i="6"/>
  <c r="V61" i="6"/>
  <c r="V62" i="6"/>
  <c r="V63" i="6"/>
  <c r="V64" i="6"/>
  <c r="V65" i="6"/>
  <c r="V66" i="6"/>
  <c r="V67" i="6"/>
  <c r="V68" i="6"/>
  <c r="V69" i="6"/>
  <c r="V70" i="6"/>
  <c r="V71" i="6"/>
  <c r="V72" i="6"/>
  <c r="V73" i="6"/>
  <c r="V74" i="6"/>
  <c r="V75" i="6"/>
  <c r="V76" i="6"/>
  <c r="V77" i="6"/>
  <c r="V78" i="6"/>
  <c r="V79" i="6"/>
  <c r="V80" i="6"/>
  <c r="V81" i="6"/>
  <c r="V82" i="6"/>
  <c r="V83" i="6"/>
  <c r="V84" i="6"/>
  <c r="V85" i="6"/>
  <c r="V86" i="6"/>
  <c r="V87" i="6"/>
  <c r="V88" i="6"/>
  <c r="V89" i="6"/>
  <c r="V90" i="6"/>
  <c r="V91" i="6"/>
  <c r="V92" i="6"/>
  <c r="V93" i="6"/>
  <c r="V94" i="6"/>
  <c r="V95" i="6"/>
  <c r="V96" i="6"/>
  <c r="V97" i="6"/>
  <c r="V98" i="6"/>
  <c r="V99" i="6"/>
  <c r="V100" i="6"/>
  <c r="V101" i="6"/>
  <c r="V102" i="6"/>
  <c r="V103" i="6"/>
  <c r="V104" i="6"/>
  <c r="V105" i="6"/>
  <c r="V106" i="6"/>
  <c r="V107" i="6"/>
  <c r="V108" i="6"/>
  <c r="V109" i="6"/>
  <c r="V110" i="6"/>
  <c r="V111" i="6"/>
  <c r="V112" i="6"/>
  <c r="V113" i="6"/>
  <c r="V114" i="6"/>
  <c r="V115" i="6"/>
  <c r="V116" i="6"/>
  <c r="V117" i="6"/>
  <c r="V118" i="6"/>
  <c r="V119" i="6"/>
  <c r="V120" i="6"/>
  <c r="V121" i="6"/>
  <c r="V122" i="6"/>
  <c r="V123" i="6"/>
  <c r="V124" i="6"/>
  <c r="V125" i="6"/>
  <c r="V126" i="6"/>
  <c r="V127" i="6"/>
  <c r="V128" i="6"/>
  <c r="V129" i="6"/>
  <c r="V130" i="6"/>
  <c r="V131" i="6"/>
  <c r="V132" i="6"/>
  <c r="V133" i="6"/>
  <c r="V134" i="6"/>
  <c r="V135" i="6"/>
  <c r="V136" i="6"/>
  <c r="V137" i="6"/>
  <c r="V138" i="6"/>
  <c r="V139" i="6"/>
  <c r="V140" i="6"/>
  <c r="V141" i="6"/>
  <c r="V142" i="6"/>
  <c r="V143" i="6"/>
  <c r="V144" i="6"/>
  <c r="V145" i="6"/>
  <c r="V146" i="6"/>
  <c r="V147" i="6"/>
  <c r="V148" i="6"/>
  <c r="V149" i="6"/>
  <c r="V150" i="6"/>
  <c r="V151" i="6"/>
  <c r="V152" i="6"/>
  <c r="V153" i="6"/>
  <c r="V154" i="6"/>
  <c r="V155" i="6"/>
  <c r="V156" i="6"/>
  <c r="V157" i="6"/>
  <c r="V158" i="6"/>
  <c r="V159" i="6"/>
  <c r="V160" i="6"/>
  <c r="V161" i="6"/>
  <c r="V162" i="6"/>
  <c r="V163" i="6"/>
  <c r="V164" i="6"/>
  <c r="V165" i="6"/>
  <c r="V166" i="6"/>
  <c r="V167" i="6"/>
  <c r="V168" i="6"/>
  <c r="V169" i="6"/>
  <c r="V170" i="6"/>
  <c r="V171" i="6"/>
  <c r="V172" i="6"/>
  <c r="V173" i="6"/>
  <c r="V174" i="6"/>
  <c r="V175" i="6"/>
  <c r="V176" i="6"/>
  <c r="V177" i="6"/>
  <c r="V178" i="6"/>
  <c r="V179" i="6"/>
  <c r="V180" i="6"/>
  <c r="V181" i="6"/>
  <c r="V182" i="6"/>
  <c r="V183" i="6"/>
  <c r="V184" i="6"/>
  <c r="V185" i="6"/>
  <c r="V186" i="6"/>
  <c r="V187" i="6"/>
  <c r="V188" i="6"/>
  <c r="V189" i="6"/>
  <c r="V190" i="6"/>
  <c r="V191" i="6"/>
  <c r="V192" i="6"/>
  <c r="V193" i="6"/>
  <c r="V194" i="6"/>
  <c r="V195" i="6"/>
  <c r="V196" i="6"/>
  <c r="V197" i="6"/>
  <c r="V198" i="6"/>
  <c r="V199" i="6"/>
  <c r="V200" i="6"/>
  <c r="V201" i="6"/>
  <c r="V202" i="6"/>
  <c r="V203" i="6"/>
  <c r="V204" i="6"/>
  <c r="V205" i="6"/>
  <c r="V206" i="6"/>
  <c r="V207" i="6"/>
  <c r="V208" i="6"/>
  <c r="V209" i="6"/>
  <c r="V210" i="6"/>
  <c r="V211" i="6"/>
  <c r="V212" i="6"/>
  <c r="V213" i="6"/>
  <c r="V214" i="6"/>
  <c r="V215" i="6"/>
  <c r="V216" i="6"/>
  <c r="V217" i="6"/>
  <c r="V218" i="6"/>
  <c r="V219" i="6"/>
  <c r="V220" i="6"/>
  <c r="V221" i="6"/>
  <c r="V222" i="6"/>
  <c r="V223" i="6"/>
  <c r="V224" i="6"/>
  <c r="V225" i="6"/>
  <c r="V226" i="6"/>
  <c r="V227" i="6"/>
  <c r="V228" i="6"/>
  <c r="V229" i="6"/>
  <c r="V230" i="6"/>
  <c r="V231" i="6"/>
  <c r="V232" i="6"/>
  <c r="V233" i="6"/>
  <c r="V234" i="6"/>
  <c r="V235" i="6"/>
  <c r="V236" i="6"/>
  <c r="V237" i="6"/>
  <c r="V238" i="6"/>
  <c r="V239" i="6"/>
  <c r="V240" i="6"/>
  <c r="V241" i="6"/>
  <c r="V242" i="6"/>
  <c r="V243" i="6"/>
  <c r="V244" i="6"/>
  <c r="V245" i="6"/>
  <c r="V246" i="6"/>
  <c r="V247" i="6"/>
  <c r="V248" i="6"/>
  <c r="V249" i="6"/>
  <c r="V250" i="6"/>
  <c r="V251" i="6"/>
  <c r="V252" i="6"/>
  <c r="V253" i="6"/>
  <c r="V254" i="6"/>
  <c r="V255" i="6"/>
  <c r="V256" i="6"/>
  <c r="V257" i="6"/>
  <c r="V258" i="6"/>
  <c r="V259" i="6"/>
  <c r="V260" i="6"/>
  <c r="V261" i="6"/>
  <c r="V262" i="6"/>
  <c r="V263" i="6"/>
  <c r="AC10" i="5" l="1"/>
  <c r="AB10" i="5"/>
  <c r="AA10" i="5"/>
  <c r="Z10" i="5"/>
  <c r="Y10" i="5"/>
  <c r="X10" i="5"/>
  <c r="W10" i="5"/>
  <c r="V10" i="5"/>
  <c r="U10" i="5"/>
  <c r="T10" i="5"/>
  <c r="S10" i="5"/>
  <c r="R10" i="5"/>
  <c r="Q10" i="5"/>
  <c r="P10" i="5"/>
  <c r="V264" i="6"/>
  <c r="V265" i="6" s="1"/>
  <c r="V266" i="6" s="1"/>
  <c r="V267" i="6" s="1"/>
  <c r="V268" i="6" s="1"/>
  <c r="V269" i="6" s="1"/>
  <c r="V270" i="6" s="1"/>
  <c r="V271" i="6" s="1"/>
  <c r="V272" i="6" s="1"/>
  <c r="V273" i="6" s="1"/>
  <c r="V274" i="6" s="1"/>
  <c r="V275" i="6" s="1"/>
  <c r="V276" i="6" s="1"/>
  <c r="V277" i="6" s="1"/>
  <c r="V278" i="6" s="1"/>
  <c r="V279" i="6" s="1"/>
  <c r="V280" i="6" s="1"/>
  <c r="V281" i="6" s="1"/>
  <c r="V282" i="6" s="1"/>
  <c r="V283" i="6" s="1"/>
  <c r="V284" i="6" s="1"/>
  <c r="V285" i="6" s="1"/>
  <c r="V286" i="6" s="1"/>
  <c r="V287" i="6" s="1"/>
  <c r="V288" i="6" s="1"/>
  <c r="V289" i="6" s="1"/>
  <c r="V290" i="6" s="1"/>
  <c r="V291" i="6" s="1"/>
  <c r="V292" i="6" s="1"/>
  <c r="V293" i="6" s="1"/>
  <c r="V294" i="6" s="1"/>
  <c r="V295" i="6" s="1"/>
  <c r="V296" i="6" s="1"/>
  <c r="V297" i="6" s="1"/>
  <c r="V298" i="6" s="1"/>
  <c r="V299" i="6" s="1"/>
  <c r="V300" i="6" s="1"/>
  <c r="V301" i="6" s="1"/>
  <c r="V302" i="6" s="1"/>
  <c r="V303" i="6" s="1"/>
  <c r="V304" i="6" s="1"/>
  <c r="V305" i="6" s="1"/>
  <c r="V306" i="6" s="1"/>
  <c r="V307" i="6" s="1"/>
  <c r="V308" i="6" s="1"/>
  <c r="V309" i="6" s="1"/>
  <c r="V310" i="6" s="1"/>
  <c r="V311" i="6" s="1"/>
  <c r="V312" i="6" s="1"/>
  <c r="V313" i="6" s="1"/>
  <c r="V314" i="6" s="1"/>
  <c r="V315" i="6" s="1"/>
  <c r="V316" i="6" s="1"/>
  <c r="V317" i="6" s="1"/>
  <c r="V318" i="6" s="1"/>
  <c r="V319" i="6" s="1"/>
  <c r="V320" i="6" s="1"/>
  <c r="V321" i="6" s="1"/>
  <c r="V322" i="6" s="1"/>
  <c r="V323" i="6" s="1"/>
  <c r="V324" i="6" s="1"/>
  <c r="V325" i="6" s="1"/>
  <c r="V326" i="6" s="1"/>
  <c r="V327" i="6" s="1"/>
  <c r="V328" i="6" s="1"/>
  <c r="V329" i="6" s="1"/>
  <c r="V330" i="6" s="1"/>
  <c r="V331" i="6" s="1"/>
  <c r="V332" i="6" s="1"/>
  <c r="V333" i="6" s="1"/>
  <c r="V334" i="6" s="1"/>
  <c r="V335" i="6" s="1"/>
  <c r="V336" i="6" s="1"/>
  <c r="V337" i="6" s="1"/>
  <c r="V338" i="6" s="1"/>
  <c r="V339" i="6" s="1"/>
  <c r="V340" i="6" s="1"/>
  <c r="V341" i="6" s="1"/>
  <c r="V342" i="6" s="1"/>
  <c r="V343" i="6" s="1"/>
  <c r="V344" i="6" s="1"/>
  <c r="V345" i="6" s="1"/>
  <c r="V346" i="6" s="1"/>
  <c r="V347" i="6" s="1"/>
  <c r="V348" i="6" s="1"/>
  <c r="V349" i="6" s="1"/>
  <c r="V350" i="6" s="1"/>
  <c r="V351" i="6" s="1"/>
  <c r="V352" i="6" s="1"/>
  <c r="V353" i="6" s="1"/>
  <c r="V354" i="6" s="1"/>
  <c r="V355" i="6" s="1"/>
  <c r="V356" i="6" s="1"/>
  <c r="V357" i="6" s="1"/>
  <c r="V358" i="6" s="1"/>
  <c r="V359" i="6" s="1"/>
  <c r="V360" i="6" s="1"/>
  <c r="V361" i="6" s="1"/>
  <c r="V362" i="6" s="1"/>
  <c r="V363" i="6" s="1"/>
  <c r="V364" i="6" s="1"/>
  <c r="V365" i="6" s="1"/>
  <c r="V366" i="6" s="1"/>
  <c r="V367" i="6" s="1"/>
  <c r="V368" i="6" s="1"/>
  <c r="V369" i="6" s="1"/>
  <c r="V370" i="6" s="1"/>
  <c r="V371" i="6" s="1"/>
  <c r="V372" i="6" s="1"/>
  <c r="V373" i="6" s="1"/>
  <c r="V374" i="6" s="1"/>
  <c r="V375" i="6" s="1"/>
  <c r="V376" i="6" s="1"/>
  <c r="V377" i="6" s="1"/>
  <c r="V378" i="6" s="1"/>
  <c r="V379" i="6" s="1"/>
  <c r="V380" i="6" s="1"/>
  <c r="V381" i="6" s="1"/>
  <c r="V382" i="6" s="1"/>
  <c r="V383" i="6" s="1"/>
  <c r="V384" i="6" s="1"/>
  <c r="V385" i="6" s="1"/>
  <c r="V386" i="6" s="1"/>
  <c r="V387" i="6" s="1"/>
  <c r="V388" i="6" s="1"/>
  <c r="V389" i="6" s="1"/>
  <c r="V390" i="6" s="1"/>
  <c r="V391" i="6" s="1"/>
  <c r="V392" i="6" s="1"/>
  <c r="V393" i="6" s="1"/>
  <c r="V394" i="6" s="1"/>
  <c r="V395" i="6" s="1"/>
  <c r="V396" i="6" s="1"/>
  <c r="V397" i="6" s="1"/>
  <c r="V398" i="6" s="1"/>
  <c r="V399" i="6" s="1"/>
  <c r="V400" i="6" s="1"/>
  <c r="V401" i="6" s="1"/>
  <c r="V402" i="6" s="1"/>
  <c r="V403" i="6" s="1"/>
  <c r="V404" i="6" s="1"/>
  <c r="V405" i="6" s="1"/>
  <c r="V406" i="6" s="1"/>
  <c r="V407" i="6" s="1"/>
  <c r="V408" i="6" s="1"/>
  <c r="V409" i="6" s="1"/>
  <c r="V410" i="6" s="1"/>
  <c r="V411" i="6" s="1"/>
  <c r="V412" i="6" s="1"/>
  <c r="V413" i="6" s="1"/>
  <c r="V414" i="6" s="1"/>
  <c r="V415" i="6" s="1"/>
  <c r="V416" i="6" s="1"/>
  <c r="V417" i="6" s="1"/>
  <c r="V418" i="6" s="1"/>
  <c r="V419" i="6" s="1"/>
  <c r="V420" i="6" s="1"/>
  <c r="V421" i="6" s="1"/>
  <c r="V422" i="6" s="1"/>
  <c r="V423" i="6" s="1"/>
  <c r="V424" i="6" s="1"/>
  <c r="V425" i="6" s="1"/>
  <c r="V426" i="6" s="1"/>
  <c r="V427" i="6" s="1"/>
  <c r="V428" i="6" s="1"/>
  <c r="V429" i="6" s="1"/>
  <c r="V430" i="6" s="1"/>
  <c r="V431" i="6" s="1"/>
  <c r="V432" i="6" s="1"/>
  <c r="V433" i="6" s="1"/>
  <c r="V434" i="6" s="1"/>
  <c r="V435" i="6" s="1"/>
  <c r="V436" i="6" s="1"/>
  <c r="V437" i="6" s="1"/>
  <c r="V438" i="6" s="1"/>
  <c r="V439" i="6" s="1"/>
  <c r="V440" i="6" s="1"/>
  <c r="V441" i="6" s="1"/>
  <c r="V442" i="6" s="1"/>
  <c r="V443" i="6" s="1"/>
  <c r="V444" i="6" s="1"/>
  <c r="V445" i="6" s="1"/>
  <c r="V446" i="6" s="1"/>
  <c r="V447" i="6" s="1"/>
  <c r="V448" i="6" s="1"/>
  <c r="V449" i="6" s="1"/>
  <c r="V450" i="6" s="1"/>
  <c r="V451" i="6" s="1"/>
  <c r="V452" i="6" s="1"/>
  <c r="V453" i="6" s="1"/>
  <c r="V454" i="6" s="1"/>
  <c r="V455" i="6" s="1"/>
  <c r="V456" i="6" s="1"/>
  <c r="V457" i="6" s="1"/>
  <c r="V458" i="6" s="1"/>
  <c r="V459" i="6" s="1"/>
  <c r="V460" i="6" s="1"/>
  <c r="V461" i="6" s="1"/>
  <c r="V462" i="6" s="1"/>
  <c r="V463" i="6" s="1"/>
  <c r="V464" i="6" s="1"/>
  <c r="V465" i="6" s="1"/>
  <c r="V466" i="6" s="1"/>
  <c r="V467" i="6" s="1"/>
  <c r="V468" i="6" s="1"/>
  <c r="V469" i="6" s="1"/>
  <c r="V470" i="6" s="1"/>
  <c r="V471" i="6" s="1"/>
  <c r="V472" i="6" s="1"/>
  <c r="V473" i="6" s="1"/>
  <c r="V474" i="6" s="1"/>
  <c r="V475" i="6" s="1"/>
  <c r="V476" i="6" s="1"/>
  <c r="V477" i="6" s="1"/>
  <c r="V478" i="6" s="1"/>
  <c r="V479" i="6" s="1"/>
  <c r="V480" i="6" s="1"/>
  <c r="V481" i="6" s="1"/>
  <c r="V482" i="6" s="1"/>
  <c r="V483" i="6" s="1"/>
  <c r="V484" i="6" s="1"/>
  <c r="V485" i="6" s="1"/>
  <c r="V486" i="6" s="1"/>
  <c r="V487" i="6" s="1"/>
  <c r="V488" i="6" s="1"/>
  <c r="V489" i="6" s="1"/>
  <c r="V490" i="6" s="1"/>
  <c r="V491" i="6" s="1"/>
  <c r="V492" i="6" s="1"/>
  <c r="V493" i="6" s="1"/>
  <c r="V494" i="6" s="1"/>
  <c r="V495" i="6" s="1"/>
  <c r="V496" i="6" s="1"/>
  <c r="V497" i="6" s="1"/>
  <c r="V498" i="6" s="1"/>
  <c r="V499" i="6" s="1"/>
  <c r="V500" i="6" s="1"/>
  <c r="V501" i="6" s="1"/>
  <c r="V502" i="6" s="1"/>
  <c r="V1" i="6" s="1"/>
  <c r="T11" i="6" s="1"/>
  <c r="Y5" i="6" a="1"/>
  <c r="Y5" i="6" l="1"/>
  <c r="Z13" i="6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211D380-5A10-4777-ACA6-6E31822F99F2}" keepAlive="1" name="Query - data" description="Connection to the 'data' query in the workbook." type="5" refreshedVersion="7" background="1" saveData="1">
    <dbPr connection="Provider=Microsoft.Mashup.OleDb.1;Data Source=$Workbook$;Location=data;Extended Properties=&quot;&quot;" command="SELECT * FROM [data]"/>
  </connection>
  <connection id="2" xr16:uid="{8A46C5B0-34C0-4C4C-8FBF-4DE05C395192}" keepAlive="1" name="Query - meta" description="Connection to the 'meta' query in the workbook." type="5" refreshedVersion="7" background="1" saveData="1">
    <dbPr connection="Provider=Microsoft.Mashup.OleDb.1;Data Source=$Workbook$;Location=meta;Extended Properties=&quot;&quot;" command="SELECT * FROM [meta]"/>
  </connection>
</connections>
</file>

<file path=xl/sharedStrings.xml><?xml version="1.0" encoding="utf-8"?>
<sst xmlns="http://schemas.openxmlformats.org/spreadsheetml/2006/main" count="2134" uniqueCount="890">
  <si>
    <t>VARIABLE</t>
  </si>
  <si>
    <t>SOURCE</t>
  </si>
  <si>
    <t>FREQUENCY</t>
  </si>
  <si>
    <t>DESCRIPTION</t>
  </si>
  <si>
    <t>UNIT</t>
  </si>
  <si>
    <t>TYPE</t>
  </si>
  <si>
    <t>period_y</t>
  </si>
  <si>
    <t>period_q</t>
  </si>
  <si>
    <t>period_m</t>
  </si>
  <si>
    <t>ngdp_total_p</t>
  </si>
  <si>
    <t>ngdp_agri_p</t>
  </si>
  <si>
    <t>ngdp_mining_p</t>
  </si>
  <si>
    <t>ngdp_manu_p</t>
  </si>
  <si>
    <t>ngdp_infra_p</t>
  </si>
  <si>
    <t>ngdp_const_p</t>
  </si>
  <si>
    <t>ngdp_trade_p</t>
  </si>
  <si>
    <t>ngdp_trans_p</t>
  </si>
  <si>
    <t>ngdp_comm_p</t>
  </si>
  <si>
    <t>ngdp_serv_p</t>
  </si>
  <si>
    <t>ngdp_tax_p</t>
  </si>
  <si>
    <t>rgdp_total_p</t>
  </si>
  <si>
    <t>rgdp_agri_p</t>
  </si>
  <si>
    <t>rgdp_mining_p</t>
  </si>
  <si>
    <t>rgdp_manu_p</t>
  </si>
  <si>
    <t>rgdp_infra_p</t>
  </si>
  <si>
    <t>rgdp_const_p</t>
  </si>
  <si>
    <t>rgdp_trade_p</t>
  </si>
  <si>
    <t>rgdp_trans_p</t>
  </si>
  <si>
    <t>rgdp_comm_p</t>
  </si>
  <si>
    <t>rgdp_serv_p</t>
  </si>
  <si>
    <t>rgdp_tax_p</t>
  </si>
  <si>
    <t>ngdp_total_e</t>
  </si>
  <si>
    <t>ngdp_consumpt_e</t>
  </si>
  <si>
    <t>ngdp_govcons_e</t>
  </si>
  <si>
    <t>ngdp_invstfixed_e</t>
  </si>
  <si>
    <t>ngdp_invstcurrent_e</t>
  </si>
  <si>
    <t>ngdp_exp_e</t>
  </si>
  <si>
    <t>ngdp_imp_e</t>
  </si>
  <si>
    <t>rgdp_total_e</t>
  </si>
  <si>
    <t>rgdp_consumpt_e</t>
  </si>
  <si>
    <t>rgdp_govcons_e</t>
  </si>
  <si>
    <t>rgdp_invstfixed_e</t>
  </si>
  <si>
    <t>rgdp_invstcurrent_e</t>
  </si>
  <si>
    <t>rgdp_exp_e</t>
  </si>
  <si>
    <t>rgdp_imp_e</t>
  </si>
  <si>
    <t>emp_total</t>
  </si>
  <si>
    <t>emp_male</t>
  </si>
  <si>
    <t>emp_female</t>
  </si>
  <si>
    <t>emp_un</t>
  </si>
  <si>
    <t>emp_un_male</t>
  </si>
  <si>
    <t>emp_un_female</t>
  </si>
  <si>
    <t>emp_inactive</t>
  </si>
  <si>
    <t>emp_inactive_male</t>
  </si>
  <si>
    <t>emp_inactive_female</t>
  </si>
  <si>
    <t>wage_total</t>
  </si>
  <si>
    <t>wage_agri</t>
  </si>
  <si>
    <t>wage_mining</t>
  </si>
  <si>
    <t>wage_manu</t>
  </si>
  <si>
    <t>wage_infra_elec</t>
  </si>
  <si>
    <t>wage_infra_water</t>
  </si>
  <si>
    <t>wage_const</t>
  </si>
  <si>
    <t>wage_trade</t>
  </si>
  <si>
    <t>wage_trans</t>
  </si>
  <si>
    <t>wage_food</t>
  </si>
  <si>
    <t>wage_comm</t>
  </si>
  <si>
    <t>wage_fin</t>
  </si>
  <si>
    <t>wage_estate</t>
  </si>
  <si>
    <t>wage_edu</t>
  </si>
  <si>
    <t>wage_health</t>
  </si>
  <si>
    <t>wage_entertain</t>
  </si>
  <si>
    <t>wage_othserv</t>
  </si>
  <si>
    <t>budget_income_opin</t>
  </si>
  <si>
    <t>budget_income_tax</t>
  </si>
  <si>
    <t>budget_income_tax_inc</t>
  </si>
  <si>
    <t>budget_income_tax_inc_corp</t>
  </si>
  <si>
    <t>budget_income_tax_inc_indiv</t>
  </si>
  <si>
    <t>budget_income_tax_socinsur</t>
  </si>
  <si>
    <t>budget_income_tax_vat</t>
  </si>
  <si>
    <t>budget_income_tax_special</t>
  </si>
  <si>
    <t>budget_income_nontax</t>
  </si>
  <si>
    <t>budget_exp_opex</t>
  </si>
  <si>
    <t>budget_exp_lending</t>
  </si>
  <si>
    <t>budget_exp_goods</t>
  </si>
  <si>
    <t>budget_exp_salary</t>
  </si>
  <si>
    <t>budget_exp_interest</t>
  </si>
  <si>
    <t>budget_exp_subsidy</t>
  </si>
  <si>
    <t>budget_exp_govtran</t>
  </si>
  <si>
    <t>budget_exp_othcur</t>
  </si>
  <si>
    <t>budget_exp_capex</t>
  </si>
  <si>
    <t>ms_m1</t>
  </si>
  <si>
    <t>ms_m2</t>
  </si>
  <si>
    <t>rate_saving_mnt</t>
  </si>
  <si>
    <t>rate_saving_fc</t>
  </si>
  <si>
    <t>rate_loan_mnt</t>
  </si>
  <si>
    <t>rate_loan_fc</t>
  </si>
  <si>
    <t>rate_policy</t>
  </si>
  <si>
    <t>cpi_total</t>
  </si>
  <si>
    <t>cpi_foodnonal</t>
  </si>
  <si>
    <t>cpi_beverage</t>
  </si>
  <si>
    <t>cpi_cloth</t>
  </si>
  <si>
    <t>cpi_comdity</t>
  </si>
  <si>
    <t>cpi_furnish</t>
  </si>
  <si>
    <t>cpi_health</t>
  </si>
  <si>
    <t>cpi_trans</t>
  </si>
  <si>
    <t>cpi_comm</t>
  </si>
  <si>
    <t>cpi_culture</t>
  </si>
  <si>
    <t>cpi_edu</t>
  </si>
  <si>
    <t>cpi_res</t>
  </si>
  <si>
    <t>cpi_oth</t>
  </si>
  <si>
    <t>tb_export</t>
  </si>
  <si>
    <t>tb_export_mining</t>
  </si>
  <si>
    <t>tb_export_mining_gold</t>
  </si>
  <si>
    <t>tb_export_mining_copp</t>
  </si>
  <si>
    <t>tb_export_mining_iron</t>
  </si>
  <si>
    <t>tb_export_mining_zinc</t>
  </si>
  <si>
    <t>tb_export_mining_coal</t>
  </si>
  <si>
    <t>tb_export_mining_oil</t>
  </si>
  <si>
    <t>tb_export_livestock</t>
  </si>
  <si>
    <t>tb_export_livestock_meat</t>
  </si>
  <si>
    <t>tb_export_livestock_leather</t>
  </si>
  <si>
    <t>tb_export_livestock_cashmere</t>
  </si>
  <si>
    <t>tb_export_farm</t>
  </si>
  <si>
    <t>tb_export_manu</t>
  </si>
  <si>
    <t>tb_export_oth</t>
  </si>
  <si>
    <t>tb_import</t>
  </si>
  <si>
    <t>tb_import_consumer</t>
  </si>
  <si>
    <t>tb_import_consumer_short</t>
  </si>
  <si>
    <t>tb_import_consumer_long</t>
  </si>
  <si>
    <t>tb_import_manu</t>
  </si>
  <si>
    <t>tb_import_manu_elect</t>
  </si>
  <si>
    <t>tb_import_invest</t>
  </si>
  <si>
    <t>tb_import_invest_vehic</t>
  </si>
  <si>
    <t>tb_import_invest_const</t>
  </si>
  <si>
    <t>tb_import_oil</t>
  </si>
  <si>
    <t>tb_import_oil_dies</t>
  </si>
  <si>
    <t>tb_import_oil_9295</t>
  </si>
  <si>
    <t>bop_current_account</t>
  </si>
  <si>
    <t>bop_current_goods</t>
  </si>
  <si>
    <t>bop_current_service</t>
  </si>
  <si>
    <t>bop_current_priminc</t>
  </si>
  <si>
    <t>bop_current_secondinc</t>
  </si>
  <si>
    <t>bop_capital_account</t>
  </si>
  <si>
    <t>bop_financial_account</t>
  </si>
  <si>
    <t>bop_financial_direct</t>
  </si>
  <si>
    <t>bop_financial_portf</t>
  </si>
  <si>
    <t>bop_financial_deriv</t>
  </si>
  <si>
    <t>bop_financial_oth</t>
  </si>
  <si>
    <t>bop_adjustment</t>
  </si>
  <si>
    <t>bop</t>
  </si>
  <si>
    <t>fxreserve</t>
  </si>
  <si>
    <t>fxreserve_security</t>
  </si>
  <si>
    <t>fxreserve_deposit</t>
  </si>
  <si>
    <t>fxreserve_imf_res</t>
  </si>
  <si>
    <t>fxreserve_sdr</t>
  </si>
  <si>
    <t>fxreserve_gold</t>
  </si>
  <si>
    <t>fxreserve_oth</t>
  </si>
  <si>
    <t>extdebt</t>
  </si>
  <si>
    <t>extdebt_gov</t>
  </si>
  <si>
    <t>extdebt_centralbank</t>
  </si>
  <si>
    <t>extdebt_deposit</t>
  </si>
  <si>
    <t>extdebt_oth</t>
  </si>
  <si>
    <t>extdebt_inv</t>
  </si>
  <si>
    <t>imf_price_coal</t>
  </si>
  <si>
    <t>imf_price_oil</t>
  </si>
  <si>
    <t>imf_price_copper</t>
  </si>
  <si>
    <t>imf_price_iron</t>
  </si>
  <si>
    <t>imf_price_gold</t>
  </si>
  <si>
    <t>loan_total_out</t>
  </si>
  <si>
    <t>loan_total_pdl</t>
  </si>
  <si>
    <t>loan_total_npl</t>
  </si>
  <si>
    <t>loan_retail_total_out</t>
  </si>
  <si>
    <t>loan_retail_total_pdl</t>
  </si>
  <si>
    <t>loan_retail_total_npl</t>
  </si>
  <si>
    <t>loan_retail_sme_out</t>
  </si>
  <si>
    <t>loan_retail_sme_pdl</t>
  </si>
  <si>
    <t>loan_retail_sme_npl</t>
  </si>
  <si>
    <t>loan_retail_salary_out</t>
  </si>
  <si>
    <t>loan_retail_card_out</t>
  </si>
  <si>
    <t>loan_retail_vehicle_out</t>
  </si>
  <si>
    <t>loan_retail_sbl_out</t>
  </si>
  <si>
    <t>loan_corp_total_out</t>
  </si>
  <si>
    <t>loan_corp_total_pdl</t>
  </si>
  <si>
    <t>loan_corp_total_npl</t>
  </si>
  <si>
    <t>loan_corp_sme_out</t>
  </si>
  <si>
    <t>loan_corp_sme_pdl</t>
  </si>
  <si>
    <t>loan_corp_sme_npl</t>
  </si>
  <si>
    <t>loan_oth_out</t>
  </si>
  <si>
    <t>depo_total</t>
  </si>
  <si>
    <t>depo_total_c</t>
  </si>
  <si>
    <t>depo_total_s</t>
  </si>
  <si>
    <t>depo_retail</t>
  </si>
  <si>
    <t>depo_retail_c</t>
  </si>
  <si>
    <t>depo_retail_s</t>
  </si>
  <si>
    <t>depo_corp</t>
  </si>
  <si>
    <t>depo_corp_c</t>
  </si>
  <si>
    <t>depo_corp_s</t>
  </si>
  <si>
    <t>depo_oth</t>
  </si>
  <si>
    <t>bank_asset</t>
  </si>
  <si>
    <t>bank_equity</t>
  </si>
  <si>
    <t>2000Q1</t>
  </si>
  <si>
    <t>2000M01</t>
  </si>
  <si>
    <t>2000M02</t>
  </si>
  <si>
    <t>2000M03</t>
  </si>
  <si>
    <t>2000Q2</t>
  </si>
  <si>
    <t>2000M04</t>
  </si>
  <si>
    <t>2000M05</t>
  </si>
  <si>
    <t>2000M06</t>
  </si>
  <si>
    <t>2000Q3</t>
  </si>
  <si>
    <t>2000M07</t>
  </si>
  <si>
    <t>2000M08</t>
  </si>
  <si>
    <t>2000M09</t>
  </si>
  <si>
    <t>2000Q4</t>
  </si>
  <si>
    <t>2000M10</t>
  </si>
  <si>
    <t>2000M11</t>
  </si>
  <si>
    <t>2000M12</t>
  </si>
  <si>
    <t>2001Q1</t>
  </si>
  <si>
    <t>2001M01</t>
  </si>
  <si>
    <t>2001M02</t>
  </si>
  <si>
    <t>2001M03</t>
  </si>
  <si>
    <t>2001Q2</t>
  </si>
  <si>
    <t>2001M04</t>
  </si>
  <si>
    <t>2001M05</t>
  </si>
  <si>
    <t>2001M06</t>
  </si>
  <si>
    <t>2001Q3</t>
  </si>
  <si>
    <t>2001M07</t>
  </si>
  <si>
    <t>2001M08</t>
  </si>
  <si>
    <t>2001M09</t>
  </si>
  <si>
    <t>2001Q4</t>
  </si>
  <si>
    <t>2001M10</t>
  </si>
  <si>
    <t>2001M11</t>
  </si>
  <si>
    <t>2001M12</t>
  </si>
  <si>
    <t>2002Q1</t>
  </si>
  <si>
    <t>2002M01</t>
  </si>
  <si>
    <t>2002M02</t>
  </si>
  <si>
    <t>2002M03</t>
  </si>
  <si>
    <t>2002Q2</t>
  </si>
  <si>
    <t>2002M04</t>
  </si>
  <si>
    <t>2002M05</t>
  </si>
  <si>
    <t>2002M06</t>
  </si>
  <si>
    <t>2002Q3</t>
  </si>
  <si>
    <t>2002M07</t>
  </si>
  <si>
    <t>2002M08</t>
  </si>
  <si>
    <t>2002M09</t>
  </si>
  <si>
    <t>2002Q4</t>
  </si>
  <si>
    <t>2002M10</t>
  </si>
  <si>
    <t>2002M11</t>
  </si>
  <si>
    <t>2002M12</t>
  </si>
  <si>
    <t>2003Q1</t>
  </si>
  <si>
    <t>2003M01</t>
  </si>
  <si>
    <t>2003M02</t>
  </si>
  <si>
    <t>2003M03</t>
  </si>
  <si>
    <t>2003Q2</t>
  </si>
  <si>
    <t>2003M04</t>
  </si>
  <si>
    <t>2003M05</t>
  </si>
  <si>
    <t>2003M06</t>
  </si>
  <si>
    <t>2003Q3</t>
  </si>
  <si>
    <t>2003M07</t>
  </si>
  <si>
    <t>2003M08</t>
  </si>
  <si>
    <t>2003M09</t>
  </si>
  <si>
    <t>2003Q4</t>
  </si>
  <si>
    <t>2003M10</t>
  </si>
  <si>
    <t>2003M11</t>
  </si>
  <si>
    <t>2003M12</t>
  </si>
  <si>
    <t>2004Q1</t>
  </si>
  <si>
    <t>2004M01</t>
  </si>
  <si>
    <t>2004M02</t>
  </si>
  <si>
    <t>2004M03</t>
  </si>
  <si>
    <t>2004Q2</t>
  </si>
  <si>
    <t>2004M04</t>
  </si>
  <si>
    <t>2004M05</t>
  </si>
  <si>
    <t>2004M06</t>
  </si>
  <si>
    <t>2004Q3</t>
  </si>
  <si>
    <t>2004M07</t>
  </si>
  <si>
    <t>2004M08</t>
  </si>
  <si>
    <t>2004M09</t>
  </si>
  <si>
    <t>2004Q4</t>
  </si>
  <si>
    <t>2004M10</t>
  </si>
  <si>
    <t>2004M11</t>
  </si>
  <si>
    <t>2004M12</t>
  </si>
  <si>
    <t>2005Q1</t>
  </si>
  <si>
    <t>2005M01</t>
  </si>
  <si>
    <t>2005M02</t>
  </si>
  <si>
    <t>2005M03</t>
  </si>
  <si>
    <t>2005Q2</t>
  </si>
  <si>
    <t>2005M04</t>
  </si>
  <si>
    <t>2005M05</t>
  </si>
  <si>
    <t>2005M06</t>
  </si>
  <si>
    <t>2005Q3</t>
  </si>
  <si>
    <t>2005M07</t>
  </si>
  <si>
    <t>2005M08</t>
  </si>
  <si>
    <t>2005M09</t>
  </si>
  <si>
    <t>2005Q4</t>
  </si>
  <si>
    <t>2005M10</t>
  </si>
  <si>
    <t>2005M11</t>
  </si>
  <si>
    <t>2005M12</t>
  </si>
  <si>
    <t>2006Q1</t>
  </si>
  <si>
    <t>2006M01</t>
  </si>
  <si>
    <t>2006M02</t>
  </si>
  <si>
    <t>2006M03</t>
  </si>
  <si>
    <t>2006Q2</t>
  </si>
  <si>
    <t>2006M04</t>
  </si>
  <si>
    <t>2006M05</t>
  </si>
  <si>
    <t>2006M06</t>
  </si>
  <si>
    <t>2006Q3</t>
  </si>
  <si>
    <t>2006M07</t>
  </si>
  <si>
    <t>2006M08</t>
  </si>
  <si>
    <t>2006M09</t>
  </si>
  <si>
    <t>2006Q4</t>
  </si>
  <si>
    <t>2006M10</t>
  </si>
  <si>
    <t>2006M11</t>
  </si>
  <si>
    <t>2006M12</t>
  </si>
  <si>
    <t>2007Q1</t>
  </si>
  <si>
    <t>2007M01</t>
  </si>
  <si>
    <t>2007M02</t>
  </si>
  <si>
    <t>2007M03</t>
  </si>
  <si>
    <t>2007Q2</t>
  </si>
  <si>
    <t>2007M04</t>
  </si>
  <si>
    <t>2007M05</t>
  </si>
  <si>
    <t>2007M06</t>
  </si>
  <si>
    <t>2007Q3</t>
  </si>
  <si>
    <t>2007M07</t>
  </si>
  <si>
    <t>2007M08</t>
  </si>
  <si>
    <t>2007M09</t>
  </si>
  <si>
    <t>2007Q4</t>
  </si>
  <si>
    <t>2007M10</t>
  </si>
  <si>
    <t>2007M11</t>
  </si>
  <si>
    <t>2007M12</t>
  </si>
  <si>
    <t>2008Q1</t>
  </si>
  <si>
    <t>2008M01</t>
  </si>
  <si>
    <t>2008M02</t>
  </si>
  <si>
    <t>2008M03</t>
  </si>
  <si>
    <t>2008Q2</t>
  </si>
  <si>
    <t>2008M04</t>
  </si>
  <si>
    <t>2008M05</t>
  </si>
  <si>
    <t>2008M06</t>
  </si>
  <si>
    <t>2008Q3</t>
  </si>
  <si>
    <t>2008M07</t>
  </si>
  <si>
    <t>2008M08</t>
  </si>
  <si>
    <t>2008M09</t>
  </si>
  <si>
    <t>2008Q4</t>
  </si>
  <si>
    <t>2008M10</t>
  </si>
  <si>
    <t>2008M11</t>
  </si>
  <si>
    <t>2008M12</t>
  </si>
  <si>
    <t>2009Q1</t>
  </si>
  <si>
    <t>2009M01</t>
  </si>
  <si>
    <t>2009M02</t>
  </si>
  <si>
    <t>2009M03</t>
  </si>
  <si>
    <t>2009Q2</t>
  </si>
  <si>
    <t>2009M04</t>
  </si>
  <si>
    <t>2009M05</t>
  </si>
  <si>
    <t>2009M06</t>
  </si>
  <si>
    <t>2009Q3</t>
  </si>
  <si>
    <t>2009M07</t>
  </si>
  <si>
    <t>2009M08</t>
  </si>
  <si>
    <t>2009M09</t>
  </si>
  <si>
    <t>2009Q4</t>
  </si>
  <si>
    <t>2009M10</t>
  </si>
  <si>
    <t>2009M11</t>
  </si>
  <si>
    <t>2009M12</t>
  </si>
  <si>
    <t>2010Q1</t>
  </si>
  <si>
    <t>2010M01</t>
  </si>
  <si>
    <t>2010M02</t>
  </si>
  <si>
    <t>2010M03</t>
  </si>
  <si>
    <t>2010Q2</t>
  </si>
  <si>
    <t>2010M04</t>
  </si>
  <si>
    <t>2010M05</t>
  </si>
  <si>
    <t>2010M06</t>
  </si>
  <si>
    <t>2010Q3</t>
  </si>
  <si>
    <t>2010M07</t>
  </si>
  <si>
    <t>2010M08</t>
  </si>
  <si>
    <t>2010M09</t>
  </si>
  <si>
    <t>2010Q4</t>
  </si>
  <si>
    <t>2010M10</t>
  </si>
  <si>
    <t>2010M11</t>
  </si>
  <si>
    <t>2010M12</t>
  </si>
  <si>
    <t>2011Q1</t>
  </si>
  <si>
    <t>2011M01</t>
  </si>
  <si>
    <t>2011M02</t>
  </si>
  <si>
    <t>2011M03</t>
  </si>
  <si>
    <t>2011Q2</t>
  </si>
  <si>
    <t>2011M04</t>
  </si>
  <si>
    <t>2011M05</t>
  </si>
  <si>
    <t>2011M06</t>
  </si>
  <si>
    <t>2011Q3</t>
  </si>
  <si>
    <t>2011M07</t>
  </si>
  <si>
    <t>2011M08</t>
  </si>
  <si>
    <t>2011M09</t>
  </si>
  <si>
    <t>2011Q4</t>
  </si>
  <si>
    <t>2011M10</t>
  </si>
  <si>
    <t>2011M11</t>
  </si>
  <si>
    <t>2011M12</t>
  </si>
  <si>
    <t>2012Q1</t>
  </si>
  <si>
    <t>2012M01</t>
  </si>
  <si>
    <t>2012M02</t>
  </si>
  <si>
    <t>2012M03</t>
  </si>
  <si>
    <t>2012Q2</t>
  </si>
  <si>
    <t>2012M04</t>
  </si>
  <si>
    <t>2012M05</t>
  </si>
  <si>
    <t>2012M06</t>
  </si>
  <si>
    <t>2012Q3</t>
  </si>
  <si>
    <t>2012M07</t>
  </si>
  <si>
    <t>2012M08</t>
  </si>
  <si>
    <t>2012M09</t>
  </si>
  <si>
    <t>2012Q4</t>
  </si>
  <si>
    <t>2012M10</t>
  </si>
  <si>
    <t>2012M11</t>
  </si>
  <si>
    <t>2012M12</t>
  </si>
  <si>
    <t>2013Q1</t>
  </si>
  <si>
    <t>2013M01</t>
  </si>
  <si>
    <t>2013M02</t>
  </si>
  <si>
    <t>2013M03</t>
  </si>
  <si>
    <t>2013Q2</t>
  </si>
  <si>
    <t>2013M04</t>
  </si>
  <si>
    <t>2013M05</t>
  </si>
  <si>
    <t>2013M06</t>
  </si>
  <si>
    <t>2013Q3</t>
  </si>
  <si>
    <t>2013M07</t>
  </si>
  <si>
    <t>2013M08</t>
  </si>
  <si>
    <t>2013M09</t>
  </si>
  <si>
    <t>2013Q4</t>
  </si>
  <si>
    <t>2013M10</t>
  </si>
  <si>
    <t>2013M11</t>
  </si>
  <si>
    <t>2013M12</t>
  </si>
  <si>
    <t>2014Q1</t>
  </si>
  <si>
    <t>2014M01</t>
  </si>
  <si>
    <t>2014M02</t>
  </si>
  <si>
    <t>2014M03</t>
  </si>
  <si>
    <t>2014Q2</t>
  </si>
  <si>
    <t>2014M04</t>
  </si>
  <si>
    <t>2014M05</t>
  </si>
  <si>
    <t>2014M06</t>
  </si>
  <si>
    <t>2014Q3</t>
  </si>
  <si>
    <t>2014M07</t>
  </si>
  <si>
    <t>2014M08</t>
  </si>
  <si>
    <t>2014M09</t>
  </si>
  <si>
    <t>2014Q4</t>
  </si>
  <si>
    <t>2014M10</t>
  </si>
  <si>
    <t>2014M11</t>
  </si>
  <si>
    <t>2014M12</t>
  </si>
  <si>
    <t>2015Q1</t>
  </si>
  <si>
    <t>2015M01</t>
  </si>
  <si>
    <t>2015M02</t>
  </si>
  <si>
    <t>2015M03</t>
  </si>
  <si>
    <t>2015Q2</t>
  </si>
  <si>
    <t>2015M04</t>
  </si>
  <si>
    <t>2015M05</t>
  </si>
  <si>
    <t>2015M06</t>
  </si>
  <si>
    <t>2015Q3</t>
  </si>
  <si>
    <t>2015M07</t>
  </si>
  <si>
    <t>2015M08</t>
  </si>
  <si>
    <t>2015M09</t>
  </si>
  <si>
    <t>2015Q4</t>
  </si>
  <si>
    <t>2015M10</t>
  </si>
  <si>
    <t>2015M11</t>
  </si>
  <si>
    <t>2015M12</t>
  </si>
  <si>
    <t>2016Q1</t>
  </si>
  <si>
    <t>2016M01</t>
  </si>
  <si>
    <t>2016M02</t>
  </si>
  <si>
    <t>2016M03</t>
  </si>
  <si>
    <t>2016Q2</t>
  </si>
  <si>
    <t>2016M04</t>
  </si>
  <si>
    <t>2016M05</t>
  </si>
  <si>
    <t>2016M06</t>
  </si>
  <si>
    <t>2016Q3</t>
  </si>
  <si>
    <t>2016M07</t>
  </si>
  <si>
    <t>2016M08</t>
  </si>
  <si>
    <t>2016M09</t>
  </si>
  <si>
    <t>2016Q4</t>
  </si>
  <si>
    <t>2016M10</t>
  </si>
  <si>
    <t>2016M11</t>
  </si>
  <si>
    <t>2016M12</t>
  </si>
  <si>
    <t>2017Q1</t>
  </si>
  <si>
    <t>2017M01</t>
  </si>
  <si>
    <t>2017M02</t>
  </si>
  <si>
    <t>2017M03</t>
  </si>
  <si>
    <t>2017Q2</t>
  </si>
  <si>
    <t>2017M04</t>
  </si>
  <si>
    <t>2017M05</t>
  </si>
  <si>
    <t>2017M06</t>
  </si>
  <si>
    <t>2017Q3</t>
  </si>
  <si>
    <t>2017M07</t>
  </si>
  <si>
    <t>2017M08</t>
  </si>
  <si>
    <t>2017M09</t>
  </si>
  <si>
    <t>2017Q4</t>
  </si>
  <si>
    <t>2017M10</t>
  </si>
  <si>
    <t>2017M11</t>
  </si>
  <si>
    <t>2017M12</t>
  </si>
  <si>
    <t>2018Q1</t>
  </si>
  <si>
    <t>2018M01</t>
  </si>
  <si>
    <t>2018M02</t>
  </si>
  <si>
    <t>2018M03</t>
  </si>
  <si>
    <t>2018Q2</t>
  </si>
  <si>
    <t>2018M04</t>
  </si>
  <si>
    <t>2018M05</t>
  </si>
  <si>
    <t>2018M06</t>
  </si>
  <si>
    <t>2018Q3</t>
  </si>
  <si>
    <t>2018M07</t>
  </si>
  <si>
    <t>2018M08</t>
  </si>
  <si>
    <t>2018M09</t>
  </si>
  <si>
    <t>2018Q4</t>
  </si>
  <si>
    <t>2018M10</t>
  </si>
  <si>
    <t>2018M11</t>
  </si>
  <si>
    <t>2018M12</t>
  </si>
  <si>
    <t>2019Q1</t>
  </si>
  <si>
    <t>2019M01</t>
  </si>
  <si>
    <t>2019M02</t>
  </si>
  <si>
    <t>2019M03</t>
  </si>
  <si>
    <t>2019Q2</t>
  </si>
  <si>
    <t>2019M04</t>
  </si>
  <si>
    <t>2019M05</t>
  </si>
  <si>
    <t>2019M06</t>
  </si>
  <si>
    <t>2019Q3</t>
  </si>
  <si>
    <t>2019M07</t>
  </si>
  <si>
    <t>2019M08</t>
  </si>
  <si>
    <t>2019M09</t>
  </si>
  <si>
    <t>2019Q4</t>
  </si>
  <si>
    <t>2019M10</t>
  </si>
  <si>
    <t>2019M11</t>
  </si>
  <si>
    <t>2019M12</t>
  </si>
  <si>
    <t>2020Q1</t>
  </si>
  <si>
    <t>2020M01</t>
  </si>
  <si>
    <t>2020M02</t>
  </si>
  <si>
    <t>2020M03</t>
  </si>
  <si>
    <t>2020Q2</t>
  </si>
  <si>
    <t>2020M04</t>
  </si>
  <si>
    <t>2020M05</t>
  </si>
  <si>
    <t>2020M06</t>
  </si>
  <si>
    <t>2020Q3</t>
  </si>
  <si>
    <t>2020M07</t>
  </si>
  <si>
    <t>2020M08</t>
  </si>
  <si>
    <t>2020M09</t>
  </si>
  <si>
    <t>2020Q4</t>
  </si>
  <si>
    <t>2020M10</t>
  </si>
  <si>
    <t>2020M11</t>
  </si>
  <si>
    <t>2020M12</t>
  </si>
  <si>
    <t>2021Q1</t>
  </si>
  <si>
    <t>2021M01</t>
  </si>
  <si>
    <t>2021M02</t>
  </si>
  <si>
    <t>2021M03</t>
  </si>
  <si>
    <t>2021Q2</t>
  </si>
  <si>
    <t>2021M04</t>
  </si>
  <si>
    <t>2021M05</t>
  </si>
  <si>
    <t>2021M06</t>
  </si>
  <si>
    <t>sys</t>
  </si>
  <si>
    <t>Y</t>
  </si>
  <si>
    <t>Period in Year</t>
  </si>
  <si>
    <t>-</t>
  </si>
  <si>
    <t>Q</t>
  </si>
  <si>
    <t>Period in Quarter</t>
  </si>
  <si>
    <t>M</t>
  </si>
  <si>
    <t>Period in Month</t>
  </si>
  <si>
    <t>nso</t>
  </si>
  <si>
    <t>Nominal GDP Total</t>
  </si>
  <si>
    <t>million MNT</t>
  </si>
  <si>
    <t>net</t>
  </si>
  <si>
    <t>Nominal GDP Agriculture</t>
  </si>
  <si>
    <t>Nominal GDP Mining</t>
  </si>
  <si>
    <t>Nominal GDP Manufacture</t>
  </si>
  <si>
    <t>Nominal GDP Infrastructure</t>
  </si>
  <si>
    <t>Nominal GDP Construction</t>
  </si>
  <si>
    <t>Nominal GDP Trade</t>
  </si>
  <si>
    <t>Nominal GDP Transport</t>
  </si>
  <si>
    <t>Nominal GDP Communication</t>
  </si>
  <si>
    <t>Nominal GDP Service</t>
  </si>
  <si>
    <t>Nominal GDP Net Tax</t>
  </si>
  <si>
    <t>Nominal GDP by Consumption</t>
  </si>
  <si>
    <t>Nominal GDP by Government Consumption</t>
  </si>
  <si>
    <t>Nominal GDP by Fixed Capital Formation</t>
  </si>
  <si>
    <t>Nominal GDP by Current Capital Formation</t>
  </si>
  <si>
    <t>Nominal GPD by Export</t>
  </si>
  <si>
    <t>Nominal GDP by Import</t>
  </si>
  <si>
    <t>Total Employed Population</t>
  </si>
  <si>
    <t>person</t>
  </si>
  <si>
    <t>Total Employed Male</t>
  </si>
  <si>
    <t>Total Employed Female</t>
  </si>
  <si>
    <t>Unemployed Population</t>
  </si>
  <si>
    <t>Unemployed Male</t>
  </si>
  <si>
    <t>Unemployed Female</t>
  </si>
  <si>
    <t>Economically Inactive Population</t>
  </si>
  <si>
    <t>Economically Inactive Population Male</t>
  </si>
  <si>
    <t>Economically Inactive Population Female</t>
  </si>
  <si>
    <t>Total Average Wage</t>
  </si>
  <si>
    <t>thousand MNT</t>
  </si>
  <si>
    <t>average</t>
  </si>
  <si>
    <t>Average Wage in Agriculture</t>
  </si>
  <si>
    <t>Average Wage in Mining</t>
  </si>
  <si>
    <t>Average Wage in Manufacture</t>
  </si>
  <si>
    <t>Average Wage in Infrastructure (Electricity, gas, steam and air)</t>
  </si>
  <si>
    <t>Average Wage in Infrastructure (Water, sewerage, waste)</t>
  </si>
  <si>
    <t>Average Wage in Construction</t>
  </si>
  <si>
    <t>Average Wage in Trade</t>
  </si>
  <si>
    <t>Average Wage in Transport</t>
  </si>
  <si>
    <t>Average Wage in Accomodation and Food</t>
  </si>
  <si>
    <t>Average Wage in Communication</t>
  </si>
  <si>
    <t>Average Wage in Finance</t>
  </si>
  <si>
    <t>Average Wage in Real Estate</t>
  </si>
  <si>
    <t>Average Wage in Education</t>
  </si>
  <si>
    <t>Average Wage in Health</t>
  </si>
  <si>
    <t>Average Wage in Art and Entertainment</t>
  </si>
  <si>
    <t>Average Wage in Other Service</t>
  </si>
  <si>
    <t>Total Budget Revenue and Grants</t>
  </si>
  <si>
    <t>Total Budget Tax Income</t>
  </si>
  <si>
    <t>Tax Income</t>
  </si>
  <si>
    <t>Tax Corporate Income</t>
  </si>
  <si>
    <t>Tax Individual Income</t>
  </si>
  <si>
    <t>Tax Social Insurance</t>
  </si>
  <si>
    <t>Tax VAT</t>
  </si>
  <si>
    <t>Tax Special Purpose</t>
  </si>
  <si>
    <t>Total Budget Non-Tax Income</t>
  </si>
  <si>
    <t>Total Budget Operational Expenditure</t>
  </si>
  <si>
    <t>Total Budget Net Lending</t>
  </si>
  <si>
    <t>Goods and Service Expenditure</t>
  </si>
  <si>
    <t>Wage and Salary Expenditure</t>
  </si>
  <si>
    <t>Interest Payment Expenditure</t>
  </si>
  <si>
    <t>Government Subsidy Expenditure</t>
  </si>
  <si>
    <t>Government Current Transaction</t>
  </si>
  <si>
    <t>Other Current Transaction</t>
  </si>
  <si>
    <t>Capital Expenditure</t>
  </si>
  <si>
    <t>bom_b</t>
  </si>
  <si>
    <t>Money Supply, M1</t>
  </si>
  <si>
    <t>cumulative</t>
  </si>
  <si>
    <t>Money Supply, M2</t>
  </si>
  <si>
    <t>Term Deposit Interest Rate MNT</t>
  </si>
  <si>
    <t>%</t>
  </si>
  <si>
    <t>Term Deposit Interest Rate FC</t>
  </si>
  <si>
    <t>Lending Interest Rate MNT</t>
  </si>
  <si>
    <t>Lending Interest Rate FC</t>
  </si>
  <si>
    <t>BoM Policy Rate</t>
  </si>
  <si>
    <t>Consumer Price Index P2015, Total</t>
  </si>
  <si>
    <t>index</t>
  </si>
  <si>
    <t>CPI P2015, Food and Non-Alcoholic Beverages</t>
  </si>
  <si>
    <t>CPI P2015, Alcoholic Beverages</t>
  </si>
  <si>
    <t>CPI P2015, Clothing</t>
  </si>
  <si>
    <t>CPI P2015, Housing Water Electricity and Fuels</t>
  </si>
  <si>
    <t>CPI P2015, Furnishings Household Equipment Tools</t>
  </si>
  <si>
    <t>CPI P2015, Health Medical Care and Services</t>
  </si>
  <si>
    <t>CPI P2015, Transport</t>
  </si>
  <si>
    <t>CPI P2015, Communication</t>
  </si>
  <si>
    <t>CPI P2015, Recreation and Culture</t>
  </si>
  <si>
    <t>CPI P2015, Education</t>
  </si>
  <si>
    <t>CPI P2015, Restaurant and Hotels</t>
  </si>
  <si>
    <t>CPI P2015, Miscellaneous Goods and Services</t>
  </si>
  <si>
    <t>bom_n</t>
  </si>
  <si>
    <t>Total Export</t>
  </si>
  <si>
    <t>million USD</t>
  </si>
  <si>
    <t>Export, Mining Products</t>
  </si>
  <si>
    <t>Export, Mining: Gold</t>
  </si>
  <si>
    <t>Export, Mining: Copper</t>
  </si>
  <si>
    <t>Export, Mining: Iron</t>
  </si>
  <si>
    <t>Export, Mining: Zinc</t>
  </si>
  <si>
    <t>Export, Mining: Coal</t>
  </si>
  <si>
    <t>Export, Mining: Oil</t>
  </si>
  <si>
    <t>Export, Livestock Products</t>
  </si>
  <si>
    <t>Export, Livestock: Meat</t>
  </si>
  <si>
    <t>Export, Livestock: Leather</t>
  </si>
  <si>
    <t>Export, Livestock: Cashmere</t>
  </si>
  <si>
    <t>Export, Farm Products</t>
  </si>
  <si>
    <t>Export, Manufacture Product</t>
  </si>
  <si>
    <t>Export, Other</t>
  </si>
  <si>
    <t>Total Import</t>
  </si>
  <si>
    <t>Import, Consumer Products</t>
  </si>
  <si>
    <t>Import, Consumer: Short Term</t>
  </si>
  <si>
    <t>Import, Consumer: Long Term</t>
  </si>
  <si>
    <t>Import, Manufacture Products</t>
  </si>
  <si>
    <t>Import, Manufacture: Electricity</t>
  </si>
  <si>
    <t>Import, Investment Products</t>
  </si>
  <si>
    <t>Import, Investment: Vehicle and Spares</t>
  </si>
  <si>
    <t>Import, Investment: Construction Materials</t>
  </si>
  <si>
    <t>Import, Oil Products</t>
  </si>
  <si>
    <t>Import, Oil: Diesel</t>
  </si>
  <si>
    <t>Import, Oil: A92, A95</t>
  </si>
  <si>
    <t>Balance of Payment, Current Account</t>
  </si>
  <si>
    <t>Balance of Payment, Current Account Net Goods</t>
  </si>
  <si>
    <t>Balance of Payment, Current Account Net Services</t>
  </si>
  <si>
    <t>Balance of Payment, Current Account Primary Income</t>
  </si>
  <si>
    <t>Balance of Payment, Current Account Secondary Income</t>
  </si>
  <si>
    <t>Balance of Payment, Capital Account</t>
  </si>
  <si>
    <t>Balance of Payment, Financial Account</t>
  </si>
  <si>
    <t>Balance of Payment, Financial Account Direct Investment</t>
  </si>
  <si>
    <t>Balance of Payment, Financial Account Portfolio Investment</t>
  </si>
  <si>
    <t>Balance of Payment, Financial Account Derivatives</t>
  </si>
  <si>
    <t>Balance of Payment, Financial Account Other Investment</t>
  </si>
  <si>
    <t>Balance of Payment, Errors and Adjustments</t>
  </si>
  <si>
    <t>Balance of Payment</t>
  </si>
  <si>
    <t>FX Reserve</t>
  </si>
  <si>
    <t>FX Reserve in Securities</t>
  </si>
  <si>
    <t>FX Reserve in Deposits</t>
  </si>
  <si>
    <t>FX Reserve as IMF Reserve Position</t>
  </si>
  <si>
    <t>FX Reserve in Special Drawing Right</t>
  </si>
  <si>
    <t>FX Reserve in Gold</t>
  </si>
  <si>
    <t>FX Reserve in Other Reserve Assets</t>
  </si>
  <si>
    <t>MNT/USD</t>
  </si>
  <si>
    <t>Gross External Debt</t>
  </si>
  <si>
    <t>General Government Debt</t>
  </si>
  <si>
    <t>Central Bank Debt</t>
  </si>
  <si>
    <t>Deposit-taking Corporation Debt</t>
  </si>
  <si>
    <t>Other Sector Debt</t>
  </si>
  <si>
    <t>Direct Investment</t>
  </si>
  <si>
    <t>imf</t>
  </si>
  <si>
    <t>IMF PCPS: Coal, Australian Thermal</t>
  </si>
  <si>
    <t>USD/metric ton</t>
  </si>
  <si>
    <t>IMF PCPS: Crude Oil, Dated Brent</t>
  </si>
  <si>
    <t>USD/barrel</t>
  </si>
  <si>
    <t>IMF PCPS: Copper, Grade A Cathode</t>
  </si>
  <si>
    <t>IMF PCPS: Iron Ore, CFR China (Tianjin Port)</t>
  </si>
  <si>
    <t>IMF PCPS: Gold, LBMA 3PM Fixed Price</t>
  </si>
  <si>
    <t>USD/troy oz</t>
  </si>
  <si>
    <t>Loan: Total Outstanding</t>
  </si>
  <si>
    <t>Loan: Total PDL</t>
  </si>
  <si>
    <t>Loan: Total NPL</t>
  </si>
  <si>
    <t>Loan: Retail Total Outstanding</t>
  </si>
  <si>
    <t>Loan: Retail Total PDL</t>
  </si>
  <si>
    <t>Loan: Retail Total NPL</t>
  </si>
  <si>
    <t>Loan: Retail SME Outstanding</t>
  </si>
  <si>
    <t>Loan: Retail SME PDL</t>
  </si>
  <si>
    <t>Loan: Retail SME NPL</t>
  </si>
  <si>
    <t>Loan: Retail Salary Outstanding</t>
  </si>
  <si>
    <t>Loan: Retail Credit Card Outstanding</t>
  </si>
  <si>
    <t>Loan: Retail Vehicle Outstanding</t>
  </si>
  <si>
    <t>Loan: Retail Savings Backed Loan Outstanding</t>
  </si>
  <si>
    <t>Loan: Corporate Total Outstanding</t>
  </si>
  <si>
    <t>Loan: Corporate Total PDL</t>
  </si>
  <si>
    <t>Loan: Corporate Total NPL</t>
  </si>
  <si>
    <t>Loan: Corporate SME Outstanding</t>
  </si>
  <si>
    <t>Loan: Corporate SME PDL</t>
  </si>
  <si>
    <t>Loan: Corporate SME NPL</t>
  </si>
  <si>
    <t>Loan: Other Loans</t>
  </si>
  <si>
    <t>Deposit: Total Outstanding</t>
  </si>
  <si>
    <t>Deposit: Total Current Account Outstanding</t>
  </si>
  <si>
    <t>Deposit: Total Savings Account Outstanding</t>
  </si>
  <si>
    <t>Deposit: Retail Outstanding</t>
  </si>
  <si>
    <t>Deposit: Retail Current Account Outstanding</t>
  </si>
  <si>
    <t>Deposit: Retail Savings Account Outstanding</t>
  </si>
  <si>
    <t>Deposit: Corporate Outstanding</t>
  </si>
  <si>
    <t>Deposit: Corporate Current Account Outstanding</t>
  </si>
  <si>
    <t>Deposit: Corporate Savings Account Outstanding</t>
  </si>
  <si>
    <t>Deposit: Other Deposits</t>
  </si>
  <si>
    <t>Banking Sector Total Asset</t>
  </si>
  <si>
    <t>Banking Sector Total Equity</t>
  </si>
  <si>
    <t>Period:</t>
  </si>
  <si>
    <t>Yearly</t>
  </si>
  <si>
    <t>Quarterly</t>
  </si>
  <si>
    <t>Monthly</t>
  </si>
  <si>
    <t>Focus:</t>
  </si>
  <si>
    <t>Q1</t>
  </si>
  <si>
    <t>Q2</t>
  </si>
  <si>
    <t>Q3</t>
  </si>
  <si>
    <t>Q4</t>
  </si>
  <si>
    <t>M01</t>
  </si>
  <si>
    <t>M02</t>
  </si>
  <si>
    <t>M03</t>
  </si>
  <si>
    <t>M04</t>
  </si>
  <si>
    <t>M05</t>
  </si>
  <si>
    <t>M06</t>
  </si>
  <si>
    <t>M07</t>
  </si>
  <si>
    <t>M08</t>
  </si>
  <si>
    <t>M09</t>
  </si>
  <si>
    <t>M10</t>
  </si>
  <si>
    <t>M11</t>
  </si>
  <si>
    <t>M12</t>
  </si>
  <si>
    <t>Start Period:</t>
  </si>
  <si>
    <t>End Period:</t>
  </si>
  <si>
    <t>VALIDATION</t>
  </si>
  <si>
    <t>Min:</t>
  </si>
  <si>
    <t>Max:</t>
  </si>
  <si>
    <t>EARLIEST</t>
  </si>
  <si>
    <t>LATEST</t>
  </si>
  <si>
    <t>Min Year:</t>
  </si>
  <si>
    <t>Max Year:</t>
  </si>
  <si>
    <t>Current Min:</t>
  </si>
  <si>
    <t>Min Periods:</t>
  </si>
  <si>
    <t>Max Periods:</t>
  </si>
  <si>
    <t>Min Sub:</t>
  </si>
  <si>
    <t>Max Sub:</t>
  </si>
  <si>
    <t>Current Max:</t>
  </si>
  <si>
    <t>Min</t>
  </si>
  <si>
    <t>Max</t>
  </si>
  <si>
    <t>Current Min Sub:</t>
  </si>
  <si>
    <t>Year</t>
  </si>
  <si>
    <t>Sub</t>
  </si>
  <si>
    <t>Current</t>
  </si>
  <si>
    <t>Current Max Sub:</t>
  </si>
  <si>
    <t>ID</t>
  </si>
  <si>
    <t>Update Status:</t>
  </si>
  <si>
    <t>L0</t>
  </si>
  <si>
    <t>L1</t>
  </si>
  <si>
    <t>L2</t>
  </si>
  <si>
    <t>Date</t>
  </si>
  <si>
    <t>Filled</t>
  </si>
  <si>
    <t>Total</t>
  </si>
  <si>
    <t>Formatted</t>
  </si>
  <si>
    <t>Headers</t>
  </si>
  <si>
    <t>Type:</t>
  </si>
  <si>
    <t>Current Focus:</t>
  </si>
  <si>
    <t>Value:</t>
  </si>
  <si>
    <t>Start Value:</t>
  </si>
  <si>
    <t>End Value:</t>
  </si>
  <si>
    <t>Does Exists:</t>
  </si>
  <si>
    <t>Data Range:</t>
  </si>
  <si>
    <t>Value</t>
  </si>
  <si>
    <t>Value-Growth</t>
  </si>
  <si>
    <t>Cumulative</t>
  </si>
  <si>
    <t>Cumulative-Growth</t>
  </si>
  <si>
    <t>Growth</t>
  </si>
  <si>
    <t>Ranges</t>
  </si>
  <si>
    <t>Formulas</t>
  </si>
  <si>
    <t>Variable Range1:</t>
  </si>
  <si>
    <t>Variable Range2:</t>
  </si>
  <si>
    <t>Default Values</t>
  </si>
  <si>
    <t>Shortcuts</t>
  </si>
  <si>
    <t>NGDP-P</t>
  </si>
  <si>
    <t>Name</t>
  </si>
  <si>
    <t>Copy</t>
  </si>
  <si>
    <t>Paste</t>
  </si>
  <si>
    <t>RGDP-P</t>
  </si>
  <si>
    <t>NGDP-E</t>
  </si>
  <si>
    <t>RGDP-E</t>
  </si>
  <si>
    <t>EMP</t>
  </si>
  <si>
    <t>WAGE</t>
  </si>
  <si>
    <t>BUDGET</t>
  </si>
  <si>
    <t>CPI</t>
  </si>
  <si>
    <t>TRADE</t>
  </si>
  <si>
    <t>BOP</t>
  </si>
  <si>
    <t>RATE</t>
  </si>
  <si>
    <t>C-PRICE</t>
  </si>
  <si>
    <t>FXRES</t>
  </si>
  <si>
    <t>LOAN</t>
  </si>
  <si>
    <t>DEPO</t>
  </si>
  <si>
    <t>BANK</t>
  </si>
  <si>
    <t>EXDEBT</t>
  </si>
  <si>
    <t>OTH</t>
  </si>
  <si>
    <t>A5:A15</t>
  </si>
  <si>
    <t>A16:A26</t>
  </si>
  <si>
    <t>A27:A33</t>
  </si>
  <si>
    <t>A34:A40</t>
  </si>
  <si>
    <t>A41:A49</t>
  </si>
  <si>
    <t>A50:A66</t>
  </si>
  <si>
    <t>A67:A84</t>
  </si>
  <si>
    <t>A92:A104</t>
  </si>
  <si>
    <t>A105:A131</t>
  </si>
  <si>
    <t>A132:A144</t>
  </si>
  <si>
    <t>A87:A91</t>
  </si>
  <si>
    <t>A159:A163</t>
  </si>
  <si>
    <t>A145:A151</t>
  </si>
  <si>
    <t>A164:A183</t>
  </si>
  <si>
    <t>A184:A193</t>
  </si>
  <si>
    <t>A194:A195</t>
  </si>
  <si>
    <t>A153:A158</t>
  </si>
  <si>
    <t>A85:A86</t>
  </si>
  <si>
    <t>Export Infos:</t>
  </si>
  <si>
    <t>Directory</t>
  </si>
  <si>
    <t>Suffix</t>
  </si>
  <si>
    <t>Macro_Viewer_</t>
  </si>
  <si>
    <t>CopRange</t>
  </si>
  <si>
    <t>◌</t>
  </si>
  <si>
    <t/>
  </si>
  <si>
    <t>2021Q3</t>
  </si>
  <si>
    <t>2021M07</t>
  </si>
  <si>
    <t>Value PoPg</t>
  </si>
  <si>
    <t>Cumulative PoPg</t>
  </si>
  <si>
    <t>Value YoYg</t>
  </si>
  <si>
    <t>Cumulative YoYg</t>
  </si>
  <si>
    <t>Legacy</t>
  </si>
  <si>
    <t>=IFERROR(IF(AND(LEFT($C$7,10)=technicals!$B$14,$G5=technicals!$B$24,$C$3&lt;&gt;technicals!$B$3),SUM(OFFSET(data[[#Headers],[period_y]],MATCH(VALUE(LEFT(Z$10,4)),data[period_y],0),MATCH($B5,data[#Headers],0)-1,IF($C$3=technicals!$B$4,VALUE(RIGHT(Z$10,1))*3,IF($C$3=technicals!$B$5,VALUE(RIGHT(Z$10,2)),NA())))),SUMPRODUCT(INDIRECT(CONCATENATE("data[",$B5,"]")),IF(OR($G5=technicals!$B$24,$G5=technicals!$B$26),--(INDIRECT(CONCATENATE("data[period_",LOWER(LEFT($C$3,1)),"]"))=inte(Z$10)),IF($G5=technicals!$B$25,--(data[period_m]=IF($C$3=technicals!$B$3,CONCATENATE(LEFT(Z$10,4),"M12"),IF($C$3=technicals!$B$4,CONCATENATE(LEFT(Z$10,4),"M",TEXT(VALUE(RIGHT(Z$10,1))*3,"00")),IF($C$3=technicals!$B$5,inte(Z$10),NA())))),NA())))/SUMPRODUCT(IF($G5=technicals!$B$26,(--(INDIRECT(CONCATENATE("data[period_",LOWER(LEFT($C$3,1)),"]"))&lt;&gt;""))*(--(INDIRECT(CONCATENATE("data[period_",LOWER(LEFT($C$3,1)),"]"))=inte(Z$10))),1)))/IF(RIGHT($C$7,6)=technicals!$B$18,IF(AND(LEFT($C$7,10)=technicals!$B$14,$G5=technicals!$B$24,$C$3&lt;&gt;technicals!$B$3),SUM(OFFSET(data[[#Headers],[period_y]],MATCH(VALUE(LEFT(Y$10,4)),data[period_y],0),MATCH($B5,data[#Headers],0)-1,IF($C$3=technicals!$B$4,VALUE(RIGHT(Y$10,1))*3,IF($C$3=technicals!$B$5,VALUE(RIGHT(Y$10,2)),NA())))),SUMPRODUCT(INDIRECT(CONCATENATE("data[",$B5,"]")),IF(OR($G5=technicals!$B$24,$G5=technicals!$B$26),--(INDIRECT(CONCATENATE("data[period_",LOWER(LEFT($C$3,1)),"]"))=inte(Y$10)),IF($G5=technicals!$B$25,--(data[period_m]=IF($C$3=technicals!$B$3,CONCATENATE(LEFT(Y$10,4),"M12"),IF($C$3=technicals!$B$4,CONCATENATE(LEFT(Y$10,4),"M",TEXT(VALUE(RIGHT(Y$10,1))*3,"00")),IF($C$3=technicals!$B$5,inte(Y$10),NA())))),NA())))/SUMPRODUCT(IF($G5=technicals!$B$26,(--(INDIRECT(CONCATENATE("data[period_",LOWER(LEFT($C$3,1)),"]"))&lt;&gt;""))*(--(INDIRECT(CONCATENATE("data[period_",LOWER(LEFT($C$3,1)),"]"))=inte(Y$10))),1))),1)-IF(RIGHT($C$7,6)=technicals!$B$18,1,0),"")</t>
  </si>
  <si>
    <t>Real GDP P2015 Total</t>
  </si>
  <si>
    <t>Real GDP P2015 Agriculture</t>
  </si>
  <si>
    <t>Real GDP P2015 Mining</t>
  </si>
  <si>
    <t>Real GDP P2015 Manufacture</t>
  </si>
  <si>
    <t>Real GDP P2015 Infrastructure</t>
  </si>
  <si>
    <t>Real GDP P2015 Construction</t>
  </si>
  <si>
    <t>Real GDP P2015 Trade</t>
  </si>
  <si>
    <t>Real GDP P2015 Transport</t>
  </si>
  <si>
    <t>Real GDP P2015 Communication</t>
  </si>
  <si>
    <t>Real GDP P2015 Service</t>
  </si>
  <si>
    <t>Real GDP P2015 Net Tax</t>
  </si>
  <si>
    <t>Real GDP P2015 by Consumption</t>
  </si>
  <si>
    <t>Real GDP P2015 by Government Consumption</t>
  </si>
  <si>
    <t>Real GDP P2015 by Fixed Capital Formation</t>
  </si>
  <si>
    <t>Real GDP P2015 by Current Capital Formation</t>
  </si>
  <si>
    <t>Real GDP P2015 by Export</t>
  </si>
  <si>
    <t>Real GDP P2015 by Import</t>
  </si>
  <si>
    <t>Value Ytdg</t>
  </si>
  <si>
    <t>Cumulative Ytdg</t>
  </si>
  <si>
    <t>2021M08</t>
  </si>
  <si>
    <t>2021</t>
  </si>
  <si>
    <t>ex_usd_avg</t>
  </si>
  <si>
    <t>USD Exchange Rate, Monthly Average</t>
  </si>
  <si>
    <t>ex_usd_last</t>
  </si>
  <si>
    <t>USD Exchange Rate, End of Period</t>
  </si>
  <si>
    <r>
      <rPr>
        <b/>
        <sz val="9"/>
        <color theme="0"/>
        <rFont val="Arial"/>
        <family val="2"/>
        <scheme val="minor"/>
      </rPr>
      <t xml:space="preserve">
WELCOME TO MACRO INDICATOR VIEWER VERSION 1.4.</t>
    </r>
    <r>
      <rPr>
        <sz val="9"/>
        <color theme="0"/>
        <rFont val="Arial"/>
        <family val="2"/>
        <scheme val="minor"/>
      </rPr>
      <t xml:space="preserve">
You are viewing this page because you haven't enabled macro yet. Please enable macro to proceed further.
                   - MurunOFC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</si>
</sst>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43" formatCode="_(* #,##0.00_);_(* \(#,##0.00\);_(* &quot;-&quot;??_);_(@_)"/>
  </numFmts>
  <fonts count="13" x14ac:knownFonts="1">
    <font>
      <sz val="11"/>
      <color theme="1"/>
      <name val="Arial"/>
      <family val="2"/>
      <scheme val="minor"/>
    </font>
    <font>
      <sz val="9"/>
      <color theme="1"/>
      <name val="Arial"/>
      <family val="2"/>
    </font>
    <font>
      <sz val="8"/>
      <name val="Arial"/>
      <family val="2"/>
      <scheme val="minor"/>
    </font>
    <font>
      <sz val="9"/>
      <color theme="1"/>
      <name val="Arial"/>
      <family val="2"/>
      <scheme val="minor"/>
    </font>
    <font>
      <sz val="10"/>
      <color theme="1"/>
      <name val="Arial"/>
      <family val="2"/>
      <scheme val="minor"/>
    </font>
    <font>
      <b/>
      <sz val="9"/>
      <color theme="1"/>
      <name val="Arial"/>
      <family val="2"/>
      <scheme val="minor"/>
    </font>
    <font>
      <b/>
      <sz val="10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b/>
      <sz val="9"/>
      <color theme="0"/>
      <name val="Arial"/>
      <family val="2"/>
      <scheme val="minor"/>
    </font>
    <font>
      <sz val="10"/>
      <color theme="0"/>
      <name val="Arial"/>
      <family val="2"/>
      <scheme val="minor"/>
    </font>
    <font>
      <b/>
      <sz val="10"/>
      <color theme="0"/>
      <name val="Arial"/>
      <family val="2"/>
      <scheme val="minor"/>
    </font>
    <font>
      <sz val="9"/>
      <color theme="0"/>
      <name val="Arial"/>
      <family val="2"/>
      <scheme val="minor"/>
    </font>
    <font>
      <sz val="72"/>
      <color theme="0"/>
      <name val="Courier New"/>
      <family val="3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 tint="-9.9978637043366805E-2"/>
        <bgColor indexed="64"/>
      </patternFill>
    </fill>
  </fills>
  <borders count="10">
    <border>
      <left/>
      <right/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/>
      <top style="thin">
        <color theme="2"/>
      </top>
      <bottom style="thin">
        <color theme="2"/>
      </bottom>
      <diagonal/>
    </border>
    <border>
      <left/>
      <right style="thin">
        <color theme="2"/>
      </right>
      <top style="thin">
        <color theme="2"/>
      </top>
      <bottom style="thin">
        <color theme="2"/>
      </bottom>
      <diagonal/>
    </border>
    <border>
      <left/>
      <right/>
      <top style="thin">
        <color theme="2"/>
      </top>
      <bottom style="thin">
        <color theme="2"/>
      </bottom>
      <diagonal/>
    </border>
    <border>
      <left/>
      <right/>
      <top/>
      <bottom style="thin">
        <color theme="2"/>
      </bottom>
      <diagonal/>
    </border>
    <border>
      <left style="thin">
        <color theme="2"/>
      </left>
      <right style="thin">
        <color theme="2"/>
      </right>
      <top style="thin">
        <color theme="2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</borders>
  <cellStyleXfs count="3">
    <xf numFmtId="0" fontId="0" fillId="0" borderId="0"/>
    <xf numFmtId="9" fontId="7" fillId="0" borderId="0" applyFont="0" applyFill="0" applyBorder="0" applyAlignment="0" applyProtection="0"/>
    <xf numFmtId="43" fontId="7" fillId="0" borderId="0" applyFont="0" applyFill="0" applyBorder="0" applyAlignment="0" applyProtection="0"/>
  </cellStyleXfs>
  <cellXfs count="65">
    <xf numFmtId="0" fontId="0" fillId="0" borderId="0" xfId="0"/>
    <xf numFmtId="0" fontId="1" fillId="2" borderId="0" xfId="0" applyFont="1" applyFill="1"/>
    <xf numFmtId="0" fontId="1" fillId="2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4" fontId="1" fillId="2" borderId="0" xfId="0" applyNumberFormat="1" applyFont="1" applyFill="1"/>
    <xf numFmtId="4" fontId="0" fillId="2" borderId="0" xfId="0" applyNumberFormat="1" applyFill="1" applyAlignment="1">
      <alignment vertical="center" wrapText="1"/>
    </xf>
    <xf numFmtId="4" fontId="0" fillId="2" borderId="0" xfId="0" applyNumberFormat="1" applyFill="1"/>
    <xf numFmtId="4" fontId="0" fillId="2" borderId="0" xfId="0" applyNumberFormat="1" applyFill="1" applyAlignment="1">
      <alignment horizontal="center" vertical="center"/>
    </xf>
    <xf numFmtId="0" fontId="0" fillId="0" borderId="0" xfId="0" applyFont="1" applyFill="1" applyBorder="1" applyAlignment="1">
      <alignment horizontal="center"/>
    </xf>
    <xf numFmtId="4" fontId="0" fillId="0" borderId="0" xfId="0" applyNumberFormat="1" applyFont="1" applyFill="1" applyBorder="1"/>
    <xf numFmtId="0" fontId="0" fillId="0" borderId="0" xfId="0" applyFont="1" applyFill="1" applyBorder="1"/>
    <xf numFmtId="0" fontId="4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vertical="center"/>
    </xf>
    <xf numFmtId="0" fontId="4" fillId="2" borderId="0" xfId="0" applyFont="1" applyFill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6" fillId="2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vertical="center"/>
    </xf>
    <xf numFmtId="0" fontId="4" fillId="2" borderId="3" xfId="0" applyFont="1" applyFill="1" applyBorder="1" applyAlignment="1">
      <alignment vertical="center"/>
    </xf>
    <xf numFmtId="0" fontId="4" fillId="2" borderId="2" xfId="0" applyFont="1" applyFill="1" applyBorder="1" applyAlignment="1">
      <alignment vertical="center"/>
    </xf>
    <xf numFmtId="0" fontId="4" fillId="2" borderId="4" xfId="0" applyFont="1" applyFill="1" applyBorder="1" applyAlignment="1">
      <alignment vertical="center"/>
    </xf>
    <xf numFmtId="0" fontId="6" fillId="2" borderId="1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8" fillId="4" borderId="1" xfId="0" applyFont="1" applyFill="1" applyBorder="1" applyAlignment="1">
      <alignment vertical="center"/>
    </xf>
    <xf numFmtId="0" fontId="3" fillId="2" borderId="1" xfId="0" applyFont="1" applyFill="1" applyBorder="1" applyAlignment="1">
      <alignment horizontal="center" vertical="center"/>
    </xf>
    <xf numFmtId="9" fontId="3" fillId="2" borderId="1" xfId="0" applyNumberFormat="1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left" vertical="center"/>
    </xf>
    <xf numFmtId="0" fontId="9" fillId="4" borderId="1" xfId="0" applyFont="1" applyFill="1" applyBorder="1" applyAlignment="1">
      <alignment horizontal="center" vertical="center"/>
    </xf>
    <xf numFmtId="9" fontId="4" fillId="2" borderId="1" xfId="1" applyFont="1" applyFill="1" applyBorder="1" applyAlignment="1">
      <alignment vertical="center"/>
    </xf>
    <xf numFmtId="0" fontId="8" fillId="4" borderId="0" xfId="0" applyFont="1" applyFill="1" applyBorder="1" applyAlignment="1">
      <alignment vertical="center"/>
    </xf>
    <xf numFmtId="0" fontId="3" fillId="2" borderId="0" xfId="0" applyFont="1" applyFill="1" applyBorder="1" applyAlignment="1">
      <alignment horizontal="center" vertical="center"/>
    </xf>
    <xf numFmtId="9" fontId="3" fillId="2" borderId="0" xfId="0" applyNumberFormat="1" applyFont="1" applyFill="1" applyBorder="1" applyAlignment="1">
      <alignment horizontal="center" vertical="center"/>
    </xf>
    <xf numFmtId="0" fontId="6" fillId="2" borderId="1" xfId="0" applyFont="1" applyFill="1" applyBorder="1" applyAlignment="1">
      <alignment vertical="center"/>
    </xf>
    <xf numFmtId="0" fontId="4" fillId="2" borderId="0" xfId="0" quotePrefix="1" applyFont="1" applyFill="1" applyAlignment="1">
      <alignment horizontal="center" vertical="center"/>
    </xf>
    <xf numFmtId="2" fontId="4" fillId="2" borderId="1" xfId="0" applyNumberFormat="1" applyFont="1" applyFill="1" applyBorder="1" applyAlignment="1">
      <alignment horizontal="center" vertical="center"/>
    </xf>
    <xf numFmtId="0" fontId="4" fillId="2" borderId="4" xfId="0" quotePrefix="1" applyFont="1" applyFill="1" applyBorder="1" applyAlignment="1">
      <alignment horizontal="center" vertical="center"/>
    </xf>
    <xf numFmtId="0" fontId="10" fillId="4" borderId="5" xfId="0" applyFont="1" applyFill="1" applyBorder="1" applyAlignment="1">
      <alignment horizontal="center" vertical="center"/>
    </xf>
    <xf numFmtId="0" fontId="8" fillId="4" borderId="1" xfId="0" applyFont="1" applyFill="1" applyBorder="1" applyAlignment="1">
      <alignment horizontal="center" vertical="center"/>
    </xf>
    <xf numFmtId="0" fontId="3" fillId="2" borderId="0" xfId="0" quotePrefix="1" applyFont="1" applyFill="1" applyAlignment="1">
      <alignment vertical="center"/>
    </xf>
    <xf numFmtId="0" fontId="4" fillId="2" borderId="0" xfId="0" applyFont="1" applyFill="1" applyBorder="1" applyAlignment="1">
      <alignment vertical="center"/>
    </xf>
    <xf numFmtId="0" fontId="10" fillId="4" borderId="1" xfId="0" applyFont="1" applyFill="1" applyBorder="1" applyAlignment="1">
      <alignment vertical="center"/>
    </xf>
    <xf numFmtId="0" fontId="10" fillId="4" borderId="1" xfId="0" quotePrefix="1" applyFont="1" applyFill="1" applyBorder="1" applyAlignment="1">
      <alignment vertical="center"/>
    </xf>
    <xf numFmtId="0" fontId="3" fillId="2" borderId="0" xfId="2" applyNumberFormat="1" applyFont="1" applyFill="1" applyAlignment="1">
      <alignment vertical="center"/>
    </xf>
    <xf numFmtId="0" fontId="3" fillId="2" borderId="0" xfId="0" applyNumberFormat="1" applyFont="1" applyFill="1" applyAlignment="1">
      <alignment vertical="center"/>
    </xf>
    <xf numFmtId="0" fontId="3" fillId="2" borderId="0" xfId="0" applyFont="1" applyFill="1" applyAlignment="1" applyProtection="1">
      <alignment vertical="center"/>
      <protection locked="0"/>
    </xf>
    <xf numFmtId="0" fontId="5" fillId="3" borderId="1" xfId="0" applyFont="1" applyFill="1" applyBorder="1" applyAlignment="1" applyProtection="1">
      <alignment horizontal="center" vertical="center"/>
      <protection locked="0"/>
    </xf>
    <xf numFmtId="0" fontId="3" fillId="2" borderId="0" xfId="2" quotePrefix="1" applyNumberFormat="1" applyFont="1" applyFill="1" applyAlignment="1">
      <alignment vertical="center"/>
    </xf>
    <xf numFmtId="0" fontId="3" fillId="2" borderId="0" xfId="1" applyNumberFormat="1" applyFont="1" applyFill="1" applyAlignment="1">
      <alignment vertical="center"/>
    </xf>
    <xf numFmtId="0" fontId="3" fillId="2" borderId="0" xfId="1" quotePrefix="1" applyNumberFormat="1" applyFont="1" applyFill="1" applyAlignment="1">
      <alignment vertical="center"/>
    </xf>
    <xf numFmtId="0" fontId="4" fillId="5" borderId="7" xfId="0" applyFont="1" applyFill="1" applyBorder="1" applyAlignment="1">
      <alignment horizontal="center" vertical="center"/>
    </xf>
    <xf numFmtId="0" fontId="4" fillId="5" borderId="7" xfId="0" applyFont="1" applyFill="1" applyBorder="1" applyAlignment="1">
      <alignment vertical="center"/>
    </xf>
    <xf numFmtId="0" fontId="10" fillId="4" borderId="1" xfId="0" applyFont="1" applyFill="1" applyBorder="1" applyAlignment="1">
      <alignment horizontal="center" vertical="center"/>
    </xf>
    <xf numFmtId="0" fontId="6" fillId="2" borderId="0" xfId="0" applyFont="1" applyFill="1" applyAlignment="1">
      <alignment vertical="center"/>
    </xf>
    <xf numFmtId="0" fontId="3" fillId="4" borderId="0" xfId="0" applyFont="1" applyFill="1"/>
    <xf numFmtId="0" fontId="12" fillId="4" borderId="8" xfId="0" applyFont="1" applyFill="1" applyBorder="1" applyAlignment="1">
      <alignment horizontal="center" vertical="center" wrapText="1"/>
    </xf>
    <xf numFmtId="0" fontId="11" fillId="4" borderId="9" xfId="0" applyFont="1" applyFill="1" applyBorder="1" applyAlignment="1">
      <alignment vertical="top" wrapText="1"/>
    </xf>
    <xf numFmtId="0" fontId="0" fillId="0" borderId="0" xfId="0" applyFont="1" applyFill="1" applyAlignment="1">
      <alignment horizontal="center"/>
    </xf>
    <xf numFmtId="4" fontId="0" fillId="0" borderId="0" xfId="0" applyNumberFormat="1" applyFont="1" applyFill="1"/>
    <xf numFmtId="0" fontId="4" fillId="2" borderId="1" xfId="0" quotePrefix="1" applyFont="1" applyFill="1" applyBorder="1" applyAlignment="1">
      <alignment vertical="center"/>
    </xf>
    <xf numFmtId="0" fontId="3" fillId="2" borderId="0" xfId="2" applyNumberFormat="1" applyFont="1" applyFill="1" applyBorder="1" applyAlignment="1">
      <alignment horizontal="left" vertical="center"/>
    </xf>
    <xf numFmtId="0" fontId="8" fillId="4" borderId="1" xfId="0" applyFont="1" applyFill="1" applyBorder="1" applyAlignment="1">
      <alignment horizontal="center" vertical="center"/>
    </xf>
    <xf numFmtId="0" fontId="5" fillId="3" borderId="1" xfId="0" applyFont="1" applyFill="1" applyBorder="1" applyAlignment="1" applyProtection="1">
      <alignment horizontal="center" vertical="center"/>
      <protection locked="0"/>
    </xf>
    <xf numFmtId="0" fontId="8" fillId="4" borderId="6" xfId="0" applyFont="1" applyFill="1" applyBorder="1" applyAlignment="1">
      <alignment horizontal="center" vertical="center"/>
    </xf>
    <xf numFmtId="0" fontId="0" fillId="0" borderId="0" xfId="0" applyFont="1" applyFill="1"/>
  </cellXfs>
  <cellStyles count="3">
    <cellStyle name="Comma" xfId="2" builtinId="3"/>
    <cellStyle name="Normal" xfId="0" builtinId="0"/>
    <cellStyle name="Percent" xfId="1" builtinId="5"/>
  </cellStyles>
  <dxfs count="21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numFmt numFmtId="14" formatCode="0.00%"/>
    </dxf>
    <dxf>
      <numFmt numFmtId="4" formatCode="#,##0.00"/>
    </dxf>
    <dxf>
      <font>
        <b/>
        <i val="0"/>
        <color theme="0"/>
      </font>
      <fill>
        <patternFill>
          <bgColor theme="1" tint="0.24994659260841701"/>
        </patternFill>
      </fill>
      <border>
        <left style="thin">
          <color theme="2"/>
        </left>
        <right style="thin">
          <color theme="2"/>
        </right>
        <top style="thin">
          <color theme="2"/>
        </top>
        <bottom style="thin">
          <color theme="2"/>
        </bottom>
      </border>
    </dxf>
    <dxf>
      <fill>
        <patternFill>
          <bgColor rgb="FFFFFFCC"/>
        </patternFill>
      </fill>
      <border>
        <left style="thin">
          <color theme="2"/>
        </left>
        <right style="thin">
          <color theme="2"/>
        </right>
        <top style="thin">
          <color theme="2"/>
        </top>
        <bottom style="thin">
          <color theme="2"/>
        </bottom>
      </border>
    </dxf>
    <dxf>
      <border>
        <left style="thin">
          <color theme="2"/>
        </left>
        <right style="thin">
          <color theme="2"/>
        </right>
        <top style="thin">
          <color theme="2"/>
        </top>
        <bottom style="thin">
          <color theme="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2"/>
        </top>
        <bottom style="thin">
          <color theme="2"/>
        </bottom>
        <vertical/>
        <horizontal/>
      </border>
    </dxf>
    <dxf>
      <border outline="0">
        <top style="thin">
          <color theme="2"/>
        </top>
      </border>
    </dxf>
    <dxf>
      <border outline="0">
        <left style="thin">
          <color theme="2"/>
        </left>
        <right style="thin">
          <color theme="2"/>
        </right>
        <top style="thin">
          <color theme="2"/>
        </top>
        <bottom style="thin">
          <color theme="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theme="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minor"/>
      </font>
      <fill>
        <patternFill patternType="solid">
          <fgColor indexed="64"/>
          <bgColor theme="1" tint="0.249977111117893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</dxf>
    <dxf>
      <font>
        <color theme="0"/>
      </font>
      <fill>
        <patternFill>
          <bgColor theme="1" tint="0.14996795556505021"/>
        </patternFill>
      </fill>
    </dxf>
    <dxf>
      <fill>
        <patternFill>
          <bgColor theme="0"/>
        </patternFill>
      </fill>
      <border>
        <left style="thin">
          <color theme="2"/>
        </left>
        <right style="thin">
          <color theme="2"/>
        </right>
        <top style="thin">
          <color theme="2"/>
        </top>
        <bottom style="thin">
          <color theme="2"/>
        </bottom>
        <vertical style="thin">
          <color theme="2"/>
        </vertical>
        <horizontal style="thin">
          <color theme="2"/>
        </horizontal>
      </border>
    </dxf>
  </dxfs>
  <tableStyles count="1" defaultTableStyle="TableStyleMedium2" defaultPivotStyle="PivotStyleLight16">
    <tableStyle name="murunofc" pivot="0" count="2" xr9:uid="{CB38DED2-F8AC-4E1B-B39F-2997D320D8FB}">
      <tableStyleElement type="wholeTable" dxfId="215"/>
      <tableStyleElement type="headerRow" dxfId="214"/>
    </tableStyle>
  </tableStyles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19051</xdr:colOff>
      <xdr:row>2</xdr:row>
      <xdr:rowOff>0</xdr:rowOff>
    </xdr:from>
    <xdr:to>
      <xdr:col>7</xdr:col>
      <xdr:colOff>723900</xdr:colOff>
      <xdr:row>5</xdr:row>
      <xdr:rowOff>152399</xdr:rowOff>
    </xdr:to>
    <xdr:sp macro="[0]!refresh" textlink="">
      <xdr:nvSpPr>
        <xdr:cNvPr id="2" name="Rectangle 1">
          <a:extLst>
            <a:ext uri="{FF2B5EF4-FFF2-40B4-BE49-F238E27FC236}">
              <a16:creationId xmlns:a16="http://schemas.microsoft.com/office/drawing/2014/main" id="{AF132A7B-A4EB-4E01-89F1-75C6DCAA5024}"/>
            </a:ext>
          </a:extLst>
        </xdr:cNvPr>
        <xdr:cNvSpPr/>
      </xdr:nvSpPr>
      <xdr:spPr>
        <a:xfrm>
          <a:off x="4648201" y="304800"/>
          <a:ext cx="704849" cy="609599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Refresh</a:t>
          </a:r>
        </a:p>
      </xdr:txBody>
    </xdr:sp>
    <xdr:clientData/>
  </xdr:twoCellAnchor>
  <xdr:twoCellAnchor>
    <xdr:from>
      <xdr:col>9</xdr:col>
      <xdr:colOff>581025</xdr:colOff>
      <xdr:row>1</xdr:row>
      <xdr:rowOff>76201</xdr:rowOff>
    </xdr:from>
    <xdr:to>
      <xdr:col>10</xdr:col>
      <xdr:colOff>514350</xdr:colOff>
      <xdr:row>2</xdr:row>
      <xdr:rowOff>133351</xdr:rowOff>
    </xdr:to>
    <xdr:sp macro="[0]!quickcast" textlink="">
      <xdr:nvSpPr>
        <xdr:cNvPr id="3" name="Rectangle 2">
          <a:extLst>
            <a:ext uri="{FF2B5EF4-FFF2-40B4-BE49-F238E27FC236}">
              <a16:creationId xmlns:a16="http://schemas.microsoft.com/office/drawing/2014/main" id="{1E8152A7-37DD-4922-94F5-0E3D7D34043E}"/>
            </a:ext>
          </a:extLst>
        </xdr:cNvPr>
        <xdr:cNvSpPr/>
      </xdr:nvSpPr>
      <xdr:spPr>
        <a:xfrm>
          <a:off x="7000875" y="228601"/>
          <a:ext cx="828675" cy="209550"/>
        </a:xfrm>
        <a:prstGeom prst="rect">
          <a:avLst/>
        </a:prstGeom>
        <a:solidFill>
          <a:schemeClr val="bg1"/>
        </a:solidFill>
        <a:ln w="19050">
          <a:solidFill>
            <a:schemeClr val="tx1">
              <a:lumMod val="75000"/>
              <a:lumOff val="2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chemeClr val="tx1">
                  <a:lumMod val="75000"/>
                  <a:lumOff val="25000"/>
                </a:schemeClr>
              </a:solidFill>
            </a:rPr>
            <a:t>NGDP-P</a:t>
          </a:r>
        </a:p>
      </xdr:txBody>
    </xdr:sp>
    <xdr:clientData/>
  </xdr:twoCellAnchor>
  <xdr:twoCellAnchor>
    <xdr:from>
      <xdr:col>10</xdr:col>
      <xdr:colOff>565150</xdr:colOff>
      <xdr:row>1</xdr:row>
      <xdr:rowOff>76200</xdr:rowOff>
    </xdr:from>
    <xdr:to>
      <xdr:col>11</xdr:col>
      <xdr:colOff>498475</xdr:colOff>
      <xdr:row>2</xdr:row>
      <xdr:rowOff>133350</xdr:rowOff>
    </xdr:to>
    <xdr:sp macro="[0]!quickcast" textlink="">
      <xdr:nvSpPr>
        <xdr:cNvPr id="5" name="Rectangle 4">
          <a:extLst>
            <a:ext uri="{FF2B5EF4-FFF2-40B4-BE49-F238E27FC236}">
              <a16:creationId xmlns:a16="http://schemas.microsoft.com/office/drawing/2014/main" id="{D18B67CB-54EE-412D-BC72-A9340BADB508}"/>
            </a:ext>
          </a:extLst>
        </xdr:cNvPr>
        <xdr:cNvSpPr/>
      </xdr:nvSpPr>
      <xdr:spPr>
        <a:xfrm>
          <a:off x="7880350" y="228600"/>
          <a:ext cx="828675" cy="209550"/>
        </a:xfrm>
        <a:prstGeom prst="rect">
          <a:avLst/>
        </a:prstGeom>
        <a:solidFill>
          <a:schemeClr val="bg1"/>
        </a:solidFill>
        <a:ln w="19050">
          <a:solidFill>
            <a:schemeClr val="tx1">
              <a:lumMod val="75000"/>
              <a:lumOff val="2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chemeClr val="tx1">
                  <a:lumMod val="75000"/>
                  <a:lumOff val="25000"/>
                </a:schemeClr>
              </a:solidFill>
            </a:rPr>
            <a:t>NGDP-E</a:t>
          </a:r>
        </a:p>
      </xdr:txBody>
    </xdr:sp>
    <xdr:clientData/>
  </xdr:twoCellAnchor>
  <xdr:twoCellAnchor>
    <xdr:from>
      <xdr:col>11</xdr:col>
      <xdr:colOff>549275</xdr:colOff>
      <xdr:row>1</xdr:row>
      <xdr:rowOff>76201</xdr:rowOff>
    </xdr:from>
    <xdr:to>
      <xdr:col>12</xdr:col>
      <xdr:colOff>482600</xdr:colOff>
      <xdr:row>2</xdr:row>
      <xdr:rowOff>133351</xdr:rowOff>
    </xdr:to>
    <xdr:sp macro="[0]!quickcast" textlink="">
      <xdr:nvSpPr>
        <xdr:cNvPr id="7" name="Rectangle 6">
          <a:extLst>
            <a:ext uri="{FF2B5EF4-FFF2-40B4-BE49-F238E27FC236}">
              <a16:creationId xmlns:a16="http://schemas.microsoft.com/office/drawing/2014/main" id="{DAFEE965-437B-4E60-B599-CA58FA29AE30}"/>
            </a:ext>
          </a:extLst>
        </xdr:cNvPr>
        <xdr:cNvSpPr/>
      </xdr:nvSpPr>
      <xdr:spPr>
        <a:xfrm>
          <a:off x="8759825" y="228601"/>
          <a:ext cx="828675" cy="209550"/>
        </a:xfrm>
        <a:prstGeom prst="rect">
          <a:avLst/>
        </a:prstGeom>
        <a:solidFill>
          <a:schemeClr val="bg1"/>
        </a:solidFill>
        <a:ln w="19050">
          <a:solidFill>
            <a:schemeClr val="tx1">
              <a:lumMod val="75000"/>
              <a:lumOff val="2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chemeClr val="tx1">
                  <a:lumMod val="75000"/>
                  <a:lumOff val="25000"/>
                </a:schemeClr>
              </a:solidFill>
            </a:rPr>
            <a:t>BUDGET</a:t>
          </a:r>
        </a:p>
      </xdr:txBody>
    </xdr:sp>
    <xdr:clientData/>
  </xdr:twoCellAnchor>
  <xdr:twoCellAnchor>
    <xdr:from>
      <xdr:col>12</xdr:col>
      <xdr:colOff>533400</xdr:colOff>
      <xdr:row>1</xdr:row>
      <xdr:rowOff>76200</xdr:rowOff>
    </xdr:from>
    <xdr:to>
      <xdr:col>13</xdr:col>
      <xdr:colOff>466725</xdr:colOff>
      <xdr:row>2</xdr:row>
      <xdr:rowOff>133350</xdr:rowOff>
    </xdr:to>
    <xdr:sp macro="[0]!quickcast" textlink="">
      <xdr:nvSpPr>
        <xdr:cNvPr id="9" name="Rectangle 8">
          <a:extLst>
            <a:ext uri="{FF2B5EF4-FFF2-40B4-BE49-F238E27FC236}">
              <a16:creationId xmlns:a16="http://schemas.microsoft.com/office/drawing/2014/main" id="{DC2C1CB4-2DB6-4E6C-A5B7-B70B42A0A53E}"/>
            </a:ext>
          </a:extLst>
        </xdr:cNvPr>
        <xdr:cNvSpPr/>
      </xdr:nvSpPr>
      <xdr:spPr>
        <a:xfrm>
          <a:off x="9639300" y="228600"/>
          <a:ext cx="828675" cy="209550"/>
        </a:xfrm>
        <a:prstGeom prst="rect">
          <a:avLst/>
        </a:prstGeom>
        <a:solidFill>
          <a:schemeClr val="bg1"/>
        </a:solidFill>
        <a:ln w="19050">
          <a:solidFill>
            <a:schemeClr val="tx1">
              <a:lumMod val="75000"/>
              <a:lumOff val="2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chemeClr val="tx1">
                  <a:lumMod val="75000"/>
                  <a:lumOff val="25000"/>
                </a:schemeClr>
              </a:solidFill>
            </a:rPr>
            <a:t>BOP</a:t>
          </a:r>
        </a:p>
      </xdr:txBody>
    </xdr:sp>
    <xdr:clientData/>
  </xdr:twoCellAnchor>
  <xdr:twoCellAnchor>
    <xdr:from>
      <xdr:col>9</xdr:col>
      <xdr:colOff>581025</xdr:colOff>
      <xdr:row>3</xdr:row>
      <xdr:rowOff>28576</xdr:rowOff>
    </xdr:from>
    <xdr:to>
      <xdr:col>10</xdr:col>
      <xdr:colOff>514350</xdr:colOff>
      <xdr:row>4</xdr:row>
      <xdr:rowOff>85726</xdr:rowOff>
    </xdr:to>
    <xdr:sp macro="[0]!quickcast" textlink="">
      <xdr:nvSpPr>
        <xdr:cNvPr id="4" name="Rectangle 3">
          <a:extLst>
            <a:ext uri="{FF2B5EF4-FFF2-40B4-BE49-F238E27FC236}">
              <a16:creationId xmlns:a16="http://schemas.microsoft.com/office/drawing/2014/main" id="{0129A64E-63D1-4C20-B91D-829B2A1C0083}"/>
            </a:ext>
          </a:extLst>
        </xdr:cNvPr>
        <xdr:cNvSpPr/>
      </xdr:nvSpPr>
      <xdr:spPr>
        <a:xfrm>
          <a:off x="7000875" y="485776"/>
          <a:ext cx="828675" cy="209550"/>
        </a:xfrm>
        <a:prstGeom prst="rect">
          <a:avLst/>
        </a:prstGeom>
        <a:solidFill>
          <a:schemeClr val="bg1"/>
        </a:solidFill>
        <a:ln w="19050">
          <a:solidFill>
            <a:schemeClr val="tx1">
              <a:lumMod val="75000"/>
              <a:lumOff val="2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chemeClr val="tx1">
                  <a:lumMod val="75000"/>
                  <a:lumOff val="25000"/>
                </a:schemeClr>
              </a:solidFill>
            </a:rPr>
            <a:t>RGDP-P</a:t>
          </a:r>
        </a:p>
      </xdr:txBody>
    </xdr:sp>
    <xdr:clientData/>
  </xdr:twoCellAnchor>
  <xdr:twoCellAnchor>
    <xdr:from>
      <xdr:col>10</xdr:col>
      <xdr:colOff>565150</xdr:colOff>
      <xdr:row>3</xdr:row>
      <xdr:rowOff>28575</xdr:rowOff>
    </xdr:from>
    <xdr:to>
      <xdr:col>11</xdr:col>
      <xdr:colOff>498475</xdr:colOff>
      <xdr:row>4</xdr:row>
      <xdr:rowOff>85725</xdr:rowOff>
    </xdr:to>
    <xdr:sp macro="[0]!quickcast" textlink="">
      <xdr:nvSpPr>
        <xdr:cNvPr id="6" name="Rectangle 5">
          <a:extLst>
            <a:ext uri="{FF2B5EF4-FFF2-40B4-BE49-F238E27FC236}">
              <a16:creationId xmlns:a16="http://schemas.microsoft.com/office/drawing/2014/main" id="{AE78989F-7343-48A4-B8F6-CEDFCBD85939}"/>
            </a:ext>
          </a:extLst>
        </xdr:cNvPr>
        <xdr:cNvSpPr/>
      </xdr:nvSpPr>
      <xdr:spPr>
        <a:xfrm>
          <a:off x="7880350" y="485775"/>
          <a:ext cx="828675" cy="209550"/>
        </a:xfrm>
        <a:prstGeom prst="rect">
          <a:avLst/>
        </a:prstGeom>
        <a:solidFill>
          <a:schemeClr val="bg1"/>
        </a:solidFill>
        <a:ln w="19050">
          <a:solidFill>
            <a:schemeClr val="tx1">
              <a:lumMod val="75000"/>
              <a:lumOff val="2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chemeClr val="tx1">
                  <a:lumMod val="75000"/>
                  <a:lumOff val="25000"/>
                </a:schemeClr>
              </a:solidFill>
            </a:rPr>
            <a:t>RGDP-E</a:t>
          </a:r>
        </a:p>
      </xdr:txBody>
    </xdr:sp>
    <xdr:clientData/>
  </xdr:twoCellAnchor>
  <xdr:twoCellAnchor>
    <xdr:from>
      <xdr:col>11</xdr:col>
      <xdr:colOff>549275</xdr:colOff>
      <xdr:row>3</xdr:row>
      <xdr:rowOff>28576</xdr:rowOff>
    </xdr:from>
    <xdr:to>
      <xdr:col>12</xdr:col>
      <xdr:colOff>482600</xdr:colOff>
      <xdr:row>4</xdr:row>
      <xdr:rowOff>85726</xdr:rowOff>
    </xdr:to>
    <xdr:sp macro="[0]!quickcast" textlink="">
      <xdr:nvSpPr>
        <xdr:cNvPr id="8" name="Rectangle 7">
          <a:extLst>
            <a:ext uri="{FF2B5EF4-FFF2-40B4-BE49-F238E27FC236}">
              <a16:creationId xmlns:a16="http://schemas.microsoft.com/office/drawing/2014/main" id="{B59A13C1-84DA-4903-B222-C6C6BD04AF3F}"/>
            </a:ext>
          </a:extLst>
        </xdr:cNvPr>
        <xdr:cNvSpPr/>
      </xdr:nvSpPr>
      <xdr:spPr>
        <a:xfrm>
          <a:off x="8759825" y="485776"/>
          <a:ext cx="828675" cy="209550"/>
        </a:xfrm>
        <a:prstGeom prst="rect">
          <a:avLst/>
        </a:prstGeom>
        <a:solidFill>
          <a:schemeClr val="bg1"/>
        </a:solidFill>
        <a:ln w="19050">
          <a:solidFill>
            <a:schemeClr val="tx1">
              <a:lumMod val="75000"/>
              <a:lumOff val="2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chemeClr val="tx1">
                  <a:lumMod val="75000"/>
                  <a:lumOff val="25000"/>
                </a:schemeClr>
              </a:solidFill>
            </a:rPr>
            <a:t>CPI</a:t>
          </a:r>
        </a:p>
      </xdr:txBody>
    </xdr:sp>
    <xdr:clientData/>
  </xdr:twoCellAnchor>
  <xdr:twoCellAnchor>
    <xdr:from>
      <xdr:col>12</xdr:col>
      <xdr:colOff>533400</xdr:colOff>
      <xdr:row>3</xdr:row>
      <xdr:rowOff>28575</xdr:rowOff>
    </xdr:from>
    <xdr:to>
      <xdr:col>13</xdr:col>
      <xdr:colOff>466725</xdr:colOff>
      <xdr:row>4</xdr:row>
      <xdr:rowOff>85725</xdr:rowOff>
    </xdr:to>
    <xdr:sp macro="[0]!quickcast" textlink="">
      <xdr:nvSpPr>
        <xdr:cNvPr id="10" name="Rectangle 9">
          <a:extLst>
            <a:ext uri="{FF2B5EF4-FFF2-40B4-BE49-F238E27FC236}">
              <a16:creationId xmlns:a16="http://schemas.microsoft.com/office/drawing/2014/main" id="{BC75505C-E64C-491D-8632-DD14D8C71E34}"/>
            </a:ext>
          </a:extLst>
        </xdr:cNvPr>
        <xdr:cNvSpPr/>
      </xdr:nvSpPr>
      <xdr:spPr>
        <a:xfrm>
          <a:off x="9639300" y="485775"/>
          <a:ext cx="828675" cy="209550"/>
        </a:xfrm>
        <a:prstGeom prst="rect">
          <a:avLst/>
        </a:prstGeom>
        <a:solidFill>
          <a:schemeClr val="bg1"/>
        </a:solidFill>
        <a:ln w="19050">
          <a:solidFill>
            <a:schemeClr val="tx1">
              <a:lumMod val="75000"/>
              <a:lumOff val="2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chemeClr val="tx1">
                  <a:lumMod val="75000"/>
                  <a:lumOff val="25000"/>
                </a:schemeClr>
              </a:solidFill>
            </a:rPr>
            <a:t>RATE</a:t>
          </a:r>
        </a:p>
      </xdr:txBody>
    </xdr:sp>
    <xdr:clientData/>
  </xdr:twoCellAnchor>
  <xdr:twoCellAnchor>
    <xdr:from>
      <xdr:col>9</xdr:col>
      <xdr:colOff>581025</xdr:colOff>
      <xdr:row>4</xdr:row>
      <xdr:rowOff>133351</xdr:rowOff>
    </xdr:from>
    <xdr:to>
      <xdr:col>10</xdr:col>
      <xdr:colOff>514350</xdr:colOff>
      <xdr:row>6</xdr:row>
      <xdr:rowOff>38101</xdr:rowOff>
    </xdr:to>
    <xdr:sp macro="[0]!quickcast" textlink="">
      <xdr:nvSpPr>
        <xdr:cNvPr id="11" name="Rectangle 10">
          <a:extLst>
            <a:ext uri="{FF2B5EF4-FFF2-40B4-BE49-F238E27FC236}">
              <a16:creationId xmlns:a16="http://schemas.microsoft.com/office/drawing/2014/main" id="{54499EFD-D90A-497D-9723-0D5EFC77C0B1}"/>
            </a:ext>
          </a:extLst>
        </xdr:cNvPr>
        <xdr:cNvSpPr/>
      </xdr:nvSpPr>
      <xdr:spPr>
        <a:xfrm>
          <a:off x="7000875" y="742951"/>
          <a:ext cx="828675" cy="209550"/>
        </a:xfrm>
        <a:prstGeom prst="rect">
          <a:avLst/>
        </a:prstGeom>
        <a:solidFill>
          <a:schemeClr val="bg1"/>
        </a:solidFill>
        <a:ln w="19050">
          <a:solidFill>
            <a:schemeClr val="tx1">
              <a:lumMod val="75000"/>
              <a:lumOff val="2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chemeClr val="tx1">
                  <a:lumMod val="75000"/>
                  <a:lumOff val="25000"/>
                </a:schemeClr>
              </a:solidFill>
            </a:rPr>
            <a:t>EMP</a:t>
          </a:r>
        </a:p>
      </xdr:txBody>
    </xdr:sp>
    <xdr:clientData/>
  </xdr:twoCellAnchor>
  <xdr:twoCellAnchor>
    <xdr:from>
      <xdr:col>10</xdr:col>
      <xdr:colOff>565150</xdr:colOff>
      <xdr:row>4</xdr:row>
      <xdr:rowOff>133350</xdr:rowOff>
    </xdr:from>
    <xdr:to>
      <xdr:col>11</xdr:col>
      <xdr:colOff>498475</xdr:colOff>
      <xdr:row>6</xdr:row>
      <xdr:rowOff>38100</xdr:rowOff>
    </xdr:to>
    <xdr:sp macro="[0]!quickcast" textlink="">
      <xdr:nvSpPr>
        <xdr:cNvPr id="12" name="Rectangle 11">
          <a:extLst>
            <a:ext uri="{FF2B5EF4-FFF2-40B4-BE49-F238E27FC236}">
              <a16:creationId xmlns:a16="http://schemas.microsoft.com/office/drawing/2014/main" id="{69742C05-2973-49CC-A9AA-27E1C0F6576C}"/>
            </a:ext>
          </a:extLst>
        </xdr:cNvPr>
        <xdr:cNvSpPr/>
      </xdr:nvSpPr>
      <xdr:spPr>
        <a:xfrm>
          <a:off x="7880350" y="742950"/>
          <a:ext cx="828675" cy="209550"/>
        </a:xfrm>
        <a:prstGeom prst="rect">
          <a:avLst/>
        </a:prstGeom>
        <a:solidFill>
          <a:schemeClr val="bg1"/>
        </a:solidFill>
        <a:ln w="19050">
          <a:solidFill>
            <a:schemeClr val="tx1">
              <a:lumMod val="75000"/>
              <a:lumOff val="2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chemeClr val="tx1">
                  <a:lumMod val="75000"/>
                  <a:lumOff val="25000"/>
                </a:schemeClr>
              </a:solidFill>
            </a:rPr>
            <a:t>WAGE</a:t>
          </a:r>
        </a:p>
      </xdr:txBody>
    </xdr:sp>
    <xdr:clientData/>
  </xdr:twoCellAnchor>
  <xdr:twoCellAnchor>
    <xdr:from>
      <xdr:col>11</xdr:col>
      <xdr:colOff>549275</xdr:colOff>
      <xdr:row>4</xdr:row>
      <xdr:rowOff>133351</xdr:rowOff>
    </xdr:from>
    <xdr:to>
      <xdr:col>12</xdr:col>
      <xdr:colOff>482600</xdr:colOff>
      <xdr:row>6</xdr:row>
      <xdr:rowOff>38101</xdr:rowOff>
    </xdr:to>
    <xdr:sp macro="[0]!quickcast" textlink="">
      <xdr:nvSpPr>
        <xdr:cNvPr id="13" name="Rectangle 12">
          <a:extLst>
            <a:ext uri="{FF2B5EF4-FFF2-40B4-BE49-F238E27FC236}">
              <a16:creationId xmlns:a16="http://schemas.microsoft.com/office/drawing/2014/main" id="{BCA9A936-575C-40E2-BC85-41F8E539137A}"/>
            </a:ext>
          </a:extLst>
        </xdr:cNvPr>
        <xdr:cNvSpPr/>
      </xdr:nvSpPr>
      <xdr:spPr>
        <a:xfrm>
          <a:off x="8759825" y="742951"/>
          <a:ext cx="828675" cy="209550"/>
        </a:xfrm>
        <a:prstGeom prst="rect">
          <a:avLst/>
        </a:prstGeom>
        <a:solidFill>
          <a:schemeClr val="bg1"/>
        </a:solidFill>
        <a:ln w="19050">
          <a:solidFill>
            <a:schemeClr val="tx1">
              <a:lumMod val="75000"/>
              <a:lumOff val="2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chemeClr val="tx1">
                  <a:lumMod val="75000"/>
                  <a:lumOff val="25000"/>
                </a:schemeClr>
              </a:solidFill>
            </a:rPr>
            <a:t>TRADE</a:t>
          </a:r>
        </a:p>
      </xdr:txBody>
    </xdr:sp>
    <xdr:clientData/>
  </xdr:twoCellAnchor>
  <xdr:twoCellAnchor>
    <xdr:from>
      <xdr:col>12</xdr:col>
      <xdr:colOff>533400</xdr:colOff>
      <xdr:row>4</xdr:row>
      <xdr:rowOff>133350</xdr:rowOff>
    </xdr:from>
    <xdr:to>
      <xdr:col>13</xdr:col>
      <xdr:colOff>466725</xdr:colOff>
      <xdr:row>6</xdr:row>
      <xdr:rowOff>38100</xdr:rowOff>
    </xdr:to>
    <xdr:sp macro="[0]!quickcast" textlink="">
      <xdr:nvSpPr>
        <xdr:cNvPr id="14" name="Rectangle 13">
          <a:extLst>
            <a:ext uri="{FF2B5EF4-FFF2-40B4-BE49-F238E27FC236}">
              <a16:creationId xmlns:a16="http://schemas.microsoft.com/office/drawing/2014/main" id="{B299A312-37DB-453E-9492-56A8944213D5}"/>
            </a:ext>
          </a:extLst>
        </xdr:cNvPr>
        <xdr:cNvSpPr/>
      </xdr:nvSpPr>
      <xdr:spPr>
        <a:xfrm>
          <a:off x="9639300" y="742950"/>
          <a:ext cx="828675" cy="209550"/>
        </a:xfrm>
        <a:prstGeom prst="rect">
          <a:avLst/>
        </a:prstGeom>
        <a:solidFill>
          <a:schemeClr val="bg1"/>
        </a:solidFill>
        <a:ln w="19050">
          <a:solidFill>
            <a:schemeClr val="tx1">
              <a:lumMod val="75000"/>
              <a:lumOff val="2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chemeClr val="tx1">
                  <a:lumMod val="75000"/>
                  <a:lumOff val="25000"/>
                </a:schemeClr>
              </a:solidFill>
            </a:rPr>
            <a:t>C-PRICE</a:t>
          </a:r>
        </a:p>
      </xdr:txBody>
    </xdr:sp>
    <xdr:clientData/>
  </xdr:twoCellAnchor>
  <xdr:twoCellAnchor>
    <xdr:from>
      <xdr:col>7</xdr:col>
      <xdr:colOff>876300</xdr:colOff>
      <xdr:row>2</xdr:row>
      <xdr:rowOff>9525</xdr:rowOff>
    </xdr:from>
    <xdr:to>
      <xdr:col>9</xdr:col>
      <xdr:colOff>142875</xdr:colOff>
      <xdr:row>3</xdr:row>
      <xdr:rowOff>114300</xdr:rowOff>
    </xdr:to>
    <xdr:sp macro="[0]!_xludf.clear" textlink="">
      <xdr:nvSpPr>
        <xdr:cNvPr id="18" name="Rectangle 17">
          <a:extLst>
            <a:ext uri="{FF2B5EF4-FFF2-40B4-BE49-F238E27FC236}">
              <a16:creationId xmlns:a16="http://schemas.microsoft.com/office/drawing/2014/main" id="{C32213F3-EF6B-4A1C-9F0F-DD07861BAC7F}"/>
            </a:ext>
          </a:extLst>
        </xdr:cNvPr>
        <xdr:cNvSpPr/>
      </xdr:nvSpPr>
      <xdr:spPr>
        <a:xfrm>
          <a:off x="5505450" y="314325"/>
          <a:ext cx="1057275" cy="25717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tx1">
              <a:lumMod val="75000"/>
              <a:lumOff val="2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chemeClr val="bg1"/>
              </a:solidFill>
            </a:rPr>
            <a:t>CLEAR</a:t>
          </a:r>
        </a:p>
      </xdr:txBody>
    </xdr:sp>
    <xdr:clientData/>
  </xdr:twoCellAnchor>
  <xdr:twoCellAnchor>
    <xdr:from>
      <xdr:col>7</xdr:col>
      <xdr:colOff>876300</xdr:colOff>
      <xdr:row>4</xdr:row>
      <xdr:rowOff>9524</xdr:rowOff>
    </xdr:from>
    <xdr:to>
      <xdr:col>9</xdr:col>
      <xdr:colOff>152400</xdr:colOff>
      <xdr:row>5</xdr:row>
      <xdr:rowOff>133349</xdr:rowOff>
    </xdr:to>
    <xdr:sp macro="[0]!export" textlink="">
      <xdr:nvSpPr>
        <xdr:cNvPr id="19" name="Rectangle 18">
          <a:extLst>
            <a:ext uri="{FF2B5EF4-FFF2-40B4-BE49-F238E27FC236}">
              <a16:creationId xmlns:a16="http://schemas.microsoft.com/office/drawing/2014/main" id="{25CCECD7-7C36-4C0F-9CDF-B0F05C52A10E}"/>
            </a:ext>
          </a:extLst>
        </xdr:cNvPr>
        <xdr:cNvSpPr/>
      </xdr:nvSpPr>
      <xdr:spPr>
        <a:xfrm>
          <a:off x="5505450" y="619124"/>
          <a:ext cx="1066800" cy="27622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tx1">
              <a:lumMod val="75000"/>
              <a:lumOff val="2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chemeClr val="bg1"/>
              </a:solidFill>
            </a:rPr>
            <a:t>EXPORT</a:t>
          </a:r>
        </a:p>
      </xdr:txBody>
    </xdr:sp>
    <xdr:clientData/>
  </xdr:twoCellAnchor>
  <xdr:twoCellAnchor>
    <xdr:from>
      <xdr:col>13</xdr:col>
      <xdr:colOff>514350</xdr:colOff>
      <xdr:row>1</xdr:row>
      <xdr:rowOff>76201</xdr:rowOff>
    </xdr:from>
    <xdr:to>
      <xdr:col>14</xdr:col>
      <xdr:colOff>447675</xdr:colOff>
      <xdr:row>2</xdr:row>
      <xdr:rowOff>133351</xdr:rowOff>
    </xdr:to>
    <xdr:sp macro="[0]!quickcast" textlink="">
      <xdr:nvSpPr>
        <xdr:cNvPr id="20" name="Rectangle 19">
          <a:extLst>
            <a:ext uri="{FF2B5EF4-FFF2-40B4-BE49-F238E27FC236}">
              <a16:creationId xmlns:a16="http://schemas.microsoft.com/office/drawing/2014/main" id="{1C0F1C8E-C6DB-49A1-AEB9-7F928CBDE131}"/>
            </a:ext>
          </a:extLst>
        </xdr:cNvPr>
        <xdr:cNvSpPr/>
      </xdr:nvSpPr>
      <xdr:spPr>
        <a:xfrm>
          <a:off x="10515600" y="228601"/>
          <a:ext cx="828675" cy="209550"/>
        </a:xfrm>
        <a:prstGeom prst="rect">
          <a:avLst/>
        </a:prstGeom>
        <a:solidFill>
          <a:schemeClr val="bg1"/>
        </a:solidFill>
        <a:ln w="19050">
          <a:solidFill>
            <a:schemeClr val="tx1">
              <a:lumMod val="75000"/>
              <a:lumOff val="2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chemeClr val="tx1">
                  <a:lumMod val="75000"/>
                  <a:lumOff val="25000"/>
                </a:schemeClr>
              </a:solidFill>
            </a:rPr>
            <a:t>FXRES</a:t>
          </a:r>
        </a:p>
      </xdr:txBody>
    </xdr:sp>
    <xdr:clientData/>
  </xdr:twoCellAnchor>
  <xdr:twoCellAnchor>
    <xdr:from>
      <xdr:col>14</xdr:col>
      <xdr:colOff>498475</xdr:colOff>
      <xdr:row>1</xdr:row>
      <xdr:rowOff>76200</xdr:rowOff>
    </xdr:from>
    <xdr:to>
      <xdr:col>15</xdr:col>
      <xdr:colOff>431800</xdr:colOff>
      <xdr:row>2</xdr:row>
      <xdr:rowOff>133350</xdr:rowOff>
    </xdr:to>
    <xdr:sp macro="[0]!quickcast" textlink="">
      <xdr:nvSpPr>
        <xdr:cNvPr id="21" name="Rectangle 20">
          <a:extLst>
            <a:ext uri="{FF2B5EF4-FFF2-40B4-BE49-F238E27FC236}">
              <a16:creationId xmlns:a16="http://schemas.microsoft.com/office/drawing/2014/main" id="{D8794A29-D9D6-4738-A542-5F5716649C48}"/>
            </a:ext>
          </a:extLst>
        </xdr:cNvPr>
        <xdr:cNvSpPr/>
      </xdr:nvSpPr>
      <xdr:spPr>
        <a:xfrm>
          <a:off x="11395075" y="228600"/>
          <a:ext cx="828675" cy="209550"/>
        </a:xfrm>
        <a:prstGeom prst="rect">
          <a:avLst/>
        </a:prstGeom>
        <a:solidFill>
          <a:schemeClr val="bg1"/>
        </a:solidFill>
        <a:ln w="19050">
          <a:solidFill>
            <a:schemeClr val="tx1">
              <a:lumMod val="75000"/>
              <a:lumOff val="2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chemeClr val="tx1">
                  <a:lumMod val="75000"/>
                  <a:lumOff val="25000"/>
                </a:schemeClr>
              </a:solidFill>
            </a:rPr>
            <a:t>BANK</a:t>
          </a:r>
        </a:p>
      </xdr:txBody>
    </xdr:sp>
    <xdr:clientData/>
  </xdr:twoCellAnchor>
  <xdr:twoCellAnchor>
    <xdr:from>
      <xdr:col>13</xdr:col>
      <xdr:colOff>514350</xdr:colOff>
      <xdr:row>3</xdr:row>
      <xdr:rowOff>28576</xdr:rowOff>
    </xdr:from>
    <xdr:to>
      <xdr:col>14</xdr:col>
      <xdr:colOff>447675</xdr:colOff>
      <xdr:row>4</xdr:row>
      <xdr:rowOff>85726</xdr:rowOff>
    </xdr:to>
    <xdr:sp macro="[0]!quickcast" textlink="">
      <xdr:nvSpPr>
        <xdr:cNvPr id="22" name="Rectangle 21">
          <a:extLst>
            <a:ext uri="{FF2B5EF4-FFF2-40B4-BE49-F238E27FC236}">
              <a16:creationId xmlns:a16="http://schemas.microsoft.com/office/drawing/2014/main" id="{14423A73-7AEF-4ECD-9CD8-D35717F8BE1E}"/>
            </a:ext>
          </a:extLst>
        </xdr:cNvPr>
        <xdr:cNvSpPr/>
      </xdr:nvSpPr>
      <xdr:spPr>
        <a:xfrm>
          <a:off x="10515600" y="485776"/>
          <a:ext cx="828675" cy="209550"/>
        </a:xfrm>
        <a:prstGeom prst="rect">
          <a:avLst/>
        </a:prstGeom>
        <a:solidFill>
          <a:schemeClr val="bg1"/>
        </a:solidFill>
        <a:ln w="19050">
          <a:solidFill>
            <a:schemeClr val="tx1">
              <a:lumMod val="75000"/>
              <a:lumOff val="2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chemeClr val="tx1">
                  <a:lumMod val="75000"/>
                  <a:lumOff val="25000"/>
                </a:schemeClr>
              </a:solidFill>
            </a:rPr>
            <a:t>LOAN</a:t>
          </a:r>
        </a:p>
      </xdr:txBody>
    </xdr:sp>
    <xdr:clientData/>
  </xdr:twoCellAnchor>
  <xdr:twoCellAnchor>
    <xdr:from>
      <xdr:col>14</xdr:col>
      <xdr:colOff>498475</xdr:colOff>
      <xdr:row>3</xdr:row>
      <xdr:rowOff>28575</xdr:rowOff>
    </xdr:from>
    <xdr:to>
      <xdr:col>15</xdr:col>
      <xdr:colOff>431800</xdr:colOff>
      <xdr:row>4</xdr:row>
      <xdr:rowOff>85725</xdr:rowOff>
    </xdr:to>
    <xdr:sp macro="[0]!quickcast" textlink="">
      <xdr:nvSpPr>
        <xdr:cNvPr id="23" name="Rectangle 22">
          <a:extLst>
            <a:ext uri="{FF2B5EF4-FFF2-40B4-BE49-F238E27FC236}">
              <a16:creationId xmlns:a16="http://schemas.microsoft.com/office/drawing/2014/main" id="{F170686B-BACE-409D-90CD-B0186445F5D3}"/>
            </a:ext>
          </a:extLst>
        </xdr:cNvPr>
        <xdr:cNvSpPr/>
      </xdr:nvSpPr>
      <xdr:spPr>
        <a:xfrm>
          <a:off x="11395075" y="485775"/>
          <a:ext cx="828675" cy="209550"/>
        </a:xfrm>
        <a:prstGeom prst="rect">
          <a:avLst/>
        </a:prstGeom>
        <a:solidFill>
          <a:schemeClr val="bg1"/>
        </a:solidFill>
        <a:ln w="19050">
          <a:solidFill>
            <a:schemeClr val="tx1">
              <a:lumMod val="75000"/>
              <a:lumOff val="2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chemeClr val="tx1">
                  <a:lumMod val="75000"/>
                  <a:lumOff val="25000"/>
                </a:schemeClr>
              </a:solidFill>
            </a:rPr>
            <a:t>EXDEBT</a:t>
          </a:r>
        </a:p>
      </xdr:txBody>
    </xdr:sp>
    <xdr:clientData/>
  </xdr:twoCellAnchor>
  <xdr:twoCellAnchor>
    <xdr:from>
      <xdr:col>13</xdr:col>
      <xdr:colOff>514350</xdr:colOff>
      <xdr:row>4</xdr:row>
      <xdr:rowOff>133351</xdr:rowOff>
    </xdr:from>
    <xdr:to>
      <xdr:col>14</xdr:col>
      <xdr:colOff>447675</xdr:colOff>
      <xdr:row>6</xdr:row>
      <xdr:rowOff>38101</xdr:rowOff>
    </xdr:to>
    <xdr:sp macro="[0]!quickcast" textlink="">
      <xdr:nvSpPr>
        <xdr:cNvPr id="24" name="Rectangle 23">
          <a:extLst>
            <a:ext uri="{FF2B5EF4-FFF2-40B4-BE49-F238E27FC236}">
              <a16:creationId xmlns:a16="http://schemas.microsoft.com/office/drawing/2014/main" id="{58510CB7-3D64-437F-B12E-8A9275C3BEAA}"/>
            </a:ext>
          </a:extLst>
        </xdr:cNvPr>
        <xdr:cNvSpPr/>
      </xdr:nvSpPr>
      <xdr:spPr>
        <a:xfrm>
          <a:off x="10515600" y="742951"/>
          <a:ext cx="828675" cy="209550"/>
        </a:xfrm>
        <a:prstGeom prst="rect">
          <a:avLst/>
        </a:prstGeom>
        <a:solidFill>
          <a:schemeClr val="bg1"/>
        </a:solidFill>
        <a:ln w="19050">
          <a:solidFill>
            <a:schemeClr val="tx1">
              <a:lumMod val="75000"/>
              <a:lumOff val="2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chemeClr val="tx1">
                  <a:lumMod val="75000"/>
                  <a:lumOff val="25000"/>
                </a:schemeClr>
              </a:solidFill>
            </a:rPr>
            <a:t>DEPO</a:t>
          </a:r>
        </a:p>
      </xdr:txBody>
    </xdr:sp>
    <xdr:clientData/>
  </xdr:twoCellAnchor>
  <xdr:twoCellAnchor>
    <xdr:from>
      <xdr:col>14</xdr:col>
      <xdr:colOff>498475</xdr:colOff>
      <xdr:row>4</xdr:row>
      <xdr:rowOff>133350</xdr:rowOff>
    </xdr:from>
    <xdr:to>
      <xdr:col>15</xdr:col>
      <xdr:colOff>431800</xdr:colOff>
      <xdr:row>6</xdr:row>
      <xdr:rowOff>38100</xdr:rowOff>
    </xdr:to>
    <xdr:sp macro="[0]!quickcast" textlink="">
      <xdr:nvSpPr>
        <xdr:cNvPr id="25" name="Rectangle 24">
          <a:extLst>
            <a:ext uri="{FF2B5EF4-FFF2-40B4-BE49-F238E27FC236}">
              <a16:creationId xmlns:a16="http://schemas.microsoft.com/office/drawing/2014/main" id="{07BFF2E1-4C06-4F46-B2EB-5AF24511A016}"/>
            </a:ext>
          </a:extLst>
        </xdr:cNvPr>
        <xdr:cNvSpPr/>
      </xdr:nvSpPr>
      <xdr:spPr>
        <a:xfrm>
          <a:off x="11395075" y="742950"/>
          <a:ext cx="828675" cy="209550"/>
        </a:xfrm>
        <a:prstGeom prst="rect">
          <a:avLst/>
        </a:prstGeom>
        <a:solidFill>
          <a:schemeClr val="bg1"/>
        </a:solidFill>
        <a:ln w="19050">
          <a:solidFill>
            <a:schemeClr val="tx1">
              <a:lumMod val="75000"/>
              <a:lumOff val="2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chemeClr val="tx1">
                  <a:lumMod val="75000"/>
                  <a:lumOff val="25000"/>
                </a:schemeClr>
              </a:solidFill>
            </a:rPr>
            <a:t>OTH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76309B99-BACE-40B1-9EF8-08C4A6D9EB13}" autoFormatId="16" applyNumberFormats="0" applyBorderFormats="0" applyFontFormats="0" applyPatternFormats="0" applyAlignmentFormats="0" applyWidthHeightFormats="0">
  <queryTableRefresh nextId="360">
    <queryTableFields count="195">
      <queryTableField id="163" name="period_y" tableColumnId="1"/>
      <queryTableField id="164" name="period_q" tableColumnId="2"/>
      <queryTableField id="165" name="period_m" tableColumnId="3"/>
      <queryTableField id="166" name="ngdp_total_p" tableColumnId="4"/>
      <queryTableField id="167" name="ngdp_agri_p" tableColumnId="5"/>
      <queryTableField id="168" name="ngdp_mining_p" tableColumnId="6"/>
      <queryTableField id="169" name="ngdp_manu_p" tableColumnId="7"/>
      <queryTableField id="170" name="ngdp_infra_p" tableColumnId="8"/>
      <queryTableField id="171" name="ngdp_const_p" tableColumnId="9"/>
      <queryTableField id="172" name="ngdp_trade_p" tableColumnId="10"/>
      <queryTableField id="173" name="ngdp_trans_p" tableColumnId="11"/>
      <queryTableField id="174" name="ngdp_comm_p" tableColumnId="12"/>
      <queryTableField id="175" name="ngdp_serv_p" tableColumnId="13"/>
      <queryTableField id="176" name="ngdp_tax_p" tableColumnId="14"/>
      <queryTableField id="177" name="rgdp_total_p" tableColumnId="15"/>
      <queryTableField id="178" name="rgdp_agri_p" tableColumnId="16"/>
      <queryTableField id="179" name="rgdp_mining_p" tableColumnId="17"/>
      <queryTableField id="180" name="rgdp_manu_p" tableColumnId="18"/>
      <queryTableField id="181" name="rgdp_infra_p" tableColumnId="19"/>
      <queryTableField id="182" name="rgdp_const_p" tableColumnId="20"/>
      <queryTableField id="183" name="rgdp_trade_p" tableColumnId="21"/>
      <queryTableField id="184" name="rgdp_trans_p" tableColumnId="22"/>
      <queryTableField id="185" name="rgdp_comm_p" tableColumnId="23"/>
      <queryTableField id="186" name="rgdp_serv_p" tableColumnId="24"/>
      <queryTableField id="187" name="rgdp_tax_p" tableColumnId="25"/>
      <queryTableField id="188" name="ngdp_total_e" tableColumnId="26"/>
      <queryTableField id="189" name="ngdp_consumpt_e" tableColumnId="27"/>
      <queryTableField id="190" name="ngdp_govcons_e" tableColumnId="28"/>
      <queryTableField id="191" name="ngdp_invstfixed_e" tableColumnId="29"/>
      <queryTableField id="192" name="ngdp_invstcurrent_e" tableColumnId="30"/>
      <queryTableField id="193" name="ngdp_exp_e" tableColumnId="31"/>
      <queryTableField id="194" name="ngdp_imp_e" tableColumnId="32"/>
      <queryTableField id="195" name="rgdp_total_e" tableColumnId="33"/>
      <queryTableField id="196" name="rgdp_consumpt_e" tableColumnId="34"/>
      <queryTableField id="197" name="rgdp_govcons_e" tableColumnId="35"/>
      <queryTableField id="198" name="rgdp_invstfixed_e" tableColumnId="36"/>
      <queryTableField id="199" name="rgdp_invstcurrent_e" tableColumnId="37"/>
      <queryTableField id="200" name="rgdp_exp_e" tableColumnId="38"/>
      <queryTableField id="201" name="rgdp_imp_e" tableColumnId="39"/>
      <queryTableField id="202" name="emp_total" tableColumnId="40"/>
      <queryTableField id="203" name="emp_male" tableColumnId="41"/>
      <queryTableField id="204" name="emp_female" tableColumnId="42"/>
      <queryTableField id="205" name="emp_un" tableColumnId="43"/>
      <queryTableField id="206" name="emp_un_male" tableColumnId="44"/>
      <queryTableField id="207" name="emp_un_female" tableColumnId="45"/>
      <queryTableField id="208" name="emp_inactive" tableColumnId="46"/>
      <queryTableField id="209" name="emp_inactive_male" tableColumnId="47"/>
      <queryTableField id="210" name="emp_inactive_female" tableColumnId="48"/>
      <queryTableField id="211" name="wage_total" tableColumnId="49"/>
      <queryTableField id="212" name="wage_agri" tableColumnId="50"/>
      <queryTableField id="213" name="wage_mining" tableColumnId="51"/>
      <queryTableField id="214" name="wage_manu" tableColumnId="52"/>
      <queryTableField id="215" name="wage_infra_elec" tableColumnId="53"/>
      <queryTableField id="216" name="wage_infra_water" tableColumnId="54"/>
      <queryTableField id="217" name="wage_const" tableColumnId="55"/>
      <queryTableField id="218" name="wage_trade" tableColumnId="56"/>
      <queryTableField id="219" name="wage_trans" tableColumnId="57"/>
      <queryTableField id="220" name="wage_food" tableColumnId="58"/>
      <queryTableField id="221" name="wage_comm" tableColumnId="59"/>
      <queryTableField id="222" name="wage_fin" tableColumnId="60"/>
      <queryTableField id="223" name="wage_estate" tableColumnId="61"/>
      <queryTableField id="224" name="wage_edu" tableColumnId="62"/>
      <queryTableField id="225" name="wage_health" tableColumnId="63"/>
      <queryTableField id="226" name="wage_entertain" tableColumnId="64"/>
      <queryTableField id="227" name="wage_othserv" tableColumnId="65"/>
      <queryTableField id="228" name="budget_income_opin" tableColumnId="66"/>
      <queryTableField id="229" name="budget_income_tax" tableColumnId="67"/>
      <queryTableField id="230" name="budget_income_tax_inc" tableColumnId="68"/>
      <queryTableField id="231" name="budget_income_tax_inc_corp" tableColumnId="69"/>
      <queryTableField id="232" name="budget_income_tax_inc_indiv" tableColumnId="70"/>
      <queryTableField id="233" name="budget_income_tax_socinsur" tableColumnId="71"/>
      <queryTableField id="234" name="budget_income_tax_vat" tableColumnId="72"/>
      <queryTableField id="235" name="budget_income_tax_special" tableColumnId="73"/>
      <queryTableField id="236" name="budget_income_nontax" tableColumnId="74"/>
      <queryTableField id="237" name="budget_exp_opex" tableColumnId="75"/>
      <queryTableField id="238" name="budget_exp_lending" tableColumnId="76"/>
      <queryTableField id="239" name="budget_exp_goods" tableColumnId="77"/>
      <queryTableField id="240" name="budget_exp_salary" tableColumnId="78"/>
      <queryTableField id="241" name="budget_exp_interest" tableColumnId="79"/>
      <queryTableField id="242" name="budget_exp_subsidy" tableColumnId="80"/>
      <queryTableField id="243" name="budget_exp_govtran" tableColumnId="81"/>
      <queryTableField id="244" name="budget_exp_othcur" tableColumnId="82"/>
      <queryTableField id="245" name="budget_exp_capex" tableColumnId="83"/>
      <queryTableField id="246" name="ms_m1" tableColumnId="84"/>
      <queryTableField id="247" name="ms_m2" tableColumnId="85"/>
      <queryTableField id="248" name="rate_saving_mnt" tableColumnId="86"/>
      <queryTableField id="249" name="rate_saving_fc" tableColumnId="87"/>
      <queryTableField id="250" name="rate_loan_mnt" tableColumnId="88"/>
      <queryTableField id="251" name="rate_loan_fc" tableColumnId="89"/>
      <queryTableField id="252" name="rate_policy" tableColumnId="90"/>
      <queryTableField id="253" name="cpi_total" tableColumnId="91"/>
      <queryTableField id="254" name="cpi_foodnonal" tableColumnId="92"/>
      <queryTableField id="255" name="cpi_beverage" tableColumnId="93"/>
      <queryTableField id="256" name="cpi_cloth" tableColumnId="94"/>
      <queryTableField id="257" name="cpi_comdity" tableColumnId="95"/>
      <queryTableField id="258" name="cpi_furnish" tableColumnId="96"/>
      <queryTableField id="259" name="cpi_health" tableColumnId="97"/>
      <queryTableField id="260" name="cpi_trans" tableColumnId="98"/>
      <queryTableField id="261" name="cpi_comm" tableColumnId="99"/>
      <queryTableField id="262" name="cpi_culture" tableColumnId="100"/>
      <queryTableField id="263" name="cpi_edu" tableColumnId="101"/>
      <queryTableField id="264" name="cpi_res" tableColumnId="102"/>
      <queryTableField id="265" name="cpi_oth" tableColumnId="103"/>
      <queryTableField id="266" name="tb_export" tableColumnId="104"/>
      <queryTableField id="267" name="tb_export_mining" tableColumnId="105"/>
      <queryTableField id="268" name="tb_export_mining_gold" tableColumnId="106"/>
      <queryTableField id="269" name="tb_export_mining_copp" tableColumnId="107"/>
      <queryTableField id="270" name="tb_export_mining_iron" tableColumnId="108"/>
      <queryTableField id="271" name="tb_export_mining_zinc" tableColumnId="109"/>
      <queryTableField id="272" name="tb_export_mining_coal" tableColumnId="110"/>
      <queryTableField id="273" name="tb_export_mining_oil" tableColumnId="111"/>
      <queryTableField id="274" name="tb_export_livestock" tableColumnId="112"/>
      <queryTableField id="275" name="tb_export_livestock_meat" tableColumnId="113"/>
      <queryTableField id="276" name="tb_export_livestock_leather" tableColumnId="114"/>
      <queryTableField id="277" name="tb_export_livestock_cashmere" tableColumnId="115"/>
      <queryTableField id="278" name="tb_export_farm" tableColumnId="116"/>
      <queryTableField id="279" name="tb_export_manu" tableColumnId="117"/>
      <queryTableField id="280" name="tb_export_oth" tableColumnId="118"/>
      <queryTableField id="281" name="tb_import" tableColumnId="119"/>
      <queryTableField id="282" name="tb_import_consumer" tableColumnId="120"/>
      <queryTableField id="283" name="tb_import_consumer_short" tableColumnId="121"/>
      <queryTableField id="284" name="tb_import_consumer_long" tableColumnId="122"/>
      <queryTableField id="285" name="tb_import_manu" tableColumnId="123"/>
      <queryTableField id="286" name="tb_import_manu_elect" tableColumnId="124"/>
      <queryTableField id="287" name="tb_import_invest" tableColumnId="125"/>
      <queryTableField id="288" name="tb_import_invest_vehic" tableColumnId="126"/>
      <queryTableField id="289" name="tb_import_invest_const" tableColumnId="127"/>
      <queryTableField id="290" name="tb_import_oil" tableColumnId="128"/>
      <queryTableField id="291" name="tb_import_oil_dies" tableColumnId="129"/>
      <queryTableField id="292" name="tb_import_oil_9295" tableColumnId="130"/>
      <queryTableField id="293" name="bop_current_account" tableColumnId="131"/>
      <queryTableField id="294" name="bop_current_goods" tableColumnId="132"/>
      <queryTableField id="295" name="bop_current_service" tableColumnId="133"/>
      <queryTableField id="296" name="bop_current_priminc" tableColumnId="134"/>
      <queryTableField id="297" name="bop_current_secondinc" tableColumnId="135"/>
      <queryTableField id="298" name="bop_capital_account" tableColumnId="136"/>
      <queryTableField id="299" name="bop_financial_account" tableColumnId="137"/>
      <queryTableField id="300" name="bop_financial_direct" tableColumnId="138"/>
      <queryTableField id="301" name="bop_financial_portf" tableColumnId="139"/>
      <queryTableField id="302" name="bop_financial_deriv" tableColumnId="140"/>
      <queryTableField id="303" name="bop_financial_oth" tableColumnId="141"/>
      <queryTableField id="304" name="bop_adjustment" tableColumnId="142"/>
      <queryTableField id="305" name="bop" tableColumnId="143"/>
      <queryTableField id="306" name="fxreserve" tableColumnId="144"/>
      <queryTableField id="307" name="fxreserve_security" tableColumnId="145"/>
      <queryTableField id="308" name="fxreserve_deposit" tableColumnId="146"/>
      <queryTableField id="309" name="fxreserve_imf_res" tableColumnId="147"/>
      <queryTableField id="310" name="fxreserve_sdr" tableColumnId="148"/>
      <queryTableField id="311" name="fxreserve_gold" tableColumnId="149"/>
      <queryTableField id="312" name="fxreserve_oth" tableColumnId="150"/>
      <queryTableField id="357" name="ex_usd_avg" tableColumnId="151"/>
      <queryTableField id="314" name="extdebt" tableColumnId="152"/>
      <queryTableField id="315" name="extdebt_gov" tableColumnId="153"/>
      <queryTableField id="316" name="extdebt_centralbank" tableColumnId="154"/>
      <queryTableField id="317" name="extdebt_deposit" tableColumnId="155"/>
      <queryTableField id="318" name="extdebt_oth" tableColumnId="156"/>
      <queryTableField id="319" name="extdebt_inv" tableColumnId="157"/>
      <queryTableField id="320" name="imf_price_coal" tableColumnId="158"/>
      <queryTableField id="321" name="imf_price_oil" tableColumnId="159"/>
      <queryTableField id="322" name="imf_price_copper" tableColumnId="160"/>
      <queryTableField id="323" name="imf_price_iron" tableColumnId="161"/>
      <queryTableField id="324" name="imf_price_gold" tableColumnId="162"/>
      <queryTableField id="325" name="loan_total_out" tableColumnId="163"/>
      <queryTableField id="326" name="loan_total_pdl" tableColumnId="164"/>
      <queryTableField id="327" name="loan_total_npl" tableColumnId="165"/>
      <queryTableField id="328" name="loan_retail_total_out" tableColumnId="166"/>
      <queryTableField id="329" name="loan_retail_total_pdl" tableColumnId="167"/>
      <queryTableField id="330" name="loan_retail_total_npl" tableColumnId="168"/>
      <queryTableField id="331" name="loan_retail_sme_out" tableColumnId="169"/>
      <queryTableField id="332" name="loan_retail_sme_pdl" tableColumnId="170"/>
      <queryTableField id="333" name="loan_retail_sme_npl" tableColumnId="171"/>
      <queryTableField id="334" name="loan_retail_salary_out" tableColumnId="172"/>
      <queryTableField id="335" name="loan_retail_card_out" tableColumnId="173"/>
      <queryTableField id="336" name="loan_retail_vehicle_out" tableColumnId="174"/>
      <queryTableField id="337" name="loan_retail_sbl_out" tableColumnId="175"/>
      <queryTableField id="338" name="loan_corp_total_out" tableColumnId="176"/>
      <queryTableField id="339" name="loan_corp_total_pdl" tableColumnId="177"/>
      <queryTableField id="340" name="loan_corp_total_npl" tableColumnId="178"/>
      <queryTableField id="341" name="loan_corp_sme_out" tableColumnId="179"/>
      <queryTableField id="342" name="loan_corp_sme_pdl" tableColumnId="180"/>
      <queryTableField id="343" name="loan_corp_sme_npl" tableColumnId="181"/>
      <queryTableField id="344" name="loan_oth_out" tableColumnId="182"/>
      <queryTableField id="345" name="depo_total" tableColumnId="183"/>
      <queryTableField id="346" name="depo_total_c" tableColumnId="184"/>
      <queryTableField id="347" name="depo_total_s" tableColumnId="185"/>
      <queryTableField id="348" name="depo_retail" tableColumnId="186"/>
      <queryTableField id="349" name="depo_retail_c" tableColumnId="187"/>
      <queryTableField id="350" name="depo_retail_s" tableColumnId="188"/>
      <queryTableField id="351" name="depo_corp" tableColumnId="189"/>
      <queryTableField id="352" name="depo_corp_c" tableColumnId="190"/>
      <queryTableField id="353" name="depo_corp_s" tableColumnId="191"/>
      <queryTableField id="354" name="depo_oth" tableColumnId="192"/>
      <queryTableField id="355" name="bank_asset" tableColumnId="193"/>
      <queryTableField id="356" name="bank_equity" tableColumnId="194"/>
      <queryTableField id="358" name="ex_usd_last" tableColumnId="19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806AD3D2-F0DD-4A82-B96C-285DC57557C5}" autoFormatId="16" applyNumberFormats="0" applyBorderFormats="0" applyFontFormats="0" applyPatternFormats="0" applyAlignmentFormats="0" applyWidthHeightFormats="0">
  <queryTableRefresh nextId="7">
    <queryTableFields count="6">
      <queryTableField id="1" name="VARIABLE" tableColumnId="1"/>
      <queryTableField id="2" name="SOURCE" tableColumnId="2"/>
      <queryTableField id="3" name="FREQUENCY" tableColumnId="3"/>
      <queryTableField id="4" name="DESCRIPTION" tableColumnId="4"/>
      <queryTableField id="5" name="UNIT" tableColumnId="5"/>
      <queryTableField id="6" name="TYPE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965FA5B-D558-40E4-A62C-2AF9902D37F3}" name="data" displayName="data" ref="A1:GM261" tableType="queryTable" totalsRowDxfId="213">
  <autoFilter ref="A1:GM261" xr:uid="{8B0277FA-5378-48EB-B57C-0C0BD99A3DCF}"/>
  <tableColumns count="195">
    <tableColumn id="1" xr3:uid="{49B462BE-4A6A-4F2E-A21E-464C7C61F2AD}" uniqueName="1" name="period_y" queryTableFieldId="163" dataDxfId="192"/>
    <tableColumn id="2" xr3:uid="{DB05A632-BE83-4296-AF9C-E32E01554A4F}" uniqueName="2" name="period_q" queryTableFieldId="164" dataDxfId="191"/>
    <tableColumn id="3" xr3:uid="{4C61B491-08D1-4A06-AC31-057C219271F3}" uniqueName="3" name="period_m" queryTableFieldId="165" dataDxfId="190"/>
    <tableColumn id="4" xr3:uid="{FEABA70B-B11B-4065-9FEC-58878A22862D}" uniqueName="4" name="ngdp_total_p" queryTableFieldId="166" dataDxfId="189"/>
    <tableColumn id="5" xr3:uid="{16A98BE3-BD39-47E8-A893-CAE11F2ACBB2}" uniqueName="5" name="ngdp_agri_p" queryTableFieldId="167" dataDxfId="188"/>
    <tableColumn id="6" xr3:uid="{6D5E0B76-18CE-4E25-B58B-DC8B26BD9A53}" uniqueName="6" name="ngdp_mining_p" queryTableFieldId="168" dataDxfId="187"/>
    <tableColumn id="7" xr3:uid="{17039637-1669-4D75-9894-A3177BC269D5}" uniqueName="7" name="ngdp_manu_p" queryTableFieldId="169" dataDxfId="186"/>
    <tableColumn id="8" xr3:uid="{6DACC14D-20C0-47DC-AA25-A94B64E9A6A6}" uniqueName="8" name="ngdp_infra_p" queryTableFieldId="170" dataDxfId="185"/>
    <tableColumn id="9" xr3:uid="{934F54F2-2A76-43B8-A414-BCBE5E2C8C44}" uniqueName="9" name="ngdp_const_p" queryTableFieldId="171" dataDxfId="184"/>
    <tableColumn id="10" xr3:uid="{6D9BEF49-FF5A-4F3A-9C09-ACDD0CAC6BE7}" uniqueName="10" name="ngdp_trade_p" queryTableFieldId="172" dataDxfId="183"/>
    <tableColumn id="11" xr3:uid="{6C0F7770-2CD6-45D6-9D1B-349B1328DBD9}" uniqueName="11" name="ngdp_trans_p" queryTableFieldId="173" dataDxfId="182"/>
    <tableColumn id="12" xr3:uid="{097243F7-735B-427F-95E5-121D3BF23D24}" uniqueName="12" name="ngdp_comm_p" queryTableFieldId="174" dataDxfId="181"/>
    <tableColumn id="13" xr3:uid="{352F64C3-AB4D-4551-A041-7F27A7EE3A88}" uniqueName="13" name="ngdp_serv_p" queryTableFieldId="175" dataDxfId="180"/>
    <tableColumn id="14" xr3:uid="{716EEC30-BADB-43D1-B81A-AC0022988C91}" uniqueName="14" name="ngdp_tax_p" queryTableFieldId="176" dataDxfId="179"/>
    <tableColumn id="15" xr3:uid="{4C99F412-358B-4889-983E-45C10342CEF4}" uniqueName="15" name="rgdp_total_p" queryTableFieldId="177" dataDxfId="178"/>
    <tableColumn id="16" xr3:uid="{2874E2C2-72D7-4B69-9E78-0499A801452A}" uniqueName="16" name="rgdp_agri_p" queryTableFieldId="178" dataDxfId="177"/>
    <tableColumn id="17" xr3:uid="{25193ACC-0BB1-4DD9-8106-EABF14DE86C7}" uniqueName="17" name="rgdp_mining_p" queryTableFieldId="179" dataDxfId="176"/>
    <tableColumn id="18" xr3:uid="{3CFD657E-3740-4852-BA1E-E6230B11FBBC}" uniqueName="18" name="rgdp_manu_p" queryTableFieldId="180" dataDxfId="175"/>
    <tableColumn id="19" xr3:uid="{B6B1FED4-CFF7-4AC4-9321-770575110B6D}" uniqueName="19" name="rgdp_infra_p" queryTableFieldId="181" dataDxfId="174"/>
    <tableColumn id="20" xr3:uid="{E4B63AC7-0BA0-4EEE-86C9-76F1DBF20497}" uniqueName="20" name="rgdp_const_p" queryTableFieldId="182" dataDxfId="173"/>
    <tableColumn id="21" xr3:uid="{626DA0D8-AF80-4BE3-B6FA-D817819BA402}" uniqueName="21" name="rgdp_trade_p" queryTableFieldId="183" dataDxfId="172"/>
    <tableColumn id="22" xr3:uid="{BBB5B32C-A7E0-4FFA-933B-56E761460C3A}" uniqueName="22" name="rgdp_trans_p" queryTableFieldId="184" dataDxfId="171"/>
    <tableColumn id="23" xr3:uid="{8F0D68F5-3B9D-4AFB-BCC6-C44EAB93F87C}" uniqueName="23" name="rgdp_comm_p" queryTableFieldId="185" dataDxfId="170"/>
    <tableColumn id="24" xr3:uid="{E1746AE1-9DC0-4EDF-BB43-6EBD3CBEFD83}" uniqueName="24" name="rgdp_serv_p" queryTableFieldId="186" dataDxfId="169"/>
    <tableColumn id="25" xr3:uid="{6A80A61E-B84E-4E0D-93CE-50424EC17C67}" uniqueName="25" name="rgdp_tax_p" queryTableFieldId="187" dataDxfId="168"/>
    <tableColumn id="26" xr3:uid="{FA5D1523-5018-49F2-B5B0-3A4EBBFC85E4}" uniqueName="26" name="ngdp_total_e" queryTableFieldId="188" dataDxfId="167"/>
    <tableColumn id="27" xr3:uid="{BF0B33BF-D1C1-48E7-B0E3-1CF0D9C88AF1}" uniqueName="27" name="ngdp_consumpt_e" queryTableFieldId="189" dataDxfId="166"/>
    <tableColumn id="28" xr3:uid="{6D0CCE26-2DDF-42AE-B0F3-D820A57D09A0}" uniqueName="28" name="ngdp_govcons_e" queryTableFieldId="190" dataDxfId="165"/>
    <tableColumn id="29" xr3:uid="{A2AC2F5D-A9F1-4A8C-9F63-B32535289FF0}" uniqueName="29" name="ngdp_invstfixed_e" queryTableFieldId="191" dataDxfId="164"/>
    <tableColumn id="30" xr3:uid="{284DD9C8-3B40-4AD2-9BBE-42F1A5E9E7B7}" uniqueName="30" name="ngdp_invstcurrent_e" queryTableFieldId="192" dataDxfId="163"/>
    <tableColumn id="31" xr3:uid="{7023D2DB-D9A2-494F-8B05-D2D8B91A931C}" uniqueName="31" name="ngdp_exp_e" queryTableFieldId="193" dataDxfId="162"/>
    <tableColumn id="32" xr3:uid="{D54C4700-2EE7-485C-BDCB-72C3710D74A5}" uniqueName="32" name="ngdp_imp_e" queryTableFieldId="194" dataDxfId="161"/>
    <tableColumn id="33" xr3:uid="{F201269B-8B92-4A29-86F7-ED29FE655FA3}" uniqueName="33" name="rgdp_total_e" queryTableFieldId="195" dataDxfId="160"/>
    <tableColumn id="34" xr3:uid="{8575683E-3D04-404B-B83D-4263C2FF8CCB}" uniqueName="34" name="rgdp_consumpt_e" queryTableFieldId="196" dataDxfId="159"/>
    <tableColumn id="35" xr3:uid="{F624D456-9303-4691-90E2-40606905A67B}" uniqueName="35" name="rgdp_govcons_e" queryTableFieldId="197" dataDxfId="158"/>
    <tableColumn id="36" xr3:uid="{B6A4F490-42D5-4545-9B96-876B05BD0738}" uniqueName="36" name="rgdp_invstfixed_e" queryTableFieldId="198" dataDxfId="157"/>
    <tableColumn id="37" xr3:uid="{78BD6276-9463-4D29-B9D4-FEFB35CD3915}" uniqueName="37" name="rgdp_invstcurrent_e" queryTableFieldId="199" dataDxfId="156"/>
    <tableColumn id="38" xr3:uid="{80AB4719-2407-4426-AB44-CD88F73F46EA}" uniqueName="38" name="rgdp_exp_e" queryTableFieldId="200" dataDxfId="155"/>
    <tableColumn id="39" xr3:uid="{AB43C27D-43DA-4C1B-A62D-087CC25A5993}" uniqueName="39" name="rgdp_imp_e" queryTableFieldId="201" dataDxfId="154"/>
    <tableColumn id="40" xr3:uid="{28B39847-0357-41D9-B0CF-3B062FD7C987}" uniqueName="40" name="emp_total" queryTableFieldId="202" dataDxfId="153"/>
    <tableColumn id="41" xr3:uid="{F7E86B2C-3902-47F3-A787-BADC1FD6BE44}" uniqueName="41" name="emp_male" queryTableFieldId="203" dataDxfId="152"/>
    <tableColumn id="42" xr3:uid="{D692A420-B6F3-4FE2-B64B-7215F77A4BD6}" uniqueName="42" name="emp_female" queryTableFieldId="204" dataDxfId="151"/>
    <tableColumn id="43" xr3:uid="{CFAD0DAB-032A-4670-BDD6-A18E8AC40BB5}" uniqueName="43" name="emp_un" queryTableFieldId="205" dataDxfId="150"/>
    <tableColumn id="44" xr3:uid="{2185E5FD-B252-4DA5-A6A8-2B3006744E9D}" uniqueName="44" name="emp_un_male" queryTableFieldId="206" dataDxfId="149"/>
    <tableColumn id="45" xr3:uid="{51018614-E098-4646-9877-4A47C40F1ACE}" uniqueName="45" name="emp_un_female" queryTableFieldId="207" dataDxfId="148"/>
    <tableColumn id="46" xr3:uid="{D0790F3D-03B8-4E84-BF8C-AF26083BB4C4}" uniqueName="46" name="emp_inactive" queryTableFieldId="208" dataDxfId="147"/>
    <tableColumn id="47" xr3:uid="{0073CCFF-E624-46C7-AF6E-206A2599AC62}" uniqueName="47" name="emp_inactive_male" queryTableFieldId="209" dataDxfId="146"/>
    <tableColumn id="48" xr3:uid="{00EEA7A6-D51C-47BD-AAB8-4F681ECB1564}" uniqueName="48" name="emp_inactive_female" queryTableFieldId="210" dataDxfId="145"/>
    <tableColumn id="49" xr3:uid="{4CDA06B2-C1D5-4BA8-8376-D5189298074A}" uniqueName="49" name="wage_total" queryTableFieldId="211" dataDxfId="144"/>
    <tableColumn id="50" xr3:uid="{56921EE5-C4E3-4C79-B0F2-2750A458B795}" uniqueName="50" name="wage_agri" queryTableFieldId="212" dataDxfId="143"/>
    <tableColumn id="51" xr3:uid="{F1794CAA-DB97-4D56-A65C-2156A79074D1}" uniqueName="51" name="wage_mining" queryTableFieldId="213" dataDxfId="142"/>
    <tableColumn id="52" xr3:uid="{92525E11-DC70-4CD2-8BE0-686CE2C70B8D}" uniqueName="52" name="wage_manu" queryTableFieldId="214" dataDxfId="141"/>
    <tableColumn id="53" xr3:uid="{71CD3D10-BDC2-4777-88C1-A4D6EA447C46}" uniqueName="53" name="wage_infra_elec" queryTableFieldId="215" dataDxfId="140"/>
    <tableColumn id="54" xr3:uid="{89090C65-390C-4324-B292-B583ED6E501C}" uniqueName="54" name="wage_infra_water" queryTableFieldId="216" dataDxfId="139"/>
    <tableColumn id="55" xr3:uid="{5F53E4A7-3EA9-43EA-9A2B-37D7999082DC}" uniqueName="55" name="wage_const" queryTableFieldId="217" dataDxfId="138"/>
    <tableColumn id="56" xr3:uid="{7D3EC5B7-0531-4600-AC0A-449B8DE88B07}" uniqueName="56" name="wage_trade" queryTableFieldId="218" dataDxfId="137"/>
    <tableColumn id="57" xr3:uid="{9634CD60-BB55-4934-BCFF-62592657E7D5}" uniqueName="57" name="wage_trans" queryTableFieldId="219" dataDxfId="136"/>
    <tableColumn id="58" xr3:uid="{17CEFAEF-B46E-47AD-B6A1-DDBA3A0FF712}" uniqueName="58" name="wage_food" queryTableFieldId="220" dataDxfId="135"/>
    <tableColumn id="59" xr3:uid="{3F523791-C5D9-4254-A96D-7B73DEBBBE70}" uniqueName="59" name="wage_comm" queryTableFieldId="221" dataDxfId="134"/>
    <tableColumn id="60" xr3:uid="{1C3C77E9-F123-4943-8E11-B0BD26641560}" uniqueName="60" name="wage_fin" queryTableFieldId="222" dataDxfId="133"/>
    <tableColumn id="61" xr3:uid="{E873E225-20BB-4C2F-AD98-27CFEF608879}" uniqueName="61" name="wage_estate" queryTableFieldId="223" dataDxfId="132"/>
    <tableColumn id="62" xr3:uid="{A7FE83B7-4FD7-40C9-8A7C-F6DC3AD3C104}" uniqueName="62" name="wage_edu" queryTableFieldId="224" dataDxfId="131"/>
    <tableColumn id="63" xr3:uid="{2DDCC651-5664-48FB-B2C7-3702B7A7AEFA}" uniqueName="63" name="wage_health" queryTableFieldId="225" dataDxfId="130"/>
    <tableColumn id="64" xr3:uid="{00F96F92-4A85-46CA-9616-B2223EE4669A}" uniqueName="64" name="wage_entertain" queryTableFieldId="226" dataDxfId="129"/>
    <tableColumn id="65" xr3:uid="{822B6A60-43D9-46E6-BD77-A3D3989699EA}" uniqueName="65" name="wage_othserv" queryTableFieldId="227" dataDxfId="128"/>
    <tableColumn id="66" xr3:uid="{DA2183BB-F3A7-414E-8548-FD3D2D124E4F}" uniqueName="66" name="budget_income_opin" queryTableFieldId="228" dataDxfId="127"/>
    <tableColumn id="67" xr3:uid="{DCDF6B8B-38B3-4872-8E51-ED1631161EB7}" uniqueName="67" name="budget_income_tax" queryTableFieldId="229" dataDxfId="126"/>
    <tableColumn id="68" xr3:uid="{88F7B19E-3972-447E-9192-DDEB946761B5}" uniqueName="68" name="budget_income_tax_inc" queryTableFieldId="230" dataDxfId="125"/>
    <tableColumn id="69" xr3:uid="{E009A386-08A2-4757-886C-F09265CDF969}" uniqueName="69" name="budget_income_tax_inc_corp" queryTableFieldId="231" dataDxfId="124"/>
    <tableColumn id="70" xr3:uid="{98A269D1-516F-4C97-A574-777668EAEB68}" uniqueName="70" name="budget_income_tax_inc_indiv" queryTableFieldId="232" dataDxfId="123"/>
    <tableColumn id="71" xr3:uid="{4AED1F43-EFA0-4739-8A02-338252946C43}" uniqueName="71" name="budget_income_tax_socinsur" queryTableFieldId="233" dataDxfId="122"/>
    <tableColumn id="72" xr3:uid="{26CF44EF-D735-44F7-9A16-2D097C58DB86}" uniqueName="72" name="budget_income_tax_vat" queryTableFieldId="234" dataDxfId="121"/>
    <tableColumn id="73" xr3:uid="{14C0C57C-3DA1-467C-AF7A-876C1DFBDDA2}" uniqueName="73" name="budget_income_tax_special" queryTableFieldId="235" dataDxfId="120"/>
    <tableColumn id="74" xr3:uid="{7048C69E-C7BF-4EFB-B0B8-AA72887FC443}" uniqueName="74" name="budget_income_nontax" queryTableFieldId="236" dataDxfId="119"/>
    <tableColumn id="75" xr3:uid="{08EEF043-D048-4147-8F56-FB09C8BE4B3D}" uniqueName="75" name="budget_exp_opex" queryTableFieldId="237" dataDxfId="118"/>
    <tableColumn id="76" xr3:uid="{5292B3B4-5AF4-4403-B6AA-ED328236EBB4}" uniqueName="76" name="budget_exp_lending" queryTableFieldId="238" dataDxfId="117"/>
    <tableColumn id="77" xr3:uid="{DF47A78D-13AD-4685-BA4F-9EC839ECF653}" uniqueName="77" name="budget_exp_goods" queryTableFieldId="239" dataDxfId="116"/>
    <tableColumn id="78" xr3:uid="{E5B45498-36D3-41EC-AE2C-4E2B8D6C77FA}" uniqueName="78" name="budget_exp_salary" queryTableFieldId="240" dataDxfId="115"/>
    <tableColumn id="79" xr3:uid="{CBDF9A40-555B-46CB-B8AF-B0C1C0F20C78}" uniqueName="79" name="budget_exp_interest" queryTableFieldId="241" dataDxfId="114"/>
    <tableColumn id="80" xr3:uid="{8423B31D-5ECD-471C-9DEA-FF9AE31C909B}" uniqueName="80" name="budget_exp_subsidy" queryTableFieldId="242" dataDxfId="113"/>
    <tableColumn id="81" xr3:uid="{C057D619-0452-4DA2-BC35-7CB41DA4FAC0}" uniqueName="81" name="budget_exp_govtran" queryTableFieldId="243" dataDxfId="112"/>
    <tableColumn id="82" xr3:uid="{2B6AAC50-E762-47F0-BFA3-7A5B5913C053}" uniqueName="82" name="budget_exp_othcur" queryTableFieldId="244" dataDxfId="111"/>
    <tableColumn id="83" xr3:uid="{7F945A1D-3394-4C43-A06A-09E0C287DBC1}" uniqueName="83" name="budget_exp_capex" queryTableFieldId="245" dataDxfId="110"/>
    <tableColumn id="84" xr3:uid="{690C2AA7-1735-43DD-82EB-54D9E914B76D}" uniqueName="84" name="ms_m1" queryTableFieldId="246" dataDxfId="109"/>
    <tableColumn id="85" xr3:uid="{1BC39326-CAF6-4CF3-B41D-A0D248C2F463}" uniqueName="85" name="ms_m2" queryTableFieldId="247" dataDxfId="108"/>
    <tableColumn id="86" xr3:uid="{CBBBE7EE-1021-4409-98CB-337C24C92146}" uniqueName="86" name="rate_saving_mnt" queryTableFieldId="248" dataDxfId="107"/>
    <tableColumn id="87" xr3:uid="{707C09F2-2178-4927-BA07-6C204A651D38}" uniqueName="87" name="rate_saving_fc" queryTableFieldId="249" dataDxfId="106"/>
    <tableColumn id="88" xr3:uid="{12925DEB-368F-499C-8696-F31FC4D72765}" uniqueName="88" name="rate_loan_mnt" queryTableFieldId="250" dataDxfId="105"/>
    <tableColumn id="89" xr3:uid="{0294556A-650F-4174-8D03-3D15A120D635}" uniqueName="89" name="rate_loan_fc" queryTableFieldId="251" dataDxfId="104"/>
    <tableColumn id="90" xr3:uid="{A3E33E80-C2DA-4C5E-8601-B7A1CC761FB8}" uniqueName="90" name="rate_policy" queryTableFieldId="252" dataDxfId="103"/>
    <tableColumn id="91" xr3:uid="{02F4A796-C8C5-4827-9F77-A2471704BC8E}" uniqueName="91" name="cpi_total" queryTableFieldId="253" dataDxfId="102"/>
    <tableColumn id="92" xr3:uid="{C48447FD-38CF-45E1-AB6C-20ACF79B59AB}" uniqueName="92" name="cpi_foodnonal" queryTableFieldId="254" dataDxfId="101"/>
    <tableColumn id="93" xr3:uid="{C7338BCB-9081-438F-B5D0-EC5329FD8D28}" uniqueName="93" name="cpi_beverage" queryTableFieldId="255" dataDxfId="100"/>
    <tableColumn id="94" xr3:uid="{6A81C852-EAA2-43B4-AFA6-A329E41EF5FA}" uniqueName="94" name="cpi_cloth" queryTableFieldId="256" dataDxfId="99"/>
    <tableColumn id="95" xr3:uid="{C1F9D00D-57E2-4C76-8523-A19667FD6CD5}" uniqueName="95" name="cpi_comdity" queryTableFieldId="257" dataDxfId="98"/>
    <tableColumn id="96" xr3:uid="{1D34217B-8D3B-472F-8FF5-DF23675D2C4A}" uniqueName="96" name="cpi_furnish" queryTableFieldId="258" dataDxfId="97"/>
    <tableColumn id="97" xr3:uid="{6B2517EF-3778-4CDA-93D9-A479E69CB296}" uniqueName="97" name="cpi_health" queryTableFieldId="259" dataDxfId="96"/>
    <tableColumn id="98" xr3:uid="{D9619105-2FD0-4CCB-9F4E-20F064B3FD8E}" uniqueName="98" name="cpi_trans" queryTableFieldId="260" dataDxfId="95"/>
    <tableColumn id="99" xr3:uid="{43D7F50A-0540-4578-B136-2EA279316513}" uniqueName="99" name="cpi_comm" queryTableFieldId="261" dataDxfId="94"/>
    <tableColumn id="100" xr3:uid="{54820D15-8D58-4C0C-8D32-EA01E70E072A}" uniqueName="100" name="cpi_culture" queryTableFieldId="262" dataDxfId="93"/>
    <tableColumn id="101" xr3:uid="{26D2B298-9F4A-4CDF-B171-51A4C646A174}" uniqueName="101" name="cpi_edu" queryTableFieldId="263" dataDxfId="92"/>
    <tableColumn id="102" xr3:uid="{F704E168-5BD2-4930-A612-9AC3118CC20B}" uniqueName="102" name="cpi_res" queryTableFieldId="264" dataDxfId="91"/>
    <tableColumn id="103" xr3:uid="{513CBFFB-51F0-4321-B555-1EA97FAD72CD}" uniqueName="103" name="cpi_oth" queryTableFieldId="265" dataDxfId="90"/>
    <tableColumn id="104" xr3:uid="{3D99FD38-C784-48F0-8731-5E06F9B2BEAE}" uniqueName="104" name="tb_export" queryTableFieldId="266" dataDxfId="89"/>
    <tableColumn id="105" xr3:uid="{31ABBD61-B890-4C81-BD06-BB247A031756}" uniqueName="105" name="tb_export_mining" queryTableFieldId="267" dataDxfId="88"/>
    <tableColumn id="106" xr3:uid="{DB6F8762-2769-44DE-B4E2-075F4FBEAFEB}" uniqueName="106" name="tb_export_mining_gold" queryTableFieldId="268" dataDxfId="87"/>
    <tableColumn id="107" xr3:uid="{3BAE90F4-0F99-40BA-AA0B-03DFB45081E2}" uniqueName="107" name="tb_export_mining_copp" queryTableFieldId="269" dataDxfId="86"/>
    <tableColumn id="108" xr3:uid="{D20D11D3-EED5-402D-B2AA-8BDDC202378E}" uniqueName="108" name="tb_export_mining_iron" queryTableFieldId="270" dataDxfId="85"/>
    <tableColumn id="109" xr3:uid="{D7EEB8FA-CFF6-46D9-B2A4-8FDEA0DE9F6E}" uniqueName="109" name="tb_export_mining_zinc" queryTableFieldId="271" dataDxfId="84"/>
    <tableColumn id="110" xr3:uid="{288AF406-BB37-456B-8C71-49E74B0B3B7A}" uniqueName="110" name="tb_export_mining_coal" queryTableFieldId="272" dataDxfId="83"/>
    <tableColumn id="111" xr3:uid="{9AD55B43-3CD8-4C4E-8FD9-E894D0434C32}" uniqueName="111" name="tb_export_mining_oil" queryTableFieldId="273" dataDxfId="82"/>
    <tableColumn id="112" xr3:uid="{5649B6DA-4898-4B80-ABDA-1C98145ECF6A}" uniqueName="112" name="tb_export_livestock" queryTableFieldId="274" dataDxfId="81"/>
    <tableColumn id="113" xr3:uid="{CBA1A273-D93C-43E0-89D2-343B4E9AEAA5}" uniqueName="113" name="tb_export_livestock_meat" queryTableFieldId="275" dataDxfId="80"/>
    <tableColumn id="114" xr3:uid="{E1CC6000-3E80-40B7-B753-017E0EA32E00}" uniqueName="114" name="tb_export_livestock_leather" queryTableFieldId="276" dataDxfId="79"/>
    <tableColumn id="115" xr3:uid="{C7081502-B4F4-4F14-BC2E-DF3FB0CA3CCB}" uniqueName="115" name="tb_export_livestock_cashmere" queryTableFieldId="277" dataDxfId="78"/>
    <tableColumn id="116" xr3:uid="{E382A95D-339B-4ED1-9995-69ABA7F3ACC1}" uniqueName="116" name="tb_export_farm" queryTableFieldId="278" dataDxfId="77"/>
    <tableColumn id="117" xr3:uid="{F4FAD95D-E036-4A74-9491-99EB50FA6162}" uniqueName="117" name="tb_export_manu" queryTableFieldId="279" dataDxfId="76"/>
    <tableColumn id="118" xr3:uid="{44AFEE11-CB29-47FB-95FB-9FC0A1AFC3CF}" uniqueName="118" name="tb_export_oth" queryTableFieldId="280" dataDxfId="75"/>
    <tableColumn id="119" xr3:uid="{7196F135-CEE9-4424-A46A-3E464E865CBA}" uniqueName="119" name="tb_import" queryTableFieldId="281" dataDxfId="74"/>
    <tableColumn id="120" xr3:uid="{8864903C-D0DD-429E-9904-AB1C3DBCAAF1}" uniqueName="120" name="tb_import_consumer" queryTableFieldId="282" dataDxfId="73"/>
    <tableColumn id="121" xr3:uid="{A5826928-1A1E-4CB7-B23A-C908F4E6D505}" uniqueName="121" name="tb_import_consumer_short" queryTableFieldId="283" dataDxfId="72"/>
    <tableColumn id="122" xr3:uid="{A0E56213-831A-4FDA-A425-A8A235A97E24}" uniqueName="122" name="tb_import_consumer_long" queryTableFieldId="284" dataDxfId="71"/>
    <tableColumn id="123" xr3:uid="{E98A4FE5-C34B-4363-9086-DDC72A869583}" uniqueName="123" name="tb_import_manu" queryTableFieldId="285" dataDxfId="70"/>
    <tableColumn id="124" xr3:uid="{DE93C692-D1CB-4083-9743-9DCB27334F18}" uniqueName="124" name="tb_import_manu_elect" queryTableFieldId="286" dataDxfId="69"/>
    <tableColumn id="125" xr3:uid="{F64648AE-B457-4F55-9E55-E4DA496ED133}" uniqueName="125" name="tb_import_invest" queryTableFieldId="287" dataDxfId="68"/>
    <tableColumn id="126" xr3:uid="{59183A8E-2256-4F3C-9C54-2F2F79E90176}" uniqueName="126" name="tb_import_invest_vehic" queryTableFieldId="288" dataDxfId="67"/>
    <tableColumn id="127" xr3:uid="{F1323718-A564-40FE-B312-E36DFA4450E5}" uniqueName="127" name="tb_import_invest_const" queryTableFieldId="289" dataDxfId="66"/>
    <tableColumn id="128" xr3:uid="{69D0DAF3-70CC-41A9-8D1C-CBED24BED370}" uniqueName="128" name="tb_import_oil" queryTableFieldId="290" dataDxfId="65"/>
    <tableColumn id="129" xr3:uid="{9BB0D739-2487-40ED-AD58-FF5890FDBFCB}" uniqueName="129" name="tb_import_oil_dies" queryTableFieldId="291" dataDxfId="64"/>
    <tableColumn id="130" xr3:uid="{0AD60F73-38F1-4E8F-9FB4-CCE478A75B3F}" uniqueName="130" name="tb_import_oil_9295" queryTableFieldId="292" dataDxfId="63"/>
    <tableColumn id="131" xr3:uid="{3285C37C-64D0-4266-AA14-27CC500794E6}" uniqueName="131" name="bop_current_account" queryTableFieldId="293" dataDxfId="62"/>
    <tableColumn id="132" xr3:uid="{0AE6C48F-426C-4FCE-A9D7-DB96507250B1}" uniqueName="132" name="bop_current_goods" queryTableFieldId="294" dataDxfId="61"/>
    <tableColumn id="133" xr3:uid="{2D7FBB93-5F31-462B-AE9E-BB9C7B60E501}" uniqueName="133" name="bop_current_service" queryTableFieldId="295" dataDxfId="60"/>
    <tableColumn id="134" xr3:uid="{407BC0D8-6C25-4E09-87C5-236F63799F0F}" uniqueName="134" name="bop_current_priminc" queryTableFieldId="296" dataDxfId="59"/>
    <tableColumn id="135" xr3:uid="{27CD7F63-6CC8-43B5-9BB8-59C684AB3383}" uniqueName="135" name="bop_current_secondinc" queryTableFieldId="297" dataDxfId="58"/>
    <tableColumn id="136" xr3:uid="{B361AD59-121B-4409-A336-050F0448234D}" uniqueName="136" name="bop_capital_account" queryTableFieldId="298" dataDxfId="57"/>
    <tableColumn id="137" xr3:uid="{BADC0ACF-7045-4FA0-A6D7-F58A5EED989E}" uniqueName="137" name="bop_financial_account" queryTableFieldId="299" dataDxfId="56"/>
    <tableColumn id="138" xr3:uid="{9B5EE439-88F5-4E7D-9DDD-EBFB7DEE9E04}" uniqueName="138" name="bop_financial_direct" queryTableFieldId="300" dataDxfId="55"/>
    <tableColumn id="139" xr3:uid="{1E9B69C4-FA7D-426C-9D6B-40B41B3DAD6C}" uniqueName="139" name="bop_financial_portf" queryTableFieldId="301" dataDxfId="54"/>
    <tableColumn id="140" xr3:uid="{90273179-1F0F-4EA5-914F-A6138907A1F9}" uniqueName="140" name="bop_financial_deriv" queryTableFieldId="302" dataDxfId="53"/>
    <tableColumn id="141" xr3:uid="{B2AFA95B-FB88-4829-8167-B0646C77DD52}" uniqueName="141" name="bop_financial_oth" queryTableFieldId="303" dataDxfId="52"/>
    <tableColumn id="142" xr3:uid="{DC6F469A-8B32-4BA7-84A9-07EE648B4683}" uniqueName="142" name="bop_adjustment" queryTableFieldId="304" dataDxfId="51"/>
    <tableColumn id="143" xr3:uid="{DF8263F3-A616-4F30-B783-06CA4B800F07}" uniqueName="143" name="bop" queryTableFieldId="305" dataDxfId="50"/>
    <tableColumn id="144" xr3:uid="{BCC5803E-4BCD-4D81-8ECA-64623C784C52}" uniqueName="144" name="fxreserve" queryTableFieldId="306" dataDxfId="49"/>
    <tableColumn id="145" xr3:uid="{9BE019A2-DDF3-4D77-944F-BE3F4E65FAC3}" uniqueName="145" name="fxreserve_security" queryTableFieldId="307" dataDxfId="48"/>
    <tableColumn id="146" xr3:uid="{8B7652BF-752D-45E7-B3F5-7A2C67C4939A}" uniqueName="146" name="fxreserve_deposit" queryTableFieldId="308" dataDxfId="47"/>
    <tableColumn id="147" xr3:uid="{1D148FC8-0A0C-4DA3-AF82-71BE354872E9}" uniqueName="147" name="fxreserve_imf_res" queryTableFieldId="309" dataDxfId="46"/>
    <tableColumn id="148" xr3:uid="{CC46C8B2-72C8-49A5-A840-4C684B72FCF7}" uniqueName="148" name="fxreserve_sdr" queryTableFieldId="310" dataDxfId="45"/>
    <tableColumn id="149" xr3:uid="{9CB6C60A-15D7-41B0-BC87-274952CFA7AF}" uniqueName="149" name="fxreserve_gold" queryTableFieldId="311" dataDxfId="44"/>
    <tableColumn id="150" xr3:uid="{F6420041-57ED-41F6-A01D-6C62F4F42AD1}" uniqueName="150" name="fxreserve_oth" queryTableFieldId="312" dataDxfId="43"/>
    <tableColumn id="151" xr3:uid="{AC8BC11C-7197-4086-B022-B55ABCDAA019}" uniqueName="151" name="ex_usd_avg" queryTableFieldId="357"/>
    <tableColumn id="152" xr3:uid="{6E076968-8AD9-417C-B5AD-AB181BE8B394}" uniqueName="152" name="extdebt" queryTableFieldId="314" dataDxfId="42"/>
    <tableColumn id="153" xr3:uid="{D447C6C9-485A-4240-B077-4C76336BE63A}" uniqueName="153" name="extdebt_gov" queryTableFieldId="315" dataDxfId="41"/>
    <tableColumn id="154" xr3:uid="{B059B6B1-A409-41E7-893F-FD986DF1A6FB}" uniqueName="154" name="extdebt_centralbank" queryTableFieldId="316" dataDxfId="40"/>
    <tableColumn id="155" xr3:uid="{DE857275-9C45-46B9-83FD-6C5DCA93B16C}" uniqueName="155" name="extdebt_deposit" queryTableFieldId="317" dataDxfId="39"/>
    <tableColumn id="156" xr3:uid="{9FA58356-91CE-41A1-AA9C-F0D912B1F8D4}" uniqueName="156" name="extdebt_oth" queryTableFieldId="318" dataDxfId="38"/>
    <tableColumn id="157" xr3:uid="{C3DD9559-5C90-4896-86BD-F26D2F2ACBE3}" uniqueName="157" name="extdebt_inv" queryTableFieldId="319" dataDxfId="37"/>
    <tableColumn id="158" xr3:uid="{19FE5145-5E94-4029-82E1-8192F70555AE}" uniqueName="158" name="imf_price_coal" queryTableFieldId="320" dataDxfId="36"/>
    <tableColumn id="159" xr3:uid="{2469569C-6180-4327-8782-C56AE5E1F2D2}" uniqueName="159" name="imf_price_oil" queryTableFieldId="321" dataDxfId="35"/>
    <tableColumn id="160" xr3:uid="{C5EC4147-4CBC-4BE2-820B-22EC9ED2FBCC}" uniqueName="160" name="imf_price_copper" queryTableFieldId="322" dataDxfId="34"/>
    <tableColumn id="161" xr3:uid="{A8824484-82D7-4AAC-8744-AE8BF77D06C4}" uniqueName="161" name="imf_price_iron" queryTableFieldId="323" dataDxfId="33"/>
    <tableColumn id="162" xr3:uid="{C305F430-B097-420D-A4E9-36F0DCBC989A}" uniqueName="162" name="imf_price_gold" queryTableFieldId="324" dataDxfId="32"/>
    <tableColumn id="163" xr3:uid="{5CC0472D-FC9E-437F-85D9-9AC874B247F6}" uniqueName="163" name="loan_total_out" queryTableFieldId="325" dataDxfId="31"/>
    <tableColumn id="164" xr3:uid="{C8FA368A-F0D9-46A6-B05B-D6F7DA5E401D}" uniqueName="164" name="loan_total_pdl" queryTableFieldId="326" dataDxfId="30"/>
    <tableColumn id="165" xr3:uid="{C76F6EAA-6C0B-403F-82C2-9A131C8B423B}" uniqueName="165" name="loan_total_npl" queryTableFieldId="327" dataDxfId="29"/>
    <tableColumn id="166" xr3:uid="{193DB182-6DF1-4FF1-B6C2-97B83A9F2F8B}" uniqueName="166" name="loan_retail_total_out" queryTableFieldId="328" dataDxfId="28"/>
    <tableColumn id="167" xr3:uid="{25693E28-E166-4F50-AAE7-31CD2819824E}" uniqueName="167" name="loan_retail_total_pdl" queryTableFieldId="329" dataDxfId="27"/>
    <tableColumn id="168" xr3:uid="{E7D6312C-C33A-40D2-B04E-7C6B10312EF1}" uniqueName="168" name="loan_retail_total_npl" queryTableFieldId="330" dataDxfId="26"/>
    <tableColumn id="169" xr3:uid="{B0395F64-AF34-4187-9671-0CCDF86994BA}" uniqueName="169" name="loan_retail_sme_out" queryTableFieldId="331" dataDxfId="25"/>
    <tableColumn id="170" xr3:uid="{8C14D137-80E7-4686-A835-B9C71827AE0F}" uniqueName="170" name="loan_retail_sme_pdl" queryTableFieldId="332" dataDxfId="24"/>
    <tableColumn id="171" xr3:uid="{0CF249E1-1CF8-4F20-87D3-EE35C9D7406F}" uniqueName="171" name="loan_retail_sme_npl" queryTableFieldId="333" dataDxfId="23"/>
    <tableColumn id="172" xr3:uid="{4EAC8DB7-92F4-4FB4-8795-F992EBB5A3C2}" uniqueName="172" name="loan_retail_salary_out" queryTableFieldId="334" dataDxfId="22"/>
    <tableColumn id="173" xr3:uid="{E36008CD-4A0A-4B5F-8B7F-093D788B1D76}" uniqueName="173" name="loan_retail_card_out" queryTableFieldId="335" dataDxfId="21"/>
    <tableColumn id="174" xr3:uid="{EF504B41-DF70-49BD-8CBC-2AD7F3317F88}" uniqueName="174" name="loan_retail_vehicle_out" queryTableFieldId="336" dataDxfId="20"/>
    <tableColumn id="175" xr3:uid="{9DE5FB6A-B858-4B65-9E5C-FA77746F3333}" uniqueName="175" name="loan_retail_sbl_out" queryTableFieldId="337" dataDxfId="19"/>
    <tableColumn id="176" xr3:uid="{996BDD5C-96EB-4A4B-8E48-886AA964699D}" uniqueName="176" name="loan_corp_total_out" queryTableFieldId="338" dataDxfId="18"/>
    <tableColumn id="177" xr3:uid="{1996F97B-36B5-4F82-A9CB-79590E2CD749}" uniqueName="177" name="loan_corp_total_pdl" queryTableFieldId="339" dataDxfId="17"/>
    <tableColumn id="178" xr3:uid="{62710537-4CC7-4872-BBCD-559A23B76EBD}" uniqueName="178" name="loan_corp_total_npl" queryTableFieldId="340" dataDxfId="16"/>
    <tableColumn id="179" xr3:uid="{C214411D-D41E-4197-9531-84CF219388AC}" uniqueName="179" name="loan_corp_sme_out" queryTableFieldId="341" dataDxfId="15"/>
    <tableColumn id="180" xr3:uid="{C882AFA6-22F1-423B-BAAE-B9053CEDC6AB}" uniqueName="180" name="loan_corp_sme_pdl" queryTableFieldId="342" dataDxfId="14"/>
    <tableColumn id="181" xr3:uid="{3A3FB4C8-5A11-4547-BF57-986E15640B6E}" uniqueName="181" name="loan_corp_sme_npl" queryTableFieldId="343" dataDxfId="13"/>
    <tableColumn id="182" xr3:uid="{437423BF-5090-4818-947B-8E94B7BDD920}" uniqueName="182" name="loan_oth_out" queryTableFieldId="344" dataDxfId="12"/>
    <tableColumn id="183" xr3:uid="{CA8A6B7D-C5F0-4382-ABF4-6769D54895A6}" uniqueName="183" name="depo_total" queryTableFieldId="345" dataDxfId="11"/>
    <tableColumn id="184" xr3:uid="{D15C012D-35E9-4194-953B-3D2422ACDB55}" uniqueName="184" name="depo_total_c" queryTableFieldId="346" dataDxfId="10"/>
    <tableColumn id="185" xr3:uid="{61ACA88B-CCF9-457E-8BB8-AA9C97EE85B2}" uniqueName="185" name="depo_total_s" queryTableFieldId="347" dataDxfId="9"/>
    <tableColumn id="186" xr3:uid="{636EC852-F631-4CCB-B356-D51626E0BF65}" uniqueName="186" name="depo_retail" queryTableFieldId="348" dataDxfId="8"/>
    <tableColumn id="187" xr3:uid="{75240379-B9AB-4578-99D6-D250B12D8EEB}" uniqueName="187" name="depo_retail_c" queryTableFieldId="349" dataDxfId="7"/>
    <tableColumn id="188" xr3:uid="{88EDF401-77E4-4420-B8EE-E3C669B7BE49}" uniqueName="188" name="depo_retail_s" queryTableFieldId="350" dataDxfId="6"/>
    <tableColumn id="189" xr3:uid="{040BC89D-4B10-4C13-8649-A2422CC98FF0}" uniqueName="189" name="depo_corp" queryTableFieldId="351" dataDxfId="5"/>
    <tableColumn id="190" xr3:uid="{69971E36-F461-4996-AA94-D777D6BBFD39}" uniqueName="190" name="depo_corp_c" queryTableFieldId="352" dataDxfId="4"/>
    <tableColumn id="191" xr3:uid="{E7C419FC-80B6-4344-9E11-ED7B074CCF34}" uniqueName="191" name="depo_corp_s" queryTableFieldId="353" dataDxfId="3"/>
    <tableColumn id="192" xr3:uid="{359E0FEB-250A-4440-9364-A1A171F4B0C0}" uniqueName="192" name="depo_oth" queryTableFieldId="354" dataDxfId="2"/>
    <tableColumn id="193" xr3:uid="{DD54E18E-B510-488C-8804-AF2DEA6F4828}" uniqueName="193" name="bank_asset" queryTableFieldId="355" dataDxfId="1"/>
    <tableColumn id="194" xr3:uid="{83B26A83-B2DA-4EB4-929F-25C2979780F0}" uniqueName="194" name="bank_equity" queryTableFieldId="356" dataDxfId="0"/>
    <tableColumn id="195" xr3:uid="{063DD1FD-CB95-4549-99FD-FBF3BC39B284}" uniqueName="195" name="ex_usd_last" queryTableFieldId="358"/>
  </tableColumns>
  <tableStyleInfo name="murunofc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CA281D2-B2D5-4B85-AF15-351466F4C792}" name="headers" displayName="headers" ref="V2:V502" totalsRowShown="0" headerRowDxfId="212" dataDxfId="210" headerRowBorderDxfId="211" tableBorderDxfId="209" totalsRowBorderDxfId="208">
  <autoFilter ref="V2:V502" xr:uid="{1CA281D2-B2D5-4B85-AF15-351466F4C792}"/>
  <tableColumns count="1">
    <tableColumn id="1" xr3:uid="{16BB9A29-E0FD-4030-8AAA-16DA4E73FE93}" name="Headers" dataDxfId="207">
      <calculatedColumnFormula>IF(V2="","",IF(NOT($T$2=""),IF(AND(VALUE(LEFT(V2,4))+1+$T$3/100&gt;=$T$6,VALUE(LEFT(V2,4))+1+$T$3/100&lt;=$T$7),CONCATENATE(VALUE(LEFT(V2,4))+1,$T$2),""),IF(next_period(V2,$G$2)=next_period(CONCATENATE($N$7,$N$8),$G$2),"",next_period(V2,$G$2))))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08C2705-B196-4E68-B60E-B79193F1871B}" name="meta" displayName="meta" ref="A1:F196" tableType="queryTable" totalsRowShown="0">
  <autoFilter ref="A1:F196" xr:uid="{956AFD57-DCB0-4172-81A1-1181CDECF2C6}"/>
  <tableColumns count="6">
    <tableColumn id="1" xr3:uid="{080227CC-79AE-4FDC-AFFD-F50F73AC7879}" uniqueName="1" name="VARIABLE" queryTableFieldId="1" dataDxfId="206"/>
    <tableColumn id="2" xr3:uid="{921D23CC-6F0D-45B4-8D7D-9147F291D881}" uniqueName="2" name="SOURCE" queryTableFieldId="2" dataDxfId="205"/>
    <tableColumn id="3" xr3:uid="{216FF522-2EFA-4AD9-BA1F-AFAFF38E73A3}" uniqueName="3" name="FREQUENCY" queryTableFieldId="3" dataDxfId="204"/>
    <tableColumn id="4" xr3:uid="{47AA70F7-8C59-491D-AA35-371E8A2FF59A}" uniqueName="4" name="DESCRIPTION" queryTableFieldId="4" dataDxfId="203"/>
    <tableColumn id="5" xr3:uid="{D42B9A29-A18A-419B-AB5F-8F6D01867EFC}" uniqueName="5" name="UNIT" queryTableFieldId="5" dataDxfId="202"/>
    <tableColumn id="6" xr3:uid="{9CFE22C2-0C5F-449A-9E61-F40B73A26BF7}" uniqueName="6" name="TYPE" queryTableFieldId="6" dataDxfId="201"/>
  </tableColumns>
  <tableStyleInfo name="murunofc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Arial">
      <a:maj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12154-E4FA-49D0-AC58-5B544CF26085}">
  <sheetPr codeName="Sheet5"/>
  <dimension ref="B3:C3"/>
  <sheetViews>
    <sheetView tabSelected="1" topLeftCell="A2" workbookViewId="0">
      <selection activeCell="C3" sqref="C3"/>
    </sheetView>
  </sheetViews>
  <sheetFormatPr defaultColWidth="9" defaultRowHeight="12" x14ac:dyDescent="0.2"/>
  <cols>
    <col min="1" max="1" width="9" style="54"/>
    <col min="2" max="2" width="19" style="54" customWidth="1"/>
    <col min="3" max="3" width="61.625" style="54" customWidth="1"/>
    <col min="4" max="16384" width="9" style="54"/>
  </cols>
  <sheetData>
    <row r="3" spans="2:3" ht="160.5" customHeight="1" x14ac:dyDescent="0.2">
      <c r="B3" s="55" t="s">
        <v>854</v>
      </c>
      <c r="C3" s="56" t="s">
        <v>889</v>
      </c>
    </row>
  </sheetData>
  <sheetProtection algorithmName="SHA-512" hashValue="rVuYz8R6WCmBEW39FunFHO8BE+XHvjQvrpBAEzg0NfST9/G7UKcI26Gc4FtSVjUDjYBGgOIOoN+4YFjnGt9beQ==" saltValue="rPijcBFuB64YZsKGGmRHxw==" spinCount="100000" sheet="1" objects="1" scenarios="1" formatColumns="0" formatRows="0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82DAF3-7CAD-4328-838F-60F9C03655CD}">
  <sheetPr codeName="Sheet1"/>
  <dimension ref="A1:GQ518"/>
  <sheetViews>
    <sheetView zoomScale="80" zoomScaleNormal="80" workbookViewId="0">
      <pane xSplit="3" ySplit="1" topLeftCell="GK214" activePane="bottomRight" state="frozen"/>
      <selection activeCell="C20" sqref="C20:E20"/>
      <selection pane="topRight" activeCell="C20" sqref="C20:E20"/>
      <selection pane="bottomLeft" activeCell="C20" sqref="C20:E20"/>
      <selection pane="bottomRight" activeCell="GM261" sqref="GM261"/>
    </sheetView>
  </sheetViews>
  <sheetFormatPr defaultColWidth="9" defaultRowHeight="14.25" x14ac:dyDescent="0.2"/>
  <cols>
    <col min="1" max="1" width="13.375" style="3" bestFit="1" customWidth="1"/>
    <col min="2" max="2" width="13.75" style="3" bestFit="1" customWidth="1"/>
    <col min="3" max="3" width="14.375" style="3" bestFit="1" customWidth="1"/>
    <col min="4" max="4" width="14.875" style="6" bestFit="1" customWidth="1"/>
    <col min="5" max="5" width="14.5" style="6" bestFit="1" customWidth="1"/>
    <col min="6" max="6" width="17.375" style="6" bestFit="1" customWidth="1"/>
    <col min="7" max="7" width="16.25" style="6" bestFit="1" customWidth="1"/>
    <col min="8" max="8" width="15" style="6" bestFit="1" customWidth="1"/>
    <col min="9" max="9" width="15.875" style="6" bestFit="1" customWidth="1"/>
    <col min="10" max="11" width="15.625" style="6" bestFit="1" customWidth="1"/>
    <col min="12" max="12" width="16.875" style="6" bestFit="1" customWidth="1"/>
    <col min="13" max="13" width="14.875" style="6" bestFit="1" customWidth="1"/>
    <col min="14" max="14" width="13.625" style="6" bestFit="1" customWidth="1"/>
    <col min="15" max="15" width="14.375" style="6" bestFit="1" customWidth="1"/>
    <col min="16" max="16" width="14" style="6" bestFit="1" customWidth="1"/>
    <col min="17" max="17" width="16.875" style="6" bestFit="1" customWidth="1"/>
    <col min="18" max="18" width="15.75" style="6" bestFit="1" customWidth="1"/>
    <col min="19" max="19" width="14.5" style="6" bestFit="1" customWidth="1"/>
    <col min="20" max="20" width="15.5" style="6" bestFit="1" customWidth="1"/>
    <col min="21" max="22" width="15.125" style="6" bestFit="1" customWidth="1"/>
    <col min="23" max="23" width="16.25" style="6" bestFit="1" customWidth="1"/>
    <col min="24" max="24" width="14.375" style="6" bestFit="1" customWidth="1"/>
    <col min="25" max="25" width="13.125" style="6" bestFit="1" customWidth="1"/>
    <col min="26" max="26" width="14.875" style="6" bestFit="1" customWidth="1"/>
    <col min="27" max="27" width="20" style="6" bestFit="1" customWidth="1"/>
    <col min="28" max="28" width="18.625" style="6" bestFit="1" customWidth="1"/>
    <col min="29" max="29" width="19.25" style="6" bestFit="1" customWidth="1"/>
    <col min="30" max="30" width="21.375" style="6" bestFit="1" customWidth="1"/>
    <col min="31" max="31" width="14.25" style="6" bestFit="1" customWidth="1"/>
    <col min="32" max="32" width="14.5" style="6" bestFit="1" customWidth="1"/>
    <col min="33" max="33" width="14.375" style="6" bestFit="1" customWidth="1"/>
    <col min="34" max="34" width="19.5" style="6" bestFit="1" customWidth="1"/>
    <col min="35" max="35" width="18.125" style="6" bestFit="1" customWidth="1"/>
    <col min="36" max="36" width="18.75" style="6" bestFit="1" customWidth="1"/>
    <col min="37" max="37" width="20.75" style="6" bestFit="1" customWidth="1"/>
    <col min="38" max="38" width="13.75" style="6" bestFit="1" customWidth="1"/>
    <col min="39" max="39" width="14" style="6" bestFit="1" customWidth="1"/>
    <col min="40" max="40" width="12.375" style="6" bestFit="1" customWidth="1"/>
    <col min="41" max="41" width="13" style="6" bestFit="1" customWidth="1"/>
    <col min="42" max="42" width="14.5" style="6" bestFit="1" customWidth="1"/>
    <col min="43" max="43" width="10.75" style="6" bestFit="1" customWidth="1"/>
    <col min="44" max="44" width="16.25" style="6" bestFit="1" customWidth="1"/>
    <col min="45" max="45" width="18" style="6" bestFit="1" customWidth="1"/>
    <col min="46" max="46" width="15" style="6" bestFit="1" customWidth="1"/>
    <col min="47" max="47" width="20.625" style="6" bestFit="1" customWidth="1"/>
    <col min="48" max="48" width="22.375" style="6" bestFit="1" customWidth="1"/>
    <col min="49" max="49" width="13" style="6" bestFit="1" customWidth="1"/>
    <col min="50" max="50" width="12.625" style="6" bestFit="1" customWidth="1"/>
    <col min="51" max="51" width="15.25" style="6" bestFit="1" customWidth="1"/>
    <col min="52" max="52" width="14.375" style="6" bestFit="1" customWidth="1"/>
    <col min="53" max="53" width="18" style="6" bestFit="1" customWidth="1"/>
    <col min="54" max="54" width="19" style="6" bestFit="1" customWidth="1"/>
    <col min="55" max="55" width="14" style="6" bestFit="1" customWidth="1"/>
    <col min="56" max="57" width="13.75" style="6" bestFit="1" customWidth="1"/>
    <col min="58" max="58" width="13.125" style="6" bestFit="1" customWidth="1"/>
    <col min="59" max="59" width="14.875" style="6" bestFit="1" customWidth="1"/>
    <col min="60" max="60" width="11.375" style="6" bestFit="1" customWidth="1"/>
    <col min="61" max="61" width="14.625" style="6" bestFit="1" customWidth="1"/>
    <col min="62" max="62" width="12.625" style="6" bestFit="1" customWidth="1"/>
    <col min="63" max="63" width="14.625" style="6" bestFit="1" customWidth="1"/>
    <col min="64" max="64" width="17" style="6" bestFit="1" customWidth="1"/>
    <col min="65" max="65" width="15.625" style="6" bestFit="1" customWidth="1"/>
    <col min="66" max="66" width="22.125" style="6" bestFit="1" customWidth="1"/>
    <col min="67" max="67" width="20.625" style="6" bestFit="1" customWidth="1"/>
    <col min="68" max="68" width="24.375" style="6" bestFit="1" customWidth="1"/>
    <col min="69" max="69" width="29.375" style="6" bestFit="1" customWidth="1"/>
    <col min="70" max="71" width="29.5" style="6" bestFit="1" customWidth="1"/>
    <col min="72" max="72" width="24.25" style="6" bestFit="1" customWidth="1"/>
    <col min="73" max="73" width="28.25" style="6" bestFit="1" customWidth="1"/>
    <col min="74" max="74" width="24" style="6" bestFit="1" customWidth="1"/>
    <col min="75" max="75" width="18.875" style="6" bestFit="1" customWidth="1"/>
    <col min="76" max="76" width="21.375" style="6" bestFit="1" customWidth="1"/>
    <col min="77" max="77" width="20.25" style="6" bestFit="1" customWidth="1"/>
    <col min="78" max="78" width="20" style="6" bestFit="1" customWidth="1"/>
    <col min="79" max="79" width="21.375" style="6" bestFit="1" customWidth="1"/>
    <col min="80" max="80" width="21.75" style="6" bestFit="1" customWidth="1"/>
    <col min="81" max="81" width="21.125" style="6" bestFit="1" customWidth="1"/>
    <col min="82" max="82" width="20.125" style="6" bestFit="1" customWidth="1"/>
    <col min="83" max="83" width="19.875" style="6" bestFit="1" customWidth="1"/>
    <col min="84" max="84" width="12.375" style="6" bestFit="1" customWidth="1"/>
    <col min="85" max="85" width="13.375" style="6" bestFit="1" customWidth="1"/>
    <col min="86" max="86" width="18.125" style="6" bestFit="1" customWidth="1"/>
    <col min="87" max="88" width="16.125" style="6" bestFit="1" customWidth="1"/>
    <col min="89" max="89" width="14.25" style="6" bestFit="1" customWidth="1"/>
    <col min="90" max="90" width="12.75" style="6" bestFit="1" customWidth="1"/>
    <col min="91" max="91" width="10.75" style="6" bestFit="1" customWidth="1"/>
    <col min="92" max="92" width="15.75" style="6" bestFit="1" customWidth="1"/>
    <col min="93" max="93" width="15.125" style="6" bestFit="1" customWidth="1"/>
    <col min="94" max="94" width="11.25" style="6" bestFit="1" customWidth="1"/>
    <col min="95" max="95" width="13.75" style="6" bestFit="1" customWidth="1"/>
    <col min="96" max="96" width="13.125" style="6" bestFit="1" customWidth="1"/>
    <col min="97" max="97" width="12.5" style="6" bestFit="1" customWidth="1"/>
    <col min="98" max="98" width="11.5" style="6" bestFit="1" customWidth="1"/>
    <col min="99" max="99" width="12.625" style="6" bestFit="1" customWidth="1"/>
    <col min="100" max="100" width="13" style="6" bestFit="1" customWidth="1"/>
    <col min="101" max="101" width="10.5" style="6" bestFit="1" customWidth="1"/>
    <col min="102" max="102" width="10" style="6" bestFit="1" customWidth="1"/>
    <col min="103" max="103" width="9.875" style="6" bestFit="1" customWidth="1"/>
    <col min="104" max="104" width="11.375" style="6" bestFit="1" customWidth="1"/>
    <col min="105" max="105" width="18.625" style="6" bestFit="1" customWidth="1"/>
    <col min="106" max="106" width="23.625" style="6" bestFit="1" customWidth="1"/>
    <col min="107" max="107" width="24" style="6" bestFit="1" customWidth="1"/>
    <col min="108" max="109" width="23.125" style="6" bestFit="1" customWidth="1"/>
    <col min="110" max="110" width="23.375" style="6" bestFit="1" customWidth="1"/>
    <col min="111" max="111" width="21.875" style="6" bestFit="1" customWidth="1"/>
    <col min="112" max="112" width="20" style="6" bestFit="1" customWidth="1"/>
    <col min="113" max="113" width="25.625" style="6" bestFit="1" customWidth="1"/>
    <col min="114" max="114" width="27.375" style="6" bestFit="1" customWidth="1"/>
    <col min="115" max="115" width="30.125" style="6" bestFit="1" customWidth="1"/>
    <col min="116" max="116" width="16.375" style="6" bestFit="1" customWidth="1"/>
    <col min="117" max="117" width="17.625" style="6" bestFit="1" customWidth="1"/>
    <col min="118" max="118" width="15.125" style="6" bestFit="1" customWidth="1"/>
    <col min="119" max="119" width="11.75" style="6" bestFit="1" customWidth="1"/>
    <col min="120" max="120" width="21.875" style="6" bestFit="1" customWidth="1"/>
    <col min="121" max="121" width="27.5" style="6" bestFit="1" customWidth="1"/>
    <col min="122" max="122" width="26.875" style="6" bestFit="1" customWidth="1"/>
    <col min="123" max="123" width="18" style="6" bestFit="1" customWidth="1"/>
    <col min="124" max="124" width="23.25" style="6" bestFit="1" customWidth="1"/>
    <col min="125" max="125" width="18" style="6" bestFit="1" customWidth="1"/>
    <col min="126" max="126" width="23.625" style="6" bestFit="1" customWidth="1"/>
    <col min="127" max="127" width="23.875" style="6" bestFit="1" customWidth="1"/>
    <col min="128" max="128" width="14.875" style="6" bestFit="1" customWidth="1"/>
    <col min="129" max="129" width="19.875" style="6" bestFit="1" customWidth="1"/>
    <col min="130" max="130" width="20.5" style="6" bestFit="1" customWidth="1"/>
    <col min="131" max="131" width="22" style="6" bestFit="1" customWidth="1"/>
    <col min="132" max="132" width="20.625" style="6" bestFit="1" customWidth="1"/>
    <col min="133" max="133" width="21.375" style="6" bestFit="1" customWidth="1"/>
    <col min="134" max="134" width="21.75" style="6" bestFit="1" customWidth="1"/>
    <col min="135" max="135" width="24.25" style="6" bestFit="1" customWidth="1"/>
    <col min="136" max="136" width="21.75" style="6" bestFit="1" customWidth="1"/>
    <col min="137" max="137" width="23.25" style="6" bestFit="1" customWidth="1"/>
    <col min="138" max="138" width="21.125" style="6" bestFit="1" customWidth="1"/>
    <col min="139" max="139" width="20.125" style="6" bestFit="1" customWidth="1"/>
    <col min="140" max="140" width="20.5" style="6" bestFit="1" customWidth="1"/>
    <col min="141" max="141" width="19" style="6" bestFit="1" customWidth="1"/>
    <col min="142" max="142" width="17.75" style="6" bestFit="1" customWidth="1"/>
    <col min="143" max="143" width="8.625" style="6" bestFit="1" customWidth="1"/>
    <col min="144" max="144" width="11.25" style="6" bestFit="1" customWidth="1"/>
    <col min="145" max="145" width="19" style="6" bestFit="1" customWidth="1"/>
    <col min="146" max="146" width="18.875" style="6" bestFit="1" customWidth="1"/>
    <col min="147" max="147" width="19" style="6" bestFit="1" customWidth="1"/>
    <col min="148" max="148" width="15.125" style="6" bestFit="1" customWidth="1"/>
    <col min="149" max="149" width="16.125" style="6" bestFit="1" customWidth="1"/>
    <col min="150" max="150" width="15" style="6" bestFit="1" customWidth="1"/>
    <col min="151" max="151" width="13.875" style="6" bestFit="1" customWidth="1"/>
    <col min="152" max="152" width="9.625" style="6" bestFit="1" customWidth="1"/>
    <col min="153" max="153" width="13.75" style="6" bestFit="1" customWidth="1"/>
    <col min="154" max="154" width="20.875" style="6" bestFit="1" customWidth="1"/>
    <col min="155" max="155" width="17.375" style="6" bestFit="1" customWidth="1"/>
    <col min="156" max="156" width="13.375" style="6" bestFit="1" customWidth="1"/>
    <col min="157" max="157" width="13.125" style="6" bestFit="1" customWidth="1"/>
    <col min="158" max="158" width="16.25" style="6" bestFit="1" customWidth="1"/>
    <col min="159" max="159" width="14.625" style="6" bestFit="1" customWidth="1"/>
    <col min="160" max="160" width="18.75" style="6" bestFit="1" customWidth="1"/>
    <col min="161" max="161" width="15.875" style="6" bestFit="1" customWidth="1"/>
    <col min="162" max="162" width="16.375" style="6" bestFit="1" customWidth="1"/>
    <col min="163" max="165" width="15.75" style="6" bestFit="1" customWidth="1"/>
    <col min="166" max="168" width="21.375" style="6" bestFit="1" customWidth="1"/>
    <col min="169" max="171" width="21.75" style="6" bestFit="1" customWidth="1"/>
    <col min="172" max="172" width="23" style="6" bestFit="1" customWidth="1"/>
    <col min="173" max="173" width="21.5" style="6" bestFit="1" customWidth="1"/>
    <col min="174" max="174" width="23.75" style="6" bestFit="1" customWidth="1"/>
    <col min="175" max="175" width="20.25" style="6" bestFit="1" customWidth="1"/>
    <col min="176" max="178" width="20.75" style="6" bestFit="1" customWidth="1"/>
    <col min="179" max="181" width="21.125" style="6" bestFit="1" customWidth="1"/>
    <col min="182" max="182" width="14.875" style="6" bestFit="1" customWidth="1"/>
    <col min="183" max="183" width="13.375" style="6" bestFit="1" customWidth="1"/>
    <col min="184" max="184" width="14.625" style="6" bestFit="1" customWidth="1"/>
    <col min="185" max="185" width="14.875" style="6" bestFit="1" customWidth="1"/>
    <col min="186" max="186" width="13.375" style="6" bestFit="1" customWidth="1"/>
    <col min="187" max="187" width="15.25" style="6" bestFit="1" customWidth="1"/>
    <col min="188" max="188" width="15.5" style="6" bestFit="1" customWidth="1"/>
    <col min="189" max="189" width="12.75" style="6" bestFit="1" customWidth="1"/>
    <col min="190" max="190" width="14.875" style="6" bestFit="1" customWidth="1"/>
    <col min="191" max="191" width="15" style="6" bestFit="1" customWidth="1"/>
    <col min="192" max="192" width="12.375" style="6" bestFit="1" customWidth="1"/>
    <col min="193" max="193" width="13.75" style="6" bestFit="1" customWidth="1"/>
    <col min="194" max="194" width="13.875" style="6" customWidth="1"/>
    <col min="195" max="196" width="14" style="6" bestFit="1" customWidth="1"/>
    <col min="197" max="199" width="19.875" style="7" customWidth="1"/>
    <col min="200" max="210" width="17.125" style="6" customWidth="1"/>
    <col min="211" max="211" width="17.5" style="6" customWidth="1"/>
    <col min="212" max="212" width="17.625" style="6" customWidth="1"/>
    <col min="213" max="214" width="16.625" style="6" customWidth="1"/>
    <col min="215" max="215" width="17.375" style="6" customWidth="1"/>
    <col min="216" max="216" width="17.625" style="6" customWidth="1"/>
    <col min="217" max="218" width="17.5" style="6" customWidth="1"/>
    <col min="219" max="220" width="17.625" style="6" customWidth="1"/>
    <col min="221" max="221" width="17.5" style="6" customWidth="1"/>
    <col min="222" max="222" width="17.125" style="6" customWidth="1"/>
    <col min="223" max="223" width="18" style="6" customWidth="1"/>
    <col min="224" max="224" width="17.125" style="6" customWidth="1"/>
    <col min="225" max="225" width="17.625" style="6" customWidth="1"/>
    <col min="226" max="226" width="18.875" style="6" customWidth="1"/>
    <col min="227" max="228" width="17.125" style="6" customWidth="1"/>
    <col min="229" max="229" width="17.5" style="6" customWidth="1"/>
    <col min="230" max="231" width="17.625" style="6" customWidth="1"/>
    <col min="232" max="232" width="17.375" style="6" customWidth="1"/>
    <col min="233" max="233" width="18.5" style="6" customWidth="1"/>
    <col min="234" max="234" width="17.875" style="6" customWidth="1"/>
    <col min="235" max="235" width="17.375" style="6" customWidth="1"/>
    <col min="236" max="236" width="17.5" style="6" customWidth="1"/>
    <col min="237" max="237" width="16.625" style="6" customWidth="1"/>
    <col min="238" max="238" width="17.5" style="6" customWidth="1"/>
    <col min="239" max="241" width="17.875" style="6" customWidth="1"/>
    <col min="242" max="242" width="17.375" style="6" customWidth="1"/>
    <col min="243" max="243" width="18.5" style="6" customWidth="1"/>
    <col min="244" max="244" width="19.625" style="6" customWidth="1"/>
    <col min="245" max="249" width="17.5" style="6" customWidth="1"/>
    <col min="250" max="250" width="18" style="6" customWidth="1"/>
    <col min="251" max="261" width="17.5" style="6" customWidth="1"/>
    <col min="262" max="262" width="19" style="6" customWidth="1"/>
    <col min="263" max="263" width="18" style="6" customWidth="1"/>
    <col min="264" max="264" width="19.625" style="6" customWidth="1"/>
    <col min="265" max="267" width="22.875" style="6" customWidth="1"/>
    <col min="268" max="268" width="19.625" style="6" customWidth="1"/>
    <col min="269" max="269" width="21.625" style="6" customWidth="1"/>
    <col min="270" max="270" width="19.625" style="6" customWidth="1"/>
    <col min="271" max="271" width="18" style="6" customWidth="1"/>
    <col min="272" max="272" width="19" style="6" customWidth="1"/>
    <col min="273" max="274" width="18" style="6" customWidth="1"/>
    <col min="275" max="277" width="19" style="6" customWidth="1"/>
    <col min="278" max="279" width="18" style="6" customWidth="1"/>
    <col min="280" max="281" width="17" style="6" customWidth="1"/>
    <col min="282" max="283" width="17.125" style="6" customWidth="1"/>
    <col min="284" max="285" width="16.875" style="6" customWidth="1"/>
    <col min="286" max="286" width="17.5" style="6" customWidth="1"/>
    <col min="287" max="288" width="17.125" style="6" customWidth="1"/>
    <col min="289" max="289" width="17.625" style="6" customWidth="1"/>
    <col min="290" max="290" width="16.625" style="6" customWidth="1"/>
    <col min="291" max="291" width="17.375" style="6" customWidth="1"/>
    <col min="292" max="292" width="17.125" style="6" customWidth="1"/>
    <col min="293" max="293" width="17.625" style="6" customWidth="1"/>
    <col min="294" max="294" width="16.625" style="6" customWidth="1"/>
    <col min="295" max="296" width="17.375" style="6" customWidth="1"/>
    <col min="297" max="297" width="17.625" style="6" customWidth="1"/>
    <col min="298" max="299" width="17.125" style="6" customWidth="1"/>
    <col min="300" max="301" width="17.875" style="6" customWidth="1"/>
    <col min="302" max="302" width="19.875" style="6" customWidth="1"/>
    <col min="303" max="303" width="20.625" style="6" customWidth="1"/>
    <col min="304" max="306" width="19.875" style="6" customWidth="1"/>
    <col min="307" max="308" width="19" style="6" customWidth="1"/>
    <col min="309" max="309" width="20.625" style="6" customWidth="1"/>
    <col min="310" max="310" width="22.625" style="6" customWidth="1"/>
    <col min="311" max="311" width="23.875" style="6" customWidth="1"/>
    <col min="312" max="314" width="17.875" style="6" customWidth="1"/>
    <col min="315" max="315" width="16.875" style="6" customWidth="1"/>
    <col min="316" max="316" width="19.125" style="6" customWidth="1"/>
    <col min="317" max="318" width="21.625" style="6" customWidth="1"/>
    <col min="319" max="319" width="16.875" style="6" customWidth="1"/>
    <col min="320" max="320" width="20" style="6" customWidth="1"/>
    <col min="321" max="321" width="16.875" style="6" customWidth="1"/>
    <col min="322" max="323" width="20" style="6" customWidth="1"/>
    <col min="324" max="324" width="16.875" style="6" customWidth="1"/>
    <col min="325" max="325" width="18" style="6" customWidth="1"/>
    <col min="326" max="326" width="19.125" style="6" customWidth="1"/>
    <col min="327" max="327" width="18.875" style="6" customWidth="1"/>
    <col min="328" max="328" width="18.125" style="6" customWidth="1"/>
    <col min="329" max="330" width="18.875" style="6" customWidth="1"/>
    <col min="331" max="331" width="19.625" style="6" customWidth="1"/>
    <col min="332" max="332" width="19.125" style="6" customWidth="1"/>
    <col min="333" max="333" width="19.625" style="6" customWidth="1"/>
    <col min="334" max="336" width="18.625" style="6" customWidth="1"/>
    <col min="337" max="337" width="17.5" style="6" customWidth="1"/>
    <col min="338" max="338" width="17.125" style="6" customWidth="1"/>
    <col min="339" max="339" width="15.125" style="6" customWidth="1"/>
    <col min="340" max="340" width="17.375" style="6" customWidth="1"/>
    <col min="341" max="343" width="18" style="6" customWidth="1"/>
    <col min="344" max="346" width="17.375" style="6" customWidth="1"/>
    <col min="347" max="347" width="16.875" style="6" customWidth="1"/>
    <col min="348" max="349" width="18" style="6" customWidth="1"/>
    <col min="350" max="350" width="18.625" style="6" customWidth="1"/>
    <col min="351" max="353" width="18" style="6" customWidth="1"/>
    <col min="354" max="358" width="17.625" style="6" customWidth="1"/>
    <col min="359" max="16384" width="9" style="6"/>
  </cols>
  <sheetData>
    <row r="1" spans="1:199" s="5" customFormat="1" x14ac:dyDescent="0.2">
      <c r="A1" s="8" t="s">
        <v>6</v>
      </c>
      <c r="B1" s="8" t="s">
        <v>7</v>
      </c>
      <c r="C1" s="8" t="s">
        <v>8</v>
      </c>
      <c r="D1" s="9" t="s">
        <v>9</v>
      </c>
      <c r="E1" s="9" t="s">
        <v>10</v>
      </c>
      <c r="F1" s="9" t="s">
        <v>11</v>
      </c>
      <c r="G1" s="9" t="s">
        <v>12</v>
      </c>
      <c r="H1" s="9" t="s">
        <v>13</v>
      </c>
      <c r="I1" s="9" t="s">
        <v>14</v>
      </c>
      <c r="J1" s="9" t="s">
        <v>15</v>
      </c>
      <c r="K1" s="9" t="s">
        <v>16</v>
      </c>
      <c r="L1" s="9" t="s">
        <v>17</v>
      </c>
      <c r="M1" s="9" t="s">
        <v>18</v>
      </c>
      <c r="N1" s="9" t="s">
        <v>19</v>
      </c>
      <c r="O1" s="9" t="s">
        <v>20</v>
      </c>
      <c r="P1" s="9" t="s">
        <v>21</v>
      </c>
      <c r="Q1" s="9" t="s">
        <v>22</v>
      </c>
      <c r="R1" s="9" t="s">
        <v>23</v>
      </c>
      <c r="S1" s="9" t="s">
        <v>24</v>
      </c>
      <c r="T1" s="9" t="s">
        <v>25</v>
      </c>
      <c r="U1" s="9" t="s">
        <v>26</v>
      </c>
      <c r="V1" s="9" t="s">
        <v>27</v>
      </c>
      <c r="W1" s="9" t="s">
        <v>28</v>
      </c>
      <c r="X1" s="9" t="s">
        <v>29</v>
      </c>
      <c r="Y1" s="9" t="s">
        <v>30</v>
      </c>
      <c r="Z1" s="9" t="s">
        <v>31</v>
      </c>
      <c r="AA1" s="9" t="s">
        <v>32</v>
      </c>
      <c r="AB1" s="9" t="s">
        <v>33</v>
      </c>
      <c r="AC1" s="9" t="s">
        <v>34</v>
      </c>
      <c r="AD1" s="9" t="s">
        <v>35</v>
      </c>
      <c r="AE1" s="9" t="s">
        <v>36</v>
      </c>
      <c r="AF1" s="9" t="s">
        <v>37</v>
      </c>
      <c r="AG1" s="9" t="s">
        <v>38</v>
      </c>
      <c r="AH1" s="9" t="s">
        <v>39</v>
      </c>
      <c r="AI1" s="9" t="s">
        <v>40</v>
      </c>
      <c r="AJ1" s="9" t="s">
        <v>41</v>
      </c>
      <c r="AK1" s="9" t="s">
        <v>42</v>
      </c>
      <c r="AL1" s="9" t="s">
        <v>43</v>
      </c>
      <c r="AM1" s="9" t="s">
        <v>44</v>
      </c>
      <c r="AN1" s="9" t="s">
        <v>45</v>
      </c>
      <c r="AO1" s="9" t="s">
        <v>46</v>
      </c>
      <c r="AP1" s="9" t="s">
        <v>47</v>
      </c>
      <c r="AQ1" s="9" t="s">
        <v>48</v>
      </c>
      <c r="AR1" s="9" t="s">
        <v>49</v>
      </c>
      <c r="AS1" s="9" t="s">
        <v>50</v>
      </c>
      <c r="AT1" s="9" t="s">
        <v>51</v>
      </c>
      <c r="AU1" s="9" t="s">
        <v>52</v>
      </c>
      <c r="AV1" s="9" t="s">
        <v>53</v>
      </c>
      <c r="AW1" s="9" t="s">
        <v>54</v>
      </c>
      <c r="AX1" s="9" t="s">
        <v>55</v>
      </c>
      <c r="AY1" s="9" t="s">
        <v>56</v>
      </c>
      <c r="AZ1" s="9" t="s">
        <v>57</v>
      </c>
      <c r="BA1" s="9" t="s">
        <v>58</v>
      </c>
      <c r="BB1" s="9" t="s">
        <v>59</v>
      </c>
      <c r="BC1" s="9" t="s">
        <v>60</v>
      </c>
      <c r="BD1" s="9" t="s">
        <v>61</v>
      </c>
      <c r="BE1" s="9" t="s">
        <v>62</v>
      </c>
      <c r="BF1" s="9" t="s">
        <v>63</v>
      </c>
      <c r="BG1" s="9" t="s">
        <v>64</v>
      </c>
      <c r="BH1" s="9" t="s">
        <v>65</v>
      </c>
      <c r="BI1" s="9" t="s">
        <v>66</v>
      </c>
      <c r="BJ1" s="9" t="s">
        <v>67</v>
      </c>
      <c r="BK1" s="9" t="s">
        <v>68</v>
      </c>
      <c r="BL1" s="9" t="s">
        <v>69</v>
      </c>
      <c r="BM1" s="9" t="s">
        <v>70</v>
      </c>
      <c r="BN1" s="9" t="s">
        <v>71</v>
      </c>
      <c r="BO1" s="9" t="s">
        <v>72</v>
      </c>
      <c r="BP1" s="9" t="s">
        <v>73</v>
      </c>
      <c r="BQ1" s="9" t="s">
        <v>74</v>
      </c>
      <c r="BR1" s="9" t="s">
        <v>75</v>
      </c>
      <c r="BS1" s="9" t="s">
        <v>76</v>
      </c>
      <c r="BT1" s="9" t="s">
        <v>77</v>
      </c>
      <c r="BU1" s="9" t="s">
        <v>78</v>
      </c>
      <c r="BV1" s="9" t="s">
        <v>79</v>
      </c>
      <c r="BW1" s="9" t="s">
        <v>80</v>
      </c>
      <c r="BX1" s="9" t="s">
        <v>81</v>
      </c>
      <c r="BY1" s="9" t="s">
        <v>82</v>
      </c>
      <c r="BZ1" s="9" t="s">
        <v>83</v>
      </c>
      <c r="CA1" s="9" t="s">
        <v>84</v>
      </c>
      <c r="CB1" s="9" t="s">
        <v>85</v>
      </c>
      <c r="CC1" s="9" t="s">
        <v>86</v>
      </c>
      <c r="CD1" s="9" t="s">
        <v>87</v>
      </c>
      <c r="CE1" s="9" t="s">
        <v>88</v>
      </c>
      <c r="CF1" s="9" t="s">
        <v>89</v>
      </c>
      <c r="CG1" s="9" t="s">
        <v>90</v>
      </c>
      <c r="CH1" s="9" t="s">
        <v>91</v>
      </c>
      <c r="CI1" s="9" t="s">
        <v>92</v>
      </c>
      <c r="CJ1" s="9" t="s">
        <v>93</v>
      </c>
      <c r="CK1" s="9" t="s">
        <v>94</v>
      </c>
      <c r="CL1" s="9" t="s">
        <v>95</v>
      </c>
      <c r="CM1" s="9" t="s">
        <v>96</v>
      </c>
      <c r="CN1" s="9" t="s">
        <v>97</v>
      </c>
      <c r="CO1" s="9" t="s">
        <v>98</v>
      </c>
      <c r="CP1" s="9" t="s">
        <v>99</v>
      </c>
      <c r="CQ1" s="9" t="s">
        <v>100</v>
      </c>
      <c r="CR1" s="9" t="s">
        <v>101</v>
      </c>
      <c r="CS1" s="9" t="s">
        <v>102</v>
      </c>
      <c r="CT1" s="9" t="s">
        <v>103</v>
      </c>
      <c r="CU1" s="9" t="s">
        <v>104</v>
      </c>
      <c r="CV1" s="9" t="s">
        <v>105</v>
      </c>
      <c r="CW1" s="9" t="s">
        <v>106</v>
      </c>
      <c r="CX1" s="9" t="s">
        <v>107</v>
      </c>
      <c r="CY1" s="9" t="s">
        <v>108</v>
      </c>
      <c r="CZ1" s="9" t="s">
        <v>109</v>
      </c>
      <c r="DA1" s="9" t="s">
        <v>110</v>
      </c>
      <c r="DB1" s="9" t="s">
        <v>111</v>
      </c>
      <c r="DC1" s="9" t="s">
        <v>112</v>
      </c>
      <c r="DD1" s="9" t="s">
        <v>113</v>
      </c>
      <c r="DE1" s="9" t="s">
        <v>114</v>
      </c>
      <c r="DF1" s="9" t="s">
        <v>115</v>
      </c>
      <c r="DG1" s="9" t="s">
        <v>116</v>
      </c>
      <c r="DH1" s="9" t="s">
        <v>117</v>
      </c>
      <c r="DI1" s="9" t="s">
        <v>118</v>
      </c>
      <c r="DJ1" s="9" t="s">
        <v>119</v>
      </c>
      <c r="DK1" s="9" t="s">
        <v>120</v>
      </c>
      <c r="DL1" s="9" t="s">
        <v>121</v>
      </c>
      <c r="DM1" s="9" t="s">
        <v>122</v>
      </c>
      <c r="DN1" s="9" t="s">
        <v>123</v>
      </c>
      <c r="DO1" s="9" t="s">
        <v>124</v>
      </c>
      <c r="DP1" s="9" t="s">
        <v>125</v>
      </c>
      <c r="DQ1" s="9" t="s">
        <v>126</v>
      </c>
      <c r="DR1" s="9" t="s">
        <v>127</v>
      </c>
      <c r="DS1" s="9" t="s">
        <v>128</v>
      </c>
      <c r="DT1" s="9" t="s">
        <v>129</v>
      </c>
      <c r="DU1" s="9" t="s">
        <v>130</v>
      </c>
      <c r="DV1" s="9" t="s">
        <v>131</v>
      </c>
      <c r="DW1" s="9" t="s">
        <v>132</v>
      </c>
      <c r="DX1" s="9" t="s">
        <v>133</v>
      </c>
      <c r="DY1" s="9" t="s">
        <v>134</v>
      </c>
      <c r="DZ1" s="9" t="s">
        <v>135</v>
      </c>
      <c r="EA1" s="9" t="s">
        <v>136</v>
      </c>
      <c r="EB1" s="9" t="s">
        <v>137</v>
      </c>
      <c r="EC1" s="9" t="s">
        <v>138</v>
      </c>
      <c r="ED1" s="9" t="s">
        <v>139</v>
      </c>
      <c r="EE1" s="9" t="s">
        <v>140</v>
      </c>
      <c r="EF1" s="9" t="s">
        <v>141</v>
      </c>
      <c r="EG1" s="9" t="s">
        <v>142</v>
      </c>
      <c r="EH1" s="9" t="s">
        <v>143</v>
      </c>
      <c r="EI1" s="9" t="s">
        <v>144</v>
      </c>
      <c r="EJ1" s="9" t="s">
        <v>145</v>
      </c>
      <c r="EK1" s="9" t="s">
        <v>146</v>
      </c>
      <c r="EL1" s="9" t="s">
        <v>147</v>
      </c>
      <c r="EM1" s="9" t="s">
        <v>148</v>
      </c>
      <c r="EN1" s="9" t="s">
        <v>149</v>
      </c>
      <c r="EO1" s="9" t="s">
        <v>150</v>
      </c>
      <c r="EP1" s="9" t="s">
        <v>151</v>
      </c>
      <c r="EQ1" s="9" t="s">
        <v>152</v>
      </c>
      <c r="ER1" s="9" t="s">
        <v>153</v>
      </c>
      <c r="ES1" s="9" t="s">
        <v>154</v>
      </c>
      <c r="ET1" s="9" t="s">
        <v>155</v>
      </c>
      <c r="EU1" t="s">
        <v>885</v>
      </c>
      <c r="EV1" s="9" t="s">
        <v>156</v>
      </c>
      <c r="EW1" s="9" t="s">
        <v>157</v>
      </c>
      <c r="EX1" s="9" t="s">
        <v>158</v>
      </c>
      <c r="EY1" s="9" t="s">
        <v>159</v>
      </c>
      <c r="EZ1" s="9" t="s">
        <v>160</v>
      </c>
      <c r="FA1" s="9" t="s">
        <v>161</v>
      </c>
      <c r="FB1" s="9" t="s">
        <v>162</v>
      </c>
      <c r="FC1" s="9" t="s">
        <v>163</v>
      </c>
      <c r="FD1" s="9" t="s">
        <v>164</v>
      </c>
      <c r="FE1" s="9" t="s">
        <v>165</v>
      </c>
      <c r="FF1" s="9" t="s">
        <v>166</v>
      </c>
      <c r="FG1" s="9" t="s">
        <v>167</v>
      </c>
      <c r="FH1" s="9" t="s">
        <v>168</v>
      </c>
      <c r="FI1" s="9" t="s">
        <v>169</v>
      </c>
      <c r="FJ1" s="9" t="s">
        <v>170</v>
      </c>
      <c r="FK1" s="9" t="s">
        <v>171</v>
      </c>
      <c r="FL1" s="9" t="s">
        <v>172</v>
      </c>
      <c r="FM1" s="9" t="s">
        <v>173</v>
      </c>
      <c r="FN1" s="9" t="s">
        <v>174</v>
      </c>
      <c r="FO1" s="9" t="s">
        <v>175</v>
      </c>
      <c r="FP1" s="9" t="s">
        <v>176</v>
      </c>
      <c r="FQ1" s="9" t="s">
        <v>177</v>
      </c>
      <c r="FR1" s="9" t="s">
        <v>178</v>
      </c>
      <c r="FS1" s="9" t="s">
        <v>179</v>
      </c>
      <c r="FT1" s="9" t="s">
        <v>180</v>
      </c>
      <c r="FU1" s="9" t="s">
        <v>181</v>
      </c>
      <c r="FV1" s="9" t="s">
        <v>182</v>
      </c>
      <c r="FW1" s="9" t="s">
        <v>183</v>
      </c>
      <c r="FX1" s="9" t="s">
        <v>184</v>
      </c>
      <c r="FY1" s="9" t="s">
        <v>185</v>
      </c>
      <c r="FZ1" s="9" t="s">
        <v>186</v>
      </c>
      <c r="GA1" s="9" t="s">
        <v>187</v>
      </c>
      <c r="GB1" s="9" t="s">
        <v>188</v>
      </c>
      <c r="GC1" s="9" t="s">
        <v>189</v>
      </c>
      <c r="GD1" s="9" t="s">
        <v>190</v>
      </c>
      <c r="GE1" s="9" t="s">
        <v>191</v>
      </c>
      <c r="GF1" s="9" t="s">
        <v>192</v>
      </c>
      <c r="GG1" s="9" t="s">
        <v>193</v>
      </c>
      <c r="GH1" s="9" t="s">
        <v>194</v>
      </c>
      <c r="GI1" s="9" t="s">
        <v>195</v>
      </c>
      <c r="GJ1" s="9" t="s">
        <v>196</v>
      </c>
      <c r="GK1" s="9" t="s">
        <v>197</v>
      </c>
      <c r="GL1" s="9" t="s">
        <v>198</v>
      </c>
      <c r="GM1" t="s">
        <v>887</v>
      </c>
    </row>
    <row r="2" spans="1:199" x14ac:dyDescent="0.2">
      <c r="A2" s="8">
        <v>2000</v>
      </c>
      <c r="B2" s="8" t="s">
        <v>199</v>
      </c>
      <c r="C2" s="8" t="s">
        <v>200</v>
      </c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>
        <v>13474.4</v>
      </c>
      <c r="BO2" s="9">
        <v>10562.8</v>
      </c>
      <c r="BP2" s="9">
        <v>1923.8</v>
      </c>
      <c r="BQ2" s="9">
        <v>1240.5999999999999</v>
      </c>
      <c r="BR2" s="9">
        <v>683.1</v>
      </c>
      <c r="BS2" s="9">
        <v>2164.3000000000002</v>
      </c>
      <c r="BT2" s="9">
        <v>3369.1</v>
      </c>
      <c r="BU2" s="9">
        <v>1902.2</v>
      </c>
      <c r="BV2" s="9">
        <v>2704</v>
      </c>
      <c r="BW2" s="9">
        <v>20397.7</v>
      </c>
      <c r="BX2" s="9">
        <v>173.7</v>
      </c>
      <c r="BY2" s="9">
        <v>5602.4</v>
      </c>
      <c r="BZ2" s="9">
        <v>6622.2</v>
      </c>
      <c r="CA2" s="9">
        <v>280.5</v>
      </c>
      <c r="CB2" s="9">
        <v>0</v>
      </c>
      <c r="CC2" s="9">
        <v>0</v>
      </c>
      <c r="CD2" s="9">
        <v>0</v>
      </c>
      <c r="CE2" s="9">
        <v>827.3</v>
      </c>
      <c r="CF2" s="9">
        <v>102558.5889</v>
      </c>
      <c r="CG2" s="9">
        <v>211329.7599</v>
      </c>
      <c r="CH2" s="9"/>
      <c r="CI2" s="9"/>
      <c r="CJ2" s="9">
        <v>33.4</v>
      </c>
      <c r="CK2" s="9">
        <v>33.1</v>
      </c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>
        <v>41.27</v>
      </c>
      <c r="DP2" s="9">
        <v>8.65</v>
      </c>
      <c r="DQ2" s="9">
        <v>5.13</v>
      </c>
      <c r="DR2" s="9">
        <v>3.51</v>
      </c>
      <c r="DS2" s="9">
        <v>7.53</v>
      </c>
      <c r="DT2" s="9">
        <v>0.08</v>
      </c>
      <c r="DU2" s="9">
        <v>14.4</v>
      </c>
      <c r="DV2" s="9">
        <v>10.62</v>
      </c>
      <c r="DW2" s="9">
        <v>1.06</v>
      </c>
      <c r="DX2" s="9">
        <v>10.67</v>
      </c>
      <c r="DY2" s="9">
        <v>4.32</v>
      </c>
      <c r="DZ2" s="9">
        <v>0.56000000000000005</v>
      </c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>
        <v>1080.76</v>
      </c>
      <c r="EV2" s="9"/>
      <c r="EW2" s="9"/>
      <c r="EX2" s="9"/>
      <c r="EY2" s="9"/>
      <c r="EZ2" s="9"/>
      <c r="FA2" s="9"/>
      <c r="FB2" s="9">
        <v>25.1</v>
      </c>
      <c r="FC2" s="9">
        <v>25.22</v>
      </c>
      <c r="FD2" s="9">
        <v>1843.85</v>
      </c>
      <c r="FE2" s="9">
        <v>12.45</v>
      </c>
      <c r="FF2" s="9">
        <v>284.06562500000001</v>
      </c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>
        <v>1087.6099999999999</v>
      </c>
      <c r="GO2" s="6"/>
      <c r="GP2" s="6"/>
      <c r="GQ2" s="6"/>
    </row>
    <row r="3" spans="1:199" x14ac:dyDescent="0.2">
      <c r="A3" s="8">
        <v>2000</v>
      </c>
      <c r="B3" s="8" t="s">
        <v>199</v>
      </c>
      <c r="C3" s="8" t="s">
        <v>201</v>
      </c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>
        <v>16086</v>
      </c>
      <c r="BO3" s="9">
        <v>12777.4</v>
      </c>
      <c r="BP3" s="9">
        <v>3241.1</v>
      </c>
      <c r="BQ3" s="9">
        <v>2418.1999999999998</v>
      </c>
      <c r="BR3" s="9">
        <v>823</v>
      </c>
      <c r="BS3" s="9">
        <v>1349.1</v>
      </c>
      <c r="BT3" s="9">
        <v>4302.7</v>
      </c>
      <c r="BU3" s="9">
        <v>1655.4</v>
      </c>
      <c r="BV3" s="9">
        <v>2898.9</v>
      </c>
      <c r="BW3" s="9">
        <v>17890.2</v>
      </c>
      <c r="BX3" s="9">
        <v>4527.1000000000004</v>
      </c>
      <c r="BY3" s="9">
        <v>7042.7</v>
      </c>
      <c r="BZ3" s="9">
        <v>4848.3999999999996</v>
      </c>
      <c r="CA3" s="9">
        <v>930.5</v>
      </c>
      <c r="CB3" s="9">
        <v>0</v>
      </c>
      <c r="CC3" s="9">
        <v>0</v>
      </c>
      <c r="CD3" s="9">
        <v>0</v>
      </c>
      <c r="CE3" s="9">
        <v>840.5</v>
      </c>
      <c r="CF3" s="9">
        <v>94954.791500000007</v>
      </c>
      <c r="CG3" s="9">
        <v>207541.7941</v>
      </c>
      <c r="CH3" s="9"/>
      <c r="CI3" s="9"/>
      <c r="CJ3" s="9">
        <v>45</v>
      </c>
      <c r="CK3" s="9">
        <v>26.5</v>
      </c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>
        <v>34.36</v>
      </c>
      <c r="DP3" s="9">
        <v>7.61</v>
      </c>
      <c r="DQ3" s="9">
        <v>4.51</v>
      </c>
      <c r="DR3" s="9">
        <v>3.1</v>
      </c>
      <c r="DS3" s="9">
        <v>6.95</v>
      </c>
      <c r="DT3" s="9">
        <v>0</v>
      </c>
      <c r="DU3" s="9">
        <v>13.91</v>
      </c>
      <c r="DV3" s="9">
        <v>11.57</v>
      </c>
      <c r="DW3" s="9">
        <v>0.65</v>
      </c>
      <c r="DX3" s="9">
        <v>5.89</v>
      </c>
      <c r="DY3" s="9">
        <v>2.38</v>
      </c>
      <c r="DZ3" s="9">
        <v>0.37</v>
      </c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>
        <v>1089.17</v>
      </c>
      <c r="EV3" s="9"/>
      <c r="EW3" s="9"/>
      <c r="EX3" s="9"/>
      <c r="EY3" s="9"/>
      <c r="EZ3" s="9"/>
      <c r="FA3" s="9"/>
      <c r="FB3" s="9">
        <v>25.1</v>
      </c>
      <c r="FC3" s="9">
        <v>27.63</v>
      </c>
      <c r="FD3" s="9">
        <v>1807.0250000000001</v>
      </c>
      <c r="FE3" s="9">
        <v>12.45</v>
      </c>
      <c r="FF3" s="9">
        <v>299.71499999999997</v>
      </c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>
        <v>1092.75</v>
      </c>
      <c r="GO3" s="6"/>
      <c r="GP3" s="6"/>
      <c r="GQ3" s="6"/>
    </row>
    <row r="4" spans="1:199" x14ac:dyDescent="0.2">
      <c r="A4" s="8">
        <v>2000</v>
      </c>
      <c r="B4" s="8" t="s">
        <v>199</v>
      </c>
      <c r="C4" s="8" t="s">
        <v>202</v>
      </c>
      <c r="D4" s="9">
        <v>190998.3</v>
      </c>
      <c r="E4" s="9">
        <v>13829.1</v>
      </c>
      <c r="F4" s="9">
        <v>22652.1</v>
      </c>
      <c r="G4" s="9">
        <v>15346.1</v>
      </c>
      <c r="H4" s="9">
        <v>9089.9</v>
      </c>
      <c r="I4" s="9">
        <v>1540.2</v>
      </c>
      <c r="J4" s="9">
        <v>27040.6</v>
      </c>
      <c r="K4" s="9">
        <v>17342.099999999999</v>
      </c>
      <c r="L4" s="9">
        <v>6469.9</v>
      </c>
      <c r="M4" s="9">
        <v>56543.4</v>
      </c>
      <c r="N4" s="9">
        <v>21144.799999999999</v>
      </c>
      <c r="O4" s="9">
        <v>1173575.1687436907</v>
      </c>
      <c r="P4" s="9">
        <v>57663.496183095398</v>
      </c>
      <c r="Q4" s="9">
        <v>187405.4738641404</v>
      </c>
      <c r="R4" s="9">
        <v>84427.361664097902</v>
      </c>
      <c r="S4" s="9">
        <v>76008.729131233704</v>
      </c>
      <c r="T4" s="9">
        <v>11071.8665871625</v>
      </c>
      <c r="U4" s="9">
        <v>128309.56142844391</v>
      </c>
      <c r="V4" s="9">
        <v>32881.724042677597</v>
      </c>
      <c r="W4" s="9">
        <v>13782.230632213101</v>
      </c>
      <c r="X4" s="9">
        <v>526768.46712988964</v>
      </c>
      <c r="Y4" s="9">
        <v>55256.258080736501</v>
      </c>
      <c r="Z4" s="9"/>
      <c r="AA4" s="9"/>
      <c r="AB4" s="9"/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>
        <v>25548.1</v>
      </c>
      <c r="BO4" s="9">
        <v>19680.5</v>
      </c>
      <c r="BP4" s="9">
        <v>5283.9</v>
      </c>
      <c r="BQ4" s="9">
        <v>4071.4</v>
      </c>
      <c r="BR4" s="9">
        <v>1212.5</v>
      </c>
      <c r="BS4" s="9">
        <v>5008.5</v>
      </c>
      <c r="BT4" s="9">
        <v>4369</v>
      </c>
      <c r="BU4" s="9">
        <v>2880.2</v>
      </c>
      <c r="BV4" s="9">
        <v>5405.8</v>
      </c>
      <c r="BW4" s="9">
        <v>30388</v>
      </c>
      <c r="BX4" s="9">
        <v>8729.1</v>
      </c>
      <c r="BY4" s="9">
        <v>13021.3</v>
      </c>
      <c r="BZ4" s="9">
        <v>7758.2</v>
      </c>
      <c r="CA4" s="9">
        <v>1409.1</v>
      </c>
      <c r="CB4" s="9">
        <v>0</v>
      </c>
      <c r="CC4" s="9">
        <v>0</v>
      </c>
      <c r="CD4" s="9">
        <v>0</v>
      </c>
      <c r="CE4" s="9">
        <v>1542.7</v>
      </c>
      <c r="CF4" s="9">
        <v>116236.9996</v>
      </c>
      <c r="CG4" s="9">
        <v>222434.0465</v>
      </c>
      <c r="CH4" s="9"/>
      <c r="CI4" s="9"/>
      <c r="CJ4" s="9">
        <v>36.5</v>
      </c>
      <c r="CK4" s="9">
        <v>31.7</v>
      </c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>
        <v>63.16</v>
      </c>
      <c r="DP4" s="9">
        <v>21.49</v>
      </c>
      <c r="DQ4" s="9">
        <v>9.2200000000000006</v>
      </c>
      <c r="DR4" s="9">
        <v>12.27</v>
      </c>
      <c r="DS4" s="9">
        <v>10.75</v>
      </c>
      <c r="DT4" s="9">
        <v>0.08</v>
      </c>
      <c r="DU4" s="9">
        <v>23.34</v>
      </c>
      <c r="DV4" s="9">
        <v>18.29</v>
      </c>
      <c r="DW4" s="9">
        <v>1.05</v>
      </c>
      <c r="DX4" s="9">
        <v>7.58</v>
      </c>
      <c r="DY4" s="9">
        <v>2.46</v>
      </c>
      <c r="DZ4" s="9">
        <v>0.37</v>
      </c>
      <c r="EA4" s="9">
        <v>-23.411000000000001</v>
      </c>
      <c r="EB4" s="9">
        <v>-22.934200000000001</v>
      </c>
      <c r="EC4" s="9">
        <v>-14.3344</v>
      </c>
      <c r="ED4" s="9">
        <v>-3.1242000000000001</v>
      </c>
      <c r="EE4" s="9">
        <v>16.981780000000001</v>
      </c>
      <c r="EF4" s="9">
        <v>0</v>
      </c>
      <c r="EG4" s="9">
        <v>-27.789200000000001</v>
      </c>
      <c r="EH4" s="9">
        <v>-15.9085</v>
      </c>
      <c r="EI4" s="9">
        <v>0</v>
      </c>
      <c r="EJ4" s="9">
        <v>0</v>
      </c>
      <c r="EK4" s="9">
        <v>-11.880699999999999</v>
      </c>
      <c r="EL4" s="9">
        <v>-9.7082200000000007</v>
      </c>
      <c r="EM4" s="9">
        <v>-5.33</v>
      </c>
      <c r="EN4" s="9"/>
      <c r="EO4" s="9"/>
      <c r="EP4" s="9"/>
      <c r="EQ4" s="9"/>
      <c r="ER4" s="9"/>
      <c r="ES4" s="9"/>
      <c r="ET4" s="9"/>
      <c r="EU4">
        <v>1091.83</v>
      </c>
      <c r="EV4" s="9">
        <v>4193.2700000000004</v>
      </c>
      <c r="EW4" s="9">
        <v>841.77</v>
      </c>
      <c r="EX4" s="9">
        <v>33</v>
      </c>
      <c r="EY4" s="9">
        <v>4.1399999999999997</v>
      </c>
      <c r="EZ4" s="9">
        <v>890.79</v>
      </c>
      <c r="FA4" s="9">
        <v>2423.58</v>
      </c>
      <c r="FB4" s="9">
        <v>25.1</v>
      </c>
      <c r="FC4" s="9">
        <v>27.47</v>
      </c>
      <c r="FD4" s="9">
        <v>1739.8</v>
      </c>
      <c r="FE4" s="9">
        <v>12.45</v>
      </c>
      <c r="FF4" s="9">
        <v>286.92399999999998</v>
      </c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>
        <v>1090</v>
      </c>
      <c r="GO4" s="6"/>
      <c r="GP4" s="6"/>
      <c r="GQ4" s="6"/>
    </row>
    <row r="5" spans="1:199" x14ac:dyDescent="0.2">
      <c r="A5" s="8">
        <v>2000</v>
      </c>
      <c r="B5" s="8" t="s">
        <v>203</v>
      </c>
      <c r="C5" s="8" t="s">
        <v>204</v>
      </c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>
        <v>19473.2</v>
      </c>
      <c r="BO5" s="9">
        <v>12201.5</v>
      </c>
      <c r="BP5" s="9">
        <v>3730.4</v>
      </c>
      <c r="BQ5" s="9">
        <v>2410.3000000000002</v>
      </c>
      <c r="BR5" s="9">
        <v>1320.1</v>
      </c>
      <c r="BS5" s="9">
        <v>-84.2</v>
      </c>
      <c r="BT5" s="9">
        <v>3954.6</v>
      </c>
      <c r="BU5" s="9">
        <v>1983</v>
      </c>
      <c r="BV5" s="9">
        <v>6626.3</v>
      </c>
      <c r="BW5" s="9">
        <v>16846</v>
      </c>
      <c r="BX5" s="9">
        <v>-173</v>
      </c>
      <c r="BY5" s="9">
        <v>8071.7</v>
      </c>
      <c r="BZ5" s="9">
        <v>5366.8</v>
      </c>
      <c r="CA5" s="9">
        <v>3097.3</v>
      </c>
      <c r="CB5" s="9">
        <v>0</v>
      </c>
      <c r="CC5" s="9">
        <v>0</v>
      </c>
      <c r="CD5" s="9">
        <v>0</v>
      </c>
      <c r="CE5" s="9">
        <v>3222.8</v>
      </c>
      <c r="CF5" s="9">
        <v>135686.1342</v>
      </c>
      <c r="CG5" s="9">
        <v>234587.2732</v>
      </c>
      <c r="CH5" s="9"/>
      <c r="CI5" s="9"/>
      <c r="CJ5" s="9">
        <v>37</v>
      </c>
      <c r="CK5" s="9">
        <v>29.7</v>
      </c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>
        <v>45.62</v>
      </c>
      <c r="DP5" s="9">
        <v>11.35</v>
      </c>
      <c r="DQ5" s="9">
        <v>6.33</v>
      </c>
      <c r="DR5" s="9">
        <v>5.0199999999999996</v>
      </c>
      <c r="DS5" s="9">
        <v>13.86</v>
      </c>
      <c r="DT5" s="9">
        <v>0.05</v>
      </c>
      <c r="DU5" s="9">
        <v>12.62</v>
      </c>
      <c r="DV5" s="9">
        <v>9.94</v>
      </c>
      <c r="DW5" s="9">
        <v>1.32</v>
      </c>
      <c r="DX5" s="9">
        <v>7.77</v>
      </c>
      <c r="DY5" s="9">
        <v>2.67</v>
      </c>
      <c r="DZ5" s="9">
        <v>1.21</v>
      </c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>
        <v>1059.6300000000001</v>
      </c>
      <c r="EV5" s="9"/>
      <c r="EW5" s="9"/>
      <c r="EX5" s="9"/>
      <c r="EY5" s="9"/>
      <c r="EZ5" s="9"/>
      <c r="FA5" s="9"/>
      <c r="FB5" s="9">
        <v>25.1</v>
      </c>
      <c r="FC5" s="9">
        <v>22.54</v>
      </c>
      <c r="FD5" s="9">
        <v>1681.9075</v>
      </c>
      <c r="FE5" s="9">
        <v>12.45</v>
      </c>
      <c r="FF5" s="9">
        <v>279.65263160000001</v>
      </c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>
        <v>1035</v>
      </c>
      <c r="GO5" s="6"/>
      <c r="GP5" s="6"/>
      <c r="GQ5" s="6"/>
    </row>
    <row r="6" spans="1:199" x14ac:dyDescent="0.2">
      <c r="A6" s="8">
        <v>2000</v>
      </c>
      <c r="B6" s="8" t="s">
        <v>203</v>
      </c>
      <c r="C6" s="8" t="s">
        <v>205</v>
      </c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>
        <v>25788.3</v>
      </c>
      <c r="BO6" s="9">
        <v>20166.099999999999</v>
      </c>
      <c r="BP6" s="9">
        <v>3976.4</v>
      </c>
      <c r="BQ6" s="9">
        <v>2825.8</v>
      </c>
      <c r="BR6" s="9">
        <v>1150.5999999999999</v>
      </c>
      <c r="BS6" s="9">
        <v>4126.6000000000004</v>
      </c>
      <c r="BT6" s="9">
        <v>3621.5</v>
      </c>
      <c r="BU6" s="9">
        <v>2137.1</v>
      </c>
      <c r="BV6" s="9">
        <v>5545.6</v>
      </c>
      <c r="BW6" s="9">
        <v>29647</v>
      </c>
      <c r="BX6" s="9">
        <v>3423.4</v>
      </c>
      <c r="BY6" s="9">
        <v>7947.1</v>
      </c>
      <c r="BZ6" s="9">
        <v>7583.5</v>
      </c>
      <c r="CA6" s="9">
        <v>1680.2</v>
      </c>
      <c r="CB6" s="9">
        <v>0</v>
      </c>
      <c r="CC6" s="9">
        <v>0</v>
      </c>
      <c r="CD6" s="9">
        <v>0</v>
      </c>
      <c r="CE6" s="9">
        <v>2273.8000000000002</v>
      </c>
      <c r="CF6" s="9">
        <v>139958.28750000001</v>
      </c>
      <c r="CG6" s="9">
        <v>242989.02900000001</v>
      </c>
      <c r="CH6" s="9"/>
      <c r="CI6" s="9"/>
      <c r="CJ6" s="9">
        <v>37.299999999999997</v>
      </c>
      <c r="CK6" s="9">
        <v>26.7</v>
      </c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>
        <v>54.16</v>
      </c>
      <c r="DP6" s="9">
        <v>15.97</v>
      </c>
      <c r="DQ6" s="9">
        <v>7.69</v>
      </c>
      <c r="DR6" s="9">
        <v>8.2799999999999994</v>
      </c>
      <c r="DS6" s="9">
        <v>18.16</v>
      </c>
      <c r="DT6" s="9">
        <v>3.77</v>
      </c>
      <c r="DU6" s="9">
        <v>12.63</v>
      </c>
      <c r="DV6" s="9">
        <v>7.71</v>
      </c>
      <c r="DW6" s="9">
        <v>1.76</v>
      </c>
      <c r="DX6" s="9">
        <v>7.39</v>
      </c>
      <c r="DY6" s="9">
        <v>2.59</v>
      </c>
      <c r="DZ6" s="9">
        <v>0.56999999999999995</v>
      </c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>
        <v>1024.68</v>
      </c>
      <c r="EV6" s="9"/>
      <c r="EW6" s="9"/>
      <c r="EX6" s="9"/>
      <c r="EY6" s="9"/>
      <c r="EZ6" s="9"/>
      <c r="FA6" s="9"/>
      <c r="FB6" s="9">
        <v>25.6</v>
      </c>
      <c r="FC6" s="9">
        <v>27.4</v>
      </c>
      <c r="FD6" s="9">
        <v>1785.0978260869999</v>
      </c>
      <c r="FE6" s="9">
        <v>12.45</v>
      </c>
      <c r="FF6" s="9">
        <v>276.74090910000001</v>
      </c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>
        <v>1032.7</v>
      </c>
      <c r="GO6" s="6"/>
      <c r="GP6" s="6"/>
      <c r="GQ6" s="6"/>
    </row>
    <row r="7" spans="1:199" x14ac:dyDescent="0.2">
      <c r="A7" s="8">
        <v>2000</v>
      </c>
      <c r="B7" s="8" t="s">
        <v>203</v>
      </c>
      <c r="C7" s="8" t="s">
        <v>206</v>
      </c>
      <c r="D7" s="9">
        <v>340705</v>
      </c>
      <c r="E7" s="9">
        <v>133654.29999999999</v>
      </c>
      <c r="F7" s="9">
        <v>31140.2</v>
      </c>
      <c r="G7" s="9">
        <v>16559.400000000001</v>
      </c>
      <c r="H7" s="9">
        <v>5891.2</v>
      </c>
      <c r="I7" s="9">
        <v>4673.7</v>
      </c>
      <c r="J7" s="9">
        <v>30636.3</v>
      </c>
      <c r="K7" s="9">
        <v>19110.5</v>
      </c>
      <c r="L7" s="9">
        <v>9384.6</v>
      </c>
      <c r="M7" s="9">
        <v>61024.9</v>
      </c>
      <c r="N7" s="9">
        <v>28630</v>
      </c>
      <c r="O7" s="9">
        <v>2093437.103193166</v>
      </c>
      <c r="P7" s="9">
        <v>636197.66499134467</v>
      </c>
      <c r="Q7" s="9">
        <v>294101.5280537639</v>
      </c>
      <c r="R7" s="9">
        <v>103999.64877122</v>
      </c>
      <c r="S7" s="9">
        <v>56235.455115383404</v>
      </c>
      <c r="T7" s="9">
        <v>38353.644524343697</v>
      </c>
      <c r="U7" s="9">
        <v>165951.46551237151</v>
      </c>
      <c r="V7" s="9">
        <v>41364.428244844799</v>
      </c>
      <c r="W7" s="9">
        <v>22821.269155075999</v>
      </c>
      <c r="X7" s="9">
        <v>649003.45459176798</v>
      </c>
      <c r="Y7" s="9">
        <v>85408.544233049804</v>
      </c>
      <c r="Z7" s="9"/>
      <c r="AA7" s="9"/>
      <c r="AB7" s="9"/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>
        <v>30273.7</v>
      </c>
      <c r="BO7" s="9">
        <v>23644.5</v>
      </c>
      <c r="BP7" s="9">
        <v>4827.8999999999996</v>
      </c>
      <c r="BQ7" s="9">
        <v>3207.2</v>
      </c>
      <c r="BR7" s="9">
        <v>1620.7</v>
      </c>
      <c r="BS7" s="9">
        <v>4615.3</v>
      </c>
      <c r="BT7" s="9">
        <v>6976.9</v>
      </c>
      <c r="BU7" s="9">
        <v>3645.9</v>
      </c>
      <c r="BV7" s="9">
        <v>6337.6</v>
      </c>
      <c r="BW7" s="9">
        <v>31475.1</v>
      </c>
      <c r="BX7" s="9">
        <v>4371.3999999999996</v>
      </c>
      <c r="BY7" s="9">
        <v>11538.8</v>
      </c>
      <c r="BZ7" s="9">
        <v>10024.5</v>
      </c>
      <c r="CA7" s="9">
        <v>696.7</v>
      </c>
      <c r="CB7" s="9">
        <v>0</v>
      </c>
      <c r="CC7" s="9">
        <v>0</v>
      </c>
      <c r="CD7" s="9">
        <v>0</v>
      </c>
      <c r="CE7" s="9">
        <v>4333.5</v>
      </c>
      <c r="CF7" s="9">
        <v>143684.1727</v>
      </c>
      <c r="CG7" s="9">
        <v>255258.0833</v>
      </c>
      <c r="CH7" s="9"/>
      <c r="CI7" s="9"/>
      <c r="CJ7" s="9">
        <v>38.932315387000003</v>
      </c>
      <c r="CK7" s="9">
        <v>27.117853879199998</v>
      </c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>
        <v>59.88</v>
      </c>
      <c r="DP7" s="9">
        <v>18.87</v>
      </c>
      <c r="DQ7" s="9">
        <v>7.79</v>
      </c>
      <c r="DR7" s="9">
        <v>11.08</v>
      </c>
      <c r="DS7" s="9">
        <v>16.36</v>
      </c>
      <c r="DT7" s="9">
        <v>0.03</v>
      </c>
      <c r="DU7" s="9">
        <v>15.25</v>
      </c>
      <c r="DV7" s="9">
        <v>9.1</v>
      </c>
      <c r="DW7" s="9">
        <v>3.43</v>
      </c>
      <c r="DX7" s="9">
        <v>9.17</v>
      </c>
      <c r="DY7" s="9">
        <v>3.09</v>
      </c>
      <c r="DZ7" s="9">
        <v>0.76</v>
      </c>
      <c r="EA7" s="9">
        <v>-1.3337399999999999</v>
      </c>
      <c r="EB7" s="9">
        <v>-13.935600000000001</v>
      </c>
      <c r="EC7" s="9">
        <v>-22.984400000000001</v>
      </c>
      <c r="ED7" s="9">
        <v>-1.5906499999999999</v>
      </c>
      <c r="EE7" s="9">
        <v>37.176859999999998</v>
      </c>
      <c r="EF7" s="9">
        <v>0</v>
      </c>
      <c r="EG7" s="9">
        <v>-6.7677699999999996</v>
      </c>
      <c r="EH7" s="9">
        <v>-6.2015000000000002</v>
      </c>
      <c r="EI7" s="9">
        <v>0.8</v>
      </c>
      <c r="EJ7" s="9">
        <v>0</v>
      </c>
      <c r="EK7" s="9">
        <v>-1.3662700000000001</v>
      </c>
      <c r="EL7" s="9">
        <v>2.4559690000000001</v>
      </c>
      <c r="EM7" s="9">
        <v>7.89</v>
      </c>
      <c r="EN7" s="9"/>
      <c r="EO7" s="9"/>
      <c r="EP7" s="9"/>
      <c r="EQ7" s="9"/>
      <c r="ER7" s="9"/>
      <c r="ES7" s="9"/>
      <c r="ET7" s="9"/>
      <c r="EU7">
        <v>1053.57</v>
      </c>
      <c r="EV7" s="9">
        <v>4193.91</v>
      </c>
      <c r="EW7" s="9">
        <v>839.21</v>
      </c>
      <c r="EX7" s="9">
        <v>31.02</v>
      </c>
      <c r="EY7" s="9">
        <v>5.0199999999999996</v>
      </c>
      <c r="EZ7" s="9">
        <v>895.09</v>
      </c>
      <c r="FA7" s="9">
        <v>2423.58</v>
      </c>
      <c r="FB7" s="9">
        <v>25.6</v>
      </c>
      <c r="FC7" s="9">
        <v>29.68</v>
      </c>
      <c r="FD7" s="9">
        <v>1752.0727272726999</v>
      </c>
      <c r="FE7" s="9">
        <v>12.45</v>
      </c>
      <c r="FF7" s="9">
        <v>285.73181820000002</v>
      </c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>
        <v>1065</v>
      </c>
      <c r="GO7" s="6"/>
      <c r="GP7" s="6"/>
      <c r="GQ7" s="6"/>
    </row>
    <row r="8" spans="1:199" x14ac:dyDescent="0.2">
      <c r="A8" s="8">
        <v>2000</v>
      </c>
      <c r="B8" s="8" t="s">
        <v>207</v>
      </c>
      <c r="C8" s="8" t="s">
        <v>208</v>
      </c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>
        <v>25485</v>
      </c>
      <c r="BO8" s="9">
        <v>21765.8</v>
      </c>
      <c r="BP8" s="9">
        <v>5943.5</v>
      </c>
      <c r="BQ8" s="9">
        <v>4812.6000000000004</v>
      </c>
      <c r="BR8" s="9">
        <v>1130.9000000000001</v>
      </c>
      <c r="BS8" s="9">
        <v>1512.2</v>
      </c>
      <c r="BT8" s="9">
        <v>7780.1</v>
      </c>
      <c r="BU8" s="9">
        <v>3012.3</v>
      </c>
      <c r="BV8" s="9">
        <v>3524.5</v>
      </c>
      <c r="BW8" s="9">
        <v>19760.400000000001</v>
      </c>
      <c r="BX8" s="9">
        <v>4743.5</v>
      </c>
      <c r="BY8" s="9">
        <v>7943.7</v>
      </c>
      <c r="BZ8" s="9">
        <v>6780.1</v>
      </c>
      <c r="CA8" s="9">
        <v>701.9</v>
      </c>
      <c r="CB8" s="9">
        <v>0</v>
      </c>
      <c r="CC8" s="9">
        <v>0</v>
      </c>
      <c r="CD8" s="9">
        <v>0</v>
      </c>
      <c r="CE8" s="9">
        <v>1620</v>
      </c>
      <c r="CF8" s="9">
        <v>138547.36679999999</v>
      </c>
      <c r="CG8" s="9">
        <v>251841.29310000001</v>
      </c>
      <c r="CH8" s="9"/>
      <c r="CI8" s="9"/>
      <c r="CJ8" s="9">
        <v>32.200000000000003</v>
      </c>
      <c r="CK8" s="9">
        <v>30.9</v>
      </c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>
        <v>54.38</v>
      </c>
      <c r="DP8" s="9">
        <v>14.9</v>
      </c>
      <c r="DQ8" s="9">
        <v>6.85</v>
      </c>
      <c r="DR8" s="9">
        <v>8.0500000000000007</v>
      </c>
      <c r="DS8" s="9">
        <v>12.52</v>
      </c>
      <c r="DT8" s="9">
        <v>0.03</v>
      </c>
      <c r="DU8" s="9">
        <v>17.91</v>
      </c>
      <c r="DV8" s="9">
        <v>12.62</v>
      </c>
      <c r="DW8" s="9">
        <v>2.5499999999999998</v>
      </c>
      <c r="DX8" s="9">
        <v>9.02</v>
      </c>
      <c r="DY8" s="9">
        <v>4.18</v>
      </c>
      <c r="DZ8" s="9">
        <v>0.5</v>
      </c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>
        <v>1071.32</v>
      </c>
      <c r="EV8" s="9"/>
      <c r="EW8" s="9"/>
      <c r="EX8" s="9"/>
      <c r="EY8" s="9"/>
      <c r="EZ8" s="9"/>
      <c r="FA8" s="9"/>
      <c r="FB8" s="9">
        <v>25.6</v>
      </c>
      <c r="FC8" s="9">
        <v>28.51</v>
      </c>
      <c r="FD8" s="9">
        <v>1803.1428571429001</v>
      </c>
      <c r="FE8" s="9">
        <v>12.45</v>
      </c>
      <c r="FF8" s="9">
        <v>281.58571430000001</v>
      </c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>
        <v>1075.3699999999999</v>
      </c>
      <c r="GO8" s="6"/>
      <c r="GP8" s="6"/>
      <c r="GQ8" s="6"/>
    </row>
    <row r="9" spans="1:199" x14ac:dyDescent="0.2">
      <c r="A9" s="8">
        <v>2000</v>
      </c>
      <c r="B9" s="8" t="s">
        <v>207</v>
      </c>
      <c r="C9" s="8" t="s">
        <v>209</v>
      </c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>
        <v>31005.3</v>
      </c>
      <c r="BO9" s="9">
        <v>22787.3</v>
      </c>
      <c r="BP9" s="9">
        <v>6005.3</v>
      </c>
      <c r="BQ9" s="9">
        <v>5077.8</v>
      </c>
      <c r="BR9" s="9">
        <v>927.5</v>
      </c>
      <c r="BS9" s="9">
        <v>2183.9</v>
      </c>
      <c r="BT9" s="9">
        <v>7135.3</v>
      </c>
      <c r="BU9" s="9">
        <v>3529.2</v>
      </c>
      <c r="BV9" s="9">
        <v>8186.8</v>
      </c>
      <c r="BW9" s="9">
        <v>19830.400000000001</v>
      </c>
      <c r="BX9" s="9">
        <v>5022.1000000000004</v>
      </c>
      <c r="BY9" s="9">
        <v>9102.9</v>
      </c>
      <c r="BZ9" s="9">
        <v>4682.7</v>
      </c>
      <c r="CA9" s="9">
        <v>1275.7</v>
      </c>
      <c r="CB9" s="9">
        <v>0</v>
      </c>
      <c r="CC9" s="9">
        <v>0</v>
      </c>
      <c r="CD9" s="9">
        <v>0</v>
      </c>
      <c r="CE9" s="9">
        <v>6546.3</v>
      </c>
      <c r="CF9" s="9">
        <v>140028.6918</v>
      </c>
      <c r="CG9" s="9">
        <v>256864.23579999999</v>
      </c>
      <c r="CH9" s="9"/>
      <c r="CI9" s="9"/>
      <c r="CJ9" s="9">
        <v>35.299999999999997</v>
      </c>
      <c r="CK9" s="9">
        <v>23.5</v>
      </c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>
        <v>47.29</v>
      </c>
      <c r="DP9" s="9">
        <v>13.15</v>
      </c>
      <c r="DQ9" s="9">
        <v>7.62</v>
      </c>
      <c r="DR9" s="9">
        <v>5.53</v>
      </c>
      <c r="DS9" s="9">
        <v>13.29</v>
      </c>
      <c r="DT9" s="9">
        <v>0.03</v>
      </c>
      <c r="DU9" s="9">
        <v>14.23</v>
      </c>
      <c r="DV9" s="9">
        <v>10.84</v>
      </c>
      <c r="DW9" s="9">
        <v>1.87</v>
      </c>
      <c r="DX9" s="9">
        <v>6.59</v>
      </c>
      <c r="DY9" s="9">
        <v>1.98</v>
      </c>
      <c r="DZ9" s="9">
        <v>0.34</v>
      </c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>
        <v>1078.78</v>
      </c>
      <c r="EV9" s="9"/>
      <c r="EW9" s="9"/>
      <c r="EX9" s="9"/>
      <c r="EY9" s="9"/>
      <c r="EZ9" s="9"/>
      <c r="FA9" s="9"/>
      <c r="FB9" s="9">
        <v>25.6</v>
      </c>
      <c r="FC9" s="9">
        <v>29.89</v>
      </c>
      <c r="FD9" s="9">
        <v>1857.1239130434999</v>
      </c>
      <c r="FE9" s="9">
        <v>12.45</v>
      </c>
      <c r="FF9" s="9">
        <v>274.42500000000001</v>
      </c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>
        <v>1082.54</v>
      </c>
      <c r="GO9" s="6"/>
      <c r="GP9" s="6"/>
      <c r="GQ9" s="6"/>
    </row>
    <row r="10" spans="1:199" x14ac:dyDescent="0.2">
      <c r="A10" s="8">
        <v>2000</v>
      </c>
      <c r="B10" s="8" t="s">
        <v>207</v>
      </c>
      <c r="C10" s="8" t="s">
        <v>210</v>
      </c>
      <c r="D10" s="9">
        <v>319676.79999999999</v>
      </c>
      <c r="E10" s="9">
        <v>80865.8</v>
      </c>
      <c r="F10" s="9">
        <v>44539.6</v>
      </c>
      <c r="G10" s="9">
        <v>19973.099999999999</v>
      </c>
      <c r="H10" s="9">
        <v>5284.9</v>
      </c>
      <c r="I10" s="9">
        <v>9672.2999999999993</v>
      </c>
      <c r="J10" s="9">
        <v>29009.4</v>
      </c>
      <c r="K10" s="9">
        <v>28326.6</v>
      </c>
      <c r="L10" s="9">
        <v>6836.2</v>
      </c>
      <c r="M10" s="9">
        <v>53639.3</v>
      </c>
      <c r="N10" s="9">
        <v>41529.699999999997</v>
      </c>
      <c r="O10" s="9">
        <v>1964230.8570465967</v>
      </c>
      <c r="P10" s="9">
        <v>379889.34788791538</v>
      </c>
      <c r="Q10" s="9">
        <v>415150.23631209153</v>
      </c>
      <c r="R10" s="9">
        <v>123798.6320276628</v>
      </c>
      <c r="S10" s="9">
        <v>49788.187351441396</v>
      </c>
      <c r="T10" s="9">
        <v>78335.507006274696</v>
      </c>
      <c r="U10" s="9">
        <v>155083.86587481751</v>
      </c>
      <c r="V10" s="9">
        <v>60510.747702383997</v>
      </c>
      <c r="W10" s="9">
        <v>16406.7243011069</v>
      </c>
      <c r="X10" s="9">
        <v>562997.06049450778</v>
      </c>
      <c r="Y10" s="9">
        <v>122270.54808839491</v>
      </c>
      <c r="Z10" s="9"/>
      <c r="AA10" s="9"/>
      <c r="AB10" s="9"/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>
        <v>31497.200000000001</v>
      </c>
      <c r="BO10" s="9">
        <v>27751.3</v>
      </c>
      <c r="BP10" s="9">
        <v>6898.9</v>
      </c>
      <c r="BQ10" s="9">
        <v>5648</v>
      </c>
      <c r="BR10" s="9">
        <v>1250.9000000000001</v>
      </c>
      <c r="BS10" s="9">
        <v>3697.3</v>
      </c>
      <c r="BT10" s="9">
        <v>8817.6</v>
      </c>
      <c r="BU10" s="9">
        <v>4453.5</v>
      </c>
      <c r="BV10" s="9">
        <v>3538</v>
      </c>
      <c r="BW10" s="9">
        <v>19450</v>
      </c>
      <c r="BX10" s="9">
        <v>-5205.6000000000004</v>
      </c>
      <c r="BY10" s="9">
        <v>5903.8</v>
      </c>
      <c r="BZ10" s="9">
        <v>5512.8</v>
      </c>
      <c r="CA10" s="9">
        <v>280.5</v>
      </c>
      <c r="CB10" s="9">
        <v>0</v>
      </c>
      <c r="CC10" s="9">
        <v>0</v>
      </c>
      <c r="CD10" s="9">
        <v>0</v>
      </c>
      <c r="CE10" s="9">
        <v>5933.3</v>
      </c>
      <c r="CF10" s="9">
        <v>143562.42480000001</v>
      </c>
      <c r="CG10" s="9">
        <v>264490.19770000002</v>
      </c>
      <c r="CH10" s="9"/>
      <c r="CI10" s="9"/>
      <c r="CJ10" s="9">
        <v>42.7</v>
      </c>
      <c r="CK10" s="9">
        <v>29.3</v>
      </c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>
        <v>48.85</v>
      </c>
      <c r="DP10" s="9">
        <v>13.75</v>
      </c>
      <c r="DQ10" s="9">
        <v>6.87</v>
      </c>
      <c r="DR10" s="9">
        <v>6.88</v>
      </c>
      <c r="DS10" s="9">
        <v>8.81</v>
      </c>
      <c r="DT10" s="9">
        <v>0.02</v>
      </c>
      <c r="DU10" s="9">
        <v>13.83</v>
      </c>
      <c r="DV10" s="9">
        <v>9.11</v>
      </c>
      <c r="DW10" s="9">
        <v>2.35</v>
      </c>
      <c r="DX10" s="9">
        <v>12.43</v>
      </c>
      <c r="DY10" s="9">
        <v>5.17</v>
      </c>
      <c r="DZ10" s="9">
        <v>1.23</v>
      </c>
      <c r="EA10" s="9">
        <v>-30.148099999999999</v>
      </c>
      <c r="EB10" s="9">
        <v>-22.054500000000001</v>
      </c>
      <c r="EC10" s="9">
        <v>-20.272500000000001</v>
      </c>
      <c r="ED10" s="9">
        <v>-0.69167999999999996</v>
      </c>
      <c r="EE10" s="9">
        <v>12.870509999999999</v>
      </c>
      <c r="EF10" s="9">
        <v>0</v>
      </c>
      <c r="EG10" s="9">
        <v>-1.8566</v>
      </c>
      <c r="EH10" s="9">
        <v>-9.5675000000000008</v>
      </c>
      <c r="EI10" s="9">
        <v>0</v>
      </c>
      <c r="EJ10" s="9">
        <v>0</v>
      </c>
      <c r="EK10" s="9">
        <v>7.710896</v>
      </c>
      <c r="EL10" s="9">
        <v>3.0815290000000002</v>
      </c>
      <c r="EM10" s="9">
        <v>-25.21</v>
      </c>
      <c r="EN10" s="9"/>
      <c r="EO10" s="9"/>
      <c r="EP10" s="9"/>
      <c r="EQ10" s="9"/>
      <c r="ER10" s="9"/>
      <c r="ES10" s="9"/>
      <c r="ET10" s="9"/>
      <c r="EU10">
        <v>1084.1400000000001</v>
      </c>
      <c r="EV10" s="9">
        <v>4192.12</v>
      </c>
      <c r="EW10" s="9">
        <v>841.91</v>
      </c>
      <c r="EX10" s="9">
        <v>29.82</v>
      </c>
      <c r="EY10" s="9">
        <v>4.72</v>
      </c>
      <c r="EZ10" s="9">
        <v>892.1</v>
      </c>
      <c r="FA10" s="9">
        <v>2423.58</v>
      </c>
      <c r="FB10" s="9">
        <v>27.15</v>
      </c>
      <c r="FC10" s="9">
        <v>32.619999999999997</v>
      </c>
      <c r="FD10" s="9">
        <v>1961.8928571429001</v>
      </c>
      <c r="FE10" s="9">
        <v>12.45</v>
      </c>
      <c r="FF10" s="9">
        <v>273.52999999999997</v>
      </c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>
        <v>1085.6199999999999</v>
      </c>
      <c r="GO10" s="6"/>
      <c r="GP10" s="6"/>
      <c r="GQ10" s="6"/>
    </row>
    <row r="11" spans="1:199" x14ac:dyDescent="0.2">
      <c r="A11" s="8">
        <v>2000</v>
      </c>
      <c r="B11" s="8" t="s">
        <v>211</v>
      </c>
      <c r="C11" s="8" t="s">
        <v>212</v>
      </c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>
        <v>27057.9</v>
      </c>
      <c r="BO11" s="9">
        <v>23860</v>
      </c>
      <c r="BP11" s="9">
        <v>5732.9</v>
      </c>
      <c r="BQ11" s="9">
        <v>4449.8999999999996</v>
      </c>
      <c r="BR11" s="9">
        <v>1283</v>
      </c>
      <c r="BS11" s="9">
        <v>3020.1</v>
      </c>
      <c r="BT11" s="9">
        <v>6665</v>
      </c>
      <c r="BU11" s="9">
        <v>3687.4</v>
      </c>
      <c r="BV11" s="9">
        <v>3013.2</v>
      </c>
      <c r="BW11" s="9">
        <v>27310.7</v>
      </c>
      <c r="BX11" s="9">
        <v>8612.7000000000007</v>
      </c>
      <c r="BY11" s="9">
        <v>11177.2</v>
      </c>
      <c r="BZ11" s="9">
        <v>6950.1</v>
      </c>
      <c r="CA11" s="9">
        <v>3672.3</v>
      </c>
      <c r="CB11" s="9">
        <v>0</v>
      </c>
      <c r="CC11" s="9">
        <v>0</v>
      </c>
      <c r="CD11" s="9">
        <v>0</v>
      </c>
      <c r="CE11" s="9">
        <v>7667</v>
      </c>
      <c r="CF11" s="9">
        <v>133372.93799999999</v>
      </c>
      <c r="CG11" s="9">
        <v>257528.98800000001</v>
      </c>
      <c r="CH11" s="9"/>
      <c r="CI11" s="9"/>
      <c r="CJ11" s="9">
        <v>37.700000000000003</v>
      </c>
      <c r="CK11" s="9">
        <v>31.6</v>
      </c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>
        <v>49.65</v>
      </c>
      <c r="DP11" s="9">
        <v>15.42</v>
      </c>
      <c r="DQ11" s="9">
        <v>8.73</v>
      </c>
      <c r="DR11" s="9">
        <v>6.69</v>
      </c>
      <c r="DS11" s="9">
        <v>9.75</v>
      </c>
      <c r="DT11" s="9">
        <v>0.02</v>
      </c>
      <c r="DU11" s="9">
        <v>14.79</v>
      </c>
      <c r="DV11" s="9">
        <v>10.37</v>
      </c>
      <c r="DW11" s="9">
        <v>1.72</v>
      </c>
      <c r="DX11" s="9">
        <v>9.69</v>
      </c>
      <c r="DY11" s="9">
        <v>3.13</v>
      </c>
      <c r="DZ11" s="9">
        <v>0.84</v>
      </c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>
        <v>1089.74</v>
      </c>
      <c r="EV11" s="9"/>
      <c r="EW11" s="9"/>
      <c r="EX11" s="9"/>
      <c r="EY11" s="9"/>
      <c r="EZ11" s="9"/>
      <c r="FA11" s="9"/>
      <c r="FB11" s="9">
        <v>27.15</v>
      </c>
      <c r="FC11" s="9">
        <v>30.93</v>
      </c>
      <c r="FD11" s="9">
        <v>1894.3727272727001</v>
      </c>
      <c r="FE11" s="9">
        <v>12.45</v>
      </c>
      <c r="FF11" s="9">
        <v>269.92857140000001</v>
      </c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>
        <v>1096</v>
      </c>
      <c r="GO11" s="6"/>
      <c r="GP11" s="6"/>
      <c r="GQ11" s="6"/>
    </row>
    <row r="12" spans="1:199" x14ac:dyDescent="0.2">
      <c r="A12" s="8">
        <v>2000</v>
      </c>
      <c r="B12" s="8" t="s">
        <v>211</v>
      </c>
      <c r="C12" s="8" t="s">
        <v>213</v>
      </c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>
        <v>33590.1</v>
      </c>
      <c r="BO12" s="9">
        <v>24512.9</v>
      </c>
      <c r="BP12" s="9">
        <v>7867.1</v>
      </c>
      <c r="BQ12" s="9">
        <v>6497.9</v>
      </c>
      <c r="BR12" s="9">
        <v>1369.2</v>
      </c>
      <c r="BS12" s="9">
        <v>2365.8000000000002</v>
      </c>
      <c r="BT12" s="9">
        <v>7916.9</v>
      </c>
      <c r="BU12" s="9">
        <v>4651</v>
      </c>
      <c r="BV12" s="9">
        <v>8924.2999999999993</v>
      </c>
      <c r="BW12" s="9">
        <v>30122.799999999999</v>
      </c>
      <c r="BX12" s="9">
        <v>-1811</v>
      </c>
      <c r="BY12" s="9">
        <v>13763.9</v>
      </c>
      <c r="BZ12" s="9">
        <v>7372.1</v>
      </c>
      <c r="CA12" s="9">
        <v>2217.1999999999998</v>
      </c>
      <c r="CB12" s="9">
        <v>0</v>
      </c>
      <c r="CC12" s="9">
        <v>0</v>
      </c>
      <c r="CD12" s="9">
        <v>0</v>
      </c>
      <c r="CE12" s="9">
        <v>1389.2</v>
      </c>
      <c r="CF12" s="9">
        <v>120093.2306</v>
      </c>
      <c r="CG12" s="9">
        <v>245547.87899999999</v>
      </c>
      <c r="CH12" s="9"/>
      <c r="CI12" s="9"/>
      <c r="CJ12" s="9">
        <v>32.700000000000003</v>
      </c>
      <c r="CK12" s="9">
        <v>26.6</v>
      </c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>
        <v>55.77</v>
      </c>
      <c r="DP12" s="9">
        <v>14.18</v>
      </c>
      <c r="DQ12" s="9">
        <v>7.97</v>
      </c>
      <c r="DR12" s="9">
        <v>6.21</v>
      </c>
      <c r="DS12" s="9">
        <v>9.94</v>
      </c>
      <c r="DT12" s="9">
        <v>0.03</v>
      </c>
      <c r="DU12" s="9">
        <v>18.39</v>
      </c>
      <c r="DV12" s="9">
        <v>14.04</v>
      </c>
      <c r="DW12" s="9">
        <v>1.52</v>
      </c>
      <c r="DX12" s="9">
        <v>13.27</v>
      </c>
      <c r="DY12" s="9">
        <v>4.88</v>
      </c>
      <c r="DZ12" s="9">
        <v>1.39</v>
      </c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>
        <v>1096.6099999999999</v>
      </c>
      <c r="EV12" s="9"/>
      <c r="EW12" s="9"/>
      <c r="EX12" s="9"/>
      <c r="EY12" s="9"/>
      <c r="EZ12" s="9"/>
      <c r="FA12" s="9"/>
      <c r="FB12" s="9">
        <v>27.15</v>
      </c>
      <c r="FC12" s="9">
        <v>32.520000000000003</v>
      </c>
      <c r="FD12" s="9">
        <v>1795.6022727273</v>
      </c>
      <c r="FE12" s="9">
        <v>12.45</v>
      </c>
      <c r="FF12" s="9">
        <v>266.29736839999998</v>
      </c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>
        <v>1097</v>
      </c>
      <c r="GO12" s="6"/>
      <c r="GP12" s="6"/>
      <c r="GQ12" s="6"/>
    </row>
    <row r="13" spans="1:199" x14ac:dyDescent="0.2">
      <c r="A13" s="8">
        <v>2000</v>
      </c>
      <c r="B13" s="8" t="s">
        <v>211</v>
      </c>
      <c r="C13" s="8" t="s">
        <v>214</v>
      </c>
      <c r="D13" s="9">
        <v>372682</v>
      </c>
      <c r="E13" s="9">
        <v>107319.6</v>
      </c>
      <c r="F13" s="9">
        <v>34068.199999999997</v>
      </c>
      <c r="G13" s="9">
        <v>30162.2</v>
      </c>
      <c r="H13" s="9">
        <v>9732.7000000000007</v>
      </c>
      <c r="I13" s="9">
        <v>11368.7</v>
      </c>
      <c r="J13" s="9">
        <v>29216.799999999999</v>
      </c>
      <c r="K13" s="9">
        <v>27777.3</v>
      </c>
      <c r="L13" s="9">
        <v>11873.2</v>
      </c>
      <c r="M13" s="9">
        <v>65575.899999999994</v>
      </c>
      <c r="N13" s="9">
        <v>45587.3</v>
      </c>
      <c r="O13" s="9">
        <v>2289917.4549602601</v>
      </c>
      <c r="P13" s="9">
        <v>511073.86595793249</v>
      </c>
      <c r="Q13" s="9">
        <v>321899.69469766383</v>
      </c>
      <c r="R13" s="9">
        <v>189515.95761743709</v>
      </c>
      <c r="S13" s="9">
        <v>92946.978750042297</v>
      </c>
      <c r="T13" s="9">
        <v>93336.627854658494</v>
      </c>
      <c r="U13" s="9">
        <v>158333.5390790875</v>
      </c>
      <c r="V13" s="9">
        <v>60150.674034462398</v>
      </c>
      <c r="W13" s="9">
        <v>28885.993108413899</v>
      </c>
      <c r="X13" s="9">
        <v>697717.61102927988</v>
      </c>
      <c r="Y13" s="9">
        <v>136056.51283128161</v>
      </c>
      <c r="Z13" s="9"/>
      <c r="AA13" s="9"/>
      <c r="AB13" s="9"/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>
        <v>62.3</v>
      </c>
      <c r="AX13" s="9">
        <v>48.4</v>
      </c>
      <c r="AY13" s="9">
        <v>59.3</v>
      </c>
      <c r="AZ13" s="9">
        <v>66</v>
      </c>
      <c r="BA13" s="9">
        <v>72.8</v>
      </c>
      <c r="BB13" s="9"/>
      <c r="BC13" s="9">
        <v>70.2</v>
      </c>
      <c r="BD13" s="9">
        <v>51.1</v>
      </c>
      <c r="BE13" s="9">
        <v>78.400000000000006</v>
      </c>
      <c r="BF13" s="9">
        <v>62.9</v>
      </c>
      <c r="BG13" s="9"/>
      <c r="BH13" s="9">
        <v>47.3</v>
      </c>
      <c r="BI13" s="9">
        <v>50.5</v>
      </c>
      <c r="BJ13" s="9">
        <v>59.2</v>
      </c>
      <c r="BK13" s="9">
        <v>43.7</v>
      </c>
      <c r="BL13" s="9"/>
      <c r="BM13" s="9">
        <v>38.700000000000003</v>
      </c>
      <c r="BN13" s="9">
        <v>63893.9</v>
      </c>
      <c r="BO13" s="9">
        <v>54399.1</v>
      </c>
      <c r="BP13" s="9">
        <v>18657.5</v>
      </c>
      <c r="BQ13" s="9">
        <v>16514.8</v>
      </c>
      <c r="BR13" s="9">
        <v>2142.6999999999998</v>
      </c>
      <c r="BS13" s="9">
        <v>8732.7999999999993</v>
      </c>
      <c r="BT13" s="9">
        <v>10065.799999999999</v>
      </c>
      <c r="BU13" s="9">
        <v>2204.1</v>
      </c>
      <c r="BV13" s="9">
        <v>8850.7000000000007</v>
      </c>
      <c r="BW13" s="9">
        <v>55160.4</v>
      </c>
      <c r="BX13" s="9">
        <v>30990.1</v>
      </c>
      <c r="BY13" s="9">
        <v>46253.4</v>
      </c>
      <c r="BZ13" s="9">
        <v>-8171.7</v>
      </c>
      <c r="CA13" s="9">
        <v>1948.9</v>
      </c>
      <c r="CB13" s="9">
        <v>87389.2</v>
      </c>
      <c r="CC13" s="9">
        <v>0</v>
      </c>
      <c r="CD13" s="9">
        <v>0</v>
      </c>
      <c r="CE13" s="9">
        <v>16367.5</v>
      </c>
      <c r="CF13" s="9">
        <v>130774.98910000001</v>
      </c>
      <c r="CG13" s="9">
        <v>258842.64780000001</v>
      </c>
      <c r="CH13" s="9"/>
      <c r="CI13" s="9"/>
      <c r="CJ13" s="9">
        <v>34.700000000000003</v>
      </c>
      <c r="CK13" s="9">
        <v>25.8</v>
      </c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>
        <v>60.11</v>
      </c>
      <c r="DP13" s="9">
        <v>20.05</v>
      </c>
      <c r="DQ13" s="9">
        <v>14.11</v>
      </c>
      <c r="DR13" s="9">
        <v>5.94</v>
      </c>
      <c r="DS13" s="9">
        <v>16.440000000000001</v>
      </c>
      <c r="DT13" s="9">
        <v>1.1399999999999999</v>
      </c>
      <c r="DU13" s="9">
        <v>13.29</v>
      </c>
      <c r="DV13" s="9">
        <v>6.93</v>
      </c>
      <c r="DW13" s="9">
        <v>1.69</v>
      </c>
      <c r="DX13" s="9">
        <v>10.33</v>
      </c>
      <c r="DY13" s="9">
        <v>3.42</v>
      </c>
      <c r="DZ13" s="9">
        <v>0.66</v>
      </c>
      <c r="EA13" s="9">
        <v>-14.9748</v>
      </c>
      <c r="EB13" s="9">
        <v>-13.602600000000001</v>
      </c>
      <c r="EC13" s="9">
        <v>-27.598800000000001</v>
      </c>
      <c r="ED13" s="9">
        <v>-1.05728</v>
      </c>
      <c r="EE13" s="9">
        <v>27.283860000000001</v>
      </c>
      <c r="EF13" s="9">
        <v>0</v>
      </c>
      <c r="EG13" s="9">
        <v>-53.426499999999997</v>
      </c>
      <c r="EH13" s="9">
        <v>-22.019500000000001</v>
      </c>
      <c r="EI13" s="9">
        <v>-0.8</v>
      </c>
      <c r="EJ13" s="9">
        <v>0</v>
      </c>
      <c r="EK13" s="9">
        <v>-30.606999999999999</v>
      </c>
      <c r="EL13" s="9">
        <v>-14.8386</v>
      </c>
      <c r="EM13" s="9">
        <v>23.613</v>
      </c>
      <c r="EN13" s="9"/>
      <c r="EO13" s="9"/>
      <c r="EP13" s="9"/>
      <c r="EQ13" s="9"/>
      <c r="ER13" s="9"/>
      <c r="ES13" s="9"/>
      <c r="ET13" s="9"/>
      <c r="EU13">
        <v>1097</v>
      </c>
      <c r="EV13" s="9">
        <v>4214.67</v>
      </c>
      <c r="EW13" s="9">
        <v>838.28</v>
      </c>
      <c r="EX13" s="9">
        <v>27.82</v>
      </c>
      <c r="EY13" s="9">
        <v>5.4</v>
      </c>
      <c r="EZ13" s="9">
        <v>919.59</v>
      </c>
      <c r="FA13" s="9">
        <v>2423.58</v>
      </c>
      <c r="FB13" s="9">
        <v>30.75</v>
      </c>
      <c r="FC13" s="9">
        <v>25.28</v>
      </c>
      <c r="FD13" s="9">
        <v>1852.4</v>
      </c>
      <c r="FE13" s="9">
        <v>12.45</v>
      </c>
      <c r="FF13" s="9">
        <v>271.45</v>
      </c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>
        <v>1097</v>
      </c>
      <c r="GO13" s="6"/>
      <c r="GP13" s="6"/>
      <c r="GQ13" s="6"/>
    </row>
    <row r="14" spans="1:199" x14ac:dyDescent="0.2">
      <c r="A14" s="8">
        <v>2001</v>
      </c>
      <c r="B14" s="8" t="s">
        <v>215</v>
      </c>
      <c r="C14" s="8" t="s">
        <v>216</v>
      </c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>
        <v>20421.900000000001</v>
      </c>
      <c r="BO14" s="9">
        <v>16208.4</v>
      </c>
      <c r="BP14" s="9">
        <v>2647.5</v>
      </c>
      <c r="BQ14" s="9">
        <v>1687.3</v>
      </c>
      <c r="BR14" s="9">
        <v>960.2</v>
      </c>
      <c r="BS14" s="9">
        <v>2463.3000000000002</v>
      </c>
      <c r="BT14" s="9">
        <v>5523.8</v>
      </c>
      <c r="BU14" s="9">
        <v>2591.5</v>
      </c>
      <c r="BV14" s="9">
        <v>3398.2</v>
      </c>
      <c r="BW14" s="9">
        <v>21802.3</v>
      </c>
      <c r="BX14" s="9">
        <v>290.39999999999998</v>
      </c>
      <c r="BY14" s="9">
        <v>7531.6</v>
      </c>
      <c r="BZ14" s="9">
        <v>6672.6</v>
      </c>
      <c r="CA14" s="9">
        <v>673.4</v>
      </c>
      <c r="CB14" s="9">
        <v>0</v>
      </c>
      <c r="CC14" s="9">
        <v>0</v>
      </c>
      <c r="CD14" s="9">
        <v>0</v>
      </c>
      <c r="CE14" s="9">
        <v>253.1</v>
      </c>
      <c r="CF14" s="9">
        <v>116271.3934</v>
      </c>
      <c r="CG14" s="9">
        <v>250000.68840000001</v>
      </c>
      <c r="CH14" s="9"/>
      <c r="CI14" s="9"/>
      <c r="CJ14" s="9">
        <v>38.799999999999997</v>
      </c>
      <c r="CK14" s="9">
        <v>23.7</v>
      </c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>
        <v>41.42</v>
      </c>
      <c r="DP14" s="9">
        <v>12.42</v>
      </c>
      <c r="DQ14" s="9">
        <v>5.73</v>
      </c>
      <c r="DR14" s="9">
        <v>6.69</v>
      </c>
      <c r="DS14" s="9">
        <v>9.42</v>
      </c>
      <c r="DT14" s="9">
        <v>0.05</v>
      </c>
      <c r="DU14" s="9">
        <v>9.76</v>
      </c>
      <c r="DV14" s="9">
        <v>5.51</v>
      </c>
      <c r="DW14" s="9">
        <v>1.21</v>
      </c>
      <c r="DX14" s="9">
        <v>9.82</v>
      </c>
      <c r="DY14" s="9">
        <v>5.17</v>
      </c>
      <c r="DZ14" s="9">
        <v>0.71</v>
      </c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>
        <v>1097.77</v>
      </c>
      <c r="EV14" s="9"/>
      <c r="EW14" s="9"/>
      <c r="EX14" s="9"/>
      <c r="EY14" s="9"/>
      <c r="EZ14" s="9"/>
      <c r="FA14" s="9"/>
      <c r="FB14" s="9">
        <v>32.1</v>
      </c>
      <c r="FC14" s="9">
        <v>25.64</v>
      </c>
      <c r="FD14" s="9">
        <v>1787.0568181818001</v>
      </c>
      <c r="FE14" s="9">
        <v>12.99</v>
      </c>
      <c r="FF14" s="9">
        <v>265.4863636</v>
      </c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>
        <v>1099</v>
      </c>
      <c r="GO14" s="6"/>
      <c r="GP14" s="6"/>
      <c r="GQ14" s="6"/>
    </row>
    <row r="15" spans="1:199" x14ac:dyDescent="0.2">
      <c r="A15" s="8">
        <v>2001</v>
      </c>
      <c r="B15" s="8" t="s">
        <v>215</v>
      </c>
      <c r="C15" s="8" t="s">
        <v>217</v>
      </c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>
        <v>21682</v>
      </c>
      <c r="BO15" s="9">
        <v>17925.5</v>
      </c>
      <c r="BP15" s="9">
        <v>4961.1000000000004</v>
      </c>
      <c r="BQ15" s="9">
        <v>3623.7</v>
      </c>
      <c r="BR15" s="9">
        <v>1337.4</v>
      </c>
      <c r="BS15" s="9">
        <v>2849.8</v>
      </c>
      <c r="BT15" s="9">
        <v>4872.8999999999996</v>
      </c>
      <c r="BU15" s="9">
        <v>2704</v>
      </c>
      <c r="BV15" s="9">
        <v>3263.6</v>
      </c>
      <c r="BW15" s="9">
        <v>23052.3</v>
      </c>
      <c r="BX15" s="9">
        <v>3440.6</v>
      </c>
      <c r="BY15" s="9">
        <v>6562</v>
      </c>
      <c r="BZ15" s="9">
        <v>7412.5</v>
      </c>
      <c r="CA15" s="9">
        <v>1446.1</v>
      </c>
      <c r="CB15" s="9">
        <v>0</v>
      </c>
      <c r="CC15" s="9">
        <v>0</v>
      </c>
      <c r="CD15" s="9">
        <v>0</v>
      </c>
      <c r="CE15" s="9">
        <v>690.4</v>
      </c>
      <c r="CF15" s="9">
        <v>120030.4385</v>
      </c>
      <c r="CG15" s="9">
        <v>258147.58549999999</v>
      </c>
      <c r="CH15" s="9"/>
      <c r="CI15" s="9"/>
      <c r="CJ15" s="9">
        <v>40.1</v>
      </c>
      <c r="CK15" s="9">
        <v>27.2</v>
      </c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>
        <v>35.520000000000003</v>
      </c>
      <c r="DP15" s="9">
        <v>9.66</v>
      </c>
      <c r="DQ15" s="9">
        <v>4.3600000000000003</v>
      </c>
      <c r="DR15" s="9">
        <v>5.3</v>
      </c>
      <c r="DS15" s="9">
        <v>9.31</v>
      </c>
      <c r="DT15" s="9">
        <v>0.57999999999999996</v>
      </c>
      <c r="DU15" s="9">
        <v>9.4499999999999993</v>
      </c>
      <c r="DV15" s="9">
        <v>7.51</v>
      </c>
      <c r="DW15" s="9">
        <v>1.04</v>
      </c>
      <c r="DX15" s="9">
        <v>7.09</v>
      </c>
      <c r="DY15" s="9">
        <v>3.09</v>
      </c>
      <c r="DZ15" s="9">
        <v>0.72</v>
      </c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>
        <v>1098.99</v>
      </c>
      <c r="EV15" s="9"/>
      <c r="EW15" s="9"/>
      <c r="EX15" s="9"/>
      <c r="EY15" s="9"/>
      <c r="EZ15" s="9"/>
      <c r="FA15" s="9"/>
      <c r="FB15" s="9">
        <v>32.1</v>
      </c>
      <c r="FC15" s="9">
        <v>27.41</v>
      </c>
      <c r="FD15" s="9">
        <v>1766.125</v>
      </c>
      <c r="FE15" s="9">
        <v>12.99</v>
      </c>
      <c r="FF15" s="9">
        <v>262.08947369999999</v>
      </c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>
        <v>1098</v>
      </c>
      <c r="GO15" s="6"/>
      <c r="GP15" s="6"/>
      <c r="GQ15" s="6"/>
    </row>
    <row r="16" spans="1:199" x14ac:dyDescent="0.2">
      <c r="A16" s="8">
        <v>2001</v>
      </c>
      <c r="B16" s="8" t="s">
        <v>215</v>
      </c>
      <c r="C16" s="8" t="s">
        <v>218</v>
      </c>
      <c r="D16" s="9">
        <v>230638.3</v>
      </c>
      <c r="E16" s="9">
        <v>10031.4</v>
      </c>
      <c r="F16" s="9">
        <v>22516.1</v>
      </c>
      <c r="G16" s="9">
        <v>21434.799999999999</v>
      </c>
      <c r="H16" s="9">
        <v>13066.5</v>
      </c>
      <c r="I16" s="9">
        <v>2046.7</v>
      </c>
      <c r="J16" s="9">
        <v>30104.400000000001</v>
      </c>
      <c r="K16" s="9">
        <v>22356.799999999999</v>
      </c>
      <c r="L16" s="9">
        <v>10066.799999999999</v>
      </c>
      <c r="M16" s="9">
        <v>68650.600000000006</v>
      </c>
      <c r="N16" s="9">
        <v>30364.2</v>
      </c>
      <c r="O16" s="9">
        <v>1283077.4056585219</v>
      </c>
      <c r="P16" s="9">
        <v>35759.2022633218</v>
      </c>
      <c r="Q16" s="9">
        <v>230117.7784046283</v>
      </c>
      <c r="R16" s="9">
        <v>115939.1669632398</v>
      </c>
      <c r="S16" s="9">
        <v>78957.485076237193</v>
      </c>
      <c r="T16" s="9">
        <v>14660.3940106467</v>
      </c>
      <c r="U16" s="9">
        <v>135676.95639936009</v>
      </c>
      <c r="V16" s="9">
        <v>37724.034481699397</v>
      </c>
      <c r="W16" s="9">
        <v>19098.330698209898</v>
      </c>
      <c r="X16" s="9">
        <v>536463.8304269457</v>
      </c>
      <c r="Y16" s="9">
        <v>78680.226934232807</v>
      </c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>
        <v>60.9</v>
      </c>
      <c r="AX16" s="9">
        <v>51.3</v>
      </c>
      <c r="AY16" s="9">
        <v>60.6</v>
      </c>
      <c r="AZ16" s="9">
        <v>64.900000000000006</v>
      </c>
      <c r="BA16" s="9">
        <v>67.900000000000006</v>
      </c>
      <c r="BB16" s="9"/>
      <c r="BC16" s="9">
        <v>64.400000000000006</v>
      </c>
      <c r="BD16" s="9">
        <v>52.2</v>
      </c>
      <c r="BE16" s="9">
        <v>74.900000000000006</v>
      </c>
      <c r="BF16" s="9">
        <v>61.6</v>
      </c>
      <c r="BG16" s="9"/>
      <c r="BH16" s="9">
        <v>53.7</v>
      </c>
      <c r="BI16" s="9">
        <v>50.9</v>
      </c>
      <c r="BJ16" s="9">
        <v>59.7</v>
      </c>
      <c r="BK16" s="9">
        <v>43.7</v>
      </c>
      <c r="BL16" s="9"/>
      <c r="BM16" s="9">
        <v>42.3</v>
      </c>
      <c r="BN16" s="9">
        <v>33279.199999999997</v>
      </c>
      <c r="BO16" s="9">
        <v>24924.799999999999</v>
      </c>
      <c r="BP16" s="9">
        <v>8912.7999999999993</v>
      </c>
      <c r="BQ16" s="9">
        <v>7273.9</v>
      </c>
      <c r="BR16" s="9">
        <v>1638.9</v>
      </c>
      <c r="BS16" s="9">
        <v>2315.6</v>
      </c>
      <c r="BT16" s="9">
        <v>7169.8</v>
      </c>
      <c r="BU16" s="9">
        <v>4055.6</v>
      </c>
      <c r="BV16" s="9">
        <v>6743.4</v>
      </c>
      <c r="BW16" s="9">
        <v>27056.1</v>
      </c>
      <c r="BX16" s="9">
        <v>3891.8</v>
      </c>
      <c r="BY16" s="9">
        <v>14930.3</v>
      </c>
      <c r="BZ16" s="9">
        <v>6061.5</v>
      </c>
      <c r="CA16" s="9">
        <v>1223.8</v>
      </c>
      <c r="CB16" s="9">
        <v>0</v>
      </c>
      <c r="CC16" s="9">
        <v>0</v>
      </c>
      <c r="CD16" s="9">
        <v>0</v>
      </c>
      <c r="CE16" s="9">
        <v>825.6</v>
      </c>
      <c r="CF16" s="9">
        <v>123586.28720000001</v>
      </c>
      <c r="CG16" s="9">
        <v>270540.75719999999</v>
      </c>
      <c r="CH16" s="9"/>
      <c r="CI16" s="9"/>
      <c r="CJ16" s="9">
        <v>38</v>
      </c>
      <c r="CK16" s="9">
        <v>21.5</v>
      </c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>
        <v>42.25</v>
      </c>
      <c r="DP16" s="9">
        <v>12.52</v>
      </c>
      <c r="DQ16" s="9">
        <v>7.25</v>
      </c>
      <c r="DR16" s="9">
        <v>5.27</v>
      </c>
      <c r="DS16" s="9">
        <v>8.81</v>
      </c>
      <c r="DT16" s="9">
        <v>0.26</v>
      </c>
      <c r="DU16" s="9">
        <v>13.65</v>
      </c>
      <c r="DV16" s="9">
        <v>11.1</v>
      </c>
      <c r="DW16" s="9">
        <v>1.66</v>
      </c>
      <c r="DX16" s="9">
        <v>7.17</v>
      </c>
      <c r="DY16" s="9">
        <v>2.82</v>
      </c>
      <c r="DZ16" s="9">
        <v>0.88</v>
      </c>
      <c r="EA16" s="9">
        <v>-25.9268</v>
      </c>
      <c r="EB16" s="9">
        <v>-32.851599999999998</v>
      </c>
      <c r="EC16" s="9">
        <v>-16.221900000000002</v>
      </c>
      <c r="ED16" s="9">
        <v>0.35034300000000002</v>
      </c>
      <c r="EE16" s="9">
        <v>22.79626</v>
      </c>
      <c r="EF16" s="9">
        <v>0</v>
      </c>
      <c r="EG16" s="9">
        <v>-21.117799999999999</v>
      </c>
      <c r="EH16" s="9">
        <v>-8.8156300000000005</v>
      </c>
      <c r="EI16" s="9">
        <v>0</v>
      </c>
      <c r="EJ16" s="9">
        <v>0</v>
      </c>
      <c r="EK16" s="9">
        <v>-12.302099999999999</v>
      </c>
      <c r="EL16" s="9">
        <v>-9.6971000000000007</v>
      </c>
      <c r="EM16" s="9">
        <v>-14.5062</v>
      </c>
      <c r="EN16" s="9"/>
      <c r="EO16" s="9"/>
      <c r="EP16" s="9"/>
      <c r="EQ16" s="9"/>
      <c r="ER16" s="9"/>
      <c r="ES16" s="9"/>
      <c r="ET16" s="9"/>
      <c r="EU16">
        <v>1098</v>
      </c>
      <c r="EV16" s="9">
        <v>4212.92</v>
      </c>
      <c r="EW16" s="9">
        <v>831.37</v>
      </c>
      <c r="EX16" s="9">
        <v>26.64</v>
      </c>
      <c r="EY16" s="9">
        <v>6.43</v>
      </c>
      <c r="EZ16" s="9">
        <v>924.9</v>
      </c>
      <c r="FA16" s="9">
        <v>2423.58</v>
      </c>
      <c r="FB16" s="9">
        <v>32.6</v>
      </c>
      <c r="FC16" s="9">
        <v>24.4</v>
      </c>
      <c r="FD16" s="9">
        <v>1742.1590909091001</v>
      </c>
      <c r="FE16" s="9">
        <v>12.99</v>
      </c>
      <c r="FF16" s="9">
        <v>263.02727270000003</v>
      </c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>
        <v>1097</v>
      </c>
      <c r="GO16" s="6"/>
      <c r="GP16" s="6"/>
      <c r="GQ16" s="6"/>
    </row>
    <row r="17" spans="1:199" x14ac:dyDescent="0.2">
      <c r="A17" s="8">
        <v>2001</v>
      </c>
      <c r="B17" s="8" t="s">
        <v>219</v>
      </c>
      <c r="C17" s="8" t="s">
        <v>220</v>
      </c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>
        <v>24898.1</v>
      </c>
      <c r="BO17" s="9">
        <v>20827.7</v>
      </c>
      <c r="BP17" s="9">
        <v>3464.9</v>
      </c>
      <c r="BQ17" s="9">
        <v>2039.6</v>
      </c>
      <c r="BR17" s="9">
        <v>1425.3</v>
      </c>
      <c r="BS17" s="9">
        <v>3537.5</v>
      </c>
      <c r="BT17" s="9">
        <v>7705.7</v>
      </c>
      <c r="BU17" s="9">
        <v>2936.5</v>
      </c>
      <c r="BV17" s="9">
        <v>3457.2</v>
      </c>
      <c r="BW17" s="9">
        <v>23748.7</v>
      </c>
      <c r="BX17" s="9">
        <v>829</v>
      </c>
      <c r="BY17" s="9">
        <v>8791.1</v>
      </c>
      <c r="BZ17" s="9">
        <v>6730.8</v>
      </c>
      <c r="CA17" s="9">
        <v>956.9</v>
      </c>
      <c r="CB17" s="9">
        <v>0</v>
      </c>
      <c r="CC17" s="9">
        <v>0</v>
      </c>
      <c r="CD17" s="9">
        <v>0</v>
      </c>
      <c r="CE17" s="9">
        <v>3002.6</v>
      </c>
      <c r="CF17" s="9">
        <v>138232.7867</v>
      </c>
      <c r="CG17" s="9">
        <v>282745.49060000002</v>
      </c>
      <c r="CH17" s="9"/>
      <c r="CI17" s="9"/>
      <c r="CJ17" s="9">
        <v>37.9</v>
      </c>
      <c r="CK17" s="9">
        <v>21.6</v>
      </c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>
        <v>48.44</v>
      </c>
      <c r="DP17" s="9">
        <v>11.23</v>
      </c>
      <c r="DQ17" s="9">
        <v>5.31</v>
      </c>
      <c r="DR17" s="9">
        <v>5.92</v>
      </c>
      <c r="DS17" s="9">
        <v>11.5</v>
      </c>
      <c r="DT17" s="9">
        <v>0.48</v>
      </c>
      <c r="DU17" s="9">
        <v>12.25</v>
      </c>
      <c r="DV17" s="9">
        <v>8.7899999999999991</v>
      </c>
      <c r="DW17" s="9">
        <v>2.15</v>
      </c>
      <c r="DX17" s="9">
        <v>13.4</v>
      </c>
      <c r="DY17" s="9">
        <v>6.32</v>
      </c>
      <c r="DZ17" s="9">
        <v>2.09</v>
      </c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>
        <v>1092.95</v>
      </c>
      <c r="EV17" s="9"/>
      <c r="EW17" s="9"/>
      <c r="EX17" s="9"/>
      <c r="EY17" s="9"/>
      <c r="EZ17" s="9"/>
      <c r="FA17" s="9"/>
      <c r="FB17" s="9">
        <v>33.5</v>
      </c>
      <c r="FC17" s="9">
        <v>25.55</v>
      </c>
      <c r="FD17" s="9">
        <v>1665.9722222221999</v>
      </c>
      <c r="FE17" s="9">
        <v>12.99</v>
      </c>
      <c r="FF17" s="9">
        <v>260.33055560000003</v>
      </c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>
        <v>1091</v>
      </c>
      <c r="GO17" s="6"/>
      <c r="GP17" s="6"/>
      <c r="GQ17" s="6"/>
    </row>
    <row r="18" spans="1:199" x14ac:dyDescent="0.2">
      <c r="A18" s="8">
        <v>2001</v>
      </c>
      <c r="B18" s="8" t="s">
        <v>219</v>
      </c>
      <c r="C18" s="8" t="s">
        <v>221</v>
      </c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  <c r="AB18" s="9"/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>
        <v>36168.699999999997</v>
      </c>
      <c r="BO18" s="9">
        <v>29477</v>
      </c>
      <c r="BP18" s="9">
        <v>7481.1</v>
      </c>
      <c r="BQ18" s="9">
        <v>5902.3</v>
      </c>
      <c r="BR18" s="9">
        <v>1578.8</v>
      </c>
      <c r="BS18" s="9">
        <v>4530.1000000000004</v>
      </c>
      <c r="BT18" s="9">
        <v>7991.9</v>
      </c>
      <c r="BU18" s="9">
        <v>4236.6000000000004</v>
      </c>
      <c r="BV18" s="9">
        <v>6611.8</v>
      </c>
      <c r="BW18" s="9">
        <v>29439.1</v>
      </c>
      <c r="BX18" s="9">
        <v>1246</v>
      </c>
      <c r="BY18" s="9">
        <v>12087.1</v>
      </c>
      <c r="BZ18" s="9">
        <v>8051.7</v>
      </c>
      <c r="CA18" s="9">
        <v>1662.4</v>
      </c>
      <c r="CB18" s="9">
        <v>0</v>
      </c>
      <c r="CC18" s="9">
        <v>0</v>
      </c>
      <c r="CD18" s="9">
        <v>0</v>
      </c>
      <c r="CE18" s="9">
        <v>3133.3</v>
      </c>
      <c r="CF18" s="9">
        <v>150926.73009999999</v>
      </c>
      <c r="CG18" s="9">
        <v>299891.74790000002</v>
      </c>
      <c r="CH18" s="9"/>
      <c r="CI18" s="9"/>
      <c r="CJ18" s="9">
        <v>37.6</v>
      </c>
      <c r="CK18" s="9">
        <v>24.2</v>
      </c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>
        <v>66.83</v>
      </c>
      <c r="DP18" s="9">
        <v>17.5</v>
      </c>
      <c r="DQ18" s="9">
        <v>8.68</v>
      </c>
      <c r="DR18" s="9">
        <v>8.82</v>
      </c>
      <c r="DS18" s="9">
        <v>15.4</v>
      </c>
      <c r="DT18" s="9">
        <v>0.46</v>
      </c>
      <c r="DU18" s="9">
        <v>23.74</v>
      </c>
      <c r="DV18" s="9">
        <v>19.21</v>
      </c>
      <c r="DW18" s="9">
        <v>2.19</v>
      </c>
      <c r="DX18" s="9">
        <v>10.19</v>
      </c>
      <c r="DY18" s="9">
        <v>4.67</v>
      </c>
      <c r="DZ18" s="9">
        <v>0.82</v>
      </c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>
        <v>1092.67</v>
      </c>
      <c r="EV18" s="9"/>
      <c r="EW18" s="9"/>
      <c r="EX18" s="9"/>
      <c r="EY18" s="9"/>
      <c r="EZ18" s="9"/>
      <c r="FA18" s="9"/>
      <c r="FB18" s="9">
        <v>33.799999999999997</v>
      </c>
      <c r="FC18" s="9">
        <v>28.45</v>
      </c>
      <c r="FD18" s="9">
        <v>1684.85</v>
      </c>
      <c r="FE18" s="9">
        <v>12.99</v>
      </c>
      <c r="FF18" s="9">
        <v>272.09318180000002</v>
      </c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>
        <v>1095</v>
      </c>
      <c r="GO18" s="6"/>
      <c r="GP18" s="6"/>
      <c r="GQ18" s="6"/>
    </row>
    <row r="19" spans="1:199" x14ac:dyDescent="0.2">
      <c r="A19" s="8">
        <v>2001</v>
      </c>
      <c r="B19" s="8" t="s">
        <v>219</v>
      </c>
      <c r="C19" s="8" t="s">
        <v>222</v>
      </c>
      <c r="D19" s="9">
        <v>381561.2</v>
      </c>
      <c r="E19" s="9">
        <v>126232.4</v>
      </c>
      <c r="F19" s="9">
        <v>26485.5</v>
      </c>
      <c r="G19" s="9">
        <v>26071.7</v>
      </c>
      <c r="H19" s="9">
        <v>8242.6</v>
      </c>
      <c r="I19" s="9">
        <v>4401.8999999999996</v>
      </c>
      <c r="J19" s="9">
        <v>33466.699999999997</v>
      </c>
      <c r="K19" s="9">
        <v>26891.1</v>
      </c>
      <c r="L19" s="9">
        <v>8524.6</v>
      </c>
      <c r="M19" s="9">
        <v>77853.3</v>
      </c>
      <c r="N19" s="9">
        <v>43391.5</v>
      </c>
      <c r="O19" s="9">
        <v>2122685.4108617362</v>
      </c>
      <c r="P19" s="9">
        <v>509095.12533718842</v>
      </c>
      <c r="Q19" s="9">
        <v>306243.5888392732</v>
      </c>
      <c r="R19" s="9">
        <v>159544.52885388161</v>
      </c>
      <c r="S19" s="9">
        <v>56350.799810843797</v>
      </c>
      <c r="T19" s="9">
        <v>35672.492136405301</v>
      </c>
      <c r="U19" s="9">
        <v>170643.92551148331</v>
      </c>
      <c r="V19" s="9">
        <v>51335.628667379598</v>
      </c>
      <c r="W19" s="9">
        <v>18296.996462319701</v>
      </c>
      <c r="X19" s="9">
        <v>688295.54807531647</v>
      </c>
      <c r="Y19" s="9">
        <v>127206.77716764509</v>
      </c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>
        <v>67.7</v>
      </c>
      <c r="AX19" s="9"/>
      <c r="AY19" s="9">
        <v>50.4</v>
      </c>
      <c r="AZ19" s="9">
        <v>67.3</v>
      </c>
      <c r="BA19" s="9">
        <v>82.9</v>
      </c>
      <c r="BB19" s="9"/>
      <c r="BC19" s="9">
        <v>74.400000000000006</v>
      </c>
      <c r="BD19" s="9">
        <v>58.2</v>
      </c>
      <c r="BE19" s="9">
        <v>85.7</v>
      </c>
      <c r="BF19" s="9">
        <v>62.4</v>
      </c>
      <c r="BG19" s="9"/>
      <c r="BH19" s="9">
        <v>53.8</v>
      </c>
      <c r="BI19" s="9">
        <v>55</v>
      </c>
      <c r="BJ19" s="9">
        <v>75.3</v>
      </c>
      <c r="BK19" s="9">
        <v>48.4</v>
      </c>
      <c r="BL19" s="9"/>
      <c r="BM19" s="9">
        <v>60.2</v>
      </c>
      <c r="BN19" s="9">
        <v>57918</v>
      </c>
      <c r="BO19" s="9">
        <v>31436.6</v>
      </c>
      <c r="BP19" s="9">
        <v>6120.9</v>
      </c>
      <c r="BQ19" s="9">
        <v>3931.4</v>
      </c>
      <c r="BR19" s="9">
        <v>2189.4</v>
      </c>
      <c r="BS19" s="9">
        <v>4335.8</v>
      </c>
      <c r="BT19" s="9">
        <v>8904.7000000000007</v>
      </c>
      <c r="BU19" s="9">
        <v>6717.7</v>
      </c>
      <c r="BV19" s="9">
        <v>25738</v>
      </c>
      <c r="BW19" s="9">
        <v>38954.300000000003</v>
      </c>
      <c r="BX19" s="9">
        <v>4431.7</v>
      </c>
      <c r="BY19" s="9">
        <v>15798.2</v>
      </c>
      <c r="BZ19" s="9">
        <v>11675.1</v>
      </c>
      <c r="CA19" s="9">
        <v>1022.4</v>
      </c>
      <c r="CB19" s="9">
        <v>0</v>
      </c>
      <c r="CC19" s="9">
        <v>0</v>
      </c>
      <c r="CD19" s="9">
        <v>0</v>
      </c>
      <c r="CE19" s="9">
        <v>6347.4</v>
      </c>
      <c r="CF19" s="9">
        <v>155099.636</v>
      </c>
      <c r="CG19" s="9">
        <v>313946.14169999998</v>
      </c>
      <c r="CH19" s="9"/>
      <c r="CI19" s="9"/>
      <c r="CJ19" s="9">
        <v>34.5</v>
      </c>
      <c r="CK19" s="9">
        <v>22.8</v>
      </c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>
        <v>52.86</v>
      </c>
      <c r="DP19" s="9">
        <v>17.920000000000002</v>
      </c>
      <c r="DQ19" s="9">
        <v>8.56</v>
      </c>
      <c r="DR19" s="9">
        <v>9.36</v>
      </c>
      <c r="DS19" s="9">
        <v>11.01</v>
      </c>
      <c r="DT19" s="9">
        <v>0.65</v>
      </c>
      <c r="DU19" s="9">
        <v>12.55</v>
      </c>
      <c r="DV19" s="9">
        <v>8.35</v>
      </c>
      <c r="DW19" s="9">
        <v>2.84</v>
      </c>
      <c r="DX19" s="9">
        <v>11.37</v>
      </c>
      <c r="DY19" s="9">
        <v>4.47</v>
      </c>
      <c r="DZ19" s="9">
        <v>0.9</v>
      </c>
      <c r="EA19" s="9">
        <v>-27.630500000000001</v>
      </c>
      <c r="EB19" s="9">
        <v>-43.42</v>
      </c>
      <c r="EC19" s="9">
        <v>-18.9343</v>
      </c>
      <c r="ED19" s="9">
        <v>3.1020699999999999</v>
      </c>
      <c r="EE19" s="9">
        <v>31.62172</v>
      </c>
      <c r="EF19" s="9">
        <v>0</v>
      </c>
      <c r="EG19" s="9">
        <v>-33.4116</v>
      </c>
      <c r="EH19" s="9">
        <v>-20.882899999999999</v>
      </c>
      <c r="EI19" s="9">
        <v>0</v>
      </c>
      <c r="EJ19" s="9">
        <v>0</v>
      </c>
      <c r="EK19" s="9">
        <v>-12.528700000000001</v>
      </c>
      <c r="EL19" s="9">
        <v>3.1493579999999999</v>
      </c>
      <c r="EM19" s="9">
        <v>8.9304819999999996</v>
      </c>
      <c r="EN19" s="9"/>
      <c r="EO19" s="9"/>
      <c r="EP19" s="9"/>
      <c r="EQ19" s="9"/>
      <c r="ER19" s="9"/>
      <c r="ES19" s="9"/>
      <c r="ET19" s="9"/>
      <c r="EU19">
        <v>1096</v>
      </c>
      <c r="EV19" s="9">
        <v>4218.41</v>
      </c>
      <c r="EW19" s="9">
        <v>834.57</v>
      </c>
      <c r="EX19" s="9">
        <v>24.78</v>
      </c>
      <c r="EY19" s="9">
        <v>7.11</v>
      </c>
      <c r="EZ19" s="9">
        <v>928.36</v>
      </c>
      <c r="FA19" s="9">
        <v>2423.58</v>
      </c>
      <c r="FB19" s="9">
        <v>33.9</v>
      </c>
      <c r="FC19" s="9">
        <v>27.72</v>
      </c>
      <c r="FD19" s="9">
        <v>1610.4690476190001</v>
      </c>
      <c r="FE19" s="9">
        <v>12.99</v>
      </c>
      <c r="FF19" s="9">
        <v>270.202381</v>
      </c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>
        <v>1097</v>
      </c>
      <c r="GO19" s="6"/>
      <c r="GP19" s="6"/>
      <c r="GQ19" s="6"/>
    </row>
    <row r="20" spans="1:199" x14ac:dyDescent="0.2">
      <c r="A20" s="8">
        <v>2001</v>
      </c>
      <c r="B20" s="8" t="s">
        <v>223</v>
      </c>
      <c r="C20" s="8" t="s">
        <v>224</v>
      </c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  <c r="AB20" s="9"/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>
        <v>30373.200000000001</v>
      </c>
      <c r="BO20" s="9">
        <v>23852.7</v>
      </c>
      <c r="BP20" s="9">
        <v>4399.2</v>
      </c>
      <c r="BQ20" s="9">
        <v>2934.7</v>
      </c>
      <c r="BR20" s="9">
        <v>1464.6</v>
      </c>
      <c r="BS20" s="9">
        <v>3359.2</v>
      </c>
      <c r="BT20" s="9">
        <v>6730.9</v>
      </c>
      <c r="BU20" s="9">
        <v>5373.3</v>
      </c>
      <c r="BV20" s="9">
        <v>6901.1</v>
      </c>
      <c r="BW20" s="9">
        <v>27138.3</v>
      </c>
      <c r="BX20" s="9">
        <v>3519.9</v>
      </c>
      <c r="BY20" s="9">
        <v>14027.8</v>
      </c>
      <c r="BZ20" s="9">
        <v>6352.6</v>
      </c>
      <c r="CA20" s="9">
        <v>889.7</v>
      </c>
      <c r="CB20" s="9">
        <v>0</v>
      </c>
      <c r="CC20" s="9">
        <v>0</v>
      </c>
      <c r="CD20" s="9">
        <v>0</v>
      </c>
      <c r="CE20" s="9">
        <v>2253.8000000000002</v>
      </c>
      <c r="CF20" s="9">
        <v>152484.5313</v>
      </c>
      <c r="CG20" s="9">
        <v>310975.84940000001</v>
      </c>
      <c r="CH20" s="9"/>
      <c r="CI20" s="9"/>
      <c r="CJ20" s="9">
        <v>33.9</v>
      </c>
      <c r="CK20" s="9">
        <v>20.7</v>
      </c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>
        <v>72.39</v>
      </c>
      <c r="DP20" s="9">
        <v>17.899999999999999</v>
      </c>
      <c r="DQ20" s="9">
        <v>9.74</v>
      </c>
      <c r="DR20" s="9">
        <v>8.16</v>
      </c>
      <c r="DS20" s="9">
        <v>8.92</v>
      </c>
      <c r="DT20" s="9">
        <v>0.19</v>
      </c>
      <c r="DU20" s="9">
        <v>27.05</v>
      </c>
      <c r="DV20" s="9">
        <v>18.3</v>
      </c>
      <c r="DW20" s="9">
        <v>5.62</v>
      </c>
      <c r="DX20" s="9">
        <v>18.39</v>
      </c>
      <c r="DY20" s="9">
        <v>6.78</v>
      </c>
      <c r="DZ20" s="9">
        <v>2.5499999999999998</v>
      </c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>
        <v>1096.67</v>
      </c>
      <c r="EV20" s="9"/>
      <c r="EW20" s="9"/>
      <c r="EX20" s="9"/>
      <c r="EY20" s="9"/>
      <c r="EZ20" s="9"/>
      <c r="FA20" s="9"/>
      <c r="FB20" s="9">
        <v>34</v>
      </c>
      <c r="FC20" s="9">
        <v>24.54</v>
      </c>
      <c r="FD20" s="9">
        <v>1526.7704545454999</v>
      </c>
      <c r="FE20" s="9">
        <v>12.99</v>
      </c>
      <c r="FF20" s="9">
        <v>267.52619049999998</v>
      </c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>
        <v>1098</v>
      </c>
      <c r="GO20" s="6"/>
      <c r="GP20" s="6"/>
      <c r="GQ20" s="6"/>
    </row>
    <row r="21" spans="1:199" x14ac:dyDescent="0.2">
      <c r="A21" s="8">
        <v>2001</v>
      </c>
      <c r="B21" s="8" t="s">
        <v>223</v>
      </c>
      <c r="C21" s="8" t="s">
        <v>225</v>
      </c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9"/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>
        <v>26603.3</v>
      </c>
      <c r="BO21" s="9">
        <v>23398.3</v>
      </c>
      <c r="BP21" s="9">
        <v>5162.1000000000004</v>
      </c>
      <c r="BQ21" s="9">
        <v>3661.6</v>
      </c>
      <c r="BR21" s="9">
        <v>1500.5</v>
      </c>
      <c r="BS21" s="9">
        <v>-4099.8</v>
      </c>
      <c r="BT21" s="9">
        <v>12545.3</v>
      </c>
      <c r="BU21" s="9">
        <v>4344.8999999999996</v>
      </c>
      <c r="BV21" s="9">
        <v>3149.6</v>
      </c>
      <c r="BW21" s="9">
        <v>22393.9</v>
      </c>
      <c r="BX21" s="9">
        <v>20079</v>
      </c>
      <c r="BY21" s="9">
        <v>7128.9</v>
      </c>
      <c r="BZ21" s="9">
        <v>5388</v>
      </c>
      <c r="CA21" s="9">
        <v>1622.2</v>
      </c>
      <c r="CB21" s="9">
        <v>0</v>
      </c>
      <c r="CC21" s="9">
        <v>0</v>
      </c>
      <c r="CD21" s="9">
        <v>0</v>
      </c>
      <c r="CE21" s="9">
        <v>4744.7</v>
      </c>
      <c r="CF21" s="9">
        <v>150334.58739999999</v>
      </c>
      <c r="CG21" s="9">
        <v>321088.29470000003</v>
      </c>
      <c r="CH21" s="9"/>
      <c r="CI21" s="9"/>
      <c r="CJ21" s="9">
        <v>35</v>
      </c>
      <c r="CK21" s="9">
        <v>23.5</v>
      </c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>
        <v>52.95</v>
      </c>
      <c r="DP21" s="9">
        <v>15.96</v>
      </c>
      <c r="DQ21" s="9">
        <v>8.24</v>
      </c>
      <c r="DR21" s="9">
        <v>7.72</v>
      </c>
      <c r="DS21" s="9">
        <v>8.1999999999999993</v>
      </c>
      <c r="DT21" s="9">
        <v>0.26</v>
      </c>
      <c r="DU21" s="9">
        <v>18.13</v>
      </c>
      <c r="DV21" s="9">
        <v>12.19</v>
      </c>
      <c r="DW21" s="9">
        <v>3.5</v>
      </c>
      <c r="DX21" s="9">
        <v>10.55</v>
      </c>
      <c r="DY21" s="9">
        <v>4.55</v>
      </c>
      <c r="DZ21" s="9">
        <v>0.75</v>
      </c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>
        <v>1098.43</v>
      </c>
      <c r="EV21" s="9"/>
      <c r="EW21" s="9"/>
      <c r="EX21" s="9"/>
      <c r="EY21" s="9"/>
      <c r="EZ21" s="9"/>
      <c r="FA21" s="9"/>
      <c r="FB21" s="9">
        <v>33.799999999999997</v>
      </c>
      <c r="FC21" s="9">
        <v>25.67</v>
      </c>
      <c r="FD21" s="9">
        <v>1466.4113636364</v>
      </c>
      <c r="FE21" s="9">
        <v>12.99</v>
      </c>
      <c r="FF21" s="9">
        <v>272.09210530000001</v>
      </c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>
        <v>1099</v>
      </c>
      <c r="GO21" s="6"/>
      <c r="GP21" s="6"/>
      <c r="GQ21" s="6"/>
    </row>
    <row r="22" spans="1:199" x14ac:dyDescent="0.2">
      <c r="A22" s="8">
        <v>2001</v>
      </c>
      <c r="B22" s="8" t="s">
        <v>223</v>
      </c>
      <c r="C22" s="8" t="s">
        <v>226</v>
      </c>
      <c r="D22" s="9">
        <v>366390.7</v>
      </c>
      <c r="E22" s="9">
        <v>89884.3</v>
      </c>
      <c r="F22" s="9">
        <v>38083</v>
      </c>
      <c r="G22" s="9">
        <v>32268.2</v>
      </c>
      <c r="H22" s="9">
        <v>7909</v>
      </c>
      <c r="I22" s="9">
        <v>6090.6</v>
      </c>
      <c r="J22" s="9">
        <v>32115.4</v>
      </c>
      <c r="K22" s="9">
        <v>31394.9</v>
      </c>
      <c r="L22" s="9">
        <v>9871.2000000000007</v>
      </c>
      <c r="M22" s="9">
        <v>70004.3</v>
      </c>
      <c r="N22" s="9">
        <v>48769.7</v>
      </c>
      <c r="O22" s="9">
        <v>2038289.515719678</v>
      </c>
      <c r="P22" s="9">
        <v>350102.31917259801</v>
      </c>
      <c r="Q22" s="9">
        <v>425278.11083584349</v>
      </c>
      <c r="R22" s="9">
        <v>190708.63316642999</v>
      </c>
      <c r="S22" s="9">
        <v>52220.434751811503</v>
      </c>
      <c r="T22" s="9">
        <v>47669.039864954699</v>
      </c>
      <c r="U22" s="9">
        <v>158151.8679617336</v>
      </c>
      <c r="V22" s="9">
        <v>57883.191532509598</v>
      </c>
      <c r="W22" s="9">
        <v>20462.5047575387</v>
      </c>
      <c r="X22" s="9">
        <v>597730.88927876879</v>
      </c>
      <c r="Y22" s="9">
        <v>138082.52439748941</v>
      </c>
      <c r="Z22" s="9"/>
      <c r="AA22" s="9"/>
      <c r="AB22" s="9"/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>
        <v>64.900000000000006</v>
      </c>
      <c r="AX22" s="9">
        <v>29.2</v>
      </c>
      <c r="AY22" s="9">
        <v>59.6</v>
      </c>
      <c r="AZ22" s="9">
        <v>60.6</v>
      </c>
      <c r="BA22" s="9">
        <v>82.7</v>
      </c>
      <c r="BB22" s="9"/>
      <c r="BC22" s="9">
        <v>79.2</v>
      </c>
      <c r="BD22" s="9">
        <v>58.3</v>
      </c>
      <c r="BE22" s="9">
        <v>78.900000000000006</v>
      </c>
      <c r="BF22" s="9">
        <v>72.599999999999994</v>
      </c>
      <c r="BG22" s="9"/>
      <c r="BH22" s="9">
        <v>58.5</v>
      </c>
      <c r="BI22" s="9">
        <v>61.8</v>
      </c>
      <c r="BJ22" s="9">
        <v>49.8</v>
      </c>
      <c r="BK22" s="9">
        <v>53.6</v>
      </c>
      <c r="BL22" s="9"/>
      <c r="BM22" s="9">
        <v>42.5</v>
      </c>
      <c r="BN22" s="9">
        <v>39078.699999999997</v>
      </c>
      <c r="BO22" s="9">
        <v>28076.9</v>
      </c>
      <c r="BP22" s="9">
        <v>2700.3</v>
      </c>
      <c r="BQ22" s="9">
        <v>819.1</v>
      </c>
      <c r="BR22" s="9">
        <v>1881.2</v>
      </c>
      <c r="BS22" s="9">
        <v>7684.2</v>
      </c>
      <c r="BT22" s="9">
        <v>10111.799999999999</v>
      </c>
      <c r="BU22" s="9">
        <v>2982.9</v>
      </c>
      <c r="BV22" s="9">
        <v>10588.6</v>
      </c>
      <c r="BW22" s="9">
        <v>32291.7</v>
      </c>
      <c r="BX22" s="9">
        <v>-2413.9</v>
      </c>
      <c r="BY22" s="9">
        <v>16014</v>
      </c>
      <c r="BZ22" s="9">
        <v>7502.3</v>
      </c>
      <c r="CA22" s="9">
        <v>664.8</v>
      </c>
      <c r="CB22" s="9">
        <v>0</v>
      </c>
      <c r="CC22" s="9">
        <v>0</v>
      </c>
      <c r="CD22" s="9">
        <v>0</v>
      </c>
      <c r="CE22" s="9">
        <v>3413</v>
      </c>
      <c r="CF22" s="9">
        <v>151808.6311</v>
      </c>
      <c r="CG22" s="9">
        <v>317428.4938</v>
      </c>
      <c r="CH22" s="9"/>
      <c r="CI22" s="9"/>
      <c r="CJ22" s="9">
        <v>37.4</v>
      </c>
      <c r="CK22" s="9">
        <v>21.4</v>
      </c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>
        <v>47.69</v>
      </c>
      <c r="DP22" s="9">
        <v>13.26</v>
      </c>
      <c r="DQ22" s="9">
        <v>8.14</v>
      </c>
      <c r="DR22" s="9">
        <v>5.12</v>
      </c>
      <c r="DS22" s="9">
        <v>7.56</v>
      </c>
      <c r="DT22" s="9">
        <v>0.24</v>
      </c>
      <c r="DU22" s="9">
        <v>15.26</v>
      </c>
      <c r="DV22" s="9">
        <v>8.08</v>
      </c>
      <c r="DW22" s="9">
        <v>3.67</v>
      </c>
      <c r="DX22" s="9">
        <v>11.52</v>
      </c>
      <c r="DY22" s="9">
        <v>4.5199999999999996</v>
      </c>
      <c r="DZ22" s="9">
        <v>0.74</v>
      </c>
      <c r="EA22" s="9">
        <v>-2.5410599999999999</v>
      </c>
      <c r="EB22" s="9">
        <v>2.2161849999999998</v>
      </c>
      <c r="EC22" s="9">
        <v>-28.528099999999998</v>
      </c>
      <c r="ED22" s="9">
        <v>-1.2999700000000001</v>
      </c>
      <c r="EE22" s="9">
        <v>25.07084</v>
      </c>
      <c r="EF22" s="9">
        <v>0</v>
      </c>
      <c r="EG22" s="9">
        <v>-5.7752699999999999</v>
      </c>
      <c r="EH22" s="9">
        <v>-8.1594999999999995</v>
      </c>
      <c r="EI22" s="9">
        <v>0</v>
      </c>
      <c r="EJ22" s="9">
        <v>0</v>
      </c>
      <c r="EK22" s="9">
        <v>2.3842289999999999</v>
      </c>
      <c r="EL22" s="9">
        <v>-10.4976</v>
      </c>
      <c r="EM22" s="9">
        <v>-7.2633999999999999</v>
      </c>
      <c r="EN22" s="9"/>
      <c r="EO22" s="9"/>
      <c r="EP22" s="9"/>
      <c r="EQ22" s="9"/>
      <c r="ER22" s="9"/>
      <c r="ES22" s="9"/>
      <c r="ET22" s="9"/>
      <c r="EU22">
        <v>1099.5</v>
      </c>
      <c r="EV22" s="9">
        <v>4216.46</v>
      </c>
      <c r="EW22" s="9">
        <v>826.89</v>
      </c>
      <c r="EX22" s="9">
        <v>22.87</v>
      </c>
      <c r="EY22" s="9">
        <v>9.4600000000000009</v>
      </c>
      <c r="EZ22" s="9">
        <v>933.67</v>
      </c>
      <c r="FA22" s="9">
        <v>2423.58</v>
      </c>
      <c r="FB22" s="9">
        <v>32.799999999999997</v>
      </c>
      <c r="FC22" s="9">
        <v>25.54</v>
      </c>
      <c r="FD22" s="9">
        <v>1427.697368421</v>
      </c>
      <c r="FE22" s="9">
        <v>12.99</v>
      </c>
      <c r="FF22" s="9">
        <v>284.47235289999998</v>
      </c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>
        <v>1099</v>
      </c>
      <c r="GO22" s="6"/>
      <c r="GP22" s="6"/>
      <c r="GQ22" s="6"/>
    </row>
    <row r="23" spans="1:199" x14ac:dyDescent="0.2">
      <c r="A23" s="8">
        <v>2001</v>
      </c>
      <c r="B23" s="8" t="s">
        <v>227</v>
      </c>
      <c r="C23" s="8" t="s">
        <v>228</v>
      </c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>
        <v>39775.300000000003</v>
      </c>
      <c r="BO23" s="9">
        <v>35286.5</v>
      </c>
      <c r="BP23" s="9">
        <v>6251.1</v>
      </c>
      <c r="BQ23" s="9">
        <v>4296.8999999999996</v>
      </c>
      <c r="BR23" s="9">
        <v>1954.2</v>
      </c>
      <c r="BS23" s="9">
        <v>7393.1</v>
      </c>
      <c r="BT23" s="9">
        <v>10558.7</v>
      </c>
      <c r="BU23" s="9">
        <v>5617.4</v>
      </c>
      <c r="BV23" s="9">
        <v>2899.2</v>
      </c>
      <c r="BW23" s="9">
        <v>32627.599999999999</v>
      </c>
      <c r="BX23" s="9">
        <v>557.29999999999995</v>
      </c>
      <c r="BY23" s="9">
        <v>15675.2</v>
      </c>
      <c r="BZ23" s="9">
        <v>7707.6</v>
      </c>
      <c r="CA23" s="9">
        <v>2039.1</v>
      </c>
      <c r="CB23" s="9">
        <v>0</v>
      </c>
      <c r="CC23" s="9">
        <v>0</v>
      </c>
      <c r="CD23" s="9">
        <v>0</v>
      </c>
      <c r="CE23" s="9">
        <v>7389.4</v>
      </c>
      <c r="CF23" s="9">
        <v>145791.81630000001</v>
      </c>
      <c r="CG23" s="9">
        <v>316102.35389999999</v>
      </c>
      <c r="CH23" s="9"/>
      <c r="CI23" s="9"/>
      <c r="CJ23" s="9">
        <v>36.200000000000003</v>
      </c>
      <c r="CK23" s="9">
        <v>25.5</v>
      </c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>
        <v>51.85</v>
      </c>
      <c r="DP23" s="9">
        <v>16.600000000000001</v>
      </c>
      <c r="DQ23" s="9">
        <v>10.39</v>
      </c>
      <c r="DR23" s="9">
        <v>6.21</v>
      </c>
      <c r="DS23" s="9">
        <v>9.74</v>
      </c>
      <c r="DT23" s="9">
        <v>0.52</v>
      </c>
      <c r="DU23" s="9">
        <v>14.72</v>
      </c>
      <c r="DV23" s="9">
        <v>8.9600000000000009</v>
      </c>
      <c r="DW23" s="9">
        <v>3.33</v>
      </c>
      <c r="DX23" s="9">
        <v>10.79</v>
      </c>
      <c r="DY23" s="9">
        <v>4.32</v>
      </c>
      <c r="DZ23" s="9">
        <v>0.97</v>
      </c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>
        <v>1099.57</v>
      </c>
      <c r="EV23" s="9"/>
      <c r="EW23" s="9"/>
      <c r="EX23" s="9"/>
      <c r="EY23" s="9"/>
      <c r="EZ23" s="9"/>
      <c r="FA23" s="9"/>
      <c r="FB23" s="9">
        <v>32.4</v>
      </c>
      <c r="FC23" s="9">
        <v>20.48</v>
      </c>
      <c r="FD23" s="9">
        <v>1377.3760869565001</v>
      </c>
      <c r="FE23" s="9">
        <v>12.99</v>
      </c>
      <c r="FF23" s="9">
        <v>282.26714290000001</v>
      </c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>
        <v>1100</v>
      </c>
      <c r="GO23" s="6"/>
      <c r="GP23" s="6"/>
      <c r="GQ23" s="6"/>
    </row>
    <row r="24" spans="1:199" x14ac:dyDescent="0.2">
      <c r="A24" s="8">
        <v>2001</v>
      </c>
      <c r="B24" s="8" t="s">
        <v>227</v>
      </c>
      <c r="C24" s="8" t="s">
        <v>229</v>
      </c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>
        <v>34749.9</v>
      </c>
      <c r="BO24" s="9">
        <v>26785.599999999999</v>
      </c>
      <c r="BP24" s="9">
        <v>5120.3</v>
      </c>
      <c r="BQ24" s="9">
        <v>3708.4</v>
      </c>
      <c r="BR24" s="9">
        <v>1411.8</v>
      </c>
      <c r="BS24" s="9">
        <v>744.3</v>
      </c>
      <c r="BT24" s="9">
        <v>12759.3</v>
      </c>
      <c r="BU24" s="9">
        <v>3553.1</v>
      </c>
      <c r="BV24" s="9">
        <v>6328.9</v>
      </c>
      <c r="BW24" s="9">
        <v>29578.9</v>
      </c>
      <c r="BX24" s="9">
        <v>7543.7</v>
      </c>
      <c r="BY24" s="9">
        <v>11898.9</v>
      </c>
      <c r="BZ24" s="9">
        <v>7411.5</v>
      </c>
      <c r="CA24" s="9">
        <v>2405.1999999999998</v>
      </c>
      <c r="CB24" s="9">
        <v>0</v>
      </c>
      <c r="CC24" s="9">
        <v>0</v>
      </c>
      <c r="CD24" s="9">
        <v>0</v>
      </c>
      <c r="CE24" s="9">
        <v>3004</v>
      </c>
      <c r="CF24" s="9">
        <v>146029.89739999999</v>
      </c>
      <c r="CG24" s="9">
        <v>315864.47930000001</v>
      </c>
      <c r="CH24" s="9"/>
      <c r="CI24" s="9"/>
      <c r="CJ24" s="9">
        <v>37.4</v>
      </c>
      <c r="CK24" s="9">
        <v>23.3</v>
      </c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>
        <v>49.13</v>
      </c>
      <c r="DP24" s="9">
        <v>16.71</v>
      </c>
      <c r="DQ24" s="9">
        <v>9.1</v>
      </c>
      <c r="DR24" s="9">
        <v>7.61</v>
      </c>
      <c r="DS24" s="9">
        <v>8.81</v>
      </c>
      <c r="DT24" s="9">
        <v>0.17</v>
      </c>
      <c r="DU24" s="9">
        <v>12.31</v>
      </c>
      <c r="DV24" s="9">
        <v>7.85</v>
      </c>
      <c r="DW24" s="9">
        <v>2.27</v>
      </c>
      <c r="DX24" s="9">
        <v>11.27</v>
      </c>
      <c r="DY24" s="9">
        <v>4.3600000000000003</v>
      </c>
      <c r="DZ24" s="9">
        <v>1.37</v>
      </c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>
        <v>1100</v>
      </c>
      <c r="EV24" s="9"/>
      <c r="EW24" s="9"/>
      <c r="EX24" s="9"/>
      <c r="EY24" s="9"/>
      <c r="EZ24" s="9"/>
      <c r="FA24" s="9"/>
      <c r="FB24" s="9">
        <v>29.4</v>
      </c>
      <c r="FC24" s="9">
        <v>18.940000000000001</v>
      </c>
      <c r="FD24" s="9">
        <v>1434.2931818182001</v>
      </c>
      <c r="FE24" s="9">
        <v>12.99</v>
      </c>
      <c r="FF24" s="9">
        <v>277.18437499999999</v>
      </c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>
        <v>1100</v>
      </c>
      <c r="GO24" s="6"/>
      <c r="GP24" s="6"/>
      <c r="GQ24" s="6"/>
    </row>
    <row r="25" spans="1:199" x14ac:dyDescent="0.2">
      <c r="A25" s="8">
        <v>2001</v>
      </c>
      <c r="B25" s="8" t="s">
        <v>227</v>
      </c>
      <c r="C25" s="8" t="s">
        <v>230</v>
      </c>
      <c r="D25" s="9">
        <v>413287.9</v>
      </c>
      <c r="E25" s="9">
        <v>93550.8</v>
      </c>
      <c r="F25" s="9">
        <v>29991.5</v>
      </c>
      <c r="G25" s="9">
        <v>35053.4</v>
      </c>
      <c r="H25" s="9">
        <v>13543.3</v>
      </c>
      <c r="I25" s="9">
        <v>18199.400000000001</v>
      </c>
      <c r="J25" s="9">
        <v>33858.199999999997</v>
      </c>
      <c r="K25" s="9">
        <v>38242.1</v>
      </c>
      <c r="L25" s="9">
        <v>16087.4</v>
      </c>
      <c r="M25" s="9">
        <v>78665</v>
      </c>
      <c r="N25" s="9">
        <v>56096.800000000003</v>
      </c>
      <c r="O25" s="9">
        <v>2299186.0697987219</v>
      </c>
      <c r="P25" s="9">
        <v>374106.09370609123</v>
      </c>
      <c r="Q25" s="9">
        <v>343855.6731787207</v>
      </c>
      <c r="R25" s="9">
        <v>212697.25823777751</v>
      </c>
      <c r="S25" s="9">
        <v>91807.790568335899</v>
      </c>
      <c r="T25" s="9">
        <v>146241.1273563444</v>
      </c>
      <c r="U25" s="9">
        <v>171183.13901312969</v>
      </c>
      <c r="V25" s="9">
        <v>72388.774992100705</v>
      </c>
      <c r="W25" s="9">
        <v>34238.192711283496</v>
      </c>
      <c r="X25" s="9">
        <v>689602.23276703153</v>
      </c>
      <c r="Y25" s="9">
        <v>163065.78726790691</v>
      </c>
      <c r="Z25" s="9"/>
      <c r="AA25" s="9"/>
      <c r="AB25" s="9"/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>
        <v>67.400000000000006</v>
      </c>
      <c r="AX25" s="9">
        <v>70.3</v>
      </c>
      <c r="AY25" s="9">
        <v>58.5</v>
      </c>
      <c r="AZ25" s="9">
        <v>73.599999999999994</v>
      </c>
      <c r="BA25" s="9">
        <v>76.5</v>
      </c>
      <c r="BB25" s="9"/>
      <c r="BC25" s="9">
        <v>76.7</v>
      </c>
      <c r="BD25" s="9">
        <v>50.8</v>
      </c>
      <c r="BE25" s="9">
        <v>96.7</v>
      </c>
      <c r="BF25" s="9">
        <v>86.8</v>
      </c>
      <c r="BG25" s="9"/>
      <c r="BH25" s="9">
        <v>70.599999999999994</v>
      </c>
      <c r="BI25" s="9">
        <v>67</v>
      </c>
      <c r="BJ25" s="9">
        <v>58.5</v>
      </c>
      <c r="BK25" s="9">
        <v>47.9</v>
      </c>
      <c r="BL25" s="9"/>
      <c r="BM25" s="9">
        <v>46.6</v>
      </c>
      <c r="BN25" s="9">
        <v>59596</v>
      </c>
      <c r="BO25" s="9">
        <v>41219.199999999997</v>
      </c>
      <c r="BP25" s="9">
        <v>7743.9</v>
      </c>
      <c r="BQ25" s="9">
        <v>4417.1000000000004</v>
      </c>
      <c r="BR25" s="9">
        <v>3327</v>
      </c>
      <c r="BS25" s="9">
        <v>11031.6</v>
      </c>
      <c r="BT25" s="9">
        <v>11276.9</v>
      </c>
      <c r="BU25" s="9">
        <v>4535</v>
      </c>
      <c r="BV25" s="9">
        <v>16577.900000000001</v>
      </c>
      <c r="BW25" s="9">
        <v>58617.599999999999</v>
      </c>
      <c r="BX25" s="9">
        <v>20478.900000000001</v>
      </c>
      <c r="BY25" s="9">
        <v>32200.799999999999</v>
      </c>
      <c r="BZ25" s="9">
        <v>11094.2</v>
      </c>
      <c r="CA25" s="9">
        <v>1907.6</v>
      </c>
      <c r="CB25" s="9">
        <v>6069.3</v>
      </c>
      <c r="CC25" s="9">
        <v>0</v>
      </c>
      <c r="CD25" s="9">
        <v>0</v>
      </c>
      <c r="CE25" s="9">
        <v>24077.9</v>
      </c>
      <c r="CF25" s="9">
        <v>156155.34080000001</v>
      </c>
      <c r="CG25" s="9">
        <v>331064.28039999999</v>
      </c>
      <c r="CH25" s="9"/>
      <c r="CI25" s="9"/>
      <c r="CJ25" s="9">
        <v>41.4</v>
      </c>
      <c r="CK25" s="9">
        <v>22.2</v>
      </c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>
        <v>68.53</v>
      </c>
      <c r="DP25" s="9">
        <v>14.53</v>
      </c>
      <c r="DQ25" s="9">
        <v>8.34</v>
      </c>
      <c r="DR25" s="9">
        <v>6.19</v>
      </c>
      <c r="DS25" s="9">
        <v>29.49</v>
      </c>
      <c r="DT25" s="9">
        <v>0.36</v>
      </c>
      <c r="DU25" s="9">
        <v>13.58</v>
      </c>
      <c r="DV25" s="9">
        <v>7.4</v>
      </c>
      <c r="DW25" s="9">
        <v>2.98</v>
      </c>
      <c r="DX25" s="9">
        <v>10.92</v>
      </c>
      <c r="DY25" s="9">
        <v>3.43</v>
      </c>
      <c r="DZ25" s="9">
        <v>1.0900000000000001</v>
      </c>
      <c r="EA25" s="9">
        <v>-5.6016500000000002</v>
      </c>
      <c r="EB25" s="9">
        <v>-26.573</v>
      </c>
      <c r="EC25" s="9">
        <v>-27.7883</v>
      </c>
      <c r="ED25" s="9">
        <v>-4.1943299999999999</v>
      </c>
      <c r="EE25" s="9">
        <v>52.953940000000003</v>
      </c>
      <c r="EF25" s="9">
        <v>0</v>
      </c>
      <c r="EG25" s="9">
        <v>-57.417000000000002</v>
      </c>
      <c r="EH25" s="9">
        <v>-25.141999999999999</v>
      </c>
      <c r="EI25" s="9">
        <v>0</v>
      </c>
      <c r="EJ25" s="9">
        <v>0</v>
      </c>
      <c r="EK25" s="9">
        <v>-32.275100000000002</v>
      </c>
      <c r="EL25" s="9">
        <v>-37.924500000000002</v>
      </c>
      <c r="EM25" s="9">
        <v>13.890840000000001</v>
      </c>
      <c r="EN25" s="9"/>
      <c r="EO25" s="9"/>
      <c r="EP25" s="9"/>
      <c r="EQ25" s="9"/>
      <c r="ER25" s="9"/>
      <c r="ES25" s="9"/>
      <c r="ET25" s="9"/>
      <c r="EU25">
        <v>1101.29</v>
      </c>
      <c r="EV25" s="9">
        <v>4244.4399999999996</v>
      </c>
      <c r="EW25" s="9">
        <v>852.23</v>
      </c>
      <c r="EX25" s="9">
        <v>26.08</v>
      </c>
      <c r="EY25" s="9">
        <v>8.02</v>
      </c>
      <c r="EZ25" s="9">
        <v>934.54</v>
      </c>
      <c r="FA25" s="9">
        <v>2423.58</v>
      </c>
      <c r="FB25" s="9">
        <v>27.35</v>
      </c>
      <c r="FC25" s="9">
        <v>18.600000000000001</v>
      </c>
      <c r="FD25" s="9">
        <v>1472.8470588235</v>
      </c>
      <c r="FE25" s="9">
        <v>12.99</v>
      </c>
      <c r="FF25" s="9">
        <v>275.83571430000001</v>
      </c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>
        <v>1102</v>
      </c>
      <c r="GO25" s="6"/>
      <c r="GP25" s="6"/>
      <c r="GQ25" s="6"/>
    </row>
    <row r="26" spans="1:199" x14ac:dyDescent="0.2">
      <c r="A26" s="8">
        <v>2002</v>
      </c>
      <c r="B26" s="8" t="s">
        <v>231</v>
      </c>
      <c r="C26" s="8" t="s">
        <v>232</v>
      </c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  <c r="AB26" s="9"/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>
        <v>23049.8</v>
      </c>
      <c r="BO26" s="9">
        <v>18260.2</v>
      </c>
      <c r="BP26" s="9">
        <v>2578.8000000000002</v>
      </c>
      <c r="BQ26" s="9">
        <v>1380.3</v>
      </c>
      <c r="BR26" s="9">
        <v>1198.5</v>
      </c>
      <c r="BS26" s="9">
        <v>1563.8</v>
      </c>
      <c r="BT26" s="9">
        <v>6912.7</v>
      </c>
      <c r="BU26" s="9">
        <v>3863.8</v>
      </c>
      <c r="BV26" s="9">
        <v>4652.6000000000004</v>
      </c>
      <c r="BW26" s="9">
        <v>23766.400000000001</v>
      </c>
      <c r="BX26" s="9">
        <v>7817.1</v>
      </c>
      <c r="BY26" s="9">
        <v>8947.9</v>
      </c>
      <c r="BZ26" s="9">
        <v>7124.1</v>
      </c>
      <c r="CA26" s="9">
        <v>310.10000000000002</v>
      </c>
      <c r="CB26" s="9">
        <v>0</v>
      </c>
      <c r="CC26" s="9">
        <v>0</v>
      </c>
      <c r="CD26" s="9">
        <v>0</v>
      </c>
      <c r="CE26" s="9">
        <v>597.9</v>
      </c>
      <c r="CF26" s="9">
        <v>141027.61970000001</v>
      </c>
      <c r="CG26" s="9">
        <v>324736.0148</v>
      </c>
      <c r="CH26" s="9"/>
      <c r="CI26" s="9"/>
      <c r="CJ26" s="9">
        <v>39</v>
      </c>
      <c r="CK26" s="9">
        <v>24.2</v>
      </c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>
        <v>45.96</v>
      </c>
      <c r="DP26" s="9">
        <v>18.5</v>
      </c>
      <c r="DQ26" s="9">
        <v>11.63</v>
      </c>
      <c r="DR26" s="9">
        <v>6.87</v>
      </c>
      <c r="DS26" s="9">
        <v>10.24</v>
      </c>
      <c r="DT26" s="9">
        <v>0.23</v>
      </c>
      <c r="DU26" s="9">
        <v>9.58</v>
      </c>
      <c r="DV26" s="9">
        <v>5.7</v>
      </c>
      <c r="DW26" s="9">
        <v>1.51</v>
      </c>
      <c r="DX26" s="9">
        <v>7.65</v>
      </c>
      <c r="DY26" s="9">
        <v>2.61</v>
      </c>
      <c r="DZ26" s="9">
        <v>1.17</v>
      </c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>
        <v>1102</v>
      </c>
      <c r="EV26" s="9"/>
      <c r="EW26" s="9"/>
      <c r="EX26" s="9"/>
      <c r="EY26" s="9"/>
      <c r="EZ26" s="9"/>
      <c r="FA26" s="9"/>
      <c r="FB26" s="9">
        <v>29.1</v>
      </c>
      <c r="FC26" s="9">
        <v>19.48</v>
      </c>
      <c r="FD26" s="9">
        <v>1508.2272727273</v>
      </c>
      <c r="FE26" s="9">
        <v>12.68</v>
      </c>
      <c r="FF26" s="9">
        <v>281</v>
      </c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>
        <v>1102</v>
      </c>
      <c r="GO26" s="6"/>
      <c r="GP26" s="6"/>
      <c r="GQ26" s="6"/>
    </row>
    <row r="27" spans="1:199" x14ac:dyDescent="0.2">
      <c r="A27" s="8">
        <v>2002</v>
      </c>
      <c r="B27" s="8" t="s">
        <v>231</v>
      </c>
      <c r="C27" s="8" t="s">
        <v>233</v>
      </c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9"/>
      <c r="AB27" s="9"/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>
        <v>24550.3</v>
      </c>
      <c r="BO27" s="9">
        <v>19509.8</v>
      </c>
      <c r="BP27" s="9">
        <v>4542.1000000000004</v>
      </c>
      <c r="BQ27" s="9">
        <v>3095.2</v>
      </c>
      <c r="BR27" s="9">
        <v>1446.9</v>
      </c>
      <c r="BS27" s="9">
        <v>2984.1</v>
      </c>
      <c r="BT27" s="9">
        <v>6434</v>
      </c>
      <c r="BU27" s="9">
        <v>3462.7</v>
      </c>
      <c r="BV27" s="9">
        <v>4962.8</v>
      </c>
      <c r="BW27" s="9">
        <v>25814.6</v>
      </c>
      <c r="BX27" s="9">
        <v>2773.4</v>
      </c>
      <c r="BY27" s="9">
        <v>9159.7999999999993</v>
      </c>
      <c r="BZ27" s="9">
        <v>7220</v>
      </c>
      <c r="CA27" s="9">
        <v>922.6</v>
      </c>
      <c r="CB27" s="9">
        <v>0</v>
      </c>
      <c r="CC27" s="9">
        <v>0</v>
      </c>
      <c r="CD27" s="9">
        <v>0</v>
      </c>
      <c r="CE27" s="9">
        <v>930.6</v>
      </c>
      <c r="CF27" s="9">
        <v>138758.8181</v>
      </c>
      <c r="CG27" s="9">
        <v>375321.29139999999</v>
      </c>
      <c r="CH27" s="9"/>
      <c r="CI27" s="9"/>
      <c r="CJ27" s="9">
        <v>34.200000000000003</v>
      </c>
      <c r="CK27" s="9">
        <v>21.4</v>
      </c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>
        <v>43.31</v>
      </c>
      <c r="DP27" s="9">
        <v>20.02</v>
      </c>
      <c r="DQ27" s="9">
        <v>14.82</v>
      </c>
      <c r="DR27" s="9">
        <v>5.21</v>
      </c>
      <c r="DS27" s="9">
        <v>7.72</v>
      </c>
      <c r="DT27" s="9">
        <v>0.19</v>
      </c>
      <c r="DU27" s="9">
        <v>8.15</v>
      </c>
      <c r="DV27" s="9">
        <v>5.48</v>
      </c>
      <c r="DW27" s="9">
        <v>1.1399999999999999</v>
      </c>
      <c r="DX27" s="9">
        <v>7.41</v>
      </c>
      <c r="DY27" s="9">
        <v>3.42</v>
      </c>
      <c r="DZ27" s="9">
        <v>0.92</v>
      </c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>
        <v>1103.4000000000001</v>
      </c>
      <c r="EV27" s="9"/>
      <c r="EW27" s="9"/>
      <c r="EX27" s="9"/>
      <c r="EY27" s="9"/>
      <c r="EZ27" s="9"/>
      <c r="FA27" s="9"/>
      <c r="FB27" s="9">
        <v>29.85</v>
      </c>
      <c r="FC27" s="9">
        <v>20.29</v>
      </c>
      <c r="FD27" s="9">
        <v>1561.3675000000001</v>
      </c>
      <c r="FE27" s="9">
        <v>12.68</v>
      </c>
      <c r="FF27" s="9">
        <v>295.28750000000002</v>
      </c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>
        <v>1104</v>
      </c>
      <c r="GO27" s="6"/>
      <c r="GP27" s="6"/>
      <c r="GQ27" s="6"/>
    </row>
    <row r="28" spans="1:199" x14ac:dyDescent="0.2">
      <c r="A28" s="8">
        <v>2002</v>
      </c>
      <c r="B28" s="8" t="s">
        <v>231</v>
      </c>
      <c r="C28" s="8" t="s">
        <v>234</v>
      </c>
      <c r="D28" s="9">
        <v>275719.5</v>
      </c>
      <c r="E28" s="9">
        <v>8997.6</v>
      </c>
      <c r="F28" s="9">
        <v>23550.7</v>
      </c>
      <c r="G28" s="9">
        <v>21831.9</v>
      </c>
      <c r="H28" s="9">
        <v>17149.8</v>
      </c>
      <c r="I28" s="9">
        <v>2283.3000000000002</v>
      </c>
      <c r="J28" s="9">
        <v>36257.599999999999</v>
      </c>
      <c r="K28" s="9">
        <v>32990</v>
      </c>
      <c r="L28" s="9">
        <v>14035.9</v>
      </c>
      <c r="M28" s="9">
        <v>83171.399999999994</v>
      </c>
      <c r="N28" s="9">
        <v>35451.4</v>
      </c>
      <c r="O28" s="9">
        <v>1442019.1330022749</v>
      </c>
      <c r="P28" s="9">
        <v>32143.6514527094</v>
      </c>
      <c r="Q28" s="9">
        <v>189708.5951133495</v>
      </c>
      <c r="R28" s="9">
        <v>176930.9824891423</v>
      </c>
      <c r="S28" s="9">
        <v>77634.137282452793</v>
      </c>
      <c r="T28" s="9">
        <v>14905.712353749799</v>
      </c>
      <c r="U28" s="9">
        <v>170170.79215420861</v>
      </c>
      <c r="V28" s="9">
        <v>54028.1925381318</v>
      </c>
      <c r="W28" s="9">
        <v>25653.0056561864</v>
      </c>
      <c r="X28" s="9">
        <v>599528.57827091066</v>
      </c>
      <c r="Y28" s="9">
        <v>101315.4856914337</v>
      </c>
      <c r="Z28" s="9"/>
      <c r="AA28" s="9"/>
      <c r="AB28" s="9"/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>
        <v>68</v>
      </c>
      <c r="AX28" s="9">
        <v>38.9</v>
      </c>
      <c r="AY28" s="9">
        <v>77.7</v>
      </c>
      <c r="AZ28" s="9">
        <v>67.099999999999994</v>
      </c>
      <c r="BA28" s="9">
        <v>88.8</v>
      </c>
      <c r="BB28" s="9"/>
      <c r="BC28" s="9">
        <v>74</v>
      </c>
      <c r="BD28" s="9">
        <v>51.3</v>
      </c>
      <c r="BE28" s="9">
        <v>82.9</v>
      </c>
      <c r="BF28" s="9">
        <v>72.400000000000006</v>
      </c>
      <c r="BG28" s="9"/>
      <c r="BH28" s="9">
        <v>71.2</v>
      </c>
      <c r="BI28" s="9">
        <v>50.5</v>
      </c>
      <c r="BJ28" s="9">
        <v>60.2</v>
      </c>
      <c r="BK28" s="9">
        <v>49.8</v>
      </c>
      <c r="BL28" s="9"/>
      <c r="BM28" s="9">
        <v>46.2</v>
      </c>
      <c r="BN28" s="9">
        <v>36512.800000000003</v>
      </c>
      <c r="BO28" s="9">
        <v>26812.5</v>
      </c>
      <c r="BP28" s="9">
        <v>4979.6000000000004</v>
      </c>
      <c r="BQ28" s="9">
        <v>3026.6</v>
      </c>
      <c r="BR28" s="9">
        <v>1953.1</v>
      </c>
      <c r="BS28" s="9">
        <v>6429.2</v>
      </c>
      <c r="BT28" s="9">
        <v>8980.2000000000007</v>
      </c>
      <c r="BU28" s="9">
        <v>2767.9</v>
      </c>
      <c r="BV28" s="9">
        <v>8599.9</v>
      </c>
      <c r="BW28" s="9">
        <v>31406.6</v>
      </c>
      <c r="BX28" s="9">
        <v>1832.4</v>
      </c>
      <c r="BY28" s="9">
        <v>13939.7</v>
      </c>
      <c r="BZ28" s="9">
        <v>7795.4</v>
      </c>
      <c r="CA28" s="9">
        <v>1546.3</v>
      </c>
      <c r="CB28" s="9">
        <v>0</v>
      </c>
      <c r="CC28" s="9">
        <v>0</v>
      </c>
      <c r="CD28" s="9">
        <v>0</v>
      </c>
      <c r="CE28" s="9">
        <v>2384.5</v>
      </c>
      <c r="CF28" s="9">
        <v>146932.2199</v>
      </c>
      <c r="CG28" s="9">
        <v>345871.8933</v>
      </c>
      <c r="CH28" s="9"/>
      <c r="CI28" s="9"/>
      <c r="CJ28" s="9">
        <v>39.299999999999997</v>
      </c>
      <c r="CK28" s="9">
        <v>21.1</v>
      </c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>
        <v>42.7</v>
      </c>
      <c r="DP28" s="9">
        <v>14.26</v>
      </c>
      <c r="DQ28" s="9">
        <v>9.2799999999999994</v>
      </c>
      <c r="DR28" s="9">
        <v>4.9800000000000004</v>
      </c>
      <c r="DS28" s="9">
        <v>11.24</v>
      </c>
      <c r="DT28" s="9">
        <v>0.18</v>
      </c>
      <c r="DU28" s="9">
        <v>11.36</v>
      </c>
      <c r="DV28" s="9">
        <v>6.83</v>
      </c>
      <c r="DW28" s="9">
        <v>2.4</v>
      </c>
      <c r="DX28" s="9">
        <v>5.83</v>
      </c>
      <c r="DY28" s="9">
        <v>1.89</v>
      </c>
      <c r="DZ28" s="9">
        <v>0.69</v>
      </c>
      <c r="EA28" s="9">
        <v>0.86574300000000004</v>
      </c>
      <c r="EB28" s="9">
        <v>0.65576000000000001</v>
      </c>
      <c r="EC28" s="9">
        <v>-25.917000000000002</v>
      </c>
      <c r="ED28" s="9">
        <v>1.0140119999999999</v>
      </c>
      <c r="EE28" s="9">
        <v>25.112950000000001</v>
      </c>
      <c r="EF28" s="9">
        <v>0</v>
      </c>
      <c r="EG28" s="9">
        <v>-21.933</v>
      </c>
      <c r="EH28" s="9">
        <v>-6.9909999999999997</v>
      </c>
      <c r="EI28" s="9">
        <v>0</v>
      </c>
      <c r="EJ28" s="9">
        <v>0</v>
      </c>
      <c r="EK28" s="9">
        <v>-14.942</v>
      </c>
      <c r="EL28" s="9">
        <v>-29.998799999999999</v>
      </c>
      <c r="EM28" s="9">
        <v>-7.2</v>
      </c>
      <c r="EN28" s="9"/>
      <c r="EO28" s="9"/>
      <c r="EP28" s="9"/>
      <c r="EQ28" s="9"/>
      <c r="ER28" s="9"/>
      <c r="ES28" s="9"/>
      <c r="ET28" s="9"/>
      <c r="EU28">
        <v>1104</v>
      </c>
      <c r="EV28" s="9">
        <v>4272.82</v>
      </c>
      <c r="EW28" s="9">
        <v>878.89</v>
      </c>
      <c r="EX28" s="9">
        <v>24.22</v>
      </c>
      <c r="EY28" s="9">
        <v>9.58</v>
      </c>
      <c r="EZ28" s="9">
        <v>936.55</v>
      </c>
      <c r="FA28" s="9">
        <v>2423.58</v>
      </c>
      <c r="FB28" s="9">
        <v>29.55</v>
      </c>
      <c r="FC28" s="9">
        <v>23.69</v>
      </c>
      <c r="FD28" s="9">
        <v>1607.3924999999999</v>
      </c>
      <c r="FE28" s="9">
        <v>12.68</v>
      </c>
      <c r="FF28" s="9">
        <v>294.04750000000001</v>
      </c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>
        <v>1104</v>
      </c>
      <c r="GO28" s="6"/>
      <c r="GP28" s="6"/>
      <c r="GQ28" s="6"/>
    </row>
    <row r="29" spans="1:199" x14ac:dyDescent="0.2">
      <c r="A29" s="8">
        <v>2002</v>
      </c>
      <c r="B29" s="8" t="s">
        <v>235</v>
      </c>
      <c r="C29" s="8" t="s">
        <v>236</v>
      </c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>
        <v>37290.300000000003</v>
      </c>
      <c r="BO29" s="9">
        <v>32307.599999999999</v>
      </c>
      <c r="BP29" s="9">
        <v>5292.3</v>
      </c>
      <c r="BQ29" s="9">
        <v>2985.7</v>
      </c>
      <c r="BR29" s="9">
        <v>2306.5</v>
      </c>
      <c r="BS29" s="9">
        <v>1824</v>
      </c>
      <c r="BT29" s="9">
        <v>15831.1</v>
      </c>
      <c r="BU29" s="9">
        <v>5490.1</v>
      </c>
      <c r="BV29" s="9">
        <v>4972.1000000000004</v>
      </c>
      <c r="BW29" s="9">
        <v>28183.3</v>
      </c>
      <c r="BX29" s="9">
        <v>5711.8</v>
      </c>
      <c r="BY29" s="9">
        <v>12234.9</v>
      </c>
      <c r="BZ29" s="9">
        <v>6943</v>
      </c>
      <c r="CA29" s="9">
        <v>1697.9</v>
      </c>
      <c r="CB29" s="9">
        <v>0</v>
      </c>
      <c r="CC29" s="9">
        <v>0</v>
      </c>
      <c r="CD29" s="9">
        <v>0</v>
      </c>
      <c r="CE29" s="9">
        <v>1211</v>
      </c>
      <c r="CF29" s="9">
        <v>164200.921</v>
      </c>
      <c r="CG29" s="9">
        <v>369434.99342000001</v>
      </c>
      <c r="CH29" s="9"/>
      <c r="CI29" s="9"/>
      <c r="CJ29" s="9">
        <v>37.799999999999997</v>
      </c>
      <c r="CK29" s="9">
        <v>22.3</v>
      </c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>
        <v>63.05</v>
      </c>
      <c r="DP29" s="9">
        <v>19.59</v>
      </c>
      <c r="DQ29" s="9">
        <v>11.07</v>
      </c>
      <c r="DR29" s="9">
        <v>8.52</v>
      </c>
      <c r="DS29" s="9">
        <v>12.82</v>
      </c>
      <c r="DT29" s="9">
        <v>0.18</v>
      </c>
      <c r="DU29" s="9">
        <v>22.43</v>
      </c>
      <c r="DV29" s="9">
        <v>12.39</v>
      </c>
      <c r="DW29" s="9">
        <v>5.44</v>
      </c>
      <c r="DX29" s="9">
        <v>8.2100000000000009</v>
      </c>
      <c r="DY29" s="9">
        <v>4.03</v>
      </c>
      <c r="DZ29" s="9">
        <v>1.03</v>
      </c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>
        <v>1104</v>
      </c>
      <c r="EV29" s="9"/>
      <c r="EW29" s="9"/>
      <c r="EX29" s="9"/>
      <c r="EY29" s="9"/>
      <c r="EZ29" s="9"/>
      <c r="FA29" s="9"/>
      <c r="FB29" s="9">
        <v>28.84</v>
      </c>
      <c r="FC29" s="9">
        <v>25.65</v>
      </c>
      <c r="FD29" s="9">
        <v>1588.5714285714</v>
      </c>
      <c r="FE29" s="9">
        <v>12.68</v>
      </c>
      <c r="FF29" s="9">
        <v>302.68333330000002</v>
      </c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>
        <v>1104</v>
      </c>
      <c r="GO29" s="6"/>
      <c r="GP29" s="6"/>
      <c r="GQ29" s="6"/>
    </row>
    <row r="30" spans="1:199" x14ac:dyDescent="0.2">
      <c r="A30" s="8">
        <v>2002</v>
      </c>
      <c r="B30" s="8" t="s">
        <v>235</v>
      </c>
      <c r="C30" s="8" t="s">
        <v>237</v>
      </c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>
        <v>24039</v>
      </c>
      <c r="BO30" s="9">
        <v>17851.8</v>
      </c>
      <c r="BP30" s="9">
        <v>5033.6000000000004</v>
      </c>
      <c r="BQ30" s="9">
        <v>2907.6</v>
      </c>
      <c r="BR30" s="9">
        <v>2126</v>
      </c>
      <c r="BS30" s="9">
        <v>937.7</v>
      </c>
      <c r="BT30" s="9">
        <v>3856.7</v>
      </c>
      <c r="BU30" s="9">
        <v>3428</v>
      </c>
      <c r="BV30" s="9">
        <v>5735.3</v>
      </c>
      <c r="BW30" s="9">
        <v>31426.7</v>
      </c>
      <c r="BX30" s="9">
        <v>6450.4</v>
      </c>
      <c r="BY30" s="9">
        <v>12311.8</v>
      </c>
      <c r="BZ30" s="9">
        <v>8780.2000000000007</v>
      </c>
      <c r="CA30" s="9">
        <v>1985.9</v>
      </c>
      <c r="CB30" s="9">
        <v>0</v>
      </c>
      <c r="CC30" s="9">
        <v>0</v>
      </c>
      <c r="CD30" s="9">
        <v>0</v>
      </c>
      <c r="CE30" s="9">
        <v>5224.1000000000004</v>
      </c>
      <c r="CF30" s="9">
        <v>178267.6434</v>
      </c>
      <c r="CG30" s="9">
        <v>388396.19603300001</v>
      </c>
      <c r="CH30" s="9"/>
      <c r="CI30" s="9"/>
      <c r="CJ30" s="9">
        <v>35.5</v>
      </c>
      <c r="CK30" s="9">
        <v>19.600000000000001</v>
      </c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>
        <v>63.43</v>
      </c>
      <c r="DP30" s="9">
        <v>19.89</v>
      </c>
      <c r="DQ30" s="9">
        <v>12.26</v>
      </c>
      <c r="DR30" s="9">
        <v>7.64</v>
      </c>
      <c r="DS30" s="9">
        <v>16.309999999999999</v>
      </c>
      <c r="DT30" s="9">
        <v>1.17</v>
      </c>
      <c r="DU30" s="9">
        <v>18.61</v>
      </c>
      <c r="DV30" s="9">
        <v>12.42</v>
      </c>
      <c r="DW30" s="9">
        <v>4.6100000000000003</v>
      </c>
      <c r="DX30" s="9">
        <v>8.61</v>
      </c>
      <c r="DY30" s="9">
        <v>3.06</v>
      </c>
      <c r="DZ30" s="9">
        <v>1.23</v>
      </c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>
        <v>1103.3499999999999</v>
      </c>
      <c r="EV30" s="9"/>
      <c r="EW30" s="9"/>
      <c r="EX30" s="9"/>
      <c r="EY30" s="9"/>
      <c r="EZ30" s="9"/>
      <c r="FA30" s="9"/>
      <c r="FB30" s="9">
        <v>28.63</v>
      </c>
      <c r="FC30" s="9">
        <v>25.43</v>
      </c>
      <c r="FD30" s="9">
        <v>1597.0227272727</v>
      </c>
      <c r="FE30" s="9">
        <v>12.68</v>
      </c>
      <c r="FF30" s="9">
        <v>314.4931818</v>
      </c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>
        <v>1103</v>
      </c>
      <c r="GO30" s="6"/>
      <c r="GP30" s="6"/>
      <c r="GQ30" s="6"/>
    </row>
    <row r="31" spans="1:199" x14ac:dyDescent="0.2">
      <c r="A31" s="8">
        <v>2002</v>
      </c>
      <c r="B31" s="8" t="s">
        <v>235</v>
      </c>
      <c r="C31" s="8" t="s">
        <v>238</v>
      </c>
      <c r="D31" s="9">
        <v>425193.8</v>
      </c>
      <c r="E31" s="9">
        <v>117966.2</v>
      </c>
      <c r="F31" s="9">
        <v>37980.699999999997</v>
      </c>
      <c r="G31" s="9">
        <v>23626.1</v>
      </c>
      <c r="H31" s="9">
        <v>12692.7</v>
      </c>
      <c r="I31" s="9">
        <v>6553.1</v>
      </c>
      <c r="J31" s="9">
        <v>42389.7</v>
      </c>
      <c r="K31" s="9">
        <v>31453.8</v>
      </c>
      <c r="L31" s="9">
        <v>14296.6</v>
      </c>
      <c r="M31" s="9">
        <v>92748.6</v>
      </c>
      <c r="N31" s="9">
        <v>45486.2</v>
      </c>
      <c r="O31" s="9">
        <v>2223773.0549850222</v>
      </c>
      <c r="P31" s="9">
        <v>447497.56578701222</v>
      </c>
      <c r="Q31" s="9">
        <v>324870.82526979782</v>
      </c>
      <c r="R31" s="9">
        <v>203314.7809353832</v>
      </c>
      <c r="S31" s="9">
        <v>61011.576384882399</v>
      </c>
      <c r="T31" s="9">
        <v>45425.646201397503</v>
      </c>
      <c r="U31" s="9">
        <v>211256.88383601169</v>
      </c>
      <c r="V31" s="9">
        <v>54698.548719812301</v>
      </c>
      <c r="W31" s="9">
        <v>27745.676429013802</v>
      </c>
      <c r="X31" s="9">
        <v>709917.36616191559</v>
      </c>
      <c r="Y31" s="9">
        <v>138034.18525979531</v>
      </c>
      <c r="Z31" s="9"/>
      <c r="AA31" s="9"/>
      <c r="AB31" s="9"/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>
        <v>70.099999999999994</v>
      </c>
      <c r="AX31" s="9">
        <v>42.6</v>
      </c>
      <c r="AY31" s="9">
        <v>70.7</v>
      </c>
      <c r="AZ31" s="9">
        <v>65.400000000000006</v>
      </c>
      <c r="BA31" s="9">
        <v>77</v>
      </c>
      <c r="BB31" s="9"/>
      <c r="BC31" s="9">
        <v>87.4</v>
      </c>
      <c r="BD31" s="9">
        <v>60</v>
      </c>
      <c r="BE31" s="9">
        <v>95.2</v>
      </c>
      <c r="BF31" s="9">
        <v>72.5</v>
      </c>
      <c r="BG31" s="9"/>
      <c r="BH31" s="9">
        <v>77.599999999999994</v>
      </c>
      <c r="BI31" s="9">
        <v>55.1</v>
      </c>
      <c r="BJ31" s="9">
        <v>74.099999999999994</v>
      </c>
      <c r="BK31" s="9">
        <v>51.7</v>
      </c>
      <c r="BL31" s="9"/>
      <c r="BM31" s="9">
        <v>50</v>
      </c>
      <c r="BN31" s="9">
        <v>42261.3</v>
      </c>
      <c r="BO31" s="9">
        <v>27943</v>
      </c>
      <c r="BP31" s="9">
        <v>5457.9</v>
      </c>
      <c r="BQ31" s="9">
        <v>3794.3</v>
      </c>
      <c r="BR31" s="9">
        <v>1663.6</v>
      </c>
      <c r="BS31" s="9">
        <v>3031.6</v>
      </c>
      <c r="BT31" s="9">
        <v>9693.5</v>
      </c>
      <c r="BU31" s="9">
        <v>4212.1000000000004</v>
      </c>
      <c r="BV31" s="9">
        <v>13506.6</v>
      </c>
      <c r="BW31" s="9">
        <v>46251.3</v>
      </c>
      <c r="BX31" s="9">
        <v>6125.2</v>
      </c>
      <c r="BY31" s="9">
        <v>19099.5</v>
      </c>
      <c r="BZ31" s="9">
        <v>14340.3</v>
      </c>
      <c r="CA31" s="9">
        <v>3202.3</v>
      </c>
      <c r="CB31" s="9">
        <v>0</v>
      </c>
      <c r="CC31" s="9">
        <v>0</v>
      </c>
      <c r="CD31" s="9">
        <v>0</v>
      </c>
      <c r="CE31" s="9">
        <v>5165.8999999999996</v>
      </c>
      <c r="CF31" s="9">
        <v>187708.4448</v>
      </c>
      <c r="CG31" s="9">
        <v>401163.56407999998</v>
      </c>
      <c r="CH31" s="9"/>
      <c r="CI31" s="9"/>
      <c r="CJ31" s="9">
        <v>33.4</v>
      </c>
      <c r="CK31" s="9">
        <v>22.3</v>
      </c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>
        <v>59.71</v>
      </c>
      <c r="DP31" s="9">
        <v>18.23</v>
      </c>
      <c r="DQ31" s="9">
        <v>10.41</v>
      </c>
      <c r="DR31" s="9">
        <v>7.81</v>
      </c>
      <c r="DS31" s="9">
        <v>11.66</v>
      </c>
      <c r="DT31" s="9">
        <v>0.12</v>
      </c>
      <c r="DU31" s="9">
        <v>18.489999999999998</v>
      </c>
      <c r="DV31" s="9">
        <v>12.24</v>
      </c>
      <c r="DW31" s="9">
        <v>4.01</v>
      </c>
      <c r="DX31" s="9">
        <v>11.33</v>
      </c>
      <c r="DY31" s="9">
        <v>4.0199999999999996</v>
      </c>
      <c r="DZ31" s="9">
        <v>1.05</v>
      </c>
      <c r="EA31" s="9">
        <v>-74.683899999999994</v>
      </c>
      <c r="EB31" s="9">
        <v>-75.221900000000005</v>
      </c>
      <c r="EC31" s="9">
        <v>-25.787199999999999</v>
      </c>
      <c r="ED31" s="9">
        <v>-4.30518</v>
      </c>
      <c r="EE31" s="9">
        <v>30.630299999999998</v>
      </c>
      <c r="EF31" s="9">
        <v>0</v>
      </c>
      <c r="EG31" s="9">
        <v>-23.014900000000001</v>
      </c>
      <c r="EH31" s="9">
        <v>-20</v>
      </c>
      <c r="EI31" s="9">
        <v>0</v>
      </c>
      <c r="EJ31" s="9">
        <v>0</v>
      </c>
      <c r="EK31" s="9">
        <v>-3.0148600000000001</v>
      </c>
      <c r="EL31" s="9">
        <v>63.06906</v>
      </c>
      <c r="EM31" s="9">
        <v>11.4</v>
      </c>
      <c r="EN31" s="9"/>
      <c r="EO31" s="9"/>
      <c r="EP31" s="9"/>
      <c r="EQ31" s="9"/>
      <c r="ER31" s="9"/>
      <c r="ES31" s="9"/>
      <c r="ET31" s="9"/>
      <c r="EU31">
        <v>1104</v>
      </c>
      <c r="EV31" s="9">
        <v>4285.72</v>
      </c>
      <c r="EW31" s="9">
        <v>901.99</v>
      </c>
      <c r="EX31" s="9">
        <v>22.25</v>
      </c>
      <c r="EY31" s="9">
        <v>10.68</v>
      </c>
      <c r="EZ31" s="9">
        <v>927.22</v>
      </c>
      <c r="FA31" s="9">
        <v>2423.58</v>
      </c>
      <c r="FB31" s="9">
        <v>26.65</v>
      </c>
      <c r="FC31" s="9">
        <v>24.13</v>
      </c>
      <c r="FD31" s="9">
        <v>1650.5944444444001</v>
      </c>
      <c r="FE31" s="9">
        <v>12.68</v>
      </c>
      <c r="FF31" s="9">
        <v>321.1777778</v>
      </c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>
        <v>1105</v>
      </c>
      <c r="GO31" s="6"/>
      <c r="GP31" s="6"/>
      <c r="GQ31" s="6"/>
    </row>
    <row r="32" spans="1:199" x14ac:dyDescent="0.2">
      <c r="A32" s="8">
        <v>2002</v>
      </c>
      <c r="B32" s="8" t="s">
        <v>239</v>
      </c>
      <c r="C32" s="8" t="s">
        <v>240</v>
      </c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>
        <v>39849.300000000003</v>
      </c>
      <c r="BO32" s="9">
        <v>31298.799999999999</v>
      </c>
      <c r="BP32" s="9">
        <v>5897.3</v>
      </c>
      <c r="BQ32" s="9">
        <v>3454.1</v>
      </c>
      <c r="BR32" s="9">
        <v>2443.1999999999998</v>
      </c>
      <c r="BS32" s="9">
        <v>5069.8999999999996</v>
      </c>
      <c r="BT32" s="9">
        <v>10889.9</v>
      </c>
      <c r="BU32" s="9">
        <v>4713.2</v>
      </c>
      <c r="BV32" s="9">
        <v>8141.5</v>
      </c>
      <c r="BW32" s="9">
        <v>33350</v>
      </c>
      <c r="BX32" s="9">
        <v>995.7</v>
      </c>
      <c r="BY32" s="9">
        <v>15033.7</v>
      </c>
      <c r="BZ32" s="9">
        <v>7785.8</v>
      </c>
      <c r="CA32" s="9">
        <v>305.89999999999998</v>
      </c>
      <c r="CB32" s="9">
        <v>0</v>
      </c>
      <c r="CC32" s="9">
        <v>0</v>
      </c>
      <c r="CD32" s="9">
        <v>0</v>
      </c>
      <c r="CE32" s="9">
        <v>5569.7</v>
      </c>
      <c r="CF32" s="9">
        <v>185360.31330000001</v>
      </c>
      <c r="CG32" s="9">
        <v>421872.69257999997</v>
      </c>
      <c r="CH32" s="9"/>
      <c r="CI32" s="9"/>
      <c r="CJ32" s="9">
        <v>33.200000000000003</v>
      </c>
      <c r="CK32" s="9">
        <v>19.899999999999999</v>
      </c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>
        <v>72.72</v>
      </c>
      <c r="DP32" s="9">
        <v>28.08</v>
      </c>
      <c r="DQ32" s="9">
        <v>14.45</v>
      </c>
      <c r="DR32" s="9">
        <v>13.63</v>
      </c>
      <c r="DS32" s="9">
        <v>11.42</v>
      </c>
      <c r="DT32" s="9">
        <v>0.52</v>
      </c>
      <c r="DU32" s="9">
        <v>21.56</v>
      </c>
      <c r="DV32" s="9">
        <v>11.33</v>
      </c>
      <c r="DW32" s="9">
        <v>5.8</v>
      </c>
      <c r="DX32" s="9">
        <v>11.65</v>
      </c>
      <c r="DY32" s="9">
        <v>5.53</v>
      </c>
      <c r="DZ32" s="9">
        <v>0.87</v>
      </c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>
        <v>1108.3800000000001</v>
      </c>
      <c r="EV32" s="9"/>
      <c r="EW32" s="9"/>
      <c r="EX32" s="9"/>
      <c r="EY32" s="9"/>
      <c r="EZ32" s="9"/>
      <c r="FA32" s="9"/>
      <c r="FB32" s="9">
        <v>24.9</v>
      </c>
      <c r="FC32" s="9">
        <v>25.77</v>
      </c>
      <c r="FD32" s="9">
        <v>1588.2847826087</v>
      </c>
      <c r="FE32" s="9">
        <v>12.68</v>
      </c>
      <c r="FF32" s="9">
        <v>313.29130429999998</v>
      </c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>
        <v>1110</v>
      </c>
      <c r="GO32" s="6"/>
      <c r="GP32" s="6"/>
      <c r="GQ32" s="6"/>
    </row>
    <row r="33" spans="1:199" x14ac:dyDescent="0.2">
      <c r="A33" s="8">
        <v>2002</v>
      </c>
      <c r="B33" s="8" t="s">
        <v>239</v>
      </c>
      <c r="C33" s="8" t="s">
        <v>241</v>
      </c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>
        <v>37066.400000000001</v>
      </c>
      <c r="BO33" s="9">
        <v>29076.1</v>
      </c>
      <c r="BP33" s="9">
        <v>4548.5</v>
      </c>
      <c r="BQ33" s="9">
        <v>2704.1</v>
      </c>
      <c r="BR33" s="9">
        <v>1844.4</v>
      </c>
      <c r="BS33" s="9">
        <v>315</v>
      </c>
      <c r="BT33" s="9">
        <v>9958.6</v>
      </c>
      <c r="BU33" s="9">
        <v>5092.7</v>
      </c>
      <c r="BV33" s="9">
        <v>7197.9</v>
      </c>
      <c r="BW33" s="9">
        <v>24526.3</v>
      </c>
      <c r="BX33" s="9">
        <v>4530</v>
      </c>
      <c r="BY33" s="9">
        <v>10900.7</v>
      </c>
      <c r="BZ33" s="9">
        <v>5771.4</v>
      </c>
      <c r="CA33" s="9">
        <v>1390.1</v>
      </c>
      <c r="CB33" s="9">
        <v>0</v>
      </c>
      <c r="CC33" s="9">
        <v>0</v>
      </c>
      <c r="CD33" s="9">
        <v>0</v>
      </c>
      <c r="CE33" s="9">
        <v>5505.2</v>
      </c>
      <c r="CF33" s="9">
        <v>189423.1329</v>
      </c>
      <c r="CG33" s="9">
        <v>431021.13945999998</v>
      </c>
      <c r="CH33" s="9"/>
      <c r="CI33" s="9"/>
      <c r="CJ33" s="9">
        <v>35</v>
      </c>
      <c r="CK33" s="9">
        <v>20.399999999999999</v>
      </c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>
        <v>63.9</v>
      </c>
      <c r="DP33" s="9">
        <v>19.739999999999998</v>
      </c>
      <c r="DQ33" s="9">
        <v>10.41</v>
      </c>
      <c r="DR33" s="9">
        <v>9.33</v>
      </c>
      <c r="DS33" s="9">
        <v>9.4600000000000009</v>
      </c>
      <c r="DT33" s="9">
        <v>0.11</v>
      </c>
      <c r="DU33" s="9">
        <v>20.66</v>
      </c>
      <c r="DV33" s="9">
        <v>13.25</v>
      </c>
      <c r="DW33" s="9">
        <v>4.6399999999999997</v>
      </c>
      <c r="DX33" s="9">
        <v>14.03</v>
      </c>
      <c r="DY33" s="9">
        <v>5.72</v>
      </c>
      <c r="DZ33" s="9">
        <v>2.09</v>
      </c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>
        <v>1113.23</v>
      </c>
      <c r="EV33" s="9"/>
      <c r="EW33" s="9"/>
      <c r="EX33" s="9"/>
      <c r="EY33" s="9"/>
      <c r="EZ33" s="9"/>
      <c r="FA33" s="9"/>
      <c r="FB33" s="9">
        <v>24</v>
      </c>
      <c r="FC33" s="9">
        <v>26.63</v>
      </c>
      <c r="FD33" s="9">
        <v>1482.9166666666999</v>
      </c>
      <c r="FE33" s="9">
        <v>12.68</v>
      </c>
      <c r="FF33" s="9">
        <v>310.28095239999999</v>
      </c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>
        <v>1116</v>
      </c>
      <c r="GO33" s="6"/>
      <c r="GP33" s="6"/>
      <c r="GQ33" s="6"/>
    </row>
    <row r="34" spans="1:199" x14ac:dyDescent="0.2">
      <c r="A34" s="8">
        <v>2002</v>
      </c>
      <c r="B34" s="8" t="s">
        <v>239</v>
      </c>
      <c r="C34" s="8" t="s">
        <v>242</v>
      </c>
      <c r="D34" s="9">
        <v>401063.5</v>
      </c>
      <c r="E34" s="9">
        <v>82992.399999999994</v>
      </c>
      <c r="F34" s="9">
        <v>45167.5</v>
      </c>
      <c r="G34" s="9">
        <v>24318.9</v>
      </c>
      <c r="H34" s="9">
        <v>12011.8</v>
      </c>
      <c r="I34" s="9">
        <v>7426.8</v>
      </c>
      <c r="J34" s="9">
        <v>41332.800000000003</v>
      </c>
      <c r="K34" s="9">
        <v>42510.8</v>
      </c>
      <c r="L34" s="9">
        <v>11975.6</v>
      </c>
      <c r="M34" s="9">
        <v>83089.899999999994</v>
      </c>
      <c r="N34" s="9">
        <v>50237</v>
      </c>
      <c r="O34" s="9">
        <v>2097571.0479268171</v>
      </c>
      <c r="P34" s="9">
        <v>312784.71629866463</v>
      </c>
      <c r="Q34" s="9">
        <v>383837.95147383597</v>
      </c>
      <c r="R34" s="9">
        <v>207919.37191820689</v>
      </c>
      <c r="S34" s="9">
        <v>57364.133248361402</v>
      </c>
      <c r="T34" s="9">
        <v>51148.177083475603</v>
      </c>
      <c r="U34" s="9">
        <v>204653.63630290781</v>
      </c>
      <c r="V34" s="9">
        <v>73447.340232859104</v>
      </c>
      <c r="W34" s="9">
        <v>23090.532319149999</v>
      </c>
      <c r="X34" s="9">
        <v>631862.79783184559</v>
      </c>
      <c r="Y34" s="9">
        <v>151462.3912175103</v>
      </c>
      <c r="Z34" s="9"/>
      <c r="AA34" s="9"/>
      <c r="AB34" s="9"/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>
        <v>71.400000000000006</v>
      </c>
      <c r="AX34" s="9">
        <v>52.8</v>
      </c>
      <c r="AY34" s="9">
        <v>79.599999999999994</v>
      </c>
      <c r="AZ34" s="9">
        <v>69</v>
      </c>
      <c r="BA34" s="9">
        <v>77.599999999999994</v>
      </c>
      <c r="BB34" s="9"/>
      <c r="BC34" s="9">
        <v>98</v>
      </c>
      <c r="BD34" s="9">
        <v>59.7</v>
      </c>
      <c r="BE34" s="9">
        <v>90.4</v>
      </c>
      <c r="BF34" s="9">
        <v>87.8</v>
      </c>
      <c r="BG34" s="9"/>
      <c r="BH34" s="9">
        <v>85.3</v>
      </c>
      <c r="BI34" s="9">
        <v>60.5</v>
      </c>
      <c r="BJ34" s="9">
        <v>54.2</v>
      </c>
      <c r="BK34" s="9">
        <v>50.6</v>
      </c>
      <c r="BL34" s="9"/>
      <c r="BM34" s="9">
        <v>50.9</v>
      </c>
      <c r="BN34" s="9">
        <v>43963.8</v>
      </c>
      <c r="BO34" s="9">
        <v>30643.599999999999</v>
      </c>
      <c r="BP34" s="9">
        <v>5719.1</v>
      </c>
      <c r="BQ34" s="9">
        <v>3592.5</v>
      </c>
      <c r="BR34" s="9">
        <v>2126.5</v>
      </c>
      <c r="BS34" s="9">
        <v>4060.5</v>
      </c>
      <c r="BT34" s="9">
        <v>8889.2000000000007</v>
      </c>
      <c r="BU34" s="9">
        <v>4734.8999999999996</v>
      </c>
      <c r="BV34" s="9">
        <v>12717.5</v>
      </c>
      <c r="BW34" s="9">
        <v>34116</v>
      </c>
      <c r="BX34" s="9">
        <v>2155.5</v>
      </c>
      <c r="BY34" s="9">
        <v>15519.9</v>
      </c>
      <c r="BZ34" s="9">
        <v>7937.5</v>
      </c>
      <c r="CA34" s="9">
        <v>1018.6</v>
      </c>
      <c r="CB34" s="9">
        <v>0</v>
      </c>
      <c r="CC34" s="9">
        <v>0</v>
      </c>
      <c r="CD34" s="9">
        <v>0</v>
      </c>
      <c r="CE34" s="9">
        <v>10603.8</v>
      </c>
      <c r="CF34" s="9">
        <v>181084.6814</v>
      </c>
      <c r="CG34" s="9">
        <v>437671.00468399998</v>
      </c>
      <c r="CH34" s="9"/>
      <c r="CI34" s="9"/>
      <c r="CJ34" s="9">
        <v>35</v>
      </c>
      <c r="CK34" s="9">
        <v>23.6</v>
      </c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>
        <v>52.98</v>
      </c>
      <c r="DP34" s="9">
        <v>19.68</v>
      </c>
      <c r="DQ34" s="9">
        <v>11.13</v>
      </c>
      <c r="DR34" s="9">
        <v>8.5500000000000007</v>
      </c>
      <c r="DS34" s="9">
        <v>9.5299999999999994</v>
      </c>
      <c r="DT34" s="9">
        <v>0.11</v>
      </c>
      <c r="DU34" s="9">
        <v>14.48</v>
      </c>
      <c r="DV34" s="9">
        <v>7.96</v>
      </c>
      <c r="DW34" s="9">
        <v>3.42</v>
      </c>
      <c r="DX34" s="9">
        <v>9.2899999999999991</v>
      </c>
      <c r="DY34" s="9">
        <v>3.76</v>
      </c>
      <c r="DZ34" s="9">
        <v>0.97</v>
      </c>
      <c r="EA34" s="9">
        <v>-52.287100000000002</v>
      </c>
      <c r="EB34" s="9">
        <v>-85.586699999999993</v>
      </c>
      <c r="EC34" s="9">
        <v>3.1366520000000002</v>
      </c>
      <c r="ED34" s="9">
        <v>-1.10334</v>
      </c>
      <c r="EE34" s="9">
        <v>31.266290000000001</v>
      </c>
      <c r="EF34" s="9">
        <v>0</v>
      </c>
      <c r="EG34" s="9">
        <v>-74.377300000000005</v>
      </c>
      <c r="EH34" s="9">
        <v>-22.794</v>
      </c>
      <c r="EI34" s="9">
        <v>0</v>
      </c>
      <c r="EJ34" s="9">
        <v>0</v>
      </c>
      <c r="EK34" s="9">
        <v>-51.583300000000001</v>
      </c>
      <c r="EL34" s="9">
        <v>12.7098</v>
      </c>
      <c r="EM34" s="9">
        <v>34.799999999999997</v>
      </c>
      <c r="EN34" s="9"/>
      <c r="EO34" s="9"/>
      <c r="EP34" s="9"/>
      <c r="EQ34" s="9"/>
      <c r="ER34" s="9"/>
      <c r="ES34" s="9"/>
      <c r="ET34" s="9"/>
      <c r="EU34">
        <v>1116.05</v>
      </c>
      <c r="EV34" s="9">
        <v>4372.13</v>
      </c>
      <c r="EW34" s="9">
        <v>946.58</v>
      </c>
      <c r="EX34" s="9">
        <v>20.28</v>
      </c>
      <c r="EY34" s="9">
        <v>14.43</v>
      </c>
      <c r="EZ34" s="9">
        <v>967.27</v>
      </c>
      <c r="FA34" s="9">
        <v>2423.58</v>
      </c>
      <c r="FB34" s="9">
        <v>24.45</v>
      </c>
      <c r="FC34" s="9">
        <v>28.34</v>
      </c>
      <c r="FD34" s="9">
        <v>1478.9333333333</v>
      </c>
      <c r="FE34" s="9">
        <v>12.68</v>
      </c>
      <c r="FF34" s="9">
        <v>319.13571430000002</v>
      </c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>
        <v>1117</v>
      </c>
      <c r="GO34" s="6"/>
      <c r="GP34" s="6"/>
      <c r="GQ34" s="6"/>
    </row>
    <row r="35" spans="1:199" x14ac:dyDescent="0.2">
      <c r="A35" s="8">
        <v>2002</v>
      </c>
      <c r="B35" s="8" t="s">
        <v>243</v>
      </c>
      <c r="C35" s="8" t="s">
        <v>244</v>
      </c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>
        <v>42792.800000000003</v>
      </c>
      <c r="BO35" s="9">
        <v>33560.300000000003</v>
      </c>
      <c r="BP35" s="9">
        <v>7384.5</v>
      </c>
      <c r="BQ35" s="9">
        <v>4960.8999999999996</v>
      </c>
      <c r="BR35" s="9">
        <v>2423.6999999999998</v>
      </c>
      <c r="BS35" s="9">
        <v>3656.5</v>
      </c>
      <c r="BT35" s="9">
        <v>10172.6</v>
      </c>
      <c r="BU35" s="9">
        <v>5211.3</v>
      </c>
      <c r="BV35" s="9">
        <v>8442</v>
      </c>
      <c r="BW35" s="9">
        <v>32170.400000000001</v>
      </c>
      <c r="BX35" s="9">
        <v>13633.3</v>
      </c>
      <c r="BY35" s="9">
        <v>11509.2</v>
      </c>
      <c r="BZ35" s="9">
        <v>8743.2000000000007</v>
      </c>
      <c r="CA35" s="9">
        <v>2043.7</v>
      </c>
      <c r="CB35" s="9">
        <v>0</v>
      </c>
      <c r="CC35" s="9">
        <v>0</v>
      </c>
      <c r="CD35" s="9">
        <v>0</v>
      </c>
      <c r="CE35" s="9">
        <v>6047.8</v>
      </c>
      <c r="CF35" s="9">
        <v>177714.52410000001</v>
      </c>
      <c r="CG35" s="9">
        <v>439855.76556999987</v>
      </c>
      <c r="CH35" s="9"/>
      <c r="CI35" s="9"/>
      <c r="CJ35" s="9">
        <v>35.1</v>
      </c>
      <c r="CK35" s="9">
        <v>19.899999999999999</v>
      </c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>
        <v>59.63</v>
      </c>
      <c r="DP35" s="9">
        <v>23.4</v>
      </c>
      <c r="DQ35" s="9">
        <v>13.47</v>
      </c>
      <c r="DR35" s="9">
        <v>9.93</v>
      </c>
      <c r="DS35" s="9">
        <v>10.5</v>
      </c>
      <c r="DT35" s="9">
        <v>0.28000000000000003</v>
      </c>
      <c r="DU35" s="9">
        <v>17.489999999999998</v>
      </c>
      <c r="DV35" s="9">
        <v>10.09</v>
      </c>
      <c r="DW35" s="9">
        <v>4.17</v>
      </c>
      <c r="DX35" s="9">
        <v>8.2200000000000006</v>
      </c>
      <c r="DY35" s="9">
        <v>2.08</v>
      </c>
      <c r="DZ35" s="9">
        <v>1.51</v>
      </c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>
        <v>1119</v>
      </c>
      <c r="EV35" s="9"/>
      <c r="EW35" s="9"/>
      <c r="EX35" s="9"/>
      <c r="EY35" s="9"/>
      <c r="EZ35" s="9"/>
      <c r="FA35" s="9"/>
      <c r="FB35" s="9">
        <v>26.25</v>
      </c>
      <c r="FC35" s="9">
        <v>27.55</v>
      </c>
      <c r="FD35" s="9">
        <v>1486.1717391304001</v>
      </c>
      <c r="FE35" s="9">
        <v>12.68</v>
      </c>
      <c r="FF35" s="9">
        <v>316.55652170000002</v>
      </c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>
        <v>1121</v>
      </c>
      <c r="GO35" s="6"/>
      <c r="GP35" s="6"/>
      <c r="GQ35" s="6"/>
    </row>
    <row r="36" spans="1:199" x14ac:dyDescent="0.2">
      <c r="A36" s="8">
        <v>2002</v>
      </c>
      <c r="B36" s="8" t="s">
        <v>243</v>
      </c>
      <c r="C36" s="8" t="s">
        <v>245</v>
      </c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>
        <v>51281.8</v>
      </c>
      <c r="BO36" s="9">
        <v>42479.4</v>
      </c>
      <c r="BP36" s="9">
        <v>6164.8</v>
      </c>
      <c r="BQ36" s="9">
        <v>3725.6</v>
      </c>
      <c r="BR36" s="9">
        <v>2439.1999999999998</v>
      </c>
      <c r="BS36" s="9">
        <v>16531.5</v>
      </c>
      <c r="BT36" s="9">
        <v>12332.1</v>
      </c>
      <c r="BU36" s="9">
        <v>3359.5</v>
      </c>
      <c r="BV36" s="9">
        <v>8055.4</v>
      </c>
      <c r="BW36" s="9">
        <v>32350.1</v>
      </c>
      <c r="BX36" s="9">
        <v>4945.8999999999996</v>
      </c>
      <c r="BY36" s="9">
        <v>13087.6</v>
      </c>
      <c r="BZ36" s="9">
        <v>9338.9</v>
      </c>
      <c r="CA36" s="9">
        <v>1644.9</v>
      </c>
      <c r="CB36" s="9">
        <v>0</v>
      </c>
      <c r="CC36" s="9">
        <v>0</v>
      </c>
      <c r="CD36" s="9">
        <v>0</v>
      </c>
      <c r="CE36" s="9">
        <v>5313</v>
      </c>
      <c r="CF36" s="9">
        <v>175576.60250000001</v>
      </c>
      <c r="CG36" s="9">
        <v>447783.81600899989</v>
      </c>
      <c r="CH36" s="9"/>
      <c r="CI36" s="9"/>
      <c r="CJ36" s="9">
        <v>35.299999999999997</v>
      </c>
      <c r="CK36" s="9">
        <v>20.399999999999999</v>
      </c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>
        <v>58.91</v>
      </c>
      <c r="DP36" s="9">
        <v>23.53</v>
      </c>
      <c r="DQ36" s="9">
        <v>14.77</v>
      </c>
      <c r="DR36" s="9">
        <v>8.76</v>
      </c>
      <c r="DS36" s="9">
        <v>8.6</v>
      </c>
      <c r="DT36" s="9">
        <v>0.18</v>
      </c>
      <c r="DU36" s="9">
        <v>16.920000000000002</v>
      </c>
      <c r="DV36" s="9">
        <v>11.12</v>
      </c>
      <c r="DW36" s="9">
        <v>1.7</v>
      </c>
      <c r="DX36" s="9">
        <v>9.84</v>
      </c>
      <c r="DY36" s="9">
        <v>4.92</v>
      </c>
      <c r="DZ36" s="9">
        <v>1.03</v>
      </c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>
        <v>1122.22</v>
      </c>
      <c r="EV36" s="9"/>
      <c r="EW36" s="9"/>
      <c r="EX36" s="9"/>
      <c r="EY36" s="9"/>
      <c r="EZ36" s="9"/>
      <c r="FA36" s="9"/>
      <c r="FB36" s="9">
        <v>26.25</v>
      </c>
      <c r="FC36" s="9">
        <v>24.5</v>
      </c>
      <c r="FD36" s="9">
        <v>1581.0357142856999</v>
      </c>
      <c r="FE36" s="9">
        <v>12.68</v>
      </c>
      <c r="FF36" s="9">
        <v>320.43571429999997</v>
      </c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>
        <v>1123</v>
      </c>
      <c r="GO36" s="6"/>
      <c r="GP36" s="6"/>
      <c r="GQ36" s="6"/>
    </row>
    <row r="37" spans="1:199" x14ac:dyDescent="0.2">
      <c r="A37" s="8">
        <v>2002</v>
      </c>
      <c r="B37" s="8" t="s">
        <v>243</v>
      </c>
      <c r="C37" s="8" t="s">
        <v>246</v>
      </c>
      <c r="D37" s="9">
        <v>448633.1</v>
      </c>
      <c r="E37" s="9">
        <v>83405.600000000006</v>
      </c>
      <c r="F37" s="9">
        <v>38054.800000000003</v>
      </c>
      <c r="G37" s="9">
        <v>29361.7</v>
      </c>
      <c r="H37" s="9">
        <v>20043.5</v>
      </c>
      <c r="I37" s="9">
        <v>26595.599999999999</v>
      </c>
      <c r="J37" s="9">
        <v>42823.3</v>
      </c>
      <c r="K37" s="9">
        <v>42810.8</v>
      </c>
      <c r="L37" s="9">
        <v>16319.6</v>
      </c>
      <c r="M37" s="9">
        <v>94289.7</v>
      </c>
      <c r="N37" s="9">
        <v>54928.5</v>
      </c>
      <c r="O37" s="9">
        <v>2346361.1166352872</v>
      </c>
      <c r="P37" s="9">
        <v>311501.31401743973</v>
      </c>
      <c r="Q37" s="9">
        <v>320471.02947369829</v>
      </c>
      <c r="R37" s="9">
        <v>248765.24029698421</v>
      </c>
      <c r="S37" s="9">
        <v>94855.687473166894</v>
      </c>
      <c r="T37" s="9">
        <v>181507.96846330649</v>
      </c>
      <c r="U37" s="9">
        <v>210117.50850186311</v>
      </c>
      <c r="V37" s="9">
        <v>73297.238182693603</v>
      </c>
      <c r="W37" s="9">
        <v>31181.976891974798</v>
      </c>
      <c r="X37" s="9">
        <v>710552.67033652356</v>
      </c>
      <c r="Y37" s="9">
        <v>164110.4829976366</v>
      </c>
      <c r="Z37" s="9"/>
      <c r="AA37" s="9"/>
      <c r="AB37" s="9"/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>
        <v>75.5</v>
      </c>
      <c r="AX37" s="9">
        <v>50.3</v>
      </c>
      <c r="AY37" s="9">
        <v>81.400000000000006</v>
      </c>
      <c r="AZ37" s="9">
        <v>73.3</v>
      </c>
      <c r="BA37" s="9">
        <v>80.599999999999994</v>
      </c>
      <c r="BB37" s="9"/>
      <c r="BC37" s="9">
        <v>103</v>
      </c>
      <c r="BD37" s="9">
        <v>59.2</v>
      </c>
      <c r="BE37" s="9">
        <v>95.1</v>
      </c>
      <c r="BF37" s="9">
        <v>89</v>
      </c>
      <c r="BG37" s="9"/>
      <c r="BH37" s="9">
        <v>98.6</v>
      </c>
      <c r="BI37" s="9">
        <v>55.2</v>
      </c>
      <c r="BJ37" s="9">
        <v>69.3</v>
      </c>
      <c r="BK37" s="9">
        <v>53.9</v>
      </c>
      <c r="BL37" s="9"/>
      <c r="BM37" s="9">
        <v>55.6</v>
      </c>
      <c r="BN37" s="9">
        <v>74391.399999999994</v>
      </c>
      <c r="BO37" s="9">
        <v>49436.1</v>
      </c>
      <c r="BP37" s="9">
        <v>14835.4</v>
      </c>
      <c r="BQ37" s="9">
        <v>10641.9</v>
      </c>
      <c r="BR37" s="9">
        <v>4193.5</v>
      </c>
      <c r="BS37" s="9">
        <v>7993.8</v>
      </c>
      <c r="BT37" s="9">
        <v>14737.6</v>
      </c>
      <c r="BU37" s="9">
        <v>4985.1000000000004</v>
      </c>
      <c r="BV37" s="9">
        <v>23585.8</v>
      </c>
      <c r="BW37" s="9">
        <v>70105.399999999994</v>
      </c>
      <c r="BX37" s="9">
        <v>10101.200000000001</v>
      </c>
      <c r="BY37" s="9">
        <v>37178.400000000001</v>
      </c>
      <c r="BZ37" s="9">
        <v>13254.3</v>
      </c>
      <c r="CA37" s="9">
        <v>3513.6</v>
      </c>
      <c r="CB37" s="9">
        <v>0</v>
      </c>
      <c r="CC37" s="9">
        <v>0</v>
      </c>
      <c r="CD37" s="9">
        <v>0</v>
      </c>
      <c r="CE37" s="9">
        <v>19546.8</v>
      </c>
      <c r="CF37" s="9">
        <v>187727.77799999999</v>
      </c>
      <c r="CG37" s="9">
        <v>470298.70493699989</v>
      </c>
      <c r="CH37" s="9"/>
      <c r="CI37" s="9"/>
      <c r="CJ37" s="9">
        <v>33.4</v>
      </c>
      <c r="CK37" s="9">
        <v>19.8</v>
      </c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>
        <v>64.459999999999994</v>
      </c>
      <c r="DP37" s="9">
        <v>25.67</v>
      </c>
      <c r="DQ37" s="9">
        <v>14.43</v>
      </c>
      <c r="DR37" s="9">
        <v>11.24</v>
      </c>
      <c r="DS37" s="9">
        <v>10.34</v>
      </c>
      <c r="DT37" s="9">
        <v>0.13</v>
      </c>
      <c r="DU37" s="9">
        <v>14.23</v>
      </c>
      <c r="DV37" s="9">
        <v>6.73</v>
      </c>
      <c r="DW37" s="9">
        <v>4.1900000000000004</v>
      </c>
      <c r="DX37" s="9">
        <v>14.18</v>
      </c>
      <c r="DY37" s="9">
        <v>4.49</v>
      </c>
      <c r="DZ37" s="9">
        <v>2.8</v>
      </c>
      <c r="EA37" s="9">
        <v>20.94642</v>
      </c>
      <c r="EB37" s="9">
        <v>3.8210609999999998</v>
      </c>
      <c r="EC37" s="9">
        <v>-33.286200000000001</v>
      </c>
      <c r="ED37" s="9">
        <v>-0.12474</v>
      </c>
      <c r="EE37" s="9">
        <v>50.536259999999999</v>
      </c>
      <c r="EF37" s="9">
        <v>0</v>
      </c>
      <c r="EG37" s="9">
        <v>-38.025799999999997</v>
      </c>
      <c r="EH37" s="9">
        <v>-27.966000000000001</v>
      </c>
      <c r="EI37" s="9">
        <v>0</v>
      </c>
      <c r="EJ37" s="9">
        <v>0</v>
      </c>
      <c r="EK37" s="9">
        <v>-10.059799999999999</v>
      </c>
      <c r="EL37" s="9">
        <v>-31.472200000000001</v>
      </c>
      <c r="EM37" s="9">
        <v>27.5</v>
      </c>
      <c r="EN37" s="9"/>
      <c r="EO37" s="9"/>
      <c r="EP37" s="9"/>
      <c r="EQ37" s="9"/>
      <c r="ER37" s="9"/>
      <c r="ES37" s="9"/>
      <c r="ET37" s="9"/>
      <c r="EU37">
        <v>1124.0899999999999</v>
      </c>
      <c r="EV37" s="9">
        <v>4398.7</v>
      </c>
      <c r="EW37" s="9">
        <v>984.89</v>
      </c>
      <c r="EX37" s="9">
        <v>18.28</v>
      </c>
      <c r="EY37" s="9">
        <v>14.65</v>
      </c>
      <c r="EZ37" s="9">
        <v>957.29</v>
      </c>
      <c r="FA37" s="9">
        <v>2423.58</v>
      </c>
      <c r="FB37" s="9">
        <v>26.25</v>
      </c>
      <c r="FC37" s="9">
        <v>28.52</v>
      </c>
      <c r="FD37" s="9">
        <v>1592.9642857143001</v>
      </c>
      <c r="FE37" s="9">
        <v>12.68</v>
      </c>
      <c r="FF37" s="9">
        <v>332.03611110000003</v>
      </c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>
        <v>1125</v>
      </c>
      <c r="GO37" s="6"/>
      <c r="GP37" s="6"/>
      <c r="GQ37" s="6"/>
    </row>
    <row r="38" spans="1:199" x14ac:dyDescent="0.2">
      <c r="A38" s="8">
        <v>2003</v>
      </c>
      <c r="B38" s="8" t="s">
        <v>247</v>
      </c>
      <c r="C38" s="8" t="s">
        <v>248</v>
      </c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>
        <v>27239.9</v>
      </c>
      <c r="BO38" s="9">
        <v>23611.3</v>
      </c>
      <c r="BP38" s="9">
        <v>2212.3000000000002</v>
      </c>
      <c r="BQ38" s="9">
        <v>1349.1</v>
      </c>
      <c r="BR38" s="9">
        <v>863.2</v>
      </c>
      <c r="BS38" s="9">
        <v>3441.2</v>
      </c>
      <c r="BT38" s="9">
        <v>12765</v>
      </c>
      <c r="BU38" s="9">
        <v>3589.6</v>
      </c>
      <c r="BV38" s="9">
        <v>3502</v>
      </c>
      <c r="BW38" s="9">
        <v>29008.5</v>
      </c>
      <c r="BX38" s="9">
        <v>1643.9</v>
      </c>
      <c r="BY38" s="9">
        <v>8860.5</v>
      </c>
      <c r="BZ38" s="9">
        <v>9478.7999999999993</v>
      </c>
      <c r="CA38" s="9">
        <v>583.1</v>
      </c>
      <c r="CB38" s="9">
        <v>0</v>
      </c>
      <c r="CC38" s="9">
        <v>0</v>
      </c>
      <c r="CD38" s="9">
        <v>0</v>
      </c>
      <c r="CE38" s="9">
        <v>717.6</v>
      </c>
      <c r="CF38" s="9">
        <v>196577.6078</v>
      </c>
      <c r="CG38" s="9">
        <v>487741.61339000001</v>
      </c>
      <c r="CH38" s="9"/>
      <c r="CI38" s="9"/>
      <c r="CJ38" s="9">
        <v>30.7</v>
      </c>
      <c r="CK38" s="9">
        <v>20.7</v>
      </c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>
        <v>43</v>
      </c>
      <c r="DA38" s="9">
        <v>27</v>
      </c>
      <c r="DB38" s="9">
        <v>27</v>
      </c>
      <c r="DC38" s="9">
        <v>0</v>
      </c>
      <c r="DD38" s="9">
        <v>0</v>
      </c>
      <c r="DE38" s="9">
        <v>0</v>
      </c>
      <c r="DF38" s="9">
        <v>0</v>
      </c>
      <c r="DG38" s="9">
        <v>0</v>
      </c>
      <c r="DH38" s="9">
        <v>6</v>
      </c>
      <c r="DI38" s="9">
        <v>1</v>
      </c>
      <c r="DJ38" s="9">
        <v>4</v>
      </c>
      <c r="DK38" s="9">
        <v>0</v>
      </c>
      <c r="DL38" s="9">
        <v>0</v>
      </c>
      <c r="DM38" s="9">
        <v>10</v>
      </c>
      <c r="DN38" s="9">
        <v>0</v>
      </c>
      <c r="DO38" s="9">
        <v>60.12</v>
      </c>
      <c r="DP38" s="9">
        <v>19.16</v>
      </c>
      <c r="DQ38" s="9">
        <v>9.93</v>
      </c>
      <c r="DR38" s="9">
        <v>9.2200000000000006</v>
      </c>
      <c r="DS38" s="9">
        <v>8.32</v>
      </c>
      <c r="DT38" s="9">
        <v>0.2</v>
      </c>
      <c r="DU38" s="9">
        <v>20.04</v>
      </c>
      <c r="DV38" s="9">
        <v>13.47</v>
      </c>
      <c r="DW38" s="9">
        <v>3.76</v>
      </c>
      <c r="DX38" s="9">
        <v>12.57</v>
      </c>
      <c r="DY38" s="9">
        <v>4.17</v>
      </c>
      <c r="DZ38" s="9">
        <v>2.79</v>
      </c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>
        <v>1129.5</v>
      </c>
      <c r="EV38" s="9"/>
      <c r="EW38" s="9"/>
      <c r="EX38" s="9"/>
      <c r="EY38" s="9"/>
      <c r="EZ38" s="9"/>
      <c r="FA38" s="9"/>
      <c r="FB38" s="9">
        <v>26.678571428600002</v>
      </c>
      <c r="FC38" s="9">
        <v>31.230869565199999</v>
      </c>
      <c r="FD38" s="9">
        <v>1650.3113636364001</v>
      </c>
      <c r="FE38" s="9">
        <v>13.82</v>
      </c>
      <c r="FF38" s="9">
        <v>356.85909090910002</v>
      </c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>
        <v>1132</v>
      </c>
      <c r="GO38" s="6"/>
      <c r="GP38" s="6"/>
      <c r="GQ38" s="6"/>
    </row>
    <row r="39" spans="1:199" x14ac:dyDescent="0.2">
      <c r="A39" s="8">
        <v>2003</v>
      </c>
      <c r="B39" s="8" t="s">
        <v>247</v>
      </c>
      <c r="C39" s="8" t="s">
        <v>249</v>
      </c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>
        <v>28775.599999999999</v>
      </c>
      <c r="BO39" s="9">
        <v>23626.9</v>
      </c>
      <c r="BP39" s="9">
        <v>5795.1</v>
      </c>
      <c r="BQ39" s="9">
        <v>4355.8999999999996</v>
      </c>
      <c r="BR39" s="9">
        <v>1439.2</v>
      </c>
      <c r="BS39" s="9">
        <v>3729</v>
      </c>
      <c r="BT39" s="9">
        <v>5706.1</v>
      </c>
      <c r="BU39" s="9">
        <v>3315.3</v>
      </c>
      <c r="BV39" s="9">
        <v>4543.3999999999996</v>
      </c>
      <c r="BW39" s="9">
        <v>31227.7</v>
      </c>
      <c r="BX39" s="9">
        <v>4563.7</v>
      </c>
      <c r="BY39" s="9">
        <v>12174.9</v>
      </c>
      <c r="BZ39" s="9">
        <v>9126.4</v>
      </c>
      <c r="CA39" s="9">
        <v>1952.9</v>
      </c>
      <c r="CB39" s="9">
        <v>0</v>
      </c>
      <c r="CC39" s="9">
        <v>0</v>
      </c>
      <c r="CD39" s="9">
        <v>0</v>
      </c>
      <c r="CE39" s="9">
        <v>1284.7</v>
      </c>
      <c r="CF39" s="9">
        <v>176951.0839</v>
      </c>
      <c r="CG39" s="9">
        <v>490489.34913999989</v>
      </c>
      <c r="CH39" s="9"/>
      <c r="CI39" s="9"/>
      <c r="CJ39" s="9">
        <v>31.4</v>
      </c>
      <c r="CK39" s="9">
        <v>21.3</v>
      </c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>
        <v>27</v>
      </c>
      <c r="DA39" s="9">
        <v>14</v>
      </c>
      <c r="DB39" s="9">
        <v>14</v>
      </c>
      <c r="DC39" s="9">
        <v>0</v>
      </c>
      <c r="DD39" s="9">
        <v>0</v>
      </c>
      <c r="DE39" s="9">
        <v>0</v>
      </c>
      <c r="DF39" s="9">
        <v>0</v>
      </c>
      <c r="DG39" s="9">
        <v>0</v>
      </c>
      <c r="DH39" s="9">
        <v>4</v>
      </c>
      <c r="DI39" s="9">
        <v>1</v>
      </c>
      <c r="DJ39" s="9">
        <v>3</v>
      </c>
      <c r="DK39" s="9">
        <v>0</v>
      </c>
      <c r="DL39" s="9">
        <v>0</v>
      </c>
      <c r="DM39" s="9">
        <v>9</v>
      </c>
      <c r="DN39" s="9">
        <v>0</v>
      </c>
      <c r="DO39" s="9">
        <v>42.93</v>
      </c>
      <c r="DP39" s="9">
        <v>13.64</v>
      </c>
      <c r="DQ39" s="9">
        <v>6.15</v>
      </c>
      <c r="DR39" s="9">
        <v>7.5</v>
      </c>
      <c r="DS39" s="9">
        <v>7.82</v>
      </c>
      <c r="DT39" s="9">
        <v>0.16</v>
      </c>
      <c r="DU39" s="9">
        <v>12.94</v>
      </c>
      <c r="DV39" s="9">
        <v>10.01</v>
      </c>
      <c r="DW39" s="9">
        <v>1.7</v>
      </c>
      <c r="DX39" s="9">
        <v>8.4700000000000006</v>
      </c>
      <c r="DY39" s="9">
        <v>2.4500000000000002</v>
      </c>
      <c r="DZ39" s="9">
        <v>1.45</v>
      </c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>
        <v>1134.05</v>
      </c>
      <c r="EV39" s="9"/>
      <c r="EW39" s="9"/>
      <c r="EX39" s="9"/>
      <c r="EY39" s="9"/>
      <c r="EZ39" s="9"/>
      <c r="FA39" s="9"/>
      <c r="FB39" s="9">
        <v>26.946428571399998</v>
      </c>
      <c r="FC39" s="9">
        <v>32.648499999999999</v>
      </c>
      <c r="FD39" s="9">
        <v>1682.145</v>
      </c>
      <c r="FE39" s="9">
        <v>13.82</v>
      </c>
      <c r="FF39" s="9">
        <v>358.97</v>
      </c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>
        <v>1138</v>
      </c>
      <c r="GO39" s="6"/>
      <c r="GP39" s="6"/>
      <c r="GQ39" s="6"/>
    </row>
    <row r="40" spans="1:199" x14ac:dyDescent="0.2">
      <c r="A40" s="8">
        <v>2003</v>
      </c>
      <c r="B40" s="8" t="s">
        <v>247</v>
      </c>
      <c r="C40" s="8" t="s">
        <v>250</v>
      </c>
      <c r="D40" s="9">
        <v>318811.3</v>
      </c>
      <c r="E40" s="9">
        <v>19349.7</v>
      </c>
      <c r="F40" s="9">
        <v>30207.5</v>
      </c>
      <c r="G40" s="9">
        <v>24638.400000000001</v>
      </c>
      <c r="H40" s="9">
        <v>19795.400000000001</v>
      </c>
      <c r="I40" s="9">
        <v>2559.6999999999998</v>
      </c>
      <c r="J40" s="9">
        <v>37230.1</v>
      </c>
      <c r="K40" s="9">
        <v>35211.199999999997</v>
      </c>
      <c r="L40" s="9">
        <v>9137.4</v>
      </c>
      <c r="M40" s="9">
        <v>99370.9</v>
      </c>
      <c r="N40" s="9">
        <v>41310.9</v>
      </c>
      <c r="O40" s="9">
        <v>1512556.2432051089</v>
      </c>
      <c r="P40" s="9">
        <v>62182.946064251097</v>
      </c>
      <c r="Q40" s="9">
        <v>166738.87720246319</v>
      </c>
      <c r="R40" s="9">
        <v>184186.42197640319</v>
      </c>
      <c r="S40" s="9">
        <v>87243.557057847298</v>
      </c>
      <c r="T40" s="9">
        <v>15500.910863339501</v>
      </c>
      <c r="U40" s="9">
        <v>165252.169091875</v>
      </c>
      <c r="V40" s="9">
        <v>58496.279172269104</v>
      </c>
      <c r="W40" s="9">
        <v>16844.105944784202</v>
      </c>
      <c r="X40" s="9">
        <v>644178.03248403454</v>
      </c>
      <c r="Y40" s="9">
        <v>111932.9433478422</v>
      </c>
      <c r="Z40" s="9"/>
      <c r="AA40" s="9"/>
      <c r="AB40" s="9"/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>
        <v>75.7</v>
      </c>
      <c r="AX40" s="9">
        <v>41.8</v>
      </c>
      <c r="AY40" s="9">
        <v>81.099999999999994</v>
      </c>
      <c r="AZ40" s="9">
        <v>74.8</v>
      </c>
      <c r="BA40" s="9">
        <v>97.4</v>
      </c>
      <c r="BB40" s="9"/>
      <c r="BC40" s="9">
        <v>75.099999999999994</v>
      </c>
      <c r="BD40" s="9">
        <v>60</v>
      </c>
      <c r="BE40" s="9">
        <v>101.6</v>
      </c>
      <c r="BF40" s="9">
        <v>89</v>
      </c>
      <c r="BG40" s="9"/>
      <c r="BH40" s="9">
        <v>92</v>
      </c>
      <c r="BI40" s="9">
        <v>59.3</v>
      </c>
      <c r="BJ40" s="9">
        <v>71.599999999999994</v>
      </c>
      <c r="BK40" s="9">
        <v>58.5</v>
      </c>
      <c r="BL40" s="9"/>
      <c r="BM40" s="9">
        <v>50.7</v>
      </c>
      <c r="BN40" s="9">
        <v>35887.5</v>
      </c>
      <c r="BO40" s="9">
        <v>27732.5</v>
      </c>
      <c r="BP40" s="9">
        <v>4896.2</v>
      </c>
      <c r="BQ40" s="9">
        <v>2864</v>
      </c>
      <c r="BR40" s="9">
        <v>2032.2</v>
      </c>
      <c r="BS40" s="9">
        <v>6233.7</v>
      </c>
      <c r="BT40" s="9">
        <v>7610.3</v>
      </c>
      <c r="BU40" s="9">
        <v>3977.5</v>
      </c>
      <c r="BV40" s="9">
        <v>6969.4</v>
      </c>
      <c r="BW40" s="9">
        <v>34904.5</v>
      </c>
      <c r="BX40" s="9">
        <v>5181.3999999999996</v>
      </c>
      <c r="BY40" s="9">
        <v>14401</v>
      </c>
      <c r="BZ40" s="9">
        <v>9466.5</v>
      </c>
      <c r="CA40" s="9">
        <v>501.8</v>
      </c>
      <c r="CB40" s="9">
        <v>0</v>
      </c>
      <c r="CC40" s="9">
        <v>0</v>
      </c>
      <c r="CD40" s="9">
        <v>0</v>
      </c>
      <c r="CE40" s="9">
        <v>2905.1</v>
      </c>
      <c r="CF40" s="9">
        <v>180109.59179999999</v>
      </c>
      <c r="CG40" s="9">
        <v>504293.43034100003</v>
      </c>
      <c r="CH40" s="9"/>
      <c r="CI40" s="9"/>
      <c r="CJ40" s="9">
        <v>32.6</v>
      </c>
      <c r="CK40" s="9">
        <v>20.8</v>
      </c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>
        <v>16</v>
      </c>
      <c r="DA40" s="9">
        <v>2</v>
      </c>
      <c r="DB40" s="9">
        <v>0</v>
      </c>
      <c r="DC40" s="9">
        <v>2</v>
      </c>
      <c r="DD40" s="9">
        <v>0</v>
      </c>
      <c r="DE40" s="9">
        <v>0</v>
      </c>
      <c r="DF40" s="9">
        <v>0</v>
      </c>
      <c r="DG40" s="9">
        <v>0</v>
      </c>
      <c r="DH40" s="9">
        <v>6</v>
      </c>
      <c r="DI40" s="9">
        <v>1</v>
      </c>
      <c r="DJ40" s="9">
        <v>4</v>
      </c>
      <c r="DK40" s="9">
        <v>1</v>
      </c>
      <c r="DL40" s="9">
        <v>0</v>
      </c>
      <c r="DM40" s="9">
        <v>8</v>
      </c>
      <c r="DN40" s="9">
        <v>0</v>
      </c>
      <c r="DO40" s="9">
        <v>47.29</v>
      </c>
      <c r="DP40" s="9">
        <v>17.989999999999998</v>
      </c>
      <c r="DQ40" s="9">
        <v>10.54</v>
      </c>
      <c r="DR40" s="9">
        <v>7.45</v>
      </c>
      <c r="DS40" s="9">
        <v>7.72</v>
      </c>
      <c r="DT40" s="9">
        <v>0.39</v>
      </c>
      <c r="DU40" s="9">
        <v>12.23</v>
      </c>
      <c r="DV40" s="9">
        <v>7.79</v>
      </c>
      <c r="DW40" s="9">
        <v>3.06</v>
      </c>
      <c r="DX40" s="9">
        <v>9.2899999999999991</v>
      </c>
      <c r="DY40" s="9">
        <v>4.05</v>
      </c>
      <c r="DZ40" s="9">
        <v>1.57</v>
      </c>
      <c r="EA40" s="9">
        <v>-17.761800000000001</v>
      </c>
      <c r="EB40" s="9">
        <v>-21.48</v>
      </c>
      <c r="EC40" s="9">
        <v>-38.137700000000002</v>
      </c>
      <c r="ED40" s="9">
        <v>1.177546</v>
      </c>
      <c r="EE40" s="9">
        <v>40.678310000000003</v>
      </c>
      <c r="EF40" s="9">
        <v>0</v>
      </c>
      <c r="EG40" s="9">
        <v>-22.8416</v>
      </c>
      <c r="EH40" s="9">
        <v>-15.5</v>
      </c>
      <c r="EI40" s="9">
        <v>0</v>
      </c>
      <c r="EJ40" s="9">
        <v>0</v>
      </c>
      <c r="EK40" s="9">
        <v>-7.3415699999999999</v>
      </c>
      <c r="EL40" s="9">
        <v>-17.899799999999999</v>
      </c>
      <c r="EM40" s="9">
        <v>-12.82</v>
      </c>
      <c r="EN40" s="9"/>
      <c r="EO40" s="9"/>
      <c r="EP40" s="9"/>
      <c r="EQ40" s="9"/>
      <c r="ER40" s="9"/>
      <c r="ES40" s="9"/>
      <c r="ET40" s="9"/>
      <c r="EU40">
        <v>1139.74</v>
      </c>
      <c r="EV40" s="9">
        <v>4523.3900000000003</v>
      </c>
      <c r="EW40" s="9">
        <v>1095.9100000000001</v>
      </c>
      <c r="EX40" s="9">
        <v>15.92</v>
      </c>
      <c r="EY40" s="9">
        <v>15.32</v>
      </c>
      <c r="EZ40" s="9">
        <v>972.66</v>
      </c>
      <c r="FA40" s="9">
        <v>2423.58</v>
      </c>
      <c r="FB40" s="9">
        <v>26.142857142899999</v>
      </c>
      <c r="FC40" s="9">
        <v>30.339047618999999</v>
      </c>
      <c r="FD40" s="9">
        <v>1655.6928571429</v>
      </c>
      <c r="FE40" s="9">
        <v>13.82</v>
      </c>
      <c r="FF40" s="9">
        <v>340.55</v>
      </c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>
        <v>1140</v>
      </c>
      <c r="GO40" s="6"/>
      <c r="GP40" s="6"/>
      <c r="GQ40" s="6"/>
    </row>
    <row r="41" spans="1:199" x14ac:dyDescent="0.2">
      <c r="A41" s="8">
        <v>2003</v>
      </c>
      <c r="B41" s="8" t="s">
        <v>251</v>
      </c>
      <c r="C41" s="8" t="s">
        <v>252</v>
      </c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>
        <v>46147.3</v>
      </c>
      <c r="BO41" s="9">
        <v>35007.800000000003</v>
      </c>
      <c r="BP41" s="9">
        <v>7455.2</v>
      </c>
      <c r="BQ41" s="9">
        <v>4624.5</v>
      </c>
      <c r="BR41" s="9">
        <v>2830.8</v>
      </c>
      <c r="BS41" s="9">
        <v>3794</v>
      </c>
      <c r="BT41" s="9">
        <v>12068.7</v>
      </c>
      <c r="BU41" s="9">
        <v>4980.5</v>
      </c>
      <c r="BV41" s="9">
        <v>9702.7999999999993</v>
      </c>
      <c r="BW41" s="9">
        <v>38373.300000000003</v>
      </c>
      <c r="BX41" s="9">
        <v>10228.200000000001</v>
      </c>
      <c r="BY41" s="9">
        <v>15855.4</v>
      </c>
      <c r="BZ41" s="9">
        <v>10394.799999999999</v>
      </c>
      <c r="CA41" s="9">
        <v>1977.8</v>
      </c>
      <c r="CB41" s="9">
        <v>0</v>
      </c>
      <c r="CC41" s="9">
        <v>0</v>
      </c>
      <c r="CD41" s="9">
        <v>0</v>
      </c>
      <c r="CE41" s="9">
        <v>6729.9</v>
      </c>
      <c r="CF41" s="9">
        <v>193596.34150000001</v>
      </c>
      <c r="CG41" s="9">
        <v>530569.31427500001</v>
      </c>
      <c r="CH41" s="9"/>
      <c r="CI41" s="9"/>
      <c r="CJ41" s="9">
        <v>31</v>
      </c>
      <c r="CK41" s="9">
        <v>20.2</v>
      </c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>
        <v>25</v>
      </c>
      <c r="DA41" s="9">
        <v>4</v>
      </c>
      <c r="DB41" s="9">
        <v>0</v>
      </c>
      <c r="DC41" s="9">
        <v>4</v>
      </c>
      <c r="DD41" s="9">
        <v>0</v>
      </c>
      <c r="DE41" s="9">
        <v>0</v>
      </c>
      <c r="DF41" s="9">
        <v>0</v>
      </c>
      <c r="DG41" s="9">
        <v>0</v>
      </c>
      <c r="DH41" s="9">
        <v>11</v>
      </c>
      <c r="DI41" s="9">
        <v>1</v>
      </c>
      <c r="DJ41" s="9">
        <v>6</v>
      </c>
      <c r="DK41" s="9">
        <v>4</v>
      </c>
      <c r="DL41" s="9">
        <v>0</v>
      </c>
      <c r="DM41" s="9">
        <v>10</v>
      </c>
      <c r="DN41" s="9">
        <v>0</v>
      </c>
      <c r="DO41" s="9">
        <v>66.36</v>
      </c>
      <c r="DP41" s="9">
        <v>20.09</v>
      </c>
      <c r="DQ41" s="9">
        <v>13.04</v>
      </c>
      <c r="DR41" s="9">
        <v>7.05</v>
      </c>
      <c r="DS41" s="9">
        <v>11.62</v>
      </c>
      <c r="DT41" s="9">
        <v>0.39</v>
      </c>
      <c r="DU41" s="9">
        <v>23.57</v>
      </c>
      <c r="DV41" s="9">
        <v>15.56</v>
      </c>
      <c r="DW41" s="9">
        <v>3.68</v>
      </c>
      <c r="DX41" s="9">
        <v>11.05</v>
      </c>
      <c r="DY41" s="9">
        <v>5.04</v>
      </c>
      <c r="DZ41" s="9">
        <v>1.61</v>
      </c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>
        <v>1136.18</v>
      </c>
      <c r="EV41" s="9"/>
      <c r="EW41" s="9"/>
      <c r="EX41" s="9"/>
      <c r="EY41" s="9"/>
      <c r="EZ41" s="9"/>
      <c r="FA41" s="9"/>
      <c r="FB41" s="9">
        <v>25.125</v>
      </c>
      <c r="FC41" s="9">
        <v>25.108181818199999</v>
      </c>
      <c r="FD41" s="9">
        <v>1587.8675000000001</v>
      </c>
      <c r="FE41" s="9">
        <v>13.82</v>
      </c>
      <c r="FF41" s="9">
        <v>328.18</v>
      </c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>
        <v>1134</v>
      </c>
      <c r="GO41" s="6"/>
      <c r="GP41" s="6"/>
      <c r="GQ41" s="6"/>
    </row>
    <row r="42" spans="1:199" x14ac:dyDescent="0.2">
      <c r="A42" s="8">
        <v>2003</v>
      </c>
      <c r="B42" s="8" t="s">
        <v>251</v>
      </c>
      <c r="C42" s="8" t="s">
        <v>253</v>
      </c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>
        <v>45637.599999999999</v>
      </c>
      <c r="BO42" s="9">
        <v>35467.599999999999</v>
      </c>
      <c r="BP42" s="9">
        <v>7112.8</v>
      </c>
      <c r="BQ42" s="9">
        <v>4729.2</v>
      </c>
      <c r="BR42" s="9">
        <v>2383.5</v>
      </c>
      <c r="BS42" s="9">
        <v>5138.8</v>
      </c>
      <c r="BT42" s="9">
        <v>11396.6</v>
      </c>
      <c r="BU42" s="9">
        <v>4049.8</v>
      </c>
      <c r="BV42" s="9">
        <v>8700</v>
      </c>
      <c r="BW42" s="9">
        <v>35692.199999999997</v>
      </c>
      <c r="BX42" s="9">
        <v>1110.0999999999999</v>
      </c>
      <c r="BY42" s="9">
        <v>13628</v>
      </c>
      <c r="BZ42" s="9">
        <v>9913.4</v>
      </c>
      <c r="CA42" s="9">
        <v>1657.6</v>
      </c>
      <c r="CB42" s="9">
        <v>0</v>
      </c>
      <c r="CC42" s="9">
        <v>0</v>
      </c>
      <c r="CD42" s="9">
        <v>0</v>
      </c>
      <c r="CE42" s="9">
        <v>3196.4</v>
      </c>
      <c r="CF42" s="9">
        <v>200968.68340000001</v>
      </c>
      <c r="CG42" s="9">
        <v>542450.42720200005</v>
      </c>
      <c r="CH42" s="9"/>
      <c r="CI42" s="9"/>
      <c r="CJ42" s="9">
        <v>32</v>
      </c>
      <c r="CK42" s="9">
        <v>16.600000000000001</v>
      </c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>
        <v>38</v>
      </c>
      <c r="DA42" s="9">
        <v>16</v>
      </c>
      <c r="DB42" s="9">
        <v>0</v>
      </c>
      <c r="DC42" s="9">
        <v>12</v>
      </c>
      <c r="DD42" s="9">
        <v>0</v>
      </c>
      <c r="DE42" s="9">
        <v>0</v>
      </c>
      <c r="DF42" s="9">
        <v>0</v>
      </c>
      <c r="DG42" s="9">
        <v>0</v>
      </c>
      <c r="DH42" s="9">
        <v>11</v>
      </c>
      <c r="DI42" s="9">
        <v>0</v>
      </c>
      <c r="DJ42" s="9">
        <v>3</v>
      </c>
      <c r="DK42" s="9">
        <v>7</v>
      </c>
      <c r="DL42" s="9">
        <v>0</v>
      </c>
      <c r="DM42" s="9">
        <v>12</v>
      </c>
      <c r="DN42" s="9">
        <v>1</v>
      </c>
      <c r="DO42" s="9">
        <v>75.040000000000006</v>
      </c>
      <c r="DP42" s="9">
        <v>20.6</v>
      </c>
      <c r="DQ42" s="9">
        <v>14.21</v>
      </c>
      <c r="DR42" s="9">
        <v>6.39</v>
      </c>
      <c r="DS42" s="9">
        <v>15.15</v>
      </c>
      <c r="DT42" s="9">
        <v>0.34</v>
      </c>
      <c r="DU42" s="9">
        <v>27.49</v>
      </c>
      <c r="DV42" s="9">
        <v>14.94</v>
      </c>
      <c r="DW42" s="9">
        <v>4.97</v>
      </c>
      <c r="DX42" s="9">
        <v>11.72</v>
      </c>
      <c r="DY42" s="9">
        <v>5.55</v>
      </c>
      <c r="DZ42" s="9">
        <v>1.63</v>
      </c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>
        <v>1130</v>
      </c>
      <c r="EV42" s="9"/>
      <c r="EW42" s="9"/>
      <c r="EX42" s="9"/>
      <c r="EY42" s="9"/>
      <c r="EZ42" s="9"/>
      <c r="FA42" s="9"/>
      <c r="FB42" s="9">
        <v>24.964285714300001</v>
      </c>
      <c r="FC42" s="9">
        <v>25.750454545499998</v>
      </c>
      <c r="FD42" s="9">
        <v>1651.1</v>
      </c>
      <c r="FE42" s="9">
        <v>13.82</v>
      </c>
      <c r="FF42" s="9">
        <v>355.6825</v>
      </c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>
        <v>1130</v>
      </c>
      <c r="GO42" s="6"/>
      <c r="GP42" s="6"/>
      <c r="GQ42" s="6"/>
    </row>
    <row r="43" spans="1:199" x14ac:dyDescent="0.2">
      <c r="A43" s="8">
        <v>2003</v>
      </c>
      <c r="B43" s="8" t="s">
        <v>251</v>
      </c>
      <c r="C43" s="8" t="s">
        <v>254</v>
      </c>
      <c r="D43" s="9">
        <v>504294.2</v>
      </c>
      <c r="E43" s="9">
        <v>135364.9</v>
      </c>
      <c r="F43" s="9">
        <v>50298.9</v>
      </c>
      <c r="G43" s="9">
        <v>30802.799999999999</v>
      </c>
      <c r="H43" s="9">
        <v>16340.9</v>
      </c>
      <c r="I43" s="9">
        <v>15546.8</v>
      </c>
      <c r="J43" s="9">
        <v>47919.7</v>
      </c>
      <c r="K43" s="9">
        <v>35881.300000000003</v>
      </c>
      <c r="L43" s="9">
        <v>7111.7</v>
      </c>
      <c r="M43" s="9">
        <v>109225.5</v>
      </c>
      <c r="N43" s="9">
        <v>55801.599999999999</v>
      </c>
      <c r="O43" s="9">
        <v>2392554.2809245661</v>
      </c>
      <c r="P43" s="9">
        <v>461802.66890632157</v>
      </c>
      <c r="Q43" s="9">
        <v>294736.47822137189</v>
      </c>
      <c r="R43" s="9">
        <v>244449.1995975578</v>
      </c>
      <c r="S43" s="9">
        <v>76453.675423750799</v>
      </c>
      <c r="T43" s="9">
        <v>99945.3230315049</v>
      </c>
      <c r="U43" s="9">
        <v>225798.14532537991</v>
      </c>
      <c r="V43" s="9">
        <v>63280.353933653802</v>
      </c>
      <c r="W43" s="9">
        <v>13917.2064358689</v>
      </c>
      <c r="X43" s="9">
        <v>751664.50526127929</v>
      </c>
      <c r="Y43" s="9">
        <v>160506.7247878772</v>
      </c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>
        <v>84.2</v>
      </c>
      <c r="AX43" s="9">
        <v>54.9</v>
      </c>
      <c r="AY43" s="9">
        <v>90</v>
      </c>
      <c r="AZ43" s="9">
        <v>86.6</v>
      </c>
      <c r="BA43" s="9">
        <v>96.9</v>
      </c>
      <c r="BB43" s="9"/>
      <c r="BC43" s="9">
        <v>85.7</v>
      </c>
      <c r="BD43" s="9">
        <v>68.900000000000006</v>
      </c>
      <c r="BE43" s="9">
        <v>105.8</v>
      </c>
      <c r="BF43" s="9">
        <v>74.5</v>
      </c>
      <c r="BG43" s="9"/>
      <c r="BH43" s="9">
        <v>109.2</v>
      </c>
      <c r="BI43" s="9">
        <v>69.400000000000006</v>
      </c>
      <c r="BJ43" s="9">
        <v>94.5</v>
      </c>
      <c r="BK43" s="9">
        <v>61.9</v>
      </c>
      <c r="BL43" s="9"/>
      <c r="BM43" s="9">
        <v>53.2</v>
      </c>
      <c r="BN43" s="9">
        <v>45593.7</v>
      </c>
      <c r="BO43" s="9">
        <v>34710.1</v>
      </c>
      <c r="BP43" s="9">
        <v>5623.2</v>
      </c>
      <c r="BQ43" s="9">
        <v>2870.9</v>
      </c>
      <c r="BR43" s="9">
        <v>2752.3</v>
      </c>
      <c r="BS43" s="9">
        <v>4592.8</v>
      </c>
      <c r="BT43" s="9">
        <v>6675.3</v>
      </c>
      <c r="BU43" s="9">
        <v>6003.9</v>
      </c>
      <c r="BV43" s="9">
        <v>8602.6</v>
      </c>
      <c r="BW43" s="9">
        <v>45113.2</v>
      </c>
      <c r="BX43" s="9">
        <v>4859.3</v>
      </c>
      <c r="BY43" s="9">
        <v>16342.4</v>
      </c>
      <c r="BZ43" s="9">
        <v>14471.7</v>
      </c>
      <c r="CA43" s="9">
        <v>5259.2</v>
      </c>
      <c r="CB43" s="9">
        <v>0</v>
      </c>
      <c r="CC43" s="9">
        <v>0</v>
      </c>
      <c r="CD43" s="9">
        <v>0</v>
      </c>
      <c r="CE43" s="9">
        <v>5007.7</v>
      </c>
      <c r="CF43" s="9">
        <v>208987.87599999999</v>
      </c>
      <c r="CG43" s="9">
        <v>557744.362035</v>
      </c>
      <c r="CH43" s="9"/>
      <c r="CI43" s="9"/>
      <c r="CJ43" s="9">
        <v>32.4</v>
      </c>
      <c r="CK43" s="9">
        <v>20.9</v>
      </c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>
        <v>39</v>
      </c>
      <c r="DA43" s="9">
        <v>18</v>
      </c>
      <c r="DB43" s="9">
        <v>0</v>
      </c>
      <c r="DC43" s="9">
        <v>14</v>
      </c>
      <c r="DD43" s="9">
        <v>0</v>
      </c>
      <c r="DE43" s="9">
        <v>0</v>
      </c>
      <c r="DF43" s="9">
        <v>1</v>
      </c>
      <c r="DG43" s="9">
        <v>1</v>
      </c>
      <c r="DH43" s="9">
        <v>7</v>
      </c>
      <c r="DI43" s="9">
        <v>0</v>
      </c>
      <c r="DJ43" s="9">
        <v>2</v>
      </c>
      <c r="DK43" s="9">
        <v>4</v>
      </c>
      <c r="DL43" s="9">
        <v>0</v>
      </c>
      <c r="DM43" s="9">
        <v>13</v>
      </c>
      <c r="DN43" s="9">
        <v>0</v>
      </c>
      <c r="DO43" s="9">
        <v>78.3</v>
      </c>
      <c r="DP43" s="9">
        <v>22.36</v>
      </c>
      <c r="DQ43" s="9">
        <v>13.74</v>
      </c>
      <c r="DR43" s="9">
        <v>8.6199999999999992</v>
      </c>
      <c r="DS43" s="9">
        <v>13.05</v>
      </c>
      <c r="DT43" s="9">
        <v>0.63</v>
      </c>
      <c r="DU43" s="9">
        <v>32.08</v>
      </c>
      <c r="DV43" s="9">
        <v>21.64</v>
      </c>
      <c r="DW43" s="9">
        <v>6.26</v>
      </c>
      <c r="DX43" s="9">
        <v>10.78</v>
      </c>
      <c r="DY43" s="9">
        <v>5.2</v>
      </c>
      <c r="DZ43" s="9">
        <v>1.67</v>
      </c>
      <c r="EA43" s="9">
        <v>-68.855000000000004</v>
      </c>
      <c r="EB43" s="9">
        <v>-85.214799999999997</v>
      </c>
      <c r="EC43" s="9">
        <v>-33.7346</v>
      </c>
      <c r="ED43" s="9">
        <v>0.117297</v>
      </c>
      <c r="EE43" s="9">
        <v>49.977049999999998</v>
      </c>
      <c r="EF43" s="9">
        <v>0</v>
      </c>
      <c r="EG43" s="9">
        <v>-58.136200000000002</v>
      </c>
      <c r="EH43" s="9">
        <v>-42.84</v>
      </c>
      <c r="EI43" s="9">
        <v>0</v>
      </c>
      <c r="EJ43" s="9">
        <v>0</v>
      </c>
      <c r="EK43" s="9">
        <v>-15.296200000000001</v>
      </c>
      <c r="EL43" s="9">
        <v>32.488810000000001</v>
      </c>
      <c r="EM43" s="9">
        <v>21.77</v>
      </c>
      <c r="EN43" s="9"/>
      <c r="EO43" s="9"/>
      <c r="EP43" s="9"/>
      <c r="EQ43" s="9"/>
      <c r="ER43" s="9"/>
      <c r="ES43" s="9"/>
      <c r="ET43" s="9"/>
      <c r="EU43">
        <v>1133.67</v>
      </c>
      <c r="EV43" s="9">
        <v>4632.91</v>
      </c>
      <c r="EW43" s="9">
        <v>1209.52</v>
      </c>
      <c r="EX43" s="9">
        <v>15.07</v>
      </c>
      <c r="EY43" s="9">
        <v>16.09</v>
      </c>
      <c r="EZ43" s="9">
        <v>968.65</v>
      </c>
      <c r="FA43" s="9">
        <v>2423.58</v>
      </c>
      <c r="FB43" s="9">
        <v>25.821428571399998</v>
      </c>
      <c r="FC43" s="9">
        <v>27.545714285700001</v>
      </c>
      <c r="FD43" s="9">
        <v>1685.1071428570999</v>
      </c>
      <c r="FE43" s="9">
        <v>13.82</v>
      </c>
      <c r="FF43" s="9">
        <v>356.35238095239998</v>
      </c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>
        <v>1139</v>
      </c>
      <c r="GO43" s="6"/>
      <c r="GP43" s="6"/>
      <c r="GQ43" s="6"/>
    </row>
    <row r="44" spans="1:199" x14ac:dyDescent="0.2">
      <c r="A44" s="8">
        <v>2003</v>
      </c>
      <c r="B44" s="8" t="s">
        <v>255</v>
      </c>
      <c r="C44" s="8" t="s">
        <v>256</v>
      </c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>
        <v>48190.1</v>
      </c>
      <c r="BO44" s="9">
        <v>38515.4</v>
      </c>
      <c r="BP44" s="9">
        <v>5748.5</v>
      </c>
      <c r="BQ44" s="9">
        <v>3394.2</v>
      </c>
      <c r="BR44" s="9">
        <v>2354.3000000000002</v>
      </c>
      <c r="BS44" s="9">
        <v>5732.9</v>
      </c>
      <c r="BT44" s="9">
        <v>15032.2</v>
      </c>
      <c r="BU44" s="9">
        <v>4739.8</v>
      </c>
      <c r="BV44" s="9">
        <v>9352.9</v>
      </c>
      <c r="BW44" s="9">
        <v>27030.1</v>
      </c>
      <c r="BX44" s="9">
        <v>2690.9</v>
      </c>
      <c r="BY44" s="9">
        <v>10802.6</v>
      </c>
      <c r="BZ44" s="9">
        <v>7310.8</v>
      </c>
      <c r="CA44" s="9">
        <v>-2620.1999999999998</v>
      </c>
      <c r="CB44" s="9">
        <v>0</v>
      </c>
      <c r="CC44" s="9">
        <v>0</v>
      </c>
      <c r="CD44" s="9">
        <v>0</v>
      </c>
      <c r="CE44" s="9">
        <v>7412.2</v>
      </c>
      <c r="CF44" s="9">
        <v>204711.3382</v>
      </c>
      <c r="CG44" s="9">
        <v>582405.13740499993</v>
      </c>
      <c r="CH44" s="9"/>
      <c r="CI44" s="9"/>
      <c r="CJ44" s="9">
        <v>32.799999999999997</v>
      </c>
      <c r="CK44" s="9">
        <v>19.899999999999999</v>
      </c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>
        <v>47</v>
      </c>
      <c r="DA44" s="9">
        <v>17</v>
      </c>
      <c r="DB44" s="9">
        <v>1</v>
      </c>
      <c r="DC44" s="9">
        <v>13</v>
      </c>
      <c r="DD44" s="9">
        <v>0</v>
      </c>
      <c r="DE44" s="9">
        <v>0</v>
      </c>
      <c r="DF44" s="9">
        <v>1</v>
      </c>
      <c r="DG44" s="9">
        <v>0</v>
      </c>
      <c r="DH44" s="9">
        <v>11</v>
      </c>
      <c r="DI44" s="9">
        <v>0</v>
      </c>
      <c r="DJ44" s="9">
        <v>4</v>
      </c>
      <c r="DK44" s="9">
        <v>5</v>
      </c>
      <c r="DL44" s="9">
        <v>0</v>
      </c>
      <c r="DM44" s="9">
        <v>18</v>
      </c>
      <c r="DN44" s="9">
        <v>0</v>
      </c>
      <c r="DO44" s="9">
        <v>90.49</v>
      </c>
      <c r="DP44" s="9">
        <v>24.53</v>
      </c>
      <c r="DQ44" s="9">
        <v>14.08</v>
      </c>
      <c r="DR44" s="9">
        <v>10.45</v>
      </c>
      <c r="DS44" s="9">
        <v>12.25</v>
      </c>
      <c r="DT44" s="9">
        <v>0.68</v>
      </c>
      <c r="DU44" s="9">
        <v>39.409999999999997</v>
      </c>
      <c r="DV44" s="9">
        <v>25.49</v>
      </c>
      <c r="DW44" s="9">
        <v>7.6</v>
      </c>
      <c r="DX44" s="9">
        <v>14.27</v>
      </c>
      <c r="DY44" s="9">
        <v>7.47</v>
      </c>
      <c r="DZ44" s="9">
        <v>1.65</v>
      </c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>
        <v>1146.5899999999999</v>
      </c>
      <c r="EV44" s="9"/>
      <c r="EW44" s="9"/>
      <c r="EX44" s="9"/>
      <c r="EY44" s="9"/>
      <c r="EZ44" s="9"/>
      <c r="FA44" s="9"/>
      <c r="FB44" s="9">
        <v>26.089285714300001</v>
      </c>
      <c r="FC44" s="9">
        <v>28.398260869600001</v>
      </c>
      <c r="FD44" s="9">
        <v>1712.8260869564999</v>
      </c>
      <c r="FE44" s="9">
        <v>13.82</v>
      </c>
      <c r="FF44" s="9">
        <v>351.01956521739999</v>
      </c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>
        <v>1153</v>
      </c>
      <c r="GO44" s="6"/>
      <c r="GP44" s="6"/>
      <c r="GQ44" s="6"/>
    </row>
    <row r="45" spans="1:199" x14ac:dyDescent="0.2">
      <c r="A45" s="8">
        <v>2003</v>
      </c>
      <c r="B45" s="8" t="s">
        <v>255</v>
      </c>
      <c r="C45" s="8" t="s">
        <v>257</v>
      </c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>
        <v>49280.3</v>
      </c>
      <c r="BO45" s="9">
        <v>40381.9</v>
      </c>
      <c r="BP45" s="9">
        <v>5728.1</v>
      </c>
      <c r="BQ45" s="9">
        <v>3991.3</v>
      </c>
      <c r="BR45" s="9">
        <v>1736.7</v>
      </c>
      <c r="BS45" s="9">
        <v>4227.6000000000004</v>
      </c>
      <c r="BT45" s="9">
        <v>22525.8</v>
      </c>
      <c r="BU45" s="9">
        <v>5892.3</v>
      </c>
      <c r="BV45" s="9">
        <v>8754.6</v>
      </c>
      <c r="BW45" s="9">
        <v>31306.2</v>
      </c>
      <c r="BX45" s="9">
        <v>10752.3</v>
      </c>
      <c r="BY45" s="9">
        <v>11705.9</v>
      </c>
      <c r="BZ45" s="9">
        <v>6578.3</v>
      </c>
      <c r="CA45" s="9">
        <v>2719.3</v>
      </c>
      <c r="CB45" s="9">
        <v>0</v>
      </c>
      <c r="CC45" s="9">
        <v>0</v>
      </c>
      <c r="CD45" s="9">
        <v>0</v>
      </c>
      <c r="CE45" s="9">
        <v>11208.2</v>
      </c>
      <c r="CF45" s="9">
        <v>217316.67939999999</v>
      </c>
      <c r="CG45" s="9">
        <v>588513.23330900003</v>
      </c>
      <c r="CH45" s="9"/>
      <c r="CI45" s="9"/>
      <c r="CJ45" s="9">
        <v>33.200000000000003</v>
      </c>
      <c r="CK45" s="9">
        <v>23.5</v>
      </c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>
        <v>63</v>
      </c>
      <c r="DA45" s="9">
        <v>37</v>
      </c>
      <c r="DB45" s="9">
        <v>18</v>
      </c>
      <c r="DC45" s="9">
        <v>14</v>
      </c>
      <c r="DD45" s="9">
        <v>0</v>
      </c>
      <c r="DE45" s="9">
        <v>0</v>
      </c>
      <c r="DF45" s="9">
        <v>1</v>
      </c>
      <c r="DG45" s="9">
        <v>0</v>
      </c>
      <c r="DH45" s="9">
        <v>9</v>
      </c>
      <c r="DI45" s="9">
        <v>1</v>
      </c>
      <c r="DJ45" s="9">
        <v>3</v>
      </c>
      <c r="DK45" s="9">
        <v>4</v>
      </c>
      <c r="DL45" s="9">
        <v>0</v>
      </c>
      <c r="DM45" s="9">
        <v>16</v>
      </c>
      <c r="DN45" s="9">
        <v>0</v>
      </c>
      <c r="DO45" s="9">
        <v>70.790000000000006</v>
      </c>
      <c r="DP45" s="9">
        <v>18.690000000000001</v>
      </c>
      <c r="DQ45" s="9">
        <v>12.24</v>
      </c>
      <c r="DR45" s="9">
        <v>6.45</v>
      </c>
      <c r="DS45" s="9">
        <v>9.68</v>
      </c>
      <c r="DT45" s="9">
        <v>0.44</v>
      </c>
      <c r="DU45" s="9">
        <v>26.38</v>
      </c>
      <c r="DV45" s="9">
        <v>13.52</v>
      </c>
      <c r="DW45" s="9">
        <v>8.8000000000000007</v>
      </c>
      <c r="DX45" s="9">
        <v>16.03</v>
      </c>
      <c r="DY45" s="9">
        <v>6.14</v>
      </c>
      <c r="DZ45" s="9">
        <v>1.96</v>
      </c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>
        <v>1152.19</v>
      </c>
      <c r="EV45" s="9"/>
      <c r="EW45" s="9"/>
      <c r="EX45" s="9"/>
      <c r="EY45" s="9"/>
      <c r="EZ45" s="9"/>
      <c r="FA45" s="9"/>
      <c r="FB45" s="9">
        <v>27.133928571399998</v>
      </c>
      <c r="FC45" s="9">
        <v>29.825714285699998</v>
      </c>
      <c r="FD45" s="9">
        <v>1756.7249999999999</v>
      </c>
      <c r="FE45" s="9">
        <v>13.82</v>
      </c>
      <c r="FF45" s="9">
        <v>359.76749999999998</v>
      </c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>
        <v>1154</v>
      </c>
      <c r="GO45" s="6"/>
      <c r="GP45" s="6"/>
      <c r="GQ45" s="6"/>
    </row>
    <row r="46" spans="1:199" x14ac:dyDescent="0.2">
      <c r="A46" s="8">
        <v>2003</v>
      </c>
      <c r="B46" s="8" t="s">
        <v>255</v>
      </c>
      <c r="C46" s="8" t="s">
        <v>258</v>
      </c>
      <c r="D46" s="9">
        <v>502933.2</v>
      </c>
      <c r="E46" s="9">
        <v>97888.7</v>
      </c>
      <c r="F46" s="9">
        <v>65055.6</v>
      </c>
      <c r="G46" s="9">
        <v>28260.2</v>
      </c>
      <c r="H46" s="9">
        <v>12530.5</v>
      </c>
      <c r="I46" s="9">
        <v>21132.3</v>
      </c>
      <c r="J46" s="9">
        <v>42567.7</v>
      </c>
      <c r="K46" s="9">
        <v>44710.8</v>
      </c>
      <c r="L46" s="9">
        <v>28418.7</v>
      </c>
      <c r="M46" s="9">
        <v>95789.5</v>
      </c>
      <c r="N46" s="9">
        <v>66579.5</v>
      </c>
      <c r="O46" s="9">
        <v>2386097.20413023</v>
      </c>
      <c r="P46" s="9">
        <v>343515.5093557596</v>
      </c>
      <c r="Q46" s="9">
        <v>392124.07402869692</v>
      </c>
      <c r="R46" s="9">
        <v>230694.41027931549</v>
      </c>
      <c r="S46" s="9">
        <v>60305.123900932304</v>
      </c>
      <c r="T46" s="9">
        <v>139743.51045266961</v>
      </c>
      <c r="U46" s="9">
        <v>206324.06331101319</v>
      </c>
      <c r="V46" s="9">
        <v>81110.408356989807</v>
      </c>
      <c r="W46" s="9">
        <v>57206.616977573103</v>
      </c>
      <c r="X46" s="9">
        <v>678080.60833116702</v>
      </c>
      <c r="Y46" s="9">
        <v>196992.87913611301</v>
      </c>
      <c r="Z46" s="9"/>
      <c r="AA46" s="9"/>
      <c r="AB46" s="9"/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>
        <v>83.1</v>
      </c>
      <c r="AX46" s="9">
        <v>52.5</v>
      </c>
      <c r="AY46" s="9">
        <v>90</v>
      </c>
      <c r="AZ46" s="9">
        <v>86.5</v>
      </c>
      <c r="BA46" s="9">
        <v>97</v>
      </c>
      <c r="BB46" s="9"/>
      <c r="BC46" s="9">
        <v>92</v>
      </c>
      <c r="BD46" s="9">
        <v>66.900000000000006</v>
      </c>
      <c r="BE46" s="9">
        <v>107.9</v>
      </c>
      <c r="BF46" s="9">
        <v>91.5</v>
      </c>
      <c r="BG46" s="9"/>
      <c r="BH46" s="9">
        <v>90.6</v>
      </c>
      <c r="BI46" s="9">
        <v>72.5</v>
      </c>
      <c r="BJ46" s="9">
        <v>67.400000000000006</v>
      </c>
      <c r="BK46" s="9">
        <v>61.4</v>
      </c>
      <c r="BL46" s="9"/>
      <c r="BM46" s="9">
        <v>57</v>
      </c>
      <c r="BN46" s="9">
        <v>51703.6</v>
      </c>
      <c r="BO46" s="9">
        <v>37626.6</v>
      </c>
      <c r="BP46" s="9">
        <v>6727.8</v>
      </c>
      <c r="BQ46" s="9">
        <v>3859.9</v>
      </c>
      <c r="BR46" s="9">
        <v>2868</v>
      </c>
      <c r="BS46" s="9">
        <v>6885.3</v>
      </c>
      <c r="BT46" s="9">
        <v>8376.2000000000007</v>
      </c>
      <c r="BU46" s="9">
        <v>7899.5</v>
      </c>
      <c r="BV46" s="9">
        <v>13988.9</v>
      </c>
      <c r="BW46" s="9">
        <v>35337.800000000003</v>
      </c>
      <c r="BX46" s="9">
        <v>11999.8</v>
      </c>
      <c r="BY46" s="9">
        <v>15158.4</v>
      </c>
      <c r="BZ46" s="9">
        <v>9334</v>
      </c>
      <c r="CA46" s="9">
        <v>511.4</v>
      </c>
      <c r="CB46" s="9">
        <v>0</v>
      </c>
      <c r="CC46" s="9">
        <v>0</v>
      </c>
      <c r="CD46" s="9">
        <v>0</v>
      </c>
      <c r="CE46" s="9">
        <v>7381.8</v>
      </c>
      <c r="CF46" s="9">
        <v>214417.4829</v>
      </c>
      <c r="CG46" s="9">
        <v>609367.39290899993</v>
      </c>
      <c r="CH46" s="9"/>
      <c r="CI46" s="9"/>
      <c r="CJ46" s="9">
        <v>32.200000000000003</v>
      </c>
      <c r="CK46" s="9">
        <v>22.6</v>
      </c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>
        <v>57</v>
      </c>
      <c r="DA46" s="9">
        <v>31</v>
      </c>
      <c r="DB46" s="9">
        <v>15</v>
      </c>
      <c r="DC46" s="9">
        <v>13</v>
      </c>
      <c r="DD46" s="9">
        <v>0</v>
      </c>
      <c r="DE46" s="9">
        <v>0</v>
      </c>
      <c r="DF46" s="9">
        <v>0</v>
      </c>
      <c r="DG46" s="9">
        <v>1</v>
      </c>
      <c r="DH46" s="9">
        <v>15</v>
      </c>
      <c r="DI46" s="9">
        <v>3</v>
      </c>
      <c r="DJ46" s="9">
        <v>5</v>
      </c>
      <c r="DK46" s="9">
        <v>6</v>
      </c>
      <c r="DL46" s="9">
        <v>0</v>
      </c>
      <c r="DM46" s="9">
        <v>10</v>
      </c>
      <c r="DN46" s="9">
        <v>0</v>
      </c>
      <c r="DO46" s="9">
        <v>67.069999999999993</v>
      </c>
      <c r="DP46" s="9">
        <v>21.62</v>
      </c>
      <c r="DQ46" s="9">
        <v>13.15</v>
      </c>
      <c r="DR46" s="9">
        <v>8.48</v>
      </c>
      <c r="DS46" s="9">
        <v>11.76</v>
      </c>
      <c r="DT46" s="9">
        <v>0.73</v>
      </c>
      <c r="DU46" s="9">
        <v>20.72</v>
      </c>
      <c r="DV46" s="9">
        <v>12.54</v>
      </c>
      <c r="DW46" s="9">
        <v>5.81</v>
      </c>
      <c r="DX46" s="9">
        <v>12.89</v>
      </c>
      <c r="DY46" s="9">
        <v>5.04</v>
      </c>
      <c r="DZ46" s="9">
        <v>2.14</v>
      </c>
      <c r="EA46" s="9">
        <v>6.9606490000000001</v>
      </c>
      <c r="EB46" s="9">
        <v>-28.123899999999999</v>
      </c>
      <c r="EC46" s="9">
        <v>-13.2356</v>
      </c>
      <c r="ED46" s="9">
        <v>-2.2041499999999998</v>
      </c>
      <c r="EE46" s="9">
        <v>50.524290000000001</v>
      </c>
      <c r="EF46" s="9">
        <v>0</v>
      </c>
      <c r="EG46" s="9">
        <v>-55.046500000000002</v>
      </c>
      <c r="EH46" s="9">
        <v>-39.6</v>
      </c>
      <c r="EI46" s="9">
        <v>0</v>
      </c>
      <c r="EJ46" s="9">
        <v>0</v>
      </c>
      <c r="EK46" s="9">
        <v>-15.4465</v>
      </c>
      <c r="EL46" s="9">
        <v>-37.008099999999999</v>
      </c>
      <c r="EM46" s="9">
        <v>24.998999999999999</v>
      </c>
      <c r="EN46" s="9"/>
      <c r="EO46" s="9"/>
      <c r="EP46" s="9"/>
      <c r="EQ46" s="9"/>
      <c r="ER46" s="9"/>
      <c r="ES46" s="9"/>
      <c r="ET46" s="9"/>
      <c r="EU46">
        <v>1156.6400000000001</v>
      </c>
      <c r="EV46" s="9">
        <v>4771.07</v>
      </c>
      <c r="EW46" s="9">
        <v>1329.01</v>
      </c>
      <c r="EX46" s="9">
        <v>24</v>
      </c>
      <c r="EY46" s="9">
        <v>19.71</v>
      </c>
      <c r="EZ46" s="9">
        <v>974.78</v>
      </c>
      <c r="FA46" s="9">
        <v>2423.58</v>
      </c>
      <c r="FB46" s="9">
        <v>28.607142857100001</v>
      </c>
      <c r="FC46" s="9">
        <v>27.0981818182</v>
      </c>
      <c r="FD46" s="9">
        <v>1789.6704545453999</v>
      </c>
      <c r="FE46" s="9">
        <v>13.82</v>
      </c>
      <c r="FF46" s="9">
        <v>378.94545454550001</v>
      </c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>
        <v>1159</v>
      </c>
      <c r="GO46" s="6"/>
      <c r="GP46" s="6"/>
      <c r="GQ46" s="6"/>
    </row>
    <row r="47" spans="1:199" x14ac:dyDescent="0.2">
      <c r="A47" s="8">
        <v>2003</v>
      </c>
      <c r="B47" s="8" t="s">
        <v>259</v>
      </c>
      <c r="C47" s="8" t="s">
        <v>260</v>
      </c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>
        <v>54965.3</v>
      </c>
      <c r="BO47" s="9">
        <v>38419.4</v>
      </c>
      <c r="BP47" s="9">
        <v>8863.4</v>
      </c>
      <c r="BQ47" s="9">
        <v>5254.6</v>
      </c>
      <c r="BR47" s="9">
        <v>3608.8</v>
      </c>
      <c r="BS47" s="9">
        <v>5815.9</v>
      </c>
      <c r="BT47" s="9">
        <v>12517.9</v>
      </c>
      <c r="BU47" s="9">
        <v>3485.2</v>
      </c>
      <c r="BV47" s="9">
        <v>16682.400000000001</v>
      </c>
      <c r="BW47" s="9">
        <v>36202.5</v>
      </c>
      <c r="BX47" s="9">
        <v>12517.7</v>
      </c>
      <c r="BY47" s="9">
        <v>14048.4</v>
      </c>
      <c r="BZ47" s="9">
        <v>9467.4</v>
      </c>
      <c r="CA47" s="9">
        <v>1863.1</v>
      </c>
      <c r="CB47" s="9">
        <v>0</v>
      </c>
      <c r="CC47" s="9">
        <v>0</v>
      </c>
      <c r="CD47" s="9">
        <v>0</v>
      </c>
      <c r="CE47" s="9">
        <v>11619.3</v>
      </c>
      <c r="CF47" s="9">
        <v>213157.54620000001</v>
      </c>
      <c r="CG47" s="9">
        <v>623413.44727599993</v>
      </c>
      <c r="CH47" s="9"/>
      <c r="CI47" s="9"/>
      <c r="CJ47" s="9">
        <v>29.9</v>
      </c>
      <c r="CK47" s="9">
        <v>20.8</v>
      </c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>
        <v>54</v>
      </c>
      <c r="DA47" s="9">
        <v>32</v>
      </c>
      <c r="DB47" s="9">
        <v>12</v>
      </c>
      <c r="DC47" s="9">
        <v>14</v>
      </c>
      <c r="DD47" s="9">
        <v>0</v>
      </c>
      <c r="DE47" s="9">
        <v>0</v>
      </c>
      <c r="DF47" s="9">
        <v>1</v>
      </c>
      <c r="DG47" s="9">
        <v>0</v>
      </c>
      <c r="DH47" s="9">
        <v>10</v>
      </c>
      <c r="DI47" s="9">
        <v>2</v>
      </c>
      <c r="DJ47" s="9">
        <v>5</v>
      </c>
      <c r="DK47" s="9">
        <v>2</v>
      </c>
      <c r="DL47" s="9">
        <v>0</v>
      </c>
      <c r="DM47" s="9">
        <v>12</v>
      </c>
      <c r="DN47" s="9">
        <v>0</v>
      </c>
      <c r="DO47" s="9">
        <v>67.97</v>
      </c>
      <c r="DP47" s="9">
        <v>23.11</v>
      </c>
      <c r="DQ47" s="9">
        <v>15.48</v>
      </c>
      <c r="DR47" s="9">
        <v>7.63</v>
      </c>
      <c r="DS47" s="9">
        <v>11.25</v>
      </c>
      <c r="DT47" s="9">
        <v>0.45</v>
      </c>
      <c r="DU47" s="9">
        <v>20.48</v>
      </c>
      <c r="DV47" s="9">
        <v>13.74</v>
      </c>
      <c r="DW47" s="9">
        <v>3.91</v>
      </c>
      <c r="DX47" s="9">
        <v>13.12</v>
      </c>
      <c r="DY47" s="9">
        <v>5.19</v>
      </c>
      <c r="DZ47" s="9">
        <v>1.97</v>
      </c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>
        <v>1161.3900000000001</v>
      </c>
      <c r="EV47" s="9"/>
      <c r="EW47" s="9"/>
      <c r="EX47" s="9"/>
      <c r="EY47" s="9"/>
      <c r="EZ47" s="9"/>
      <c r="FA47" s="9"/>
      <c r="FB47" s="9">
        <v>29.464285714300001</v>
      </c>
      <c r="FC47" s="9">
        <v>29.590434782599999</v>
      </c>
      <c r="FD47" s="9">
        <v>1925.5826086955999</v>
      </c>
      <c r="FE47" s="9">
        <v>13.82</v>
      </c>
      <c r="FF47" s="9">
        <v>378.91956521740002</v>
      </c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>
        <v>1165</v>
      </c>
      <c r="GO47" s="6"/>
      <c r="GP47" s="6"/>
      <c r="GQ47" s="6"/>
    </row>
    <row r="48" spans="1:199" x14ac:dyDescent="0.2">
      <c r="A48" s="8">
        <v>2003</v>
      </c>
      <c r="B48" s="8" t="s">
        <v>259</v>
      </c>
      <c r="C48" s="8" t="s">
        <v>261</v>
      </c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>
        <v>52984.7</v>
      </c>
      <c r="BO48" s="9">
        <v>39518.5</v>
      </c>
      <c r="BP48" s="9">
        <v>10839.4</v>
      </c>
      <c r="BQ48" s="9">
        <v>8641.2999999999993</v>
      </c>
      <c r="BR48" s="9">
        <v>2198.1</v>
      </c>
      <c r="BS48" s="9">
        <v>4981.1000000000004</v>
      </c>
      <c r="BT48" s="9">
        <v>11452.9</v>
      </c>
      <c r="BU48" s="9">
        <v>5523.6</v>
      </c>
      <c r="BV48" s="9">
        <v>11496.8</v>
      </c>
      <c r="BW48" s="9">
        <v>40749.9</v>
      </c>
      <c r="BX48" s="9">
        <v>10289</v>
      </c>
      <c r="BY48" s="9">
        <v>18791</v>
      </c>
      <c r="BZ48" s="9">
        <v>9170.5</v>
      </c>
      <c r="CA48" s="9">
        <v>1672.8</v>
      </c>
      <c r="CB48" s="9">
        <v>0</v>
      </c>
      <c r="CC48" s="9">
        <v>0</v>
      </c>
      <c r="CD48" s="9">
        <v>0</v>
      </c>
      <c r="CE48" s="9">
        <v>8303.7999999999993</v>
      </c>
      <c r="CF48" s="9">
        <v>203784.5765</v>
      </c>
      <c r="CG48" s="9">
        <v>627501.19570000004</v>
      </c>
      <c r="CH48" s="9"/>
      <c r="CI48" s="9"/>
      <c r="CJ48" s="9">
        <v>33.200000000000003</v>
      </c>
      <c r="CK48" s="9">
        <v>21.7</v>
      </c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>
        <v>59</v>
      </c>
      <c r="DA48" s="9">
        <v>39</v>
      </c>
      <c r="DB48" s="9">
        <v>18</v>
      </c>
      <c r="DC48" s="9">
        <v>16</v>
      </c>
      <c r="DD48" s="9">
        <v>0</v>
      </c>
      <c r="DE48" s="9">
        <v>0</v>
      </c>
      <c r="DF48" s="9">
        <v>1</v>
      </c>
      <c r="DG48" s="9">
        <v>0</v>
      </c>
      <c r="DH48" s="9">
        <v>11</v>
      </c>
      <c r="DI48" s="9">
        <v>3</v>
      </c>
      <c r="DJ48" s="9">
        <v>5</v>
      </c>
      <c r="DK48" s="9">
        <v>2</v>
      </c>
      <c r="DL48" s="9">
        <v>0</v>
      </c>
      <c r="DM48" s="9">
        <v>9</v>
      </c>
      <c r="DN48" s="9">
        <v>0</v>
      </c>
      <c r="DO48" s="9">
        <v>59.97</v>
      </c>
      <c r="DP48" s="9">
        <v>20.57</v>
      </c>
      <c r="DQ48" s="9">
        <v>12.8</v>
      </c>
      <c r="DR48" s="9">
        <v>7.76</v>
      </c>
      <c r="DS48" s="9">
        <v>11.17</v>
      </c>
      <c r="DT48" s="9">
        <v>0.46</v>
      </c>
      <c r="DU48" s="9">
        <v>14.59</v>
      </c>
      <c r="DV48" s="9">
        <v>9.07</v>
      </c>
      <c r="DW48" s="9">
        <v>2.82</v>
      </c>
      <c r="DX48" s="9">
        <v>13.62</v>
      </c>
      <c r="DY48" s="9">
        <v>4.6399999999999997</v>
      </c>
      <c r="DZ48" s="9">
        <v>2.19</v>
      </c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>
        <v>1168.26</v>
      </c>
      <c r="EV48" s="9"/>
      <c r="EW48" s="9"/>
      <c r="EX48" s="9"/>
      <c r="EY48" s="9"/>
      <c r="EZ48" s="9"/>
      <c r="FA48" s="9"/>
      <c r="FB48" s="9">
        <v>32.049107142899999</v>
      </c>
      <c r="FC48" s="9">
        <v>28.771999999999998</v>
      </c>
      <c r="FD48" s="9">
        <v>2053.2750000000001</v>
      </c>
      <c r="FE48" s="9">
        <v>13.82</v>
      </c>
      <c r="FF48" s="9">
        <v>389.91</v>
      </c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>
        <v>1171</v>
      </c>
      <c r="GO48" s="6"/>
      <c r="GP48" s="6"/>
      <c r="GQ48" s="6"/>
    </row>
    <row r="49" spans="1:199" x14ac:dyDescent="0.2">
      <c r="A49" s="8">
        <v>2003</v>
      </c>
      <c r="B49" s="8" t="s">
        <v>259</v>
      </c>
      <c r="C49" s="8" t="s">
        <v>262</v>
      </c>
      <c r="D49" s="9">
        <v>503033.5</v>
      </c>
      <c r="E49" s="9">
        <v>84668.800000000003</v>
      </c>
      <c r="F49" s="9">
        <v>60995.8</v>
      </c>
      <c r="G49" s="9">
        <v>37850.1</v>
      </c>
      <c r="H49" s="9">
        <v>14831.3</v>
      </c>
      <c r="I49" s="9">
        <v>30445</v>
      </c>
      <c r="J49" s="9">
        <v>57493.3</v>
      </c>
      <c r="K49" s="9">
        <v>50297.9</v>
      </c>
      <c r="L49" s="9">
        <v>18201.400000000001</v>
      </c>
      <c r="M49" s="9">
        <v>107338.1</v>
      </c>
      <c r="N49" s="9">
        <v>40911.699999999997</v>
      </c>
      <c r="O49" s="9">
        <v>2386573.0636471091</v>
      </c>
      <c r="P49" s="9">
        <v>279848.88959820621</v>
      </c>
      <c r="Q49" s="9">
        <v>346278.19559986593</v>
      </c>
      <c r="R49" s="9">
        <v>291014.9274621199</v>
      </c>
      <c r="S49" s="9">
        <v>67228.191349396002</v>
      </c>
      <c r="T49" s="9">
        <v>189621.358818212</v>
      </c>
      <c r="U49" s="9">
        <v>262466.16674033302</v>
      </c>
      <c r="V49" s="9">
        <v>85940.9984440798</v>
      </c>
      <c r="W49" s="9">
        <v>34509.069312056097</v>
      </c>
      <c r="X49" s="9">
        <v>715655.01082131464</v>
      </c>
      <c r="Y49" s="9">
        <v>114010.255501525</v>
      </c>
      <c r="Z49" s="9"/>
      <c r="AA49" s="9"/>
      <c r="AB49" s="9"/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>
        <v>82.8</v>
      </c>
      <c r="AX49" s="9">
        <v>42.9</v>
      </c>
      <c r="AY49" s="9">
        <v>93.6</v>
      </c>
      <c r="AZ49" s="9">
        <v>82.8</v>
      </c>
      <c r="BA49" s="9">
        <v>97.2</v>
      </c>
      <c r="BB49" s="9"/>
      <c r="BC49" s="9">
        <v>90.6</v>
      </c>
      <c r="BD49" s="9">
        <v>62.6</v>
      </c>
      <c r="BE49" s="9">
        <v>108.9</v>
      </c>
      <c r="BF49" s="9">
        <v>97.2</v>
      </c>
      <c r="BG49" s="9"/>
      <c r="BH49" s="9">
        <v>123.5</v>
      </c>
      <c r="BI49" s="9">
        <v>60</v>
      </c>
      <c r="BJ49" s="9">
        <v>76.3</v>
      </c>
      <c r="BK49" s="9">
        <v>61.1</v>
      </c>
      <c r="BL49" s="9"/>
      <c r="BM49" s="9">
        <v>53.9</v>
      </c>
      <c r="BN49" s="9">
        <v>67483.7</v>
      </c>
      <c r="BO49" s="9">
        <v>46351.199999999997</v>
      </c>
      <c r="BP49" s="9">
        <v>26582.7</v>
      </c>
      <c r="BQ49" s="9">
        <v>22846.5</v>
      </c>
      <c r="BR49" s="9">
        <v>3736.2</v>
      </c>
      <c r="BS49" s="9">
        <v>10632.9</v>
      </c>
      <c r="BT49" s="9">
        <v>-4256.3999999999996</v>
      </c>
      <c r="BU49" s="9">
        <v>5118.3</v>
      </c>
      <c r="BV49" s="9">
        <v>21962.1</v>
      </c>
      <c r="BW49" s="9">
        <v>49885.8</v>
      </c>
      <c r="BX49" s="9">
        <v>14638.2</v>
      </c>
      <c r="BY49" s="9">
        <v>23102.2</v>
      </c>
      <c r="BZ49" s="9">
        <v>12233.3</v>
      </c>
      <c r="CA49" s="9">
        <v>1570.6</v>
      </c>
      <c r="CB49" s="9">
        <v>0</v>
      </c>
      <c r="CC49" s="9">
        <v>0</v>
      </c>
      <c r="CD49" s="9">
        <v>0</v>
      </c>
      <c r="CE49" s="9">
        <v>24698.400000000001</v>
      </c>
      <c r="CF49" s="9">
        <v>212833.37270000001</v>
      </c>
      <c r="CG49" s="9">
        <v>703332.41570000001</v>
      </c>
      <c r="CH49" s="9"/>
      <c r="CI49" s="9"/>
      <c r="CJ49" s="9">
        <v>31.48</v>
      </c>
      <c r="CK49" s="9">
        <v>19.61</v>
      </c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>
        <v>148</v>
      </c>
      <c r="DA49" s="9">
        <v>114</v>
      </c>
      <c r="DB49" s="9">
        <v>36</v>
      </c>
      <c r="DC49" s="9">
        <v>61</v>
      </c>
      <c r="DD49" s="9">
        <v>0</v>
      </c>
      <c r="DE49" s="9">
        <v>0</v>
      </c>
      <c r="DF49" s="9">
        <v>1</v>
      </c>
      <c r="DG49" s="9">
        <v>2</v>
      </c>
      <c r="DH49" s="9">
        <v>16</v>
      </c>
      <c r="DI49" s="9">
        <v>3</v>
      </c>
      <c r="DJ49" s="9">
        <v>8</v>
      </c>
      <c r="DK49" s="9">
        <v>2</v>
      </c>
      <c r="DL49" s="9">
        <v>0</v>
      </c>
      <c r="DM49" s="9">
        <v>18</v>
      </c>
      <c r="DN49" s="9">
        <v>0</v>
      </c>
      <c r="DO49" s="9">
        <v>74.69</v>
      </c>
      <c r="DP49" s="9">
        <v>21.46</v>
      </c>
      <c r="DQ49" s="9">
        <v>12.92</v>
      </c>
      <c r="DR49" s="9">
        <v>8.5399999999999991</v>
      </c>
      <c r="DS49" s="9">
        <v>10.68</v>
      </c>
      <c r="DT49" s="9">
        <v>0.61</v>
      </c>
      <c r="DU49" s="9">
        <v>28.47</v>
      </c>
      <c r="DV49" s="9">
        <v>20.45</v>
      </c>
      <c r="DW49" s="9">
        <v>3.65</v>
      </c>
      <c r="DX49" s="9">
        <v>14.04</v>
      </c>
      <c r="DY49" s="9">
        <v>4.9800000000000004</v>
      </c>
      <c r="DZ49" s="9">
        <v>2.58</v>
      </c>
      <c r="EA49" s="9">
        <v>-19.013000000000002</v>
      </c>
      <c r="EB49" s="9">
        <v>15.318580000000001</v>
      </c>
      <c r="EC49" s="9">
        <v>-44.140099999999997</v>
      </c>
      <c r="ED49" s="9">
        <v>-10.5448</v>
      </c>
      <c r="EE49" s="9">
        <v>20.353390000000001</v>
      </c>
      <c r="EF49" s="9">
        <v>0</v>
      </c>
      <c r="EG49" s="9">
        <v>131.09559999999999</v>
      </c>
      <c r="EH49" s="9">
        <v>-33.6</v>
      </c>
      <c r="EI49" s="9">
        <v>-50</v>
      </c>
      <c r="EJ49" s="9">
        <v>0</v>
      </c>
      <c r="EK49" s="9">
        <v>214.69560000000001</v>
      </c>
      <c r="EL49" s="9">
        <v>19.327559999999998</v>
      </c>
      <c r="EM49" s="9">
        <v>-130.78100000000001</v>
      </c>
      <c r="EN49" s="9"/>
      <c r="EO49" s="9"/>
      <c r="EP49" s="9"/>
      <c r="EQ49" s="9"/>
      <c r="ER49" s="9"/>
      <c r="ES49" s="9"/>
      <c r="ET49" s="9"/>
      <c r="EU49">
        <v>1170.3</v>
      </c>
      <c r="EV49" s="9">
        <v>4737.6499999999996</v>
      </c>
      <c r="EW49" s="9">
        <v>1290.3</v>
      </c>
      <c r="EX49" s="9">
        <v>25.32</v>
      </c>
      <c r="EY49" s="9">
        <v>44.04</v>
      </c>
      <c r="EZ49" s="9">
        <v>954.4</v>
      </c>
      <c r="FA49" s="9">
        <v>2423.58</v>
      </c>
      <c r="FB49" s="9">
        <v>36.428571428600002</v>
      </c>
      <c r="FC49" s="9">
        <v>29.8313043478</v>
      </c>
      <c r="FD49" s="9">
        <v>2202.0357142857001</v>
      </c>
      <c r="FE49" s="9">
        <v>13.82</v>
      </c>
      <c r="FF49" s="9">
        <v>406.95263157890003</v>
      </c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>
        <v>1168</v>
      </c>
      <c r="GO49" s="6"/>
      <c r="GP49" s="6"/>
      <c r="GQ49" s="6"/>
    </row>
    <row r="50" spans="1:199" x14ac:dyDescent="0.2">
      <c r="A50" s="8">
        <v>2004</v>
      </c>
      <c r="B50" s="8" t="s">
        <v>263</v>
      </c>
      <c r="C50" s="8" t="s">
        <v>264</v>
      </c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>
        <v>38396.400000000001</v>
      </c>
      <c r="BO50" s="9">
        <v>32067</v>
      </c>
      <c r="BP50" s="9">
        <v>5319.9</v>
      </c>
      <c r="BQ50" s="9">
        <v>2880.7</v>
      </c>
      <c r="BR50" s="9">
        <v>2439.1999999999998</v>
      </c>
      <c r="BS50" s="9">
        <v>4170.3</v>
      </c>
      <c r="BT50" s="9">
        <v>12013.6</v>
      </c>
      <c r="BU50" s="9">
        <v>4869</v>
      </c>
      <c r="BV50" s="9">
        <v>6057.9</v>
      </c>
      <c r="BW50" s="9">
        <v>32393.7</v>
      </c>
      <c r="BX50" s="9">
        <v>2665</v>
      </c>
      <c r="BY50" s="9">
        <v>12245.7</v>
      </c>
      <c r="BZ50" s="9">
        <v>8593.6</v>
      </c>
      <c r="CA50" s="9">
        <v>786.7</v>
      </c>
      <c r="CB50" s="9">
        <v>0</v>
      </c>
      <c r="CC50" s="9">
        <v>0</v>
      </c>
      <c r="CD50" s="9">
        <v>0</v>
      </c>
      <c r="CE50" s="9">
        <v>1229.7</v>
      </c>
      <c r="CF50" s="9">
        <v>200434.13198151</v>
      </c>
      <c r="CG50" s="9">
        <v>694242.91891459993</v>
      </c>
      <c r="CH50" s="9"/>
      <c r="CI50" s="9"/>
      <c r="CJ50" s="9">
        <v>34</v>
      </c>
      <c r="CK50" s="9">
        <v>19.2</v>
      </c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>
        <v>40</v>
      </c>
      <c r="DA50" s="9">
        <v>23</v>
      </c>
      <c r="DB50" s="9">
        <v>3</v>
      </c>
      <c r="DC50" s="9">
        <v>18</v>
      </c>
      <c r="DD50" s="9">
        <v>0</v>
      </c>
      <c r="DE50" s="9">
        <v>0</v>
      </c>
      <c r="DF50" s="9">
        <v>0</v>
      </c>
      <c r="DG50" s="9">
        <v>0</v>
      </c>
      <c r="DH50" s="9">
        <v>7</v>
      </c>
      <c r="DI50" s="9">
        <v>0</v>
      </c>
      <c r="DJ50" s="9">
        <v>5</v>
      </c>
      <c r="DK50" s="9">
        <v>1</v>
      </c>
      <c r="DL50" s="9">
        <v>0</v>
      </c>
      <c r="DM50" s="9">
        <v>9</v>
      </c>
      <c r="DN50" s="9">
        <v>0</v>
      </c>
      <c r="DO50" s="9">
        <v>61.92</v>
      </c>
      <c r="DP50" s="9">
        <v>17.66</v>
      </c>
      <c r="DQ50" s="9">
        <v>11.54</v>
      </c>
      <c r="DR50" s="9">
        <v>6.13</v>
      </c>
      <c r="DS50" s="9">
        <v>10.14</v>
      </c>
      <c r="DT50" s="9">
        <v>0.49</v>
      </c>
      <c r="DU50" s="9">
        <v>20.45</v>
      </c>
      <c r="DV50" s="9">
        <v>15.5</v>
      </c>
      <c r="DW50" s="9">
        <v>2.36</v>
      </c>
      <c r="DX50" s="9">
        <v>13.63</v>
      </c>
      <c r="DY50" s="9">
        <v>4.7699999999999996</v>
      </c>
      <c r="DZ50" s="9">
        <v>2.2000000000000002</v>
      </c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>
        <v>1170.1500000000001</v>
      </c>
      <c r="EV50" s="9"/>
      <c r="EW50" s="9"/>
      <c r="EX50" s="9"/>
      <c r="EY50" s="9"/>
      <c r="EZ50" s="9"/>
      <c r="FA50" s="9"/>
      <c r="FB50" s="9">
        <v>40.446428571399998</v>
      </c>
      <c r="FC50" s="9">
        <v>31.143636363599999</v>
      </c>
      <c r="FD50" s="9">
        <v>2421.4761904761999</v>
      </c>
      <c r="FE50" s="9">
        <v>16.39</v>
      </c>
      <c r="FF50" s="9">
        <v>413.78809523810003</v>
      </c>
      <c r="FG50" s="9">
        <v>426749.79</v>
      </c>
      <c r="FH50" s="9">
        <v>17195.89</v>
      </c>
      <c r="FI50" s="9">
        <v>21124.82</v>
      </c>
      <c r="FJ50" s="9">
        <v>147518.75</v>
      </c>
      <c r="FK50" s="9">
        <v>2789.53</v>
      </c>
      <c r="FL50" s="9">
        <v>5430.97</v>
      </c>
      <c r="FM50" s="9"/>
      <c r="FN50" s="9"/>
      <c r="FO50" s="9"/>
      <c r="FP50" s="9"/>
      <c r="FQ50" s="9"/>
      <c r="FR50" s="9"/>
      <c r="FS50" s="9"/>
      <c r="FT50" s="9">
        <v>279226.27</v>
      </c>
      <c r="FU50" s="9">
        <v>14406.36</v>
      </c>
      <c r="FV50" s="9">
        <v>15689.09</v>
      </c>
      <c r="FW50" s="9"/>
      <c r="FX50" s="9"/>
      <c r="FY50" s="9"/>
      <c r="FZ50" s="9">
        <v>25254.560000000001</v>
      </c>
      <c r="GA50" s="9">
        <v>565095.5</v>
      </c>
      <c r="GB50" s="9">
        <v>185113.67</v>
      </c>
      <c r="GC50" s="9">
        <v>379981.83</v>
      </c>
      <c r="GD50" s="9">
        <v>383895.71</v>
      </c>
      <c r="GE50" s="9">
        <v>17944.73</v>
      </c>
      <c r="GF50" s="9">
        <v>365950.98</v>
      </c>
      <c r="GG50" s="9">
        <v>181199.79</v>
      </c>
      <c r="GH50" s="9">
        <v>167168.94</v>
      </c>
      <c r="GI50" s="9">
        <v>14030.85</v>
      </c>
      <c r="GJ50" s="9">
        <v>29727.56</v>
      </c>
      <c r="GK50" s="9">
        <v>825094.71</v>
      </c>
      <c r="GL50" s="9">
        <v>114168.66</v>
      </c>
      <c r="GM50">
        <v>1171</v>
      </c>
      <c r="GO50" s="6"/>
      <c r="GP50" s="6"/>
      <c r="GQ50" s="6"/>
    </row>
    <row r="51" spans="1:199" x14ac:dyDescent="0.2">
      <c r="A51" s="8">
        <v>2004</v>
      </c>
      <c r="B51" s="8" t="s">
        <v>263</v>
      </c>
      <c r="C51" s="8" t="s">
        <v>265</v>
      </c>
      <c r="D51" s="9"/>
      <c r="E51" s="9"/>
      <c r="F51" s="9"/>
      <c r="G51" s="9"/>
      <c r="H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  <c r="AB51" s="9"/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>
        <v>40885.199999999997</v>
      </c>
      <c r="BO51" s="9">
        <v>34052.5</v>
      </c>
      <c r="BP51" s="9">
        <v>8338.6</v>
      </c>
      <c r="BQ51" s="9">
        <v>5598.7</v>
      </c>
      <c r="BR51" s="9">
        <v>2739.9</v>
      </c>
      <c r="BS51" s="9">
        <v>4938</v>
      </c>
      <c r="BT51" s="9">
        <v>10120.4</v>
      </c>
      <c r="BU51" s="9">
        <v>4702.1000000000004</v>
      </c>
      <c r="BV51" s="9">
        <v>6470.9</v>
      </c>
      <c r="BW51" s="9">
        <v>41502.199999999997</v>
      </c>
      <c r="BX51" s="9">
        <v>2913.9</v>
      </c>
      <c r="BY51" s="9">
        <v>16394.900000000001</v>
      </c>
      <c r="BZ51" s="9">
        <v>9231.2000000000007</v>
      </c>
      <c r="CA51" s="9">
        <v>2171.1999999999998</v>
      </c>
      <c r="CB51" s="9">
        <v>0</v>
      </c>
      <c r="CC51" s="9">
        <v>0</v>
      </c>
      <c r="CD51" s="9">
        <v>0</v>
      </c>
      <c r="CE51" s="9">
        <v>2939.6</v>
      </c>
      <c r="CF51" s="9">
        <v>198110.75490999999</v>
      </c>
      <c r="CG51" s="9">
        <v>721312.26560000004</v>
      </c>
      <c r="CH51" s="9"/>
      <c r="CI51" s="9"/>
      <c r="CJ51" s="9">
        <v>32.42</v>
      </c>
      <c r="CK51" s="9">
        <v>17.8</v>
      </c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>
        <v>49</v>
      </c>
      <c r="DA51" s="9">
        <v>36</v>
      </c>
      <c r="DB51" s="9">
        <v>14</v>
      </c>
      <c r="DC51" s="9">
        <v>19</v>
      </c>
      <c r="DD51" s="9">
        <v>0</v>
      </c>
      <c r="DE51" s="9">
        <v>0</v>
      </c>
      <c r="DF51" s="9">
        <v>0</v>
      </c>
      <c r="DG51" s="9">
        <v>0</v>
      </c>
      <c r="DH51" s="9">
        <v>3</v>
      </c>
      <c r="DI51" s="9">
        <v>0</v>
      </c>
      <c r="DJ51" s="9">
        <v>2</v>
      </c>
      <c r="DK51" s="9">
        <v>1</v>
      </c>
      <c r="DL51" s="9">
        <v>0</v>
      </c>
      <c r="DM51" s="9">
        <v>9</v>
      </c>
      <c r="DN51" s="9">
        <v>0</v>
      </c>
      <c r="DO51" s="9">
        <v>56.52</v>
      </c>
      <c r="DP51" s="9">
        <v>23.91</v>
      </c>
      <c r="DQ51" s="9">
        <v>18.170000000000002</v>
      </c>
      <c r="DR51" s="9">
        <v>5.74</v>
      </c>
      <c r="DS51" s="9">
        <v>9.5299999999999994</v>
      </c>
      <c r="DT51" s="9">
        <v>0.28999999999999998</v>
      </c>
      <c r="DU51" s="9">
        <v>10.77</v>
      </c>
      <c r="DV51" s="9">
        <v>6.67</v>
      </c>
      <c r="DW51" s="9">
        <v>1.71</v>
      </c>
      <c r="DX51" s="9">
        <v>12.31</v>
      </c>
      <c r="DY51" s="9">
        <v>5.12</v>
      </c>
      <c r="DZ51" s="9">
        <v>2.12</v>
      </c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>
        <v>1173.18</v>
      </c>
      <c r="EV51" s="9"/>
      <c r="EW51" s="9"/>
      <c r="EX51" s="9"/>
      <c r="EY51" s="9"/>
      <c r="EZ51" s="9"/>
      <c r="FA51" s="9"/>
      <c r="FB51" s="9">
        <v>44.732142857100001</v>
      </c>
      <c r="FC51" s="9">
        <v>30.866</v>
      </c>
      <c r="FD51" s="9">
        <v>2751.7175000000002</v>
      </c>
      <c r="FE51" s="9">
        <v>16.39</v>
      </c>
      <c r="FF51" s="9">
        <v>404.8775</v>
      </c>
      <c r="FG51" s="9">
        <v>441791.74</v>
      </c>
      <c r="FH51" s="9">
        <v>15697.82</v>
      </c>
      <c r="FI51" s="9">
        <v>22253.05</v>
      </c>
      <c r="FJ51" s="9">
        <v>149061.59</v>
      </c>
      <c r="FK51" s="9">
        <v>2573.9</v>
      </c>
      <c r="FL51" s="9">
        <v>2988.04</v>
      </c>
      <c r="FM51" s="9"/>
      <c r="FN51" s="9"/>
      <c r="FO51" s="9"/>
      <c r="FP51" s="9"/>
      <c r="FQ51" s="9"/>
      <c r="FR51" s="9"/>
      <c r="FS51" s="9"/>
      <c r="FT51" s="9">
        <v>292716.51</v>
      </c>
      <c r="FU51" s="9">
        <v>13123.91</v>
      </c>
      <c r="FV51" s="9">
        <v>19251.39</v>
      </c>
      <c r="FW51" s="9"/>
      <c r="FX51" s="9"/>
      <c r="FY51" s="9"/>
      <c r="FZ51" s="9">
        <v>27159.72</v>
      </c>
      <c r="GA51" s="9">
        <v>589823.30000000005</v>
      </c>
      <c r="GB51" s="9">
        <v>184390.19</v>
      </c>
      <c r="GC51" s="9">
        <v>405433.11</v>
      </c>
      <c r="GD51" s="9">
        <v>412551.29</v>
      </c>
      <c r="GE51" s="9">
        <v>22858.02</v>
      </c>
      <c r="GF51" s="9">
        <v>389693.27</v>
      </c>
      <c r="GG51" s="9">
        <v>177272.01</v>
      </c>
      <c r="GH51" s="9">
        <v>161532.17000000001</v>
      </c>
      <c r="GI51" s="9">
        <v>15739.84</v>
      </c>
      <c r="GJ51" s="9">
        <v>32326.86</v>
      </c>
      <c r="GK51" s="9">
        <v>876437.07</v>
      </c>
      <c r="GL51" s="9">
        <v>121655.65</v>
      </c>
      <c r="GM51">
        <v>1176</v>
      </c>
      <c r="GO51" s="6"/>
      <c r="GP51" s="6"/>
      <c r="GQ51" s="6"/>
    </row>
    <row r="52" spans="1:199" x14ac:dyDescent="0.2">
      <c r="A52" s="8">
        <v>2004</v>
      </c>
      <c r="B52" s="8" t="s">
        <v>263</v>
      </c>
      <c r="C52" s="8" t="s">
        <v>266</v>
      </c>
      <c r="D52" s="9">
        <v>402144.7</v>
      </c>
      <c r="E52" s="9">
        <v>31775.4</v>
      </c>
      <c r="F52" s="9">
        <v>49312</v>
      </c>
      <c r="G52" s="9">
        <v>24342.3</v>
      </c>
      <c r="H52" s="9">
        <v>22626.1</v>
      </c>
      <c r="I52" s="9">
        <v>3892.2</v>
      </c>
      <c r="J52" s="9">
        <v>43324</v>
      </c>
      <c r="K52" s="9">
        <v>41429.9</v>
      </c>
      <c r="L52" s="9">
        <v>15642.3</v>
      </c>
      <c r="M52" s="9">
        <v>111423.1</v>
      </c>
      <c r="N52" s="9">
        <v>58377.4</v>
      </c>
      <c r="O52" s="9">
        <v>1635012.299243279</v>
      </c>
      <c r="P52" s="9">
        <v>87036.810762484805</v>
      </c>
      <c r="Q52" s="9">
        <v>192702.92010795511</v>
      </c>
      <c r="R52" s="9">
        <v>168383.99576694591</v>
      </c>
      <c r="S52" s="9">
        <v>87770.4582739381</v>
      </c>
      <c r="T52" s="9">
        <v>22807.023439685501</v>
      </c>
      <c r="U52" s="9">
        <v>172493.77768411089</v>
      </c>
      <c r="V52" s="9">
        <v>64136.795278506797</v>
      </c>
      <c r="W52" s="9">
        <v>26869.666109035399</v>
      </c>
      <c r="X52" s="9">
        <v>670819.75778783858</v>
      </c>
      <c r="Y52" s="9">
        <v>141991.09403277829</v>
      </c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>
        <v>87</v>
      </c>
      <c r="AX52" s="9">
        <v>52.6</v>
      </c>
      <c r="AY52" s="9">
        <v>80.7</v>
      </c>
      <c r="AZ52" s="9">
        <v>82.6</v>
      </c>
      <c r="BA52" s="9">
        <v>119</v>
      </c>
      <c r="BB52" s="9"/>
      <c r="BC52" s="9">
        <v>90.3</v>
      </c>
      <c r="BD52" s="9">
        <v>72.599999999999994</v>
      </c>
      <c r="BE52" s="9">
        <v>99</v>
      </c>
      <c r="BF52" s="9">
        <v>89.2</v>
      </c>
      <c r="BG52" s="9"/>
      <c r="BH52" s="9">
        <v>119.7</v>
      </c>
      <c r="BI52" s="9">
        <v>61</v>
      </c>
      <c r="BJ52" s="9">
        <v>81.599999999999994</v>
      </c>
      <c r="BK52" s="9">
        <v>70.599999999999994</v>
      </c>
      <c r="BL52" s="9"/>
      <c r="BM52" s="9">
        <v>56</v>
      </c>
      <c r="BN52" s="9">
        <v>58080.6</v>
      </c>
      <c r="BO52" s="9">
        <v>44621.3</v>
      </c>
      <c r="BP52" s="9">
        <v>8381.5</v>
      </c>
      <c r="BQ52" s="9">
        <v>5233.6000000000004</v>
      </c>
      <c r="BR52" s="9">
        <v>3147.9</v>
      </c>
      <c r="BS52" s="9">
        <v>7948.4</v>
      </c>
      <c r="BT52" s="9">
        <v>13865.2</v>
      </c>
      <c r="BU52" s="9">
        <v>5224.8999999999996</v>
      </c>
      <c r="BV52" s="9">
        <v>13317.6</v>
      </c>
      <c r="BW52" s="9">
        <v>43017.599999999999</v>
      </c>
      <c r="BX52" s="9">
        <v>5368</v>
      </c>
      <c r="BY52" s="9">
        <v>19126.7</v>
      </c>
      <c r="BZ52" s="9">
        <v>10715.8</v>
      </c>
      <c r="CA52" s="9">
        <v>1005.9</v>
      </c>
      <c r="CB52" s="9">
        <v>0</v>
      </c>
      <c r="CC52" s="9">
        <v>0</v>
      </c>
      <c r="CD52" s="9">
        <v>0</v>
      </c>
      <c r="CE52" s="9">
        <v>734.6</v>
      </c>
      <c r="CF52" s="9">
        <v>210799.29615000001</v>
      </c>
      <c r="CG52" s="9">
        <v>740190.63988999999</v>
      </c>
      <c r="CH52" s="9"/>
      <c r="CI52" s="9"/>
      <c r="CJ52" s="9">
        <v>30.3</v>
      </c>
      <c r="CK52" s="9">
        <v>19.7</v>
      </c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>
        <v>50</v>
      </c>
      <c r="DA52" s="9">
        <v>33</v>
      </c>
      <c r="DB52" s="9">
        <v>7</v>
      </c>
      <c r="DC52" s="9">
        <v>22</v>
      </c>
      <c r="DD52" s="9">
        <v>0</v>
      </c>
      <c r="DE52" s="9">
        <v>0</v>
      </c>
      <c r="DF52" s="9">
        <v>1</v>
      </c>
      <c r="DG52" s="9">
        <v>0</v>
      </c>
      <c r="DH52" s="9">
        <v>4</v>
      </c>
      <c r="DI52" s="9">
        <v>0</v>
      </c>
      <c r="DJ52" s="9">
        <v>2</v>
      </c>
      <c r="DK52" s="9">
        <v>2</v>
      </c>
      <c r="DL52" s="9">
        <v>0</v>
      </c>
      <c r="DM52" s="9">
        <v>12</v>
      </c>
      <c r="DN52" s="9">
        <v>1</v>
      </c>
      <c r="DO52" s="9">
        <v>75.930000000000007</v>
      </c>
      <c r="DP52" s="9">
        <v>19.73</v>
      </c>
      <c r="DQ52" s="9">
        <v>11.9</v>
      </c>
      <c r="DR52" s="9">
        <v>7.83</v>
      </c>
      <c r="DS52" s="9">
        <v>17.63</v>
      </c>
      <c r="DT52" s="9">
        <v>0.76</v>
      </c>
      <c r="DU52" s="9">
        <v>22.48</v>
      </c>
      <c r="DV52" s="9">
        <v>14.95</v>
      </c>
      <c r="DW52" s="9">
        <v>4.3600000000000003</v>
      </c>
      <c r="DX52" s="9">
        <v>16.079999999999998</v>
      </c>
      <c r="DY52" s="9">
        <v>7.22</v>
      </c>
      <c r="DZ52" s="9">
        <v>2.96</v>
      </c>
      <c r="EA52" s="9">
        <v>4.4835260000000003</v>
      </c>
      <c r="EB52" s="9">
        <v>-44.172400000000003</v>
      </c>
      <c r="EC52" s="9">
        <v>-17.315899999999999</v>
      </c>
      <c r="ED52" s="9">
        <v>-1.7</v>
      </c>
      <c r="EE52" s="9">
        <v>67.671800000000005</v>
      </c>
      <c r="EF52" s="9">
        <v>0</v>
      </c>
      <c r="EG52" s="9">
        <v>-12.087999999999999</v>
      </c>
      <c r="EH52" s="9">
        <v>-24.3</v>
      </c>
      <c r="EI52" s="9">
        <v>2.5</v>
      </c>
      <c r="EJ52" s="9">
        <v>0</v>
      </c>
      <c r="EK52" s="9">
        <v>9.7119999999999997</v>
      </c>
      <c r="EL52" s="9">
        <v>4.1884740000000003</v>
      </c>
      <c r="EM52" s="9">
        <v>20.76</v>
      </c>
      <c r="EN52" s="9"/>
      <c r="EO52" s="9"/>
      <c r="EP52" s="9"/>
      <c r="EQ52" s="9"/>
      <c r="ER52" s="9"/>
      <c r="ES52" s="9"/>
      <c r="ET52" s="9"/>
      <c r="EU52">
        <v>1177.45</v>
      </c>
      <c r="EV52" s="9">
        <v>4720.93</v>
      </c>
      <c r="EW52" s="9">
        <v>1303.7</v>
      </c>
      <c r="EX52" s="9">
        <v>23.36</v>
      </c>
      <c r="EY52" s="9">
        <v>47.99</v>
      </c>
      <c r="EZ52" s="9">
        <v>922.3</v>
      </c>
      <c r="FA52" s="9">
        <v>2423.58</v>
      </c>
      <c r="FB52" s="9">
        <v>52.433035714299997</v>
      </c>
      <c r="FC52" s="9">
        <v>33.799130434799999</v>
      </c>
      <c r="FD52" s="9">
        <v>3000.2826086957002</v>
      </c>
      <c r="FE52" s="9">
        <v>16.39</v>
      </c>
      <c r="FF52" s="9">
        <v>406.6673913043</v>
      </c>
      <c r="FG52" s="9">
        <v>472302.34</v>
      </c>
      <c r="FH52" s="9">
        <v>14722.74</v>
      </c>
      <c r="FI52" s="9">
        <v>23350.45</v>
      </c>
      <c r="FJ52" s="9">
        <v>160491.01</v>
      </c>
      <c r="FK52" s="9">
        <v>2623.59</v>
      </c>
      <c r="FL52" s="9">
        <v>3302.31</v>
      </c>
      <c r="FM52" s="9"/>
      <c r="FN52" s="9"/>
      <c r="FO52" s="9"/>
      <c r="FP52" s="9"/>
      <c r="FQ52" s="9"/>
      <c r="FR52" s="9"/>
      <c r="FS52" s="9"/>
      <c r="FT52" s="9">
        <v>311807.88</v>
      </c>
      <c r="FU52" s="9">
        <v>12099.17</v>
      </c>
      <c r="FV52" s="9">
        <v>20044.669999999998</v>
      </c>
      <c r="FW52" s="9"/>
      <c r="FX52" s="9"/>
      <c r="FY52" s="9"/>
      <c r="FZ52" s="9">
        <v>27261.279999999999</v>
      </c>
      <c r="GA52" s="9">
        <v>595873.17000000004</v>
      </c>
      <c r="GB52" s="9">
        <v>170416.27</v>
      </c>
      <c r="GC52" s="9">
        <v>425456.9</v>
      </c>
      <c r="GD52" s="9">
        <v>428281.95</v>
      </c>
      <c r="GE52" s="9">
        <v>21090.36</v>
      </c>
      <c r="GF52" s="9">
        <v>407191.59</v>
      </c>
      <c r="GG52" s="9">
        <v>167591.22</v>
      </c>
      <c r="GH52" s="9">
        <v>149325.91</v>
      </c>
      <c r="GI52" s="9">
        <v>18265.310000000001</v>
      </c>
      <c r="GJ52" s="9">
        <v>33447.86</v>
      </c>
      <c r="GK52" s="9">
        <v>912823.65</v>
      </c>
      <c r="GL52" s="9">
        <v>138015.56</v>
      </c>
      <c r="GM52">
        <v>1177</v>
      </c>
      <c r="GO52" s="6"/>
      <c r="GP52" s="6"/>
      <c r="GQ52" s="6"/>
    </row>
    <row r="53" spans="1:199" x14ac:dyDescent="0.2">
      <c r="A53" s="8">
        <v>2004</v>
      </c>
      <c r="B53" s="8" t="s">
        <v>267</v>
      </c>
      <c r="C53" s="8" t="s">
        <v>268</v>
      </c>
      <c r="D53" s="9"/>
      <c r="E53" s="9"/>
      <c r="F53" s="9"/>
      <c r="G53" s="9"/>
      <c r="H53" s="9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9"/>
      <c r="AB53" s="9"/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>
        <v>55459.6</v>
      </c>
      <c r="BO53" s="9">
        <v>39654.800000000003</v>
      </c>
      <c r="BP53" s="9">
        <v>13524.7</v>
      </c>
      <c r="BQ53" s="9">
        <v>9419.5</v>
      </c>
      <c r="BR53" s="9">
        <v>4105.2</v>
      </c>
      <c r="BS53" s="9">
        <v>5085.1000000000004</v>
      </c>
      <c r="BT53" s="9">
        <v>5870.7</v>
      </c>
      <c r="BU53" s="9">
        <v>4841.8999999999996</v>
      </c>
      <c r="BV53" s="9">
        <v>11773.9</v>
      </c>
      <c r="BW53" s="9">
        <v>44871.6</v>
      </c>
      <c r="BX53" s="9">
        <v>12350</v>
      </c>
      <c r="BY53" s="9">
        <v>17643.5</v>
      </c>
      <c r="BZ53" s="9">
        <v>10948.9</v>
      </c>
      <c r="CA53" s="9">
        <v>2424.6</v>
      </c>
      <c r="CB53" s="9">
        <v>0</v>
      </c>
      <c r="CC53" s="9">
        <v>0</v>
      </c>
      <c r="CD53" s="9">
        <v>0</v>
      </c>
      <c r="CE53" s="9">
        <v>6503.6</v>
      </c>
      <c r="CF53" s="9">
        <v>225477.74741000001</v>
      </c>
      <c r="CG53" s="9">
        <v>774876.33025000012</v>
      </c>
      <c r="CH53" s="9"/>
      <c r="CI53" s="9"/>
      <c r="CJ53" s="9">
        <v>30.48</v>
      </c>
      <c r="CK53" s="9">
        <v>21</v>
      </c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>
        <v>54</v>
      </c>
      <c r="DA53" s="9">
        <v>38</v>
      </c>
      <c r="DB53" s="9">
        <v>7</v>
      </c>
      <c r="DC53" s="9">
        <v>27</v>
      </c>
      <c r="DD53" s="9">
        <v>0</v>
      </c>
      <c r="DE53" s="9">
        <v>0</v>
      </c>
      <c r="DF53" s="9">
        <v>2</v>
      </c>
      <c r="DG53" s="9">
        <v>0</v>
      </c>
      <c r="DH53" s="9">
        <v>4</v>
      </c>
      <c r="DI53" s="9">
        <v>0</v>
      </c>
      <c r="DJ53" s="9">
        <v>1</v>
      </c>
      <c r="DK53" s="9">
        <v>2</v>
      </c>
      <c r="DL53" s="9">
        <v>0</v>
      </c>
      <c r="DM53" s="9">
        <v>12</v>
      </c>
      <c r="DN53" s="9">
        <v>1</v>
      </c>
      <c r="DO53" s="9">
        <v>89.99</v>
      </c>
      <c r="DP53" s="9">
        <v>21.46</v>
      </c>
      <c r="DQ53" s="9">
        <v>12.9</v>
      </c>
      <c r="DR53" s="9">
        <v>8.5500000000000007</v>
      </c>
      <c r="DS53" s="9">
        <v>19.68</v>
      </c>
      <c r="DT53" s="9">
        <v>0.45</v>
      </c>
      <c r="DU53" s="9">
        <v>37.33</v>
      </c>
      <c r="DV53" s="9">
        <v>26.53</v>
      </c>
      <c r="DW53" s="9">
        <v>6.61</v>
      </c>
      <c r="DX53" s="9">
        <v>11.51</v>
      </c>
      <c r="DY53" s="9">
        <v>4.29</v>
      </c>
      <c r="DZ53" s="9">
        <v>2.1800000000000002</v>
      </c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>
        <v>1173.01</v>
      </c>
      <c r="EV53" s="9"/>
      <c r="EW53" s="9"/>
      <c r="EX53" s="9"/>
      <c r="EY53" s="9"/>
      <c r="EZ53" s="9"/>
      <c r="FA53" s="9"/>
      <c r="FB53" s="9">
        <v>57.053571428600002</v>
      </c>
      <c r="FC53" s="9">
        <v>33.362727272699999</v>
      </c>
      <c r="FD53" s="9">
        <v>2926.9749999999999</v>
      </c>
      <c r="FE53" s="9">
        <v>16.39</v>
      </c>
      <c r="FF53" s="9">
        <v>403.26</v>
      </c>
      <c r="FG53" s="9">
        <v>508715.55</v>
      </c>
      <c r="FH53" s="9">
        <v>18648.7</v>
      </c>
      <c r="FI53" s="9">
        <v>26249.49</v>
      </c>
      <c r="FJ53" s="9">
        <v>172337.23</v>
      </c>
      <c r="FK53" s="9">
        <v>3272.44</v>
      </c>
      <c r="FL53" s="9">
        <v>4627.6099999999997</v>
      </c>
      <c r="FM53" s="9"/>
      <c r="FN53" s="9"/>
      <c r="FO53" s="9"/>
      <c r="FP53" s="9"/>
      <c r="FQ53" s="9"/>
      <c r="FR53" s="9"/>
      <c r="FS53" s="9"/>
      <c r="FT53" s="9">
        <v>336372.75</v>
      </c>
      <c r="FU53" s="9">
        <v>15376.26</v>
      </c>
      <c r="FV53" s="9">
        <v>21616.31</v>
      </c>
      <c r="FW53" s="9"/>
      <c r="FX53" s="9"/>
      <c r="FY53" s="9"/>
      <c r="FZ53" s="9">
        <v>31297.11</v>
      </c>
      <c r="GA53" s="9">
        <v>611831.86</v>
      </c>
      <c r="GB53" s="9">
        <v>187560.52</v>
      </c>
      <c r="GC53" s="9">
        <v>424271.34</v>
      </c>
      <c r="GD53" s="9">
        <v>430837.26</v>
      </c>
      <c r="GE53" s="9">
        <v>26053.18</v>
      </c>
      <c r="GF53" s="9">
        <v>404784.08</v>
      </c>
      <c r="GG53" s="9">
        <v>180994.6</v>
      </c>
      <c r="GH53" s="9">
        <v>161507.34</v>
      </c>
      <c r="GI53" s="9">
        <v>19487.259999999998</v>
      </c>
      <c r="GJ53" s="9">
        <v>36749.870000000003</v>
      </c>
      <c r="GK53" s="9">
        <v>931887.66</v>
      </c>
      <c r="GL53" s="9">
        <v>138424.87</v>
      </c>
      <c r="GM53">
        <v>1170</v>
      </c>
      <c r="GO53" s="6"/>
      <c r="GP53" s="6"/>
      <c r="GQ53" s="6"/>
    </row>
    <row r="54" spans="1:199" x14ac:dyDescent="0.2">
      <c r="A54" s="8">
        <v>2004</v>
      </c>
      <c r="B54" s="8" t="s">
        <v>267</v>
      </c>
      <c r="C54" s="8" t="s">
        <v>269</v>
      </c>
      <c r="D54" s="9"/>
      <c r="E54" s="9"/>
      <c r="F54" s="9"/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  <c r="AB54" s="9"/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>
        <v>55868.2</v>
      </c>
      <c r="BO54" s="9">
        <v>49129.5</v>
      </c>
      <c r="BP54" s="9">
        <v>10979.9</v>
      </c>
      <c r="BQ54" s="9">
        <v>7782.4</v>
      </c>
      <c r="BR54" s="9">
        <v>3197.6</v>
      </c>
      <c r="BS54" s="9">
        <v>5363.1</v>
      </c>
      <c r="BT54" s="9">
        <v>13827.3</v>
      </c>
      <c r="BU54" s="9">
        <v>6169.9</v>
      </c>
      <c r="BV54" s="9">
        <v>6580.3</v>
      </c>
      <c r="BW54" s="9">
        <v>44950.3</v>
      </c>
      <c r="BX54" s="9">
        <v>3213.4</v>
      </c>
      <c r="BY54" s="9">
        <v>14875.3</v>
      </c>
      <c r="BZ54" s="9">
        <v>14920.5</v>
      </c>
      <c r="CA54" s="9">
        <v>1746.1</v>
      </c>
      <c r="CB54" s="9">
        <v>0</v>
      </c>
      <c r="CC54" s="9">
        <v>0</v>
      </c>
      <c r="CD54" s="9">
        <v>0</v>
      </c>
      <c r="CE54" s="9">
        <v>5477.2</v>
      </c>
      <c r="CF54" s="9">
        <v>237217.93668000001</v>
      </c>
      <c r="CG54" s="9">
        <v>789378.20776999998</v>
      </c>
      <c r="CH54" s="9"/>
      <c r="CI54" s="9"/>
      <c r="CJ54" s="9">
        <v>30.48</v>
      </c>
      <c r="CK54" s="9">
        <v>19.899999999999999</v>
      </c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>
        <v>66</v>
      </c>
      <c r="DA54" s="9">
        <v>43</v>
      </c>
      <c r="DB54" s="9">
        <v>8</v>
      </c>
      <c r="DC54" s="9">
        <v>28</v>
      </c>
      <c r="DD54" s="9">
        <v>0</v>
      </c>
      <c r="DE54" s="9">
        <v>0</v>
      </c>
      <c r="DF54" s="9">
        <v>2</v>
      </c>
      <c r="DG54" s="9">
        <v>1</v>
      </c>
      <c r="DH54" s="9">
        <v>7</v>
      </c>
      <c r="DI54" s="9">
        <v>0</v>
      </c>
      <c r="DJ54" s="9">
        <v>0</v>
      </c>
      <c r="DK54" s="9">
        <v>5</v>
      </c>
      <c r="DL54" s="9">
        <v>0</v>
      </c>
      <c r="DM54" s="9">
        <v>16</v>
      </c>
      <c r="DN54" s="9">
        <v>0</v>
      </c>
      <c r="DO54" s="9">
        <v>108.41</v>
      </c>
      <c r="DP54" s="9">
        <v>26.84</v>
      </c>
      <c r="DQ54" s="9">
        <v>16.149999999999999</v>
      </c>
      <c r="DR54" s="9">
        <v>10.69</v>
      </c>
      <c r="DS54" s="9">
        <v>21.48</v>
      </c>
      <c r="DT54" s="9">
        <v>0.56000000000000005</v>
      </c>
      <c r="DU54" s="9">
        <v>44.38</v>
      </c>
      <c r="DV54" s="9">
        <v>32.1</v>
      </c>
      <c r="DW54" s="9">
        <v>7.99</v>
      </c>
      <c r="DX54" s="9">
        <v>14.29</v>
      </c>
      <c r="DY54" s="9">
        <v>6.71</v>
      </c>
      <c r="DZ54" s="9">
        <v>2.17</v>
      </c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>
        <v>1162.9000000000001</v>
      </c>
      <c r="EV54" s="9"/>
      <c r="EW54" s="9"/>
      <c r="EX54" s="9"/>
      <c r="EY54" s="9"/>
      <c r="EZ54" s="9"/>
      <c r="FA54" s="9"/>
      <c r="FB54" s="9">
        <v>60.46875</v>
      </c>
      <c r="FC54" s="9">
        <v>37.740952381</v>
      </c>
      <c r="FD54" s="9">
        <v>2728.4605263158001</v>
      </c>
      <c r="FE54" s="9">
        <v>16.39</v>
      </c>
      <c r="FF54" s="9">
        <v>383.7789473684</v>
      </c>
      <c r="FG54" s="9">
        <v>520138.29</v>
      </c>
      <c r="FH54" s="9">
        <v>15676.26</v>
      </c>
      <c r="FI54" s="9">
        <v>28120.81</v>
      </c>
      <c r="FJ54" s="9">
        <v>176091.77</v>
      </c>
      <c r="FK54" s="9">
        <v>3622.69</v>
      </c>
      <c r="FL54" s="9">
        <v>7207.22</v>
      </c>
      <c r="FM54" s="9"/>
      <c r="FN54" s="9"/>
      <c r="FO54" s="9"/>
      <c r="FP54" s="9"/>
      <c r="FQ54" s="9"/>
      <c r="FR54" s="9"/>
      <c r="FS54" s="9"/>
      <c r="FT54" s="9">
        <v>344041.25</v>
      </c>
      <c r="FU54" s="9">
        <v>12053.57</v>
      </c>
      <c r="FV54" s="9">
        <v>20908.330000000002</v>
      </c>
      <c r="FW54" s="9"/>
      <c r="FX54" s="9"/>
      <c r="FY54" s="9"/>
      <c r="FZ54" s="9">
        <v>30976.97</v>
      </c>
      <c r="GA54" s="9">
        <v>616844.07000000007</v>
      </c>
      <c r="GB54" s="9">
        <v>182515.7</v>
      </c>
      <c r="GC54" s="9">
        <v>434328.37</v>
      </c>
      <c r="GD54" s="9">
        <v>439140.33000000007</v>
      </c>
      <c r="GE54" s="9">
        <v>25917.41</v>
      </c>
      <c r="GF54" s="9">
        <v>413222.92</v>
      </c>
      <c r="GG54" s="9">
        <v>177703.74</v>
      </c>
      <c r="GH54" s="9">
        <v>156598.29</v>
      </c>
      <c r="GI54" s="9">
        <v>21105.45</v>
      </c>
      <c r="GJ54" s="9">
        <v>41614.620000000003</v>
      </c>
      <c r="GK54" s="9">
        <v>974942.75</v>
      </c>
      <c r="GL54" s="9">
        <v>139240.01999999999</v>
      </c>
      <c r="GM54">
        <v>1159</v>
      </c>
      <c r="GO54" s="6"/>
      <c r="GP54" s="6"/>
      <c r="GQ54" s="6"/>
    </row>
    <row r="55" spans="1:199" x14ac:dyDescent="0.2">
      <c r="A55" s="8">
        <v>2004</v>
      </c>
      <c r="B55" s="8" t="s">
        <v>267</v>
      </c>
      <c r="C55" s="8" t="s">
        <v>270</v>
      </c>
      <c r="D55" s="9">
        <v>657504.30000000005</v>
      </c>
      <c r="E55" s="9">
        <v>193172.6</v>
      </c>
      <c r="F55" s="9">
        <v>87736.1</v>
      </c>
      <c r="G55" s="9">
        <v>30244.799999999999</v>
      </c>
      <c r="H55" s="9">
        <v>18455</v>
      </c>
      <c r="I55" s="9">
        <v>12057.6</v>
      </c>
      <c r="J55" s="9">
        <v>51774.6</v>
      </c>
      <c r="K55" s="9">
        <v>49461.8</v>
      </c>
      <c r="L55" s="9">
        <v>20237.599999999999</v>
      </c>
      <c r="M55" s="9">
        <v>131870.29999999999</v>
      </c>
      <c r="N55" s="9">
        <v>62494</v>
      </c>
      <c r="O55" s="9">
        <v>2673235.821099577</v>
      </c>
      <c r="P55" s="9">
        <v>568783.76687861688</v>
      </c>
      <c r="Q55" s="9">
        <v>368556.20666051132</v>
      </c>
      <c r="R55" s="9">
        <v>224894.91858274091</v>
      </c>
      <c r="S55" s="9">
        <v>76955.991567713398</v>
      </c>
      <c r="T55" s="9">
        <v>75949.349440198494</v>
      </c>
      <c r="U55" s="9">
        <v>221590.61550218589</v>
      </c>
      <c r="V55" s="9">
        <v>82310.077935160807</v>
      </c>
      <c r="W55" s="9">
        <v>37368.906691958699</v>
      </c>
      <c r="X55" s="9">
        <v>853428.86499136977</v>
      </c>
      <c r="Y55" s="9">
        <v>163397.1228491212</v>
      </c>
      <c r="Z55" s="9"/>
      <c r="AA55" s="9"/>
      <c r="AB55" s="9"/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>
        <v>95</v>
      </c>
      <c r="AX55" s="9">
        <v>55.9</v>
      </c>
      <c r="AY55" s="9">
        <v>86.5</v>
      </c>
      <c r="AZ55" s="9">
        <v>95.6</v>
      </c>
      <c r="BA55" s="9">
        <v>109.3</v>
      </c>
      <c r="BB55" s="9"/>
      <c r="BC55" s="9">
        <v>94.9</v>
      </c>
      <c r="BD55" s="9">
        <v>77</v>
      </c>
      <c r="BE55" s="9">
        <v>102.2</v>
      </c>
      <c r="BF55" s="9">
        <v>95.7</v>
      </c>
      <c r="BG55" s="9"/>
      <c r="BH55" s="9">
        <v>128.30000000000001</v>
      </c>
      <c r="BI55" s="9">
        <v>67.7</v>
      </c>
      <c r="BJ55" s="9">
        <v>109.4</v>
      </c>
      <c r="BK55" s="9">
        <v>82.6</v>
      </c>
      <c r="BL55" s="9"/>
      <c r="BM55" s="9">
        <v>66.099999999999994</v>
      </c>
      <c r="BN55" s="9">
        <v>80184.899999999994</v>
      </c>
      <c r="BO55" s="9">
        <v>70981.3</v>
      </c>
      <c r="BP55" s="9">
        <v>12646.8</v>
      </c>
      <c r="BQ55" s="9">
        <v>8171</v>
      </c>
      <c r="BR55" s="9">
        <v>4475.7</v>
      </c>
      <c r="BS55" s="9">
        <v>22747.5</v>
      </c>
      <c r="BT55" s="9">
        <v>16955.099999999999</v>
      </c>
      <c r="BU55" s="9">
        <v>6795.7</v>
      </c>
      <c r="BV55" s="9">
        <v>9085.4</v>
      </c>
      <c r="BW55" s="9">
        <v>50298.7</v>
      </c>
      <c r="BX55" s="9">
        <v>3640.1</v>
      </c>
      <c r="BY55" s="9">
        <v>17920.599999999999</v>
      </c>
      <c r="BZ55" s="9">
        <v>17708</v>
      </c>
      <c r="CA55" s="9">
        <v>1493.6</v>
      </c>
      <c r="CB55" s="9">
        <v>0</v>
      </c>
      <c r="CC55" s="9">
        <v>0</v>
      </c>
      <c r="CD55" s="9">
        <v>0</v>
      </c>
      <c r="CE55" s="9">
        <v>10052.1</v>
      </c>
      <c r="CF55" s="9">
        <v>254806.99372999999</v>
      </c>
      <c r="CG55" s="9">
        <v>812171.47517999995</v>
      </c>
      <c r="CH55" s="9"/>
      <c r="CI55" s="9"/>
      <c r="CJ55" s="9">
        <v>30.3</v>
      </c>
      <c r="CK55" s="9">
        <v>21.8</v>
      </c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>
        <v>64</v>
      </c>
      <c r="DA55" s="9">
        <v>39</v>
      </c>
      <c r="DB55" s="9">
        <v>10</v>
      </c>
      <c r="DC55" s="9">
        <v>25</v>
      </c>
      <c r="DD55" s="9">
        <v>0</v>
      </c>
      <c r="DE55" s="9">
        <v>0</v>
      </c>
      <c r="DF55" s="9">
        <v>1</v>
      </c>
      <c r="DG55" s="9">
        <v>1</v>
      </c>
      <c r="DH55" s="9">
        <v>5</v>
      </c>
      <c r="DI55" s="9">
        <v>1</v>
      </c>
      <c r="DJ55" s="9">
        <v>0</v>
      </c>
      <c r="DK55" s="9">
        <v>3</v>
      </c>
      <c r="DL55" s="9">
        <v>0</v>
      </c>
      <c r="DM55" s="9">
        <v>20</v>
      </c>
      <c r="DN55" s="9">
        <v>0</v>
      </c>
      <c r="DO55" s="9">
        <v>101.21</v>
      </c>
      <c r="DP55" s="9">
        <v>29.63</v>
      </c>
      <c r="DQ55" s="9">
        <v>16.64</v>
      </c>
      <c r="DR55" s="9">
        <v>12.99</v>
      </c>
      <c r="DS55" s="9">
        <v>18.32</v>
      </c>
      <c r="DT55" s="9">
        <v>0.66</v>
      </c>
      <c r="DU55" s="9">
        <v>36.020000000000003</v>
      </c>
      <c r="DV55" s="9">
        <v>22.74</v>
      </c>
      <c r="DW55" s="9">
        <v>7.65</v>
      </c>
      <c r="DX55" s="9">
        <v>17.13</v>
      </c>
      <c r="DY55" s="9">
        <v>8.1999999999999993</v>
      </c>
      <c r="DZ55" s="9">
        <v>3.17</v>
      </c>
      <c r="EA55" s="9">
        <v>-68.4709</v>
      </c>
      <c r="EB55" s="9">
        <v>-102.878</v>
      </c>
      <c r="EC55" s="9">
        <v>-28.0077</v>
      </c>
      <c r="ED55" s="9">
        <v>-3.9</v>
      </c>
      <c r="EE55" s="9">
        <v>66.315179999999998</v>
      </c>
      <c r="EF55" s="9">
        <v>0</v>
      </c>
      <c r="EG55" s="9">
        <v>8.4337070000000001</v>
      </c>
      <c r="EH55" s="9">
        <v>-42.86</v>
      </c>
      <c r="EI55" s="9">
        <v>0</v>
      </c>
      <c r="EJ55" s="9">
        <v>0</v>
      </c>
      <c r="EK55" s="9">
        <v>51.293709999999997</v>
      </c>
      <c r="EL55" s="9">
        <v>83.104640000000003</v>
      </c>
      <c r="EM55" s="9">
        <v>6.2</v>
      </c>
      <c r="EN55" s="9"/>
      <c r="EO55" s="9"/>
      <c r="EP55" s="9"/>
      <c r="EQ55" s="9"/>
      <c r="ER55" s="9"/>
      <c r="ES55" s="9"/>
      <c r="ET55" s="9"/>
      <c r="EU55">
        <v>1166.95</v>
      </c>
      <c r="EV55" s="9">
        <v>4730.34</v>
      </c>
      <c r="EW55" s="9">
        <v>1319</v>
      </c>
      <c r="EX55" s="9">
        <v>22.55</v>
      </c>
      <c r="EY55" s="9">
        <v>49.3</v>
      </c>
      <c r="EZ55" s="9">
        <v>915.9</v>
      </c>
      <c r="FA55" s="9">
        <v>2423.58</v>
      </c>
      <c r="FB55" s="9">
        <v>63.803571428600002</v>
      </c>
      <c r="FC55" s="9">
        <v>35.192727272699997</v>
      </c>
      <c r="FD55" s="9">
        <v>2689.0454545453999</v>
      </c>
      <c r="FE55" s="9">
        <v>16.39</v>
      </c>
      <c r="FF55" s="9">
        <v>392.37272727269999</v>
      </c>
      <c r="FG55" s="9">
        <v>526855.93999999994</v>
      </c>
      <c r="FH55" s="9">
        <v>13404.87</v>
      </c>
      <c r="FI55" s="9">
        <v>30903.62</v>
      </c>
      <c r="FJ55" s="9">
        <v>181157.1</v>
      </c>
      <c r="FK55" s="9">
        <v>3593.16</v>
      </c>
      <c r="FL55" s="9">
        <v>7643.74</v>
      </c>
      <c r="FM55" s="9"/>
      <c r="FN55" s="9"/>
      <c r="FO55" s="9"/>
      <c r="FP55" s="9"/>
      <c r="FQ55" s="9"/>
      <c r="FR55" s="9"/>
      <c r="FS55" s="9"/>
      <c r="FT55" s="9">
        <v>345695.11999999988</v>
      </c>
      <c r="FU55" s="9">
        <v>9811.7199999999993</v>
      </c>
      <c r="FV55" s="9">
        <v>23256.16</v>
      </c>
      <c r="FW55" s="9"/>
      <c r="FX55" s="9"/>
      <c r="FY55" s="9"/>
      <c r="FZ55" s="9">
        <v>31374.75</v>
      </c>
      <c r="GA55" s="9">
        <v>638318.27000000014</v>
      </c>
      <c r="GB55" s="9">
        <v>193355.57</v>
      </c>
      <c r="GC55" s="9">
        <v>444962.70000000013</v>
      </c>
      <c r="GD55" s="9">
        <v>450420.39</v>
      </c>
      <c r="GE55" s="9">
        <v>23078.2</v>
      </c>
      <c r="GF55" s="9">
        <v>427342.19</v>
      </c>
      <c r="GG55" s="9">
        <v>187897.88</v>
      </c>
      <c r="GH55" s="9">
        <v>170277.37</v>
      </c>
      <c r="GI55" s="9">
        <v>17620.509999999998</v>
      </c>
      <c r="GJ55" s="9">
        <v>38118.559999999998</v>
      </c>
      <c r="GK55" s="9">
        <v>977531.68</v>
      </c>
      <c r="GL55" s="9">
        <v>141026.76999999999</v>
      </c>
      <c r="GM55">
        <v>1174</v>
      </c>
      <c r="GO55" s="6"/>
      <c r="GP55" s="6"/>
      <c r="GQ55" s="6"/>
    </row>
    <row r="56" spans="1:199" x14ac:dyDescent="0.2">
      <c r="A56" s="8">
        <v>2004</v>
      </c>
      <c r="B56" s="8" t="s">
        <v>271</v>
      </c>
      <c r="C56" s="8" t="s">
        <v>272</v>
      </c>
      <c r="D56" s="9"/>
      <c r="E56" s="9"/>
      <c r="F56" s="9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  <c r="AB56" s="9"/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>
        <v>37199.699999999997</v>
      </c>
      <c r="BO56" s="9">
        <v>29898.2</v>
      </c>
      <c r="BP56" s="9">
        <v>13393.1</v>
      </c>
      <c r="BQ56" s="9">
        <v>9573.1</v>
      </c>
      <c r="BR56" s="9">
        <v>3819.9</v>
      </c>
      <c r="BS56" s="9">
        <v>-9423.4</v>
      </c>
      <c r="BT56" s="9">
        <v>10842.1</v>
      </c>
      <c r="BU56" s="9">
        <v>5437.4</v>
      </c>
      <c r="BV56" s="9">
        <v>6964.9</v>
      </c>
      <c r="BW56" s="9">
        <v>32406.400000000001</v>
      </c>
      <c r="BX56" s="9">
        <v>6862.3</v>
      </c>
      <c r="BY56" s="9">
        <v>10513.3</v>
      </c>
      <c r="BZ56" s="9">
        <v>9187.4</v>
      </c>
      <c r="CA56" s="9">
        <v>568.70000000000005</v>
      </c>
      <c r="CB56" s="9">
        <v>0</v>
      </c>
      <c r="CC56" s="9">
        <v>0</v>
      </c>
      <c r="CD56" s="9">
        <v>0</v>
      </c>
      <c r="CE56" s="9">
        <v>8130.2</v>
      </c>
      <c r="CF56" s="9">
        <v>248764.67984</v>
      </c>
      <c r="CG56" s="9">
        <v>813572.31289000006</v>
      </c>
      <c r="CH56" s="9"/>
      <c r="CI56" s="9"/>
      <c r="CJ56" s="9">
        <v>31</v>
      </c>
      <c r="CK56" s="9">
        <v>20.399999999999999</v>
      </c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>
        <v>75</v>
      </c>
      <c r="DA56" s="9">
        <v>41</v>
      </c>
      <c r="DB56" s="9">
        <v>13</v>
      </c>
      <c r="DC56" s="9">
        <v>23</v>
      </c>
      <c r="DD56" s="9">
        <v>0</v>
      </c>
      <c r="DE56" s="9">
        <v>0</v>
      </c>
      <c r="DF56" s="9">
        <v>1</v>
      </c>
      <c r="DG56" s="9">
        <v>1</v>
      </c>
      <c r="DH56" s="9">
        <v>9</v>
      </c>
      <c r="DI56" s="9">
        <v>0</v>
      </c>
      <c r="DJ56" s="9">
        <v>1</v>
      </c>
      <c r="DK56" s="9">
        <v>6</v>
      </c>
      <c r="DL56" s="9">
        <v>0</v>
      </c>
      <c r="DM56" s="9">
        <v>25</v>
      </c>
      <c r="DN56" s="9">
        <v>0</v>
      </c>
      <c r="DO56" s="9">
        <v>96.14</v>
      </c>
      <c r="DP56" s="9">
        <v>27.27</v>
      </c>
      <c r="DQ56" s="9">
        <v>13.18</v>
      </c>
      <c r="DR56" s="9">
        <v>14.08</v>
      </c>
      <c r="DS56" s="9">
        <v>18.13</v>
      </c>
      <c r="DT56" s="9">
        <v>0.95</v>
      </c>
      <c r="DU56" s="9">
        <v>32.729999999999997</v>
      </c>
      <c r="DV56" s="9">
        <v>19</v>
      </c>
      <c r="DW56" s="9">
        <v>8.31</v>
      </c>
      <c r="DX56" s="9">
        <v>18</v>
      </c>
      <c r="DY56" s="9">
        <v>7.66</v>
      </c>
      <c r="DZ56" s="9">
        <v>2.9</v>
      </c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>
        <v>1182.8399999999999</v>
      </c>
      <c r="EV56" s="9"/>
      <c r="EW56" s="9"/>
      <c r="EX56" s="9"/>
      <c r="EY56" s="9"/>
      <c r="EZ56" s="9"/>
      <c r="FA56" s="9"/>
      <c r="FB56" s="9">
        <v>65.758928571400006</v>
      </c>
      <c r="FC56" s="9">
        <v>38.371363636399998</v>
      </c>
      <c r="FD56" s="9">
        <v>2816.7954545453999</v>
      </c>
      <c r="FE56" s="9">
        <v>16.39</v>
      </c>
      <c r="FF56" s="9">
        <v>398.09090909090003</v>
      </c>
      <c r="FG56" s="9">
        <v>540672.69999999995</v>
      </c>
      <c r="FH56" s="9">
        <v>18757.849999999999</v>
      </c>
      <c r="FI56" s="9">
        <v>29950.59</v>
      </c>
      <c r="FJ56" s="9">
        <v>184458.27</v>
      </c>
      <c r="FK56" s="9">
        <v>5362.55</v>
      </c>
      <c r="FL56" s="9">
        <v>8182.09</v>
      </c>
      <c r="FM56" s="9"/>
      <c r="FN56" s="9"/>
      <c r="FO56" s="9"/>
      <c r="FP56" s="9"/>
      <c r="FQ56" s="9"/>
      <c r="FR56" s="9"/>
      <c r="FS56" s="9"/>
      <c r="FT56" s="9">
        <v>356210.72</v>
      </c>
      <c r="FU56" s="9">
        <v>13395.3</v>
      </c>
      <c r="FV56" s="9">
        <v>21764.79</v>
      </c>
      <c r="FW56" s="9"/>
      <c r="FX56" s="9"/>
      <c r="FY56" s="9"/>
      <c r="FZ56" s="9">
        <v>34632.019999999997</v>
      </c>
      <c r="GA56" s="9">
        <v>636542.19999999995</v>
      </c>
      <c r="GB56" s="9">
        <v>177096.34</v>
      </c>
      <c r="GC56" s="9">
        <v>459445.86</v>
      </c>
      <c r="GD56" s="9">
        <v>463810.11</v>
      </c>
      <c r="GE56" s="9">
        <v>25679.77</v>
      </c>
      <c r="GF56" s="9">
        <v>438130.34</v>
      </c>
      <c r="GG56" s="9">
        <v>172732.09</v>
      </c>
      <c r="GH56" s="9">
        <v>151416.57</v>
      </c>
      <c r="GI56" s="9">
        <v>21315.52</v>
      </c>
      <c r="GJ56" s="9">
        <v>39525</v>
      </c>
      <c r="GK56" s="9">
        <v>995124.58</v>
      </c>
      <c r="GL56" s="9">
        <v>145169.82</v>
      </c>
      <c r="GM56">
        <v>1188</v>
      </c>
      <c r="GO56" s="6"/>
      <c r="GP56" s="6"/>
      <c r="GQ56" s="6"/>
    </row>
    <row r="57" spans="1:199" x14ac:dyDescent="0.2">
      <c r="A57" s="8">
        <v>2004</v>
      </c>
      <c r="B57" s="8" t="s">
        <v>271</v>
      </c>
      <c r="C57" s="8" t="s">
        <v>273</v>
      </c>
      <c r="D57" s="9"/>
      <c r="E57" s="9"/>
      <c r="F57" s="9"/>
      <c r="G57" s="9"/>
      <c r="H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  <c r="AA57" s="9"/>
      <c r="AB57" s="9"/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>
        <v>59565.8</v>
      </c>
      <c r="BO57" s="9">
        <v>45003.1</v>
      </c>
      <c r="BP57" s="9">
        <v>7088.7</v>
      </c>
      <c r="BQ57" s="9">
        <v>4016.9</v>
      </c>
      <c r="BR57" s="9">
        <v>3071.9</v>
      </c>
      <c r="BS57" s="9">
        <v>5380.9</v>
      </c>
      <c r="BT57" s="9">
        <v>16413.099999999999</v>
      </c>
      <c r="BU57" s="9">
        <v>8138.2</v>
      </c>
      <c r="BV57" s="9">
        <v>14015.8</v>
      </c>
      <c r="BW57" s="9">
        <v>38307.1</v>
      </c>
      <c r="BX57" s="9">
        <v>1716.3</v>
      </c>
      <c r="BY57" s="9">
        <v>15632.2</v>
      </c>
      <c r="BZ57" s="9">
        <v>7925</v>
      </c>
      <c r="CA57" s="9">
        <v>2479</v>
      </c>
      <c r="CB57" s="9">
        <v>0</v>
      </c>
      <c r="CC57" s="9">
        <v>0</v>
      </c>
      <c r="CD57" s="9">
        <v>0</v>
      </c>
      <c r="CE57" s="9">
        <v>11166.5</v>
      </c>
      <c r="CF57" s="9">
        <v>254029.23542000001</v>
      </c>
      <c r="CG57" s="9">
        <v>842464.82606000011</v>
      </c>
      <c r="CH57" s="9"/>
      <c r="CI57" s="9"/>
      <c r="CJ57" s="9">
        <v>33.1</v>
      </c>
      <c r="CK57" s="9">
        <v>19.2</v>
      </c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>
        <v>95</v>
      </c>
      <c r="DA57" s="9">
        <v>64</v>
      </c>
      <c r="DB57" s="9">
        <v>30</v>
      </c>
      <c r="DC57" s="9">
        <v>25</v>
      </c>
      <c r="DD57" s="9">
        <v>0</v>
      </c>
      <c r="DE57" s="9">
        <v>0</v>
      </c>
      <c r="DF57" s="9">
        <v>2</v>
      </c>
      <c r="DG57" s="9">
        <v>1</v>
      </c>
      <c r="DH57" s="9">
        <v>10</v>
      </c>
      <c r="DI57" s="9">
        <v>0</v>
      </c>
      <c r="DJ57" s="9">
        <v>1</v>
      </c>
      <c r="DK57" s="9">
        <v>6</v>
      </c>
      <c r="DL57" s="9">
        <v>0</v>
      </c>
      <c r="DM57" s="9">
        <v>21</v>
      </c>
      <c r="DN57" s="9">
        <v>0</v>
      </c>
      <c r="DO57" s="9">
        <v>95.23</v>
      </c>
      <c r="DP57" s="9">
        <v>24.05</v>
      </c>
      <c r="DQ57" s="9">
        <v>13.88</v>
      </c>
      <c r="DR57" s="9">
        <v>10.17</v>
      </c>
      <c r="DS57" s="9">
        <v>20.48</v>
      </c>
      <c r="DT57" s="9">
        <v>0.52</v>
      </c>
      <c r="DU57" s="9">
        <v>28.33</v>
      </c>
      <c r="DV57" s="9">
        <v>16.010000000000002</v>
      </c>
      <c r="DW57" s="9">
        <v>8.64</v>
      </c>
      <c r="DX57" s="9">
        <v>22.26</v>
      </c>
      <c r="DY57" s="9">
        <v>10.39</v>
      </c>
      <c r="DZ57" s="9">
        <v>3.55</v>
      </c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>
        <v>1191.58</v>
      </c>
      <c r="EV57" s="9"/>
      <c r="EW57" s="9"/>
      <c r="EX57" s="9"/>
      <c r="EY57" s="9"/>
      <c r="EZ57" s="9"/>
      <c r="FA57" s="9"/>
      <c r="FB57" s="9">
        <v>63.482142857100001</v>
      </c>
      <c r="FC57" s="9">
        <v>43.030909090900003</v>
      </c>
      <c r="FD57" s="9">
        <v>2844.2023809523998</v>
      </c>
      <c r="FE57" s="9">
        <v>16.39</v>
      </c>
      <c r="FF57" s="9">
        <v>400.50952380950002</v>
      </c>
      <c r="FG57" s="9">
        <v>560558.1</v>
      </c>
      <c r="FH57" s="9">
        <v>21515.19</v>
      </c>
      <c r="FI57" s="9">
        <v>33186.660000000003</v>
      </c>
      <c r="FJ57" s="9">
        <v>194508.22</v>
      </c>
      <c r="FK57" s="9">
        <v>6900.77</v>
      </c>
      <c r="FL57" s="9">
        <v>8684.26</v>
      </c>
      <c r="FM57" s="9"/>
      <c r="FN57" s="9"/>
      <c r="FO57" s="9"/>
      <c r="FP57" s="9"/>
      <c r="FQ57" s="9"/>
      <c r="FR57" s="9"/>
      <c r="FS57" s="9"/>
      <c r="FT57" s="9">
        <v>366046.46</v>
      </c>
      <c r="FU57" s="9">
        <v>14614.42</v>
      </c>
      <c r="FV57" s="9">
        <v>24498.99</v>
      </c>
      <c r="FW57" s="9"/>
      <c r="FX57" s="9"/>
      <c r="FY57" s="9"/>
      <c r="FZ57" s="9">
        <v>33953.15</v>
      </c>
      <c r="GA57" s="9">
        <v>664855.88</v>
      </c>
      <c r="GB57" s="9">
        <v>200705.79</v>
      </c>
      <c r="GC57" s="9">
        <v>464150.09</v>
      </c>
      <c r="GD57" s="9">
        <v>473076.29</v>
      </c>
      <c r="GE57" s="9">
        <v>30658.639999999999</v>
      </c>
      <c r="GF57" s="9">
        <v>442417.65</v>
      </c>
      <c r="GG57" s="9">
        <v>191779.59</v>
      </c>
      <c r="GH57" s="9">
        <v>170047.15</v>
      </c>
      <c r="GI57" s="9">
        <v>21732.44</v>
      </c>
      <c r="GJ57" s="9">
        <v>46568.89</v>
      </c>
      <c r="GK57" s="9">
        <v>1040788.3</v>
      </c>
      <c r="GL57" s="9">
        <v>147482.56</v>
      </c>
      <c r="GM57">
        <v>1193</v>
      </c>
      <c r="GO57" s="6"/>
      <c r="GP57" s="6"/>
      <c r="GQ57" s="6"/>
    </row>
    <row r="58" spans="1:199" x14ac:dyDescent="0.2">
      <c r="A58" s="8">
        <v>2004</v>
      </c>
      <c r="B58" s="8" t="s">
        <v>271</v>
      </c>
      <c r="C58" s="8" t="s">
        <v>274</v>
      </c>
      <c r="D58" s="9">
        <v>595899.9</v>
      </c>
      <c r="E58" s="9">
        <v>127347.1</v>
      </c>
      <c r="F58" s="9">
        <v>101557.1</v>
      </c>
      <c r="G58" s="9">
        <v>36673.9</v>
      </c>
      <c r="H58" s="9">
        <v>14866.7</v>
      </c>
      <c r="I58" s="9">
        <v>23623.599999999999</v>
      </c>
      <c r="J58" s="9">
        <v>27419.8</v>
      </c>
      <c r="K58" s="9">
        <v>54395.3</v>
      </c>
      <c r="L58" s="9">
        <v>20911.099999999999</v>
      </c>
      <c r="M58" s="9">
        <v>113848.2</v>
      </c>
      <c r="N58" s="9">
        <v>75257</v>
      </c>
      <c r="O58" s="9">
        <v>2422768.8829862489</v>
      </c>
      <c r="P58" s="9">
        <v>368522.41967614362</v>
      </c>
      <c r="Q58" s="9">
        <v>419284.57109973999</v>
      </c>
      <c r="R58" s="9">
        <v>268015.06668909069</v>
      </c>
      <c r="S58" s="9">
        <v>60927.892099353703</v>
      </c>
      <c r="T58" s="9">
        <v>146245.48020064819</v>
      </c>
      <c r="U58" s="9">
        <v>115337.9109144675</v>
      </c>
      <c r="V58" s="9">
        <v>88964.687757899999</v>
      </c>
      <c r="W58" s="9">
        <v>37949.097289644502</v>
      </c>
      <c r="X58" s="9">
        <v>724135.249637492</v>
      </c>
      <c r="Y58" s="9">
        <v>193386.50762176909</v>
      </c>
      <c r="Z58" s="9"/>
      <c r="AA58" s="9"/>
      <c r="AB58" s="9"/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>
        <v>94.1</v>
      </c>
      <c r="AX58" s="9">
        <v>52.1</v>
      </c>
      <c r="AY58" s="9">
        <v>99.2</v>
      </c>
      <c r="AZ58" s="9">
        <v>95.7</v>
      </c>
      <c r="BA58" s="9">
        <v>106.2</v>
      </c>
      <c r="BB58" s="9"/>
      <c r="BC58" s="9">
        <v>104</v>
      </c>
      <c r="BD58" s="9">
        <v>73</v>
      </c>
      <c r="BE58" s="9">
        <v>113.5</v>
      </c>
      <c r="BF58" s="9">
        <v>110</v>
      </c>
      <c r="BG58" s="9"/>
      <c r="BH58" s="9">
        <v>128.4</v>
      </c>
      <c r="BI58" s="9">
        <v>66.7</v>
      </c>
      <c r="BJ58" s="9">
        <v>74.900000000000006</v>
      </c>
      <c r="BK58" s="9">
        <v>85.6</v>
      </c>
      <c r="BL58" s="9"/>
      <c r="BM58" s="9">
        <v>65.099999999999994</v>
      </c>
      <c r="BN58" s="9">
        <v>63041.599999999999</v>
      </c>
      <c r="BO58" s="9">
        <v>52079.6</v>
      </c>
      <c r="BP58" s="9">
        <v>11338.5</v>
      </c>
      <c r="BQ58" s="9">
        <v>7616.3</v>
      </c>
      <c r="BR58" s="9">
        <v>3722.1</v>
      </c>
      <c r="BS58" s="9">
        <v>7491.2</v>
      </c>
      <c r="BT58" s="9">
        <v>17088.400000000001</v>
      </c>
      <c r="BU58" s="9">
        <v>6179.7</v>
      </c>
      <c r="BV58" s="9">
        <v>10819</v>
      </c>
      <c r="BW58" s="9">
        <v>40738</v>
      </c>
      <c r="BX58" s="9">
        <v>8906.2999999999993</v>
      </c>
      <c r="BY58" s="9">
        <v>15830.8</v>
      </c>
      <c r="BZ58" s="9">
        <v>11353</v>
      </c>
      <c r="CA58" s="9">
        <v>951.5</v>
      </c>
      <c r="CB58" s="9">
        <v>0</v>
      </c>
      <c r="CC58" s="9">
        <v>0</v>
      </c>
      <c r="CD58" s="9">
        <v>0</v>
      </c>
      <c r="CE58" s="9">
        <v>20380.7</v>
      </c>
      <c r="CF58" s="9">
        <v>241994.90289</v>
      </c>
      <c r="CG58" s="9">
        <v>827249.99378000002</v>
      </c>
      <c r="CH58" s="9"/>
      <c r="CI58" s="9"/>
      <c r="CJ58" s="9">
        <v>32.299999999999997</v>
      </c>
      <c r="CK58" s="9">
        <v>18.2</v>
      </c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>
        <v>93</v>
      </c>
      <c r="DA58" s="9">
        <v>69</v>
      </c>
      <c r="DB58" s="9">
        <v>39</v>
      </c>
      <c r="DC58" s="9">
        <v>23</v>
      </c>
      <c r="DD58" s="9">
        <v>0</v>
      </c>
      <c r="DE58" s="9">
        <v>0</v>
      </c>
      <c r="DF58" s="9">
        <v>1</v>
      </c>
      <c r="DG58" s="9">
        <v>1</v>
      </c>
      <c r="DH58" s="9">
        <v>9</v>
      </c>
      <c r="DI58" s="9">
        <v>1</v>
      </c>
      <c r="DJ58" s="9">
        <v>2</v>
      </c>
      <c r="DK58" s="9">
        <v>4</v>
      </c>
      <c r="DL58" s="9">
        <v>0</v>
      </c>
      <c r="DM58" s="9">
        <v>14</v>
      </c>
      <c r="DN58" s="9">
        <v>0</v>
      </c>
      <c r="DO58" s="9">
        <v>91.67</v>
      </c>
      <c r="DP58" s="9">
        <v>23.49</v>
      </c>
      <c r="DQ58" s="9">
        <v>13.77</v>
      </c>
      <c r="DR58" s="9">
        <v>9.7200000000000006</v>
      </c>
      <c r="DS58" s="9">
        <v>11.97</v>
      </c>
      <c r="DT58" s="9">
        <v>0.19</v>
      </c>
      <c r="DU58" s="9">
        <v>35.159999999999997</v>
      </c>
      <c r="DV58" s="9">
        <v>18.78</v>
      </c>
      <c r="DW58" s="9">
        <v>7.43</v>
      </c>
      <c r="DX58" s="9">
        <v>21.02</v>
      </c>
      <c r="DY58" s="9">
        <v>8.7799999999999994</v>
      </c>
      <c r="DZ58" s="9">
        <v>2.38</v>
      </c>
      <c r="EA58" s="9">
        <v>65.860029999999995</v>
      </c>
      <c r="EB58" s="9">
        <v>-6.5232400000000004</v>
      </c>
      <c r="EC58" s="9">
        <v>-2.6050399999999998</v>
      </c>
      <c r="ED58" s="9">
        <v>-0.60848999999999998</v>
      </c>
      <c r="EE58" s="9">
        <v>75.596789999999999</v>
      </c>
      <c r="EF58" s="9">
        <v>0</v>
      </c>
      <c r="EG58" s="9">
        <v>32.75658</v>
      </c>
      <c r="EH58" s="9">
        <v>-16.100000000000001</v>
      </c>
      <c r="EI58" s="9">
        <v>0</v>
      </c>
      <c r="EJ58" s="9">
        <v>0</v>
      </c>
      <c r="EK58" s="9">
        <v>48.856580000000001</v>
      </c>
      <c r="EL58" s="9">
        <v>-35.133400000000002</v>
      </c>
      <c r="EM58" s="9">
        <v>-2.0299999999999998</v>
      </c>
      <c r="EN58" s="9"/>
      <c r="EO58" s="9"/>
      <c r="EP58" s="9"/>
      <c r="EQ58" s="9"/>
      <c r="ER58" s="9"/>
      <c r="ES58" s="9"/>
      <c r="ET58" s="9"/>
      <c r="EU58">
        <v>1198.93</v>
      </c>
      <c r="EV58" s="9">
        <v>4737.25</v>
      </c>
      <c r="EW58" s="9">
        <v>1340.01</v>
      </c>
      <c r="EX58" s="9">
        <v>18.87</v>
      </c>
      <c r="EY58" s="9">
        <v>52.28</v>
      </c>
      <c r="EZ58" s="9">
        <v>902.51</v>
      </c>
      <c r="FA58" s="9">
        <v>2423.58</v>
      </c>
      <c r="FB58" s="9">
        <v>59.330357142899999</v>
      </c>
      <c r="FC58" s="9">
        <v>43.382272727299998</v>
      </c>
      <c r="FD58" s="9">
        <v>2903.1704545453999</v>
      </c>
      <c r="FE58" s="9">
        <v>16.39</v>
      </c>
      <c r="FF58" s="9">
        <v>405.27499999999998</v>
      </c>
      <c r="FG58" s="9">
        <v>567661.71</v>
      </c>
      <c r="FH58" s="9">
        <v>21185.19</v>
      </c>
      <c r="FI58" s="9">
        <v>35806.21</v>
      </c>
      <c r="FJ58" s="9">
        <v>202156.65</v>
      </c>
      <c r="FK58" s="9">
        <v>6023.21</v>
      </c>
      <c r="FL58" s="9">
        <v>9499.92</v>
      </c>
      <c r="FM58" s="9"/>
      <c r="FN58" s="9"/>
      <c r="FO58" s="9"/>
      <c r="FP58" s="9"/>
      <c r="FQ58" s="9"/>
      <c r="FR58" s="9"/>
      <c r="FS58" s="9"/>
      <c r="FT58" s="9">
        <v>365501.94000000012</v>
      </c>
      <c r="FU58" s="9">
        <v>15161.98</v>
      </c>
      <c r="FV58" s="9">
        <v>26303.18</v>
      </c>
      <c r="FW58" s="9"/>
      <c r="FX58" s="9"/>
      <c r="FY58" s="9"/>
      <c r="FZ58" s="9">
        <v>34406.28</v>
      </c>
      <c r="GA58" s="9">
        <v>659245.97</v>
      </c>
      <c r="GB58" s="9">
        <v>186847.5</v>
      </c>
      <c r="GC58" s="9">
        <v>472398.47</v>
      </c>
      <c r="GD58" s="9">
        <v>482014.94</v>
      </c>
      <c r="GE58" s="9">
        <v>30044.400000000001</v>
      </c>
      <c r="GF58" s="9">
        <v>451970.54</v>
      </c>
      <c r="GG58" s="9">
        <v>177231.03</v>
      </c>
      <c r="GH58" s="9">
        <v>156803.1</v>
      </c>
      <c r="GI58" s="9">
        <v>20427.93</v>
      </c>
      <c r="GJ58" s="9">
        <v>39036.46</v>
      </c>
      <c r="GK58" s="9">
        <v>1031214.98</v>
      </c>
      <c r="GL58" s="9">
        <v>146739.29999999999</v>
      </c>
      <c r="GM58">
        <v>1202</v>
      </c>
      <c r="GO58" s="6"/>
      <c r="GP58" s="6"/>
      <c r="GQ58" s="6"/>
    </row>
    <row r="59" spans="1:199" x14ac:dyDescent="0.2">
      <c r="A59" s="8">
        <v>2004</v>
      </c>
      <c r="B59" s="8" t="s">
        <v>275</v>
      </c>
      <c r="C59" s="8" t="s">
        <v>276</v>
      </c>
      <c r="D59" s="9"/>
      <c r="E59" s="9"/>
      <c r="F59" s="9"/>
      <c r="G59" s="9"/>
      <c r="H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>
        <v>54393.7</v>
      </c>
      <c r="BO59" s="9">
        <v>49898</v>
      </c>
      <c r="BP59" s="9">
        <v>12069.4</v>
      </c>
      <c r="BQ59" s="9">
        <v>7927.7</v>
      </c>
      <c r="BR59" s="9">
        <v>4141.8</v>
      </c>
      <c r="BS59" s="9">
        <v>7340.9</v>
      </c>
      <c r="BT59" s="9">
        <v>11384.5</v>
      </c>
      <c r="BU59" s="9">
        <v>5456.7</v>
      </c>
      <c r="BV59" s="9">
        <v>4321.3999999999996</v>
      </c>
      <c r="BW59" s="9">
        <v>49597.2</v>
      </c>
      <c r="BX59" s="9">
        <v>7437.2</v>
      </c>
      <c r="BY59" s="9">
        <v>16117.5</v>
      </c>
      <c r="BZ59" s="9">
        <v>11645</v>
      </c>
      <c r="CA59" s="9">
        <v>4116.5</v>
      </c>
      <c r="CB59" s="9">
        <v>0</v>
      </c>
      <c r="CC59" s="9">
        <v>0</v>
      </c>
      <c r="CD59" s="9">
        <v>0</v>
      </c>
      <c r="CE59" s="9">
        <v>8260.9</v>
      </c>
      <c r="CF59" s="9">
        <v>225739.37085000001</v>
      </c>
      <c r="CG59" s="9">
        <v>831122.39406999992</v>
      </c>
      <c r="CH59" s="9"/>
      <c r="CI59" s="9"/>
      <c r="CJ59" s="9">
        <v>31.5</v>
      </c>
      <c r="CK59" s="9">
        <v>17.7</v>
      </c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>
        <v>83</v>
      </c>
      <c r="DA59" s="9">
        <v>56</v>
      </c>
      <c r="DB59" s="9">
        <v>22</v>
      </c>
      <c r="DC59" s="9">
        <v>28</v>
      </c>
      <c r="DD59" s="9">
        <v>0</v>
      </c>
      <c r="DE59" s="9">
        <v>0</v>
      </c>
      <c r="DF59" s="9">
        <v>1</v>
      </c>
      <c r="DG59" s="9">
        <v>1</v>
      </c>
      <c r="DH59" s="9">
        <v>13</v>
      </c>
      <c r="DI59" s="9">
        <v>2</v>
      </c>
      <c r="DJ59" s="9">
        <v>2</v>
      </c>
      <c r="DK59" s="9">
        <v>6</v>
      </c>
      <c r="DL59" s="9">
        <v>0</v>
      </c>
      <c r="DM59" s="9">
        <v>13</v>
      </c>
      <c r="DN59" s="9">
        <v>0</v>
      </c>
      <c r="DO59" s="9">
        <v>91.2</v>
      </c>
      <c r="DP59" s="9">
        <v>26.71</v>
      </c>
      <c r="DQ59" s="9">
        <v>18.440000000000001</v>
      </c>
      <c r="DR59" s="9">
        <v>8.27</v>
      </c>
      <c r="DS59" s="9">
        <v>12.54</v>
      </c>
      <c r="DT59" s="9">
        <v>0.76</v>
      </c>
      <c r="DU59" s="9">
        <v>25.01</v>
      </c>
      <c r="DV59" s="9">
        <v>14.6</v>
      </c>
      <c r="DW59" s="9">
        <v>7.49</v>
      </c>
      <c r="DX59" s="9">
        <v>26.88</v>
      </c>
      <c r="DY59" s="9">
        <v>13.19</v>
      </c>
      <c r="DZ59" s="9">
        <v>2.81</v>
      </c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>
        <v>1204.42</v>
      </c>
      <c r="EV59" s="9"/>
      <c r="EW59" s="9"/>
      <c r="EX59" s="9"/>
      <c r="EY59" s="9"/>
      <c r="EZ59" s="9"/>
      <c r="FA59" s="9"/>
      <c r="FB59" s="9">
        <v>60.669642857100001</v>
      </c>
      <c r="FC59" s="9">
        <v>49.770476190499998</v>
      </c>
      <c r="FD59" s="9">
        <v>3009.4047619048001</v>
      </c>
      <c r="FE59" s="9">
        <v>16.39</v>
      </c>
      <c r="FF59" s="9">
        <v>420.46428571429999</v>
      </c>
      <c r="FG59" s="9">
        <v>575364.64999999991</v>
      </c>
      <c r="FH59" s="9">
        <v>22523.7</v>
      </c>
      <c r="FI59" s="9">
        <v>35687.769999999997</v>
      </c>
      <c r="FJ59" s="9">
        <v>201734.43</v>
      </c>
      <c r="FK59" s="9">
        <v>7246.08</v>
      </c>
      <c r="FL59" s="9">
        <v>9161.2800000000007</v>
      </c>
      <c r="FM59" s="9"/>
      <c r="FN59" s="9"/>
      <c r="FO59" s="9"/>
      <c r="FP59" s="9"/>
      <c r="FQ59" s="9"/>
      <c r="FR59" s="9"/>
      <c r="FS59" s="9"/>
      <c r="FT59" s="9">
        <v>373627.65</v>
      </c>
      <c r="FU59" s="9">
        <v>15277.62</v>
      </c>
      <c r="FV59" s="9">
        <v>26523.93</v>
      </c>
      <c r="FW59" s="9"/>
      <c r="FX59" s="9"/>
      <c r="FY59" s="9"/>
      <c r="FZ59" s="9">
        <v>37298.769999999997</v>
      </c>
      <c r="GA59" s="9">
        <v>673504.28</v>
      </c>
      <c r="GB59" s="9">
        <v>184539.83</v>
      </c>
      <c r="GC59" s="9">
        <v>488964.45</v>
      </c>
      <c r="GD59" s="9">
        <v>494029.91</v>
      </c>
      <c r="GE59" s="9">
        <v>23375.919999999998</v>
      </c>
      <c r="GF59" s="9">
        <v>470653.99</v>
      </c>
      <c r="GG59" s="9">
        <v>179474.37</v>
      </c>
      <c r="GH59" s="9">
        <v>161163.91</v>
      </c>
      <c r="GI59" s="9">
        <v>18310.46</v>
      </c>
      <c r="GJ59" s="9">
        <v>40581.050000000003</v>
      </c>
      <c r="GK59" s="9">
        <v>1053490.29</v>
      </c>
      <c r="GL59" s="9">
        <v>147078.85999999999</v>
      </c>
      <c r="GM59">
        <v>1207</v>
      </c>
      <c r="GO59" s="6"/>
      <c r="GP59" s="6"/>
      <c r="GQ59" s="6"/>
    </row>
    <row r="60" spans="1:199" x14ac:dyDescent="0.2">
      <c r="A60" s="8">
        <v>2004</v>
      </c>
      <c r="B60" s="8" t="s">
        <v>275</v>
      </c>
      <c r="C60" s="8" t="s">
        <v>277</v>
      </c>
      <c r="D60" s="9"/>
      <c r="E60" s="9"/>
      <c r="F60" s="9"/>
      <c r="G60" s="9"/>
      <c r="H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  <c r="AA60" s="9"/>
      <c r="AB60" s="9"/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>
        <v>66314.7</v>
      </c>
      <c r="BO60" s="9">
        <v>58631.199999999997</v>
      </c>
      <c r="BP60" s="9">
        <v>21302.799999999999</v>
      </c>
      <c r="BQ60" s="9">
        <v>17865.8</v>
      </c>
      <c r="BR60" s="9">
        <v>3437.1</v>
      </c>
      <c r="BS60" s="9">
        <v>6950.6</v>
      </c>
      <c r="BT60" s="9">
        <v>13640.4</v>
      </c>
      <c r="BU60" s="9">
        <v>5579.4</v>
      </c>
      <c r="BV60" s="9">
        <v>7357.3</v>
      </c>
      <c r="BW60" s="9">
        <v>42704.800000000003</v>
      </c>
      <c r="BX60" s="9">
        <v>3863</v>
      </c>
      <c r="BY60" s="9">
        <v>25674.6</v>
      </c>
      <c r="BZ60" s="9">
        <v>4538</v>
      </c>
      <c r="CA60" s="9">
        <v>2123.9</v>
      </c>
      <c r="CB60" s="9">
        <v>0</v>
      </c>
      <c r="CC60" s="9">
        <v>0</v>
      </c>
      <c r="CD60" s="9">
        <v>0</v>
      </c>
      <c r="CE60" s="9">
        <v>6596.6</v>
      </c>
      <c r="CF60" s="9">
        <v>212578.69102</v>
      </c>
      <c r="CG60" s="9">
        <v>839547.81331</v>
      </c>
      <c r="CH60" s="9"/>
      <c r="CI60" s="9"/>
      <c r="CJ60" s="9">
        <v>31.8</v>
      </c>
      <c r="CK60" s="9">
        <v>18.5</v>
      </c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>
        <v>66</v>
      </c>
      <c r="DA60" s="9">
        <v>39</v>
      </c>
      <c r="DB60" s="9">
        <v>8</v>
      </c>
      <c r="DC60" s="9">
        <v>24</v>
      </c>
      <c r="DD60" s="9">
        <v>0</v>
      </c>
      <c r="DE60" s="9">
        <v>0</v>
      </c>
      <c r="DF60" s="9">
        <v>1</v>
      </c>
      <c r="DG60" s="9">
        <v>0</v>
      </c>
      <c r="DH60" s="9">
        <v>13</v>
      </c>
      <c r="DI60" s="9">
        <v>2</v>
      </c>
      <c r="DJ60" s="9">
        <v>3</v>
      </c>
      <c r="DK60" s="9">
        <v>6</v>
      </c>
      <c r="DL60" s="9">
        <v>0</v>
      </c>
      <c r="DM60" s="9">
        <v>15</v>
      </c>
      <c r="DN60" s="9">
        <v>0</v>
      </c>
      <c r="DO60" s="9">
        <v>84.82</v>
      </c>
      <c r="DP60" s="9">
        <v>30.58</v>
      </c>
      <c r="DQ60" s="9">
        <v>20.07</v>
      </c>
      <c r="DR60" s="9">
        <v>10.51</v>
      </c>
      <c r="DS60" s="9">
        <v>9.6</v>
      </c>
      <c r="DT60" s="9">
        <v>0.28000000000000003</v>
      </c>
      <c r="DU60" s="9">
        <v>20.75</v>
      </c>
      <c r="DV60" s="9">
        <v>12.56</v>
      </c>
      <c r="DW60" s="9">
        <v>4.09</v>
      </c>
      <c r="DX60" s="9">
        <v>23.86</v>
      </c>
      <c r="DY60" s="9">
        <v>12.88</v>
      </c>
      <c r="DZ60" s="9">
        <v>2.4700000000000002</v>
      </c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>
        <v>1210.2</v>
      </c>
      <c r="EV60" s="9"/>
      <c r="EW60" s="9"/>
      <c r="EX60" s="9"/>
      <c r="EY60" s="9"/>
      <c r="EZ60" s="9"/>
      <c r="FA60" s="9"/>
      <c r="FB60" s="9">
        <v>56.598214285700003</v>
      </c>
      <c r="FC60" s="9">
        <v>43.055</v>
      </c>
      <c r="FD60" s="9">
        <v>3130.3090909091002</v>
      </c>
      <c r="FE60" s="9">
        <v>16.39</v>
      </c>
      <c r="FF60" s="9">
        <v>439.375</v>
      </c>
      <c r="FG60" s="9">
        <v>592040.75</v>
      </c>
      <c r="FH60" s="9">
        <v>21456.34</v>
      </c>
      <c r="FI60" s="9">
        <v>35167.800000000003</v>
      </c>
      <c r="FJ60" s="9">
        <v>204705.78</v>
      </c>
      <c r="FK60" s="9">
        <v>5886.17</v>
      </c>
      <c r="FL60" s="9">
        <v>10676.57</v>
      </c>
      <c r="FM60" s="9"/>
      <c r="FN60" s="9"/>
      <c r="FO60" s="9"/>
      <c r="FP60" s="9"/>
      <c r="FQ60" s="9"/>
      <c r="FR60" s="9"/>
      <c r="FS60" s="9"/>
      <c r="FT60" s="9">
        <v>387334.49</v>
      </c>
      <c r="FU60" s="9">
        <v>15570.18</v>
      </c>
      <c r="FV60" s="9">
        <v>24490.76</v>
      </c>
      <c r="FW60" s="9"/>
      <c r="FX60" s="9"/>
      <c r="FY60" s="9"/>
      <c r="FZ60" s="9">
        <v>33311.620000000003</v>
      </c>
      <c r="GA60" s="9">
        <v>696998.40999999992</v>
      </c>
      <c r="GB60" s="9">
        <v>193979.7</v>
      </c>
      <c r="GC60" s="9">
        <v>503018.7099999999</v>
      </c>
      <c r="GD60" s="9">
        <v>514577.12</v>
      </c>
      <c r="GE60" s="9">
        <v>30783.119999999999</v>
      </c>
      <c r="GF60" s="9">
        <v>483794</v>
      </c>
      <c r="GG60" s="9">
        <v>182421.29</v>
      </c>
      <c r="GH60" s="9">
        <v>163196.57999999999</v>
      </c>
      <c r="GI60" s="9">
        <v>19224.71</v>
      </c>
      <c r="GJ60" s="9">
        <v>36876.92</v>
      </c>
      <c r="GK60" s="9">
        <v>1092658.25</v>
      </c>
      <c r="GL60" s="9">
        <v>153308.51</v>
      </c>
      <c r="GM60">
        <v>1214</v>
      </c>
      <c r="GO60" s="6"/>
      <c r="GP60" s="6"/>
      <c r="GQ60" s="6"/>
    </row>
    <row r="61" spans="1:199" x14ac:dyDescent="0.2">
      <c r="A61" s="8">
        <v>2004</v>
      </c>
      <c r="B61" s="8" t="s">
        <v>275</v>
      </c>
      <c r="C61" s="8" t="s">
        <v>278</v>
      </c>
      <c r="D61" s="9">
        <v>705608.1</v>
      </c>
      <c r="E61" s="9">
        <v>120639.4</v>
      </c>
      <c r="F61" s="9">
        <v>152992.4</v>
      </c>
      <c r="G61" s="9">
        <v>39315.300000000003</v>
      </c>
      <c r="H61" s="9">
        <v>21446.400000000001</v>
      </c>
      <c r="I61" s="9">
        <v>29855.599999999999</v>
      </c>
      <c r="J61" s="9">
        <v>80121.5</v>
      </c>
      <c r="K61" s="9">
        <v>53610</v>
      </c>
      <c r="L61" s="9">
        <v>18478.900000000001</v>
      </c>
      <c r="M61" s="9">
        <v>116059.2</v>
      </c>
      <c r="N61" s="9">
        <v>73089.5</v>
      </c>
      <c r="O61" s="9">
        <v>2868812.947045384</v>
      </c>
      <c r="P61" s="9">
        <v>342400.68927672593</v>
      </c>
      <c r="Q61" s="9">
        <v>619496.78257264185</v>
      </c>
      <c r="R61" s="9">
        <v>281795.66872393858</v>
      </c>
      <c r="S61" s="9">
        <v>86203.834507336898</v>
      </c>
      <c r="T61" s="9">
        <v>181272.8584355097</v>
      </c>
      <c r="U61" s="9">
        <v>330542.62878656603</v>
      </c>
      <c r="V61" s="9">
        <v>85994.900217629707</v>
      </c>
      <c r="W61" s="9">
        <v>32890.5619103184</v>
      </c>
      <c r="X61" s="9">
        <v>724008.55829991109</v>
      </c>
      <c r="Y61" s="9">
        <v>184206.46431480581</v>
      </c>
      <c r="Z61" s="9"/>
      <c r="AA61" s="9"/>
      <c r="AB61" s="9"/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>
        <v>96</v>
      </c>
      <c r="AX61" s="9">
        <v>49.8</v>
      </c>
      <c r="AY61" s="9">
        <v>92.4</v>
      </c>
      <c r="AZ61" s="9">
        <v>97.1</v>
      </c>
      <c r="BA61" s="9">
        <v>112.6</v>
      </c>
      <c r="BB61" s="9"/>
      <c r="BC61" s="9">
        <v>109.1</v>
      </c>
      <c r="BD61" s="9">
        <v>72.599999999999994</v>
      </c>
      <c r="BE61" s="9">
        <v>121.3</v>
      </c>
      <c r="BF61" s="9">
        <v>106.8</v>
      </c>
      <c r="BG61" s="9"/>
      <c r="BH61" s="9">
        <v>125.1</v>
      </c>
      <c r="BI61" s="9">
        <v>68.599999999999994</v>
      </c>
      <c r="BJ61" s="9">
        <v>87</v>
      </c>
      <c r="BK61" s="9">
        <v>80.8</v>
      </c>
      <c r="BL61" s="9"/>
      <c r="BM61" s="9">
        <v>62.7</v>
      </c>
      <c r="BN61" s="9">
        <v>103723.2</v>
      </c>
      <c r="BO61" s="9">
        <v>77102.5</v>
      </c>
      <c r="BP61" s="9">
        <v>19748.3</v>
      </c>
      <c r="BQ61" s="9">
        <v>12528.2</v>
      </c>
      <c r="BR61" s="9">
        <v>7220</v>
      </c>
      <c r="BS61" s="9">
        <v>14096.7</v>
      </c>
      <c r="BT61" s="9">
        <v>21059.5</v>
      </c>
      <c r="BU61" s="9">
        <v>6888.3</v>
      </c>
      <c r="BV61" s="9">
        <v>26409.4</v>
      </c>
      <c r="BW61" s="9">
        <v>77911.600000000006</v>
      </c>
      <c r="BX61" s="9">
        <v>49964.9</v>
      </c>
      <c r="BY61" s="9">
        <v>45381.1</v>
      </c>
      <c r="BZ61" s="9">
        <v>12078.5</v>
      </c>
      <c r="CA61" s="9">
        <v>2201.9</v>
      </c>
      <c r="CB61" s="9">
        <v>0</v>
      </c>
      <c r="CC61" s="9">
        <v>0</v>
      </c>
      <c r="CD61" s="9">
        <v>0</v>
      </c>
      <c r="CE61" s="9">
        <v>23415.1</v>
      </c>
      <c r="CF61" s="9">
        <v>221327.59239000001</v>
      </c>
      <c r="CG61" s="9">
        <v>847032.44330000004</v>
      </c>
      <c r="CH61" s="9"/>
      <c r="CI61" s="9"/>
      <c r="CJ61" s="9">
        <v>30</v>
      </c>
      <c r="CK61" s="9">
        <v>17.899999999999999</v>
      </c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>
        <v>135</v>
      </c>
      <c r="DA61" s="9">
        <v>112</v>
      </c>
      <c r="DB61" s="9">
        <v>82</v>
      </c>
      <c r="DC61" s="9">
        <v>23</v>
      </c>
      <c r="DD61" s="9">
        <v>0</v>
      </c>
      <c r="DE61" s="9">
        <v>0</v>
      </c>
      <c r="DF61" s="9">
        <v>1</v>
      </c>
      <c r="DG61" s="9">
        <v>0</v>
      </c>
      <c r="DH61" s="9">
        <v>12</v>
      </c>
      <c r="DI61" s="9">
        <v>4</v>
      </c>
      <c r="DJ61" s="9">
        <v>3</v>
      </c>
      <c r="DK61" s="9">
        <v>4</v>
      </c>
      <c r="DL61" s="9">
        <v>0</v>
      </c>
      <c r="DM61" s="9">
        <v>10</v>
      </c>
      <c r="DN61" s="9">
        <v>0</v>
      </c>
      <c r="DO61" s="9">
        <v>68.09</v>
      </c>
      <c r="DP61" s="9">
        <v>24.34</v>
      </c>
      <c r="DQ61" s="9">
        <v>15.82</v>
      </c>
      <c r="DR61" s="9">
        <v>8.51</v>
      </c>
      <c r="DS61" s="9">
        <v>9.4700000000000006</v>
      </c>
      <c r="DT61" s="9">
        <v>0.48</v>
      </c>
      <c r="DU61" s="9">
        <v>15.84</v>
      </c>
      <c r="DV61" s="9">
        <v>7.01</v>
      </c>
      <c r="DW61" s="9">
        <v>4.2699999999999996</v>
      </c>
      <c r="DX61" s="9">
        <v>18.38</v>
      </c>
      <c r="DY61" s="9">
        <v>6.83</v>
      </c>
      <c r="DZ61" s="9">
        <v>2.4500000000000002</v>
      </c>
      <c r="EA61" s="9">
        <v>61.131740000000001</v>
      </c>
      <c r="EB61" s="9">
        <v>54.349800000000002</v>
      </c>
      <c r="EC61" s="9">
        <v>-48.241</v>
      </c>
      <c r="ED61" s="9">
        <v>-4.8483499999999999</v>
      </c>
      <c r="EE61" s="9">
        <v>59.871279999999999</v>
      </c>
      <c r="EF61" s="9">
        <v>0</v>
      </c>
      <c r="EG61" s="9">
        <v>19.2133</v>
      </c>
      <c r="EH61" s="9">
        <v>-9.66</v>
      </c>
      <c r="EI61" s="9">
        <v>50</v>
      </c>
      <c r="EJ61" s="9">
        <v>0</v>
      </c>
      <c r="EK61" s="9">
        <v>-21.1267</v>
      </c>
      <c r="EL61" s="9">
        <v>-32.298400000000001</v>
      </c>
      <c r="EM61" s="9">
        <v>9.6199999999999992</v>
      </c>
      <c r="EN61" s="9"/>
      <c r="EO61" s="9"/>
      <c r="EP61" s="9"/>
      <c r="EQ61" s="9"/>
      <c r="ER61" s="9"/>
      <c r="ES61" s="9"/>
      <c r="ET61" s="9"/>
      <c r="EU61">
        <v>1211.77</v>
      </c>
      <c r="EV61" s="9">
        <v>4730.3500000000004</v>
      </c>
      <c r="EW61" s="9">
        <v>1360</v>
      </c>
      <c r="EX61" s="9">
        <v>19.55</v>
      </c>
      <c r="EY61" s="9">
        <v>44.43</v>
      </c>
      <c r="EZ61" s="9">
        <v>882.79</v>
      </c>
      <c r="FA61" s="9">
        <v>2423.58</v>
      </c>
      <c r="FB61" s="9">
        <v>55.982142857100001</v>
      </c>
      <c r="FC61" s="9">
        <v>39.656086956499998</v>
      </c>
      <c r="FD61" s="9">
        <v>3139.7857142857001</v>
      </c>
      <c r="FE61" s="9">
        <v>16.39</v>
      </c>
      <c r="FF61" s="9">
        <v>442.07894736840001</v>
      </c>
      <c r="FG61" s="9">
        <v>606798.59000000008</v>
      </c>
      <c r="FH61" s="9">
        <v>21617.14</v>
      </c>
      <c r="FI61" s="9">
        <v>39118.03</v>
      </c>
      <c r="FJ61" s="9">
        <v>210931.1</v>
      </c>
      <c r="FK61" s="9">
        <v>4709.3100000000004</v>
      </c>
      <c r="FL61" s="9">
        <v>10201.48</v>
      </c>
      <c r="FM61" s="9"/>
      <c r="FN61" s="9"/>
      <c r="FO61" s="9"/>
      <c r="FP61" s="9"/>
      <c r="FQ61" s="9"/>
      <c r="FR61" s="9"/>
      <c r="FS61" s="9"/>
      <c r="FT61" s="9">
        <v>395867.02</v>
      </c>
      <c r="FU61" s="9">
        <v>16907.830000000002</v>
      </c>
      <c r="FV61" s="9">
        <v>28916.07</v>
      </c>
      <c r="FW61" s="9"/>
      <c r="FX61" s="9"/>
      <c r="FY61" s="9"/>
      <c r="FZ61" s="9">
        <v>33087.97</v>
      </c>
      <c r="GA61" s="9">
        <v>697762.66999999993</v>
      </c>
      <c r="GB61" s="9">
        <v>181274.12</v>
      </c>
      <c r="GC61" s="9">
        <v>516488.54999999987</v>
      </c>
      <c r="GD61" s="9">
        <v>524020.29</v>
      </c>
      <c r="GE61" s="9">
        <v>26197.93</v>
      </c>
      <c r="GF61" s="9">
        <v>497822.36</v>
      </c>
      <c r="GG61" s="9">
        <v>173742.38</v>
      </c>
      <c r="GH61" s="9">
        <v>155076.19</v>
      </c>
      <c r="GI61" s="9">
        <v>18666.189999999999</v>
      </c>
      <c r="GJ61" s="9">
        <v>56228.87</v>
      </c>
      <c r="GK61" s="9">
        <v>1108845.93</v>
      </c>
      <c r="GL61" s="9">
        <v>167101.04999999999</v>
      </c>
      <c r="GM61">
        <v>1209</v>
      </c>
      <c r="GO61" s="6"/>
      <c r="GP61" s="6"/>
      <c r="GQ61" s="6"/>
    </row>
    <row r="62" spans="1:199" x14ac:dyDescent="0.2">
      <c r="A62" s="8">
        <v>2005</v>
      </c>
      <c r="B62" s="8" t="s">
        <v>279</v>
      </c>
      <c r="C62" s="8" t="s">
        <v>280</v>
      </c>
      <c r="D62" s="9"/>
      <c r="E62" s="9"/>
      <c r="F62" s="9"/>
      <c r="G62" s="9"/>
      <c r="H62" s="9"/>
      <c r="I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  <c r="AB62" s="9"/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>
        <v>47703.9</v>
      </c>
      <c r="BO62" s="9">
        <v>39648.800000000003</v>
      </c>
      <c r="BP62" s="9">
        <v>11898.5</v>
      </c>
      <c r="BQ62" s="9">
        <v>8975.7999999999993</v>
      </c>
      <c r="BR62" s="9">
        <v>2922.7</v>
      </c>
      <c r="BS62" s="9">
        <v>3894.9</v>
      </c>
      <c r="BT62" s="9">
        <v>13371.6</v>
      </c>
      <c r="BU62" s="9">
        <v>4543.8</v>
      </c>
      <c r="BV62" s="9">
        <v>7710.4</v>
      </c>
      <c r="BW62" s="9">
        <v>37305.599999999999</v>
      </c>
      <c r="BX62" s="9">
        <v>3743.2</v>
      </c>
      <c r="BY62" s="9">
        <v>13238.3</v>
      </c>
      <c r="BZ62" s="9">
        <v>10509</v>
      </c>
      <c r="CA62" s="9">
        <v>417.9</v>
      </c>
      <c r="CB62" s="9">
        <v>0</v>
      </c>
      <c r="CC62" s="9">
        <v>0</v>
      </c>
      <c r="CD62" s="9">
        <v>0</v>
      </c>
      <c r="CE62" s="9">
        <v>609.1</v>
      </c>
      <c r="CF62" s="9">
        <v>211272.28021999999</v>
      </c>
      <c r="CG62" s="9">
        <v>858734.85853000009</v>
      </c>
      <c r="CH62" s="9"/>
      <c r="CI62" s="9"/>
      <c r="CJ62" s="9">
        <v>32.700000000000003</v>
      </c>
      <c r="CK62" s="9">
        <v>16.3</v>
      </c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>
        <v>66</v>
      </c>
      <c r="DA62" s="9">
        <v>44</v>
      </c>
      <c r="DB62" s="9">
        <v>11</v>
      </c>
      <c r="DC62" s="9">
        <v>27</v>
      </c>
      <c r="DD62" s="9">
        <v>0</v>
      </c>
      <c r="DE62" s="9">
        <v>0</v>
      </c>
      <c r="DF62" s="9">
        <v>1</v>
      </c>
      <c r="DG62" s="9">
        <v>0</v>
      </c>
      <c r="DH62" s="9">
        <v>9</v>
      </c>
      <c r="DI62" s="9">
        <v>0</v>
      </c>
      <c r="DJ62" s="9">
        <v>3</v>
      </c>
      <c r="DK62" s="9">
        <v>4</v>
      </c>
      <c r="DL62" s="9">
        <v>0</v>
      </c>
      <c r="DM62" s="9">
        <v>13</v>
      </c>
      <c r="DN62" s="9">
        <v>0</v>
      </c>
      <c r="DO62" s="9">
        <v>72.150000000000006</v>
      </c>
      <c r="DP62" s="9">
        <v>20.87</v>
      </c>
      <c r="DQ62" s="9">
        <v>12.42</v>
      </c>
      <c r="DR62" s="9">
        <v>8.44</v>
      </c>
      <c r="DS62" s="9">
        <v>9.6999999999999993</v>
      </c>
      <c r="DT62" s="9">
        <v>0.5</v>
      </c>
      <c r="DU62" s="9">
        <v>28.5</v>
      </c>
      <c r="DV62" s="9">
        <v>22.19</v>
      </c>
      <c r="DW62" s="9">
        <v>3.22</v>
      </c>
      <c r="DX62" s="9">
        <v>13.04</v>
      </c>
      <c r="DY62" s="9">
        <v>6.61</v>
      </c>
      <c r="DZ62" s="9">
        <v>2.41</v>
      </c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>
        <v>1210.9000000000001</v>
      </c>
      <c r="EV62" s="9"/>
      <c r="EW62" s="9"/>
      <c r="EX62" s="9"/>
      <c r="EY62" s="9"/>
      <c r="EZ62" s="9"/>
      <c r="FA62" s="9"/>
      <c r="FB62" s="9">
        <v>56.833928571400001</v>
      </c>
      <c r="FC62" s="9">
        <v>44.284285714299997</v>
      </c>
      <c r="FD62" s="9">
        <v>3168.1</v>
      </c>
      <c r="FE62" s="9">
        <v>28.11</v>
      </c>
      <c r="FF62" s="9">
        <v>424.03</v>
      </c>
      <c r="FG62" s="9">
        <v>614298.49</v>
      </c>
      <c r="FH62" s="9">
        <v>21832.94</v>
      </c>
      <c r="FI62" s="9">
        <v>38038.239999999998</v>
      </c>
      <c r="FJ62" s="9">
        <v>224693.56</v>
      </c>
      <c r="FK62" s="9">
        <v>6031.79</v>
      </c>
      <c r="FL62" s="9">
        <v>9551.5400000000009</v>
      </c>
      <c r="FM62" s="9"/>
      <c r="FN62" s="9"/>
      <c r="FO62" s="9"/>
      <c r="FP62" s="9"/>
      <c r="FQ62" s="9"/>
      <c r="FR62" s="9"/>
      <c r="FS62" s="9"/>
      <c r="FT62" s="9">
        <v>389604.45000000013</v>
      </c>
      <c r="FU62" s="9">
        <v>15801.15</v>
      </c>
      <c r="FV62" s="9">
        <v>28486.22</v>
      </c>
      <c r="FW62" s="9"/>
      <c r="FX62" s="9"/>
      <c r="FY62" s="9"/>
      <c r="FZ62" s="9">
        <v>34218.26</v>
      </c>
      <c r="GA62" s="9">
        <v>717770.62000000011</v>
      </c>
      <c r="GB62" s="9">
        <v>189191.81</v>
      </c>
      <c r="GC62" s="9">
        <v>528578.81000000006</v>
      </c>
      <c r="GD62" s="9">
        <v>530515.26</v>
      </c>
      <c r="GE62" s="9">
        <v>21576.35</v>
      </c>
      <c r="GF62" s="9">
        <v>508938.91</v>
      </c>
      <c r="GG62" s="9">
        <v>187255.36</v>
      </c>
      <c r="GH62" s="9">
        <v>167615.46</v>
      </c>
      <c r="GI62" s="9">
        <v>19639.900000000001</v>
      </c>
      <c r="GJ62" s="9">
        <v>50300.34</v>
      </c>
      <c r="GK62" s="9">
        <v>1121305.25</v>
      </c>
      <c r="GL62" s="9">
        <v>169996.34</v>
      </c>
      <c r="GM62">
        <v>1208</v>
      </c>
      <c r="GO62" s="6"/>
      <c r="GP62" s="6"/>
      <c r="GQ62" s="6"/>
    </row>
    <row r="63" spans="1:199" x14ac:dyDescent="0.2">
      <c r="A63" s="8">
        <v>2005</v>
      </c>
      <c r="B63" s="8" t="s">
        <v>279</v>
      </c>
      <c r="C63" s="8" t="s">
        <v>281</v>
      </c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>
        <v>41048.300000000003</v>
      </c>
      <c r="BO63" s="9">
        <v>34200.400000000001</v>
      </c>
      <c r="BP63" s="9">
        <v>10682.5</v>
      </c>
      <c r="BQ63" s="9">
        <v>7136.2</v>
      </c>
      <c r="BR63" s="9">
        <v>3546.3</v>
      </c>
      <c r="BS63" s="9">
        <v>6568.4</v>
      </c>
      <c r="BT63" s="9">
        <v>6761.1</v>
      </c>
      <c r="BU63" s="9">
        <v>3693</v>
      </c>
      <c r="BV63" s="9">
        <v>6791.3</v>
      </c>
      <c r="BW63" s="9">
        <v>44493.1</v>
      </c>
      <c r="BX63" s="9">
        <v>4793.5</v>
      </c>
      <c r="BY63" s="9">
        <v>17514.900000000001</v>
      </c>
      <c r="BZ63" s="9">
        <v>11371.7</v>
      </c>
      <c r="CA63" s="9">
        <v>2023.2</v>
      </c>
      <c r="CB63" s="9">
        <v>0</v>
      </c>
      <c r="CC63" s="9">
        <v>0</v>
      </c>
      <c r="CD63" s="9">
        <v>0</v>
      </c>
      <c r="CE63" s="9">
        <v>1798</v>
      </c>
      <c r="CF63" s="9">
        <v>197122.77090999999</v>
      </c>
      <c r="CG63" s="9">
        <v>860114.80674999987</v>
      </c>
      <c r="CH63" s="9"/>
      <c r="CI63" s="9"/>
      <c r="CJ63" s="9">
        <v>31.9</v>
      </c>
      <c r="CK63" s="9">
        <v>15.7</v>
      </c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>
        <v>44</v>
      </c>
      <c r="DA63" s="9">
        <v>34</v>
      </c>
      <c r="DB63" s="9">
        <v>8</v>
      </c>
      <c r="DC63" s="9">
        <v>22</v>
      </c>
      <c r="DD63" s="9">
        <v>0</v>
      </c>
      <c r="DE63" s="9">
        <v>0</v>
      </c>
      <c r="DF63" s="9">
        <v>0</v>
      </c>
      <c r="DG63" s="9">
        <v>0</v>
      </c>
      <c r="DH63" s="9">
        <v>3</v>
      </c>
      <c r="DI63" s="9">
        <v>0</v>
      </c>
      <c r="DJ63" s="9">
        <v>1</v>
      </c>
      <c r="DK63" s="9">
        <v>1</v>
      </c>
      <c r="DL63" s="9">
        <v>0</v>
      </c>
      <c r="DM63" s="9">
        <v>8</v>
      </c>
      <c r="DN63" s="9">
        <v>0</v>
      </c>
      <c r="DO63" s="9">
        <v>69.2</v>
      </c>
      <c r="DP63" s="9">
        <v>16.39</v>
      </c>
      <c r="DQ63" s="9">
        <v>9.18</v>
      </c>
      <c r="DR63" s="9">
        <v>7.22</v>
      </c>
      <c r="DS63" s="9">
        <v>8.74</v>
      </c>
      <c r="DT63" s="9">
        <v>0.32</v>
      </c>
      <c r="DU63" s="9">
        <v>28.26</v>
      </c>
      <c r="DV63" s="9">
        <v>19.79</v>
      </c>
      <c r="DW63" s="9">
        <v>5.26</v>
      </c>
      <c r="DX63" s="9">
        <v>15.79</v>
      </c>
      <c r="DY63" s="9">
        <v>7.33</v>
      </c>
      <c r="DZ63" s="9">
        <v>2.14</v>
      </c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>
        <v>1208.5</v>
      </c>
      <c r="EV63" s="9"/>
      <c r="EW63" s="9"/>
      <c r="EX63" s="9"/>
      <c r="EY63" s="9"/>
      <c r="EZ63" s="9"/>
      <c r="FA63" s="9"/>
      <c r="FB63" s="9">
        <v>53.4616071429</v>
      </c>
      <c r="FC63" s="9">
        <v>45.557000000000002</v>
      </c>
      <c r="FD63" s="9">
        <v>3247.1</v>
      </c>
      <c r="FE63" s="9">
        <v>28.11</v>
      </c>
      <c r="FF63" s="9">
        <v>423.35</v>
      </c>
      <c r="FG63" s="9">
        <v>608285.34</v>
      </c>
      <c r="FH63" s="9">
        <v>29881.54</v>
      </c>
      <c r="FI63" s="9">
        <v>40836.35</v>
      </c>
      <c r="FJ63" s="9">
        <v>221895.07</v>
      </c>
      <c r="FK63" s="9">
        <v>6339.13</v>
      </c>
      <c r="FL63" s="9">
        <v>10708.15</v>
      </c>
      <c r="FM63" s="9"/>
      <c r="FN63" s="9"/>
      <c r="FO63" s="9"/>
      <c r="FP63" s="9"/>
      <c r="FQ63" s="9"/>
      <c r="FR63" s="9"/>
      <c r="FS63" s="9"/>
      <c r="FT63" s="9">
        <v>386389.81</v>
      </c>
      <c r="FU63" s="9">
        <v>23542.400000000001</v>
      </c>
      <c r="FV63" s="9">
        <v>30127.73</v>
      </c>
      <c r="FW63" s="9"/>
      <c r="FX63" s="9"/>
      <c r="FY63" s="9"/>
      <c r="FZ63" s="9">
        <v>36599.769999999997</v>
      </c>
      <c r="GA63" s="9">
        <v>739392.98</v>
      </c>
      <c r="GB63" s="9">
        <v>190961</v>
      </c>
      <c r="GC63" s="9">
        <v>548431.98</v>
      </c>
      <c r="GD63" s="9">
        <v>546525.61</v>
      </c>
      <c r="GE63" s="9">
        <v>21809.74</v>
      </c>
      <c r="GF63" s="9">
        <v>524715.87</v>
      </c>
      <c r="GG63" s="9">
        <v>192867.37</v>
      </c>
      <c r="GH63" s="9">
        <v>169151.26</v>
      </c>
      <c r="GI63" s="9">
        <v>23716.11</v>
      </c>
      <c r="GJ63" s="9">
        <v>54261.9</v>
      </c>
      <c r="GK63" s="9">
        <v>1139124.44</v>
      </c>
      <c r="GL63" s="9">
        <v>168281.66</v>
      </c>
      <c r="GM63">
        <v>1208</v>
      </c>
      <c r="GO63" s="6"/>
      <c r="GP63" s="6"/>
      <c r="GQ63" s="6"/>
    </row>
    <row r="64" spans="1:199" x14ac:dyDescent="0.2">
      <c r="A64" s="8">
        <v>2005</v>
      </c>
      <c r="B64" s="8" t="s">
        <v>279</v>
      </c>
      <c r="C64" s="8" t="s">
        <v>282</v>
      </c>
      <c r="D64" s="9">
        <v>493827.1</v>
      </c>
      <c r="E64" s="9">
        <v>33751</v>
      </c>
      <c r="F64" s="9">
        <v>93039.9</v>
      </c>
      <c r="G64" s="9">
        <v>29500.7</v>
      </c>
      <c r="H64" s="9">
        <v>25441.7</v>
      </c>
      <c r="I64" s="9">
        <v>4062.9</v>
      </c>
      <c r="J64" s="9">
        <v>39441.199999999997</v>
      </c>
      <c r="K64" s="9">
        <v>54906</v>
      </c>
      <c r="L64" s="9">
        <v>21337.599999999999</v>
      </c>
      <c r="M64" s="9">
        <v>132617.70000000001</v>
      </c>
      <c r="N64" s="9">
        <v>59728.4</v>
      </c>
      <c r="O64" s="9">
        <v>1671769.086826571</v>
      </c>
      <c r="P64" s="9">
        <v>81267.690072059602</v>
      </c>
      <c r="Q64" s="9">
        <v>249934.043329362</v>
      </c>
      <c r="R64" s="9">
        <v>123779.7323695051</v>
      </c>
      <c r="S64" s="9">
        <v>86557.573340691102</v>
      </c>
      <c r="T64" s="9">
        <v>23717.519999054799</v>
      </c>
      <c r="U64" s="9">
        <v>144979.89264542281</v>
      </c>
      <c r="V64" s="9">
        <v>81569.685223111199</v>
      </c>
      <c r="W64" s="9">
        <v>35141.072609919298</v>
      </c>
      <c r="X64" s="9">
        <v>717177.76800561056</v>
      </c>
      <c r="Y64" s="9">
        <v>127644.1092318349</v>
      </c>
      <c r="Z64" s="9">
        <v>479509.5</v>
      </c>
      <c r="AA64" s="9">
        <v>383794.5</v>
      </c>
      <c r="AB64" s="9">
        <v>79953.100000000006</v>
      </c>
      <c r="AC64" s="9">
        <v>56896.7</v>
      </c>
      <c r="AD64" s="9">
        <v>19552.7</v>
      </c>
      <c r="AE64" s="9">
        <v>303683.09999999998</v>
      </c>
      <c r="AF64" s="9">
        <v>364370.5</v>
      </c>
      <c r="AG64" s="9">
        <v>1605489.052557982</v>
      </c>
      <c r="AH64" s="9">
        <v>1087184.608476066</v>
      </c>
      <c r="AI64" s="9">
        <v>340710.03137528728</v>
      </c>
      <c r="AJ64" s="9">
        <v>175411.7256997365</v>
      </c>
      <c r="AK64" s="9">
        <v>79272.023793533997</v>
      </c>
      <c r="AL64" s="9">
        <v>498769.33199314371</v>
      </c>
      <c r="AM64" s="9">
        <v>575858.66877978551</v>
      </c>
      <c r="AN64" s="9"/>
      <c r="AO64" s="9"/>
      <c r="AP64" s="9"/>
      <c r="AQ64" s="9"/>
      <c r="AR64" s="9"/>
      <c r="AS64" s="9"/>
      <c r="AT64" s="9"/>
      <c r="AU64" s="9"/>
      <c r="AV64" s="9"/>
      <c r="AW64" s="9">
        <v>97.7</v>
      </c>
      <c r="AX64" s="9">
        <v>48.8</v>
      </c>
      <c r="AY64" s="9">
        <v>118.2</v>
      </c>
      <c r="AZ64" s="9">
        <v>99.1</v>
      </c>
      <c r="BA64" s="9">
        <v>124.3</v>
      </c>
      <c r="BB64" s="9"/>
      <c r="BC64" s="9">
        <v>102.9</v>
      </c>
      <c r="BD64" s="9">
        <v>70.599999999999994</v>
      </c>
      <c r="BE64" s="9">
        <v>110.8</v>
      </c>
      <c r="BF64" s="9">
        <v>110.2</v>
      </c>
      <c r="BG64" s="9"/>
      <c r="BH64" s="9">
        <v>129.80000000000001</v>
      </c>
      <c r="BI64" s="9">
        <v>64.2</v>
      </c>
      <c r="BJ64" s="9">
        <v>88.4</v>
      </c>
      <c r="BK64" s="9">
        <v>80.8</v>
      </c>
      <c r="BL64" s="9"/>
      <c r="BM64" s="9">
        <v>61.4</v>
      </c>
      <c r="BN64" s="9">
        <v>63383.9</v>
      </c>
      <c r="BO64" s="9">
        <v>52725.599999999999</v>
      </c>
      <c r="BP64" s="9">
        <v>10396.9</v>
      </c>
      <c r="BQ64" s="9">
        <v>5266.5</v>
      </c>
      <c r="BR64" s="9">
        <v>5130.3999999999996</v>
      </c>
      <c r="BS64" s="9">
        <v>9890.2999999999993</v>
      </c>
      <c r="BT64" s="9">
        <v>17284</v>
      </c>
      <c r="BU64" s="9">
        <v>5622.5</v>
      </c>
      <c r="BV64" s="9">
        <v>10391.6</v>
      </c>
      <c r="BW64" s="9">
        <v>49903.6</v>
      </c>
      <c r="BX64" s="9">
        <v>18266.900000000001</v>
      </c>
      <c r="BY64" s="9">
        <v>19239.3</v>
      </c>
      <c r="BZ64" s="9">
        <v>11397.9</v>
      </c>
      <c r="CA64" s="9">
        <v>1254.8</v>
      </c>
      <c r="CB64" s="9">
        <v>0</v>
      </c>
      <c r="CC64" s="9">
        <v>0</v>
      </c>
      <c r="CD64" s="9">
        <v>0</v>
      </c>
      <c r="CE64" s="9">
        <v>980.8</v>
      </c>
      <c r="CF64" s="9">
        <v>213357.61816000001</v>
      </c>
      <c r="CG64" s="9">
        <v>892973.79021000001</v>
      </c>
      <c r="CH64" s="9"/>
      <c r="CI64" s="9"/>
      <c r="CJ64" s="9">
        <v>32.700000000000003</v>
      </c>
      <c r="CK64" s="9">
        <v>16.3</v>
      </c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>
        <v>62</v>
      </c>
      <c r="DA64" s="9">
        <v>45</v>
      </c>
      <c r="DB64" s="9">
        <v>11</v>
      </c>
      <c r="DC64" s="9">
        <v>25</v>
      </c>
      <c r="DD64" s="9">
        <v>0</v>
      </c>
      <c r="DE64" s="9">
        <v>0</v>
      </c>
      <c r="DF64" s="9">
        <v>2</v>
      </c>
      <c r="DG64" s="9">
        <v>0</v>
      </c>
      <c r="DH64" s="9">
        <v>8</v>
      </c>
      <c r="DI64" s="9">
        <v>1</v>
      </c>
      <c r="DJ64" s="9">
        <v>3</v>
      </c>
      <c r="DK64" s="9">
        <v>2</v>
      </c>
      <c r="DL64" s="9">
        <v>0</v>
      </c>
      <c r="DM64" s="9">
        <v>9</v>
      </c>
      <c r="DN64" s="9">
        <v>0</v>
      </c>
      <c r="DO64" s="9">
        <v>81.12</v>
      </c>
      <c r="DP64" s="9">
        <v>18.38</v>
      </c>
      <c r="DQ64" s="9">
        <v>11.09</v>
      </c>
      <c r="DR64" s="9">
        <v>7.29</v>
      </c>
      <c r="DS64" s="9">
        <v>10.02</v>
      </c>
      <c r="DT64" s="9">
        <v>0.69</v>
      </c>
      <c r="DU64" s="9">
        <v>28.96</v>
      </c>
      <c r="DV64" s="9">
        <v>21.76</v>
      </c>
      <c r="DW64" s="9">
        <v>4.76</v>
      </c>
      <c r="DX64" s="9">
        <v>23.74</v>
      </c>
      <c r="DY64" s="9">
        <v>13.66</v>
      </c>
      <c r="DZ64" s="9">
        <v>2.56</v>
      </c>
      <c r="EA64" s="9">
        <v>17.288049999999998</v>
      </c>
      <c r="EB64" s="9">
        <v>-36.753599999999999</v>
      </c>
      <c r="EC64" s="9">
        <v>-0.70057999999999998</v>
      </c>
      <c r="ED64" s="9">
        <v>-5.35412</v>
      </c>
      <c r="EE64" s="9">
        <v>60.096330000000002</v>
      </c>
      <c r="EF64" s="9">
        <v>0</v>
      </c>
      <c r="EG64" s="9">
        <v>-47.684600000000003</v>
      </c>
      <c r="EH64" s="9">
        <v>-79.959999999999994</v>
      </c>
      <c r="EI64" s="9">
        <v>0</v>
      </c>
      <c r="EJ64" s="9">
        <v>0</v>
      </c>
      <c r="EK64" s="9">
        <v>32.275399999999998</v>
      </c>
      <c r="EL64" s="9">
        <v>-42.074100000000001</v>
      </c>
      <c r="EM64" s="9">
        <v>22.89855</v>
      </c>
      <c r="EN64" s="9"/>
      <c r="EO64" s="9"/>
      <c r="EP64" s="9"/>
      <c r="EQ64" s="9"/>
      <c r="ER64" s="9"/>
      <c r="ES64" s="9"/>
      <c r="ET64" s="9"/>
      <c r="EU64">
        <v>1202.54</v>
      </c>
      <c r="EV64" s="9">
        <v>4705.07</v>
      </c>
      <c r="EW64" s="9">
        <v>1348.44</v>
      </c>
      <c r="EX64" s="9">
        <v>16.66</v>
      </c>
      <c r="EY64" s="9">
        <v>44.63</v>
      </c>
      <c r="EZ64" s="9">
        <v>871.77</v>
      </c>
      <c r="FA64" s="9">
        <v>2423.58</v>
      </c>
      <c r="FB64" s="9">
        <v>54.5625</v>
      </c>
      <c r="FC64" s="9">
        <v>53.072608695699998</v>
      </c>
      <c r="FD64" s="9">
        <v>3378.9047619048001</v>
      </c>
      <c r="FE64" s="9">
        <v>28.11</v>
      </c>
      <c r="FF64" s="9">
        <v>434.32142857140002</v>
      </c>
      <c r="FG64" s="9">
        <v>641073.57999999996</v>
      </c>
      <c r="FH64" s="9">
        <v>26245.67</v>
      </c>
      <c r="FI64" s="9">
        <v>40358.11</v>
      </c>
      <c r="FJ64" s="9">
        <v>233706.19</v>
      </c>
      <c r="FK64" s="9">
        <v>5754.72</v>
      </c>
      <c r="FL64" s="9">
        <v>10526.58</v>
      </c>
      <c r="FM64" s="9"/>
      <c r="FN64" s="9"/>
      <c r="FO64" s="9"/>
      <c r="FP64" s="9"/>
      <c r="FQ64" s="9"/>
      <c r="FR64" s="9"/>
      <c r="FS64" s="9"/>
      <c r="FT64" s="9">
        <v>407366.93</v>
      </c>
      <c r="FU64" s="9">
        <v>20490.96</v>
      </c>
      <c r="FV64" s="9">
        <v>29831.05</v>
      </c>
      <c r="FW64" s="9"/>
      <c r="FX64" s="9"/>
      <c r="FY64" s="9"/>
      <c r="FZ64" s="9">
        <v>37273.68</v>
      </c>
      <c r="GA64" s="9">
        <v>755913.48</v>
      </c>
      <c r="GB64" s="9">
        <v>194093.99</v>
      </c>
      <c r="GC64" s="9">
        <v>561819.49</v>
      </c>
      <c r="GD64" s="9">
        <v>557902.92999999993</v>
      </c>
      <c r="GE64" s="9">
        <v>21170.74</v>
      </c>
      <c r="GF64" s="9">
        <v>536732.18999999994</v>
      </c>
      <c r="GG64" s="9">
        <v>198010.55</v>
      </c>
      <c r="GH64" s="9">
        <v>172923.25</v>
      </c>
      <c r="GI64" s="9">
        <v>25087.3</v>
      </c>
      <c r="GJ64" s="9">
        <v>57744.18</v>
      </c>
      <c r="GK64" s="9">
        <v>1164294.33</v>
      </c>
      <c r="GL64" s="9">
        <v>170958.35</v>
      </c>
      <c r="GM64">
        <v>1192</v>
      </c>
      <c r="GO64" s="6"/>
      <c r="GP64" s="6"/>
      <c r="GQ64" s="6"/>
    </row>
    <row r="65" spans="1:199" x14ac:dyDescent="0.2">
      <c r="A65" s="8">
        <v>2005</v>
      </c>
      <c r="B65" s="8" t="s">
        <v>283</v>
      </c>
      <c r="C65" s="8" t="s">
        <v>284</v>
      </c>
      <c r="D65" s="9"/>
      <c r="E65" s="9"/>
      <c r="F65" s="9"/>
      <c r="G65" s="9"/>
      <c r="H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  <c r="AB65" s="9"/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>
        <v>53835.1</v>
      </c>
      <c r="BO65" s="9">
        <v>43776.7</v>
      </c>
      <c r="BP65" s="9">
        <v>7980.2</v>
      </c>
      <c r="BQ65" s="9">
        <v>4184.5</v>
      </c>
      <c r="BR65" s="9">
        <v>3795.7</v>
      </c>
      <c r="BS65" s="9">
        <v>6375.6</v>
      </c>
      <c r="BT65" s="9">
        <v>13344.7</v>
      </c>
      <c r="BU65" s="9">
        <v>4480.8</v>
      </c>
      <c r="BV65" s="9">
        <v>9819.6</v>
      </c>
      <c r="BW65" s="9">
        <v>50318</v>
      </c>
      <c r="BX65" s="9">
        <v>461.3</v>
      </c>
      <c r="BY65" s="9">
        <v>21152.799999999999</v>
      </c>
      <c r="BZ65" s="9">
        <v>11461.9</v>
      </c>
      <c r="CA65" s="9">
        <v>2730.9</v>
      </c>
      <c r="CB65" s="9">
        <v>0</v>
      </c>
      <c r="CC65" s="9">
        <v>0</v>
      </c>
      <c r="CD65" s="9">
        <v>0</v>
      </c>
      <c r="CE65" s="9">
        <v>2882.7</v>
      </c>
      <c r="CF65" s="9">
        <v>248012.64684375</v>
      </c>
      <c r="CG65" s="9">
        <v>932475.99765239842</v>
      </c>
      <c r="CH65" s="9"/>
      <c r="CI65" s="9"/>
      <c r="CJ65" s="9">
        <v>31.3</v>
      </c>
      <c r="CK65" s="9">
        <v>16.899999999999999</v>
      </c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>
        <v>62</v>
      </c>
      <c r="DA65" s="9">
        <v>46</v>
      </c>
      <c r="DB65" s="9">
        <v>10</v>
      </c>
      <c r="DC65" s="9">
        <v>23</v>
      </c>
      <c r="DD65" s="9">
        <v>0</v>
      </c>
      <c r="DE65" s="9">
        <v>0</v>
      </c>
      <c r="DF65" s="9">
        <v>3</v>
      </c>
      <c r="DG65" s="9">
        <v>2</v>
      </c>
      <c r="DH65" s="9">
        <v>7</v>
      </c>
      <c r="DI65" s="9">
        <v>0</v>
      </c>
      <c r="DJ65" s="9">
        <v>3</v>
      </c>
      <c r="DK65" s="9">
        <v>2</v>
      </c>
      <c r="DL65" s="9">
        <v>0</v>
      </c>
      <c r="DM65" s="9">
        <v>9</v>
      </c>
      <c r="DN65" s="9">
        <v>0</v>
      </c>
      <c r="DO65" s="9">
        <v>86.12</v>
      </c>
      <c r="DP65" s="9">
        <v>22.06</v>
      </c>
      <c r="DQ65" s="9">
        <v>13.08</v>
      </c>
      <c r="DR65" s="9">
        <v>8.99</v>
      </c>
      <c r="DS65" s="9">
        <v>13.66</v>
      </c>
      <c r="DT65" s="9">
        <v>0.48</v>
      </c>
      <c r="DU65" s="9">
        <v>34.53</v>
      </c>
      <c r="DV65" s="9">
        <v>21.42</v>
      </c>
      <c r="DW65" s="9">
        <v>9.6300000000000008</v>
      </c>
      <c r="DX65" s="9">
        <v>15.77</v>
      </c>
      <c r="DY65" s="9">
        <v>6.87</v>
      </c>
      <c r="DZ65" s="9">
        <v>2.52</v>
      </c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>
        <v>1186.93</v>
      </c>
      <c r="EV65" s="9"/>
      <c r="EW65" s="9"/>
      <c r="EX65" s="9"/>
      <c r="EY65" s="9"/>
      <c r="EZ65" s="9"/>
      <c r="FA65" s="9"/>
      <c r="FB65" s="9">
        <v>54.910714285700003</v>
      </c>
      <c r="FC65" s="9">
        <v>51.857142857100001</v>
      </c>
      <c r="FD65" s="9">
        <v>3389.8095238095002</v>
      </c>
      <c r="FE65" s="9">
        <v>28.11</v>
      </c>
      <c r="FF65" s="9">
        <v>429.23333333329998</v>
      </c>
      <c r="FG65" s="9">
        <v>660337.28</v>
      </c>
      <c r="FH65" s="9">
        <v>26923.19</v>
      </c>
      <c r="FI65" s="9">
        <v>40785.980000000003</v>
      </c>
      <c r="FJ65" s="9">
        <v>239204.2699999999</v>
      </c>
      <c r="FK65" s="9">
        <v>6168.88</v>
      </c>
      <c r="FL65" s="9">
        <v>10937.35</v>
      </c>
      <c r="FM65" s="9"/>
      <c r="FN65" s="9"/>
      <c r="FO65" s="9"/>
      <c r="FP65" s="9"/>
      <c r="FQ65" s="9"/>
      <c r="FR65" s="9"/>
      <c r="FS65" s="9"/>
      <c r="FT65" s="9">
        <v>421132.53</v>
      </c>
      <c r="FU65" s="9">
        <v>20754.32</v>
      </c>
      <c r="FV65" s="9">
        <v>29848.15</v>
      </c>
      <c r="FW65" s="9"/>
      <c r="FX65" s="9"/>
      <c r="FY65" s="9"/>
      <c r="FZ65" s="9">
        <v>38289.97</v>
      </c>
      <c r="GA65" s="9">
        <v>764027.54</v>
      </c>
      <c r="GB65" s="9">
        <v>205363.12</v>
      </c>
      <c r="GC65" s="9">
        <v>558664.42000000004</v>
      </c>
      <c r="GD65" s="9">
        <v>558502.72000000009</v>
      </c>
      <c r="GE65" s="9">
        <v>23665.05</v>
      </c>
      <c r="GF65" s="9">
        <v>534837.67000000004</v>
      </c>
      <c r="GG65" s="9">
        <v>205524.82</v>
      </c>
      <c r="GH65" s="9">
        <v>181698.07</v>
      </c>
      <c r="GI65" s="9">
        <v>23826.75</v>
      </c>
      <c r="GJ65" s="9">
        <v>61343.45</v>
      </c>
      <c r="GK65" s="9">
        <v>1199424.57</v>
      </c>
      <c r="GL65" s="9">
        <v>175454.68</v>
      </c>
      <c r="GM65">
        <v>1188</v>
      </c>
      <c r="GO65" s="6"/>
      <c r="GP65" s="6"/>
      <c r="GQ65" s="6"/>
    </row>
    <row r="66" spans="1:199" x14ac:dyDescent="0.2">
      <c r="A66" s="8">
        <v>2005</v>
      </c>
      <c r="B66" s="8" t="s">
        <v>283</v>
      </c>
      <c r="C66" s="8" t="s">
        <v>285</v>
      </c>
      <c r="D66" s="9"/>
      <c r="E66" s="9"/>
      <c r="F66" s="9"/>
      <c r="G66" s="9"/>
      <c r="H66" s="9"/>
      <c r="I66" s="9"/>
      <c r="J66" s="9"/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  <c r="AA66" s="9"/>
      <c r="AB66" s="9"/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>
        <v>65510.3</v>
      </c>
      <c r="BO66" s="9">
        <v>54797.5</v>
      </c>
      <c r="BP66" s="9">
        <v>9282.4</v>
      </c>
      <c r="BQ66" s="9">
        <v>4155.8</v>
      </c>
      <c r="BR66" s="9">
        <v>5126.6000000000004</v>
      </c>
      <c r="BS66" s="9">
        <v>7542.3</v>
      </c>
      <c r="BT66" s="9">
        <v>14565.3</v>
      </c>
      <c r="BU66" s="9">
        <v>6744.5</v>
      </c>
      <c r="BV66" s="9">
        <v>9746.2999999999993</v>
      </c>
      <c r="BW66" s="9">
        <v>44739.7</v>
      </c>
      <c r="BX66" s="9">
        <v>6353.6</v>
      </c>
      <c r="BY66" s="9">
        <v>16962.900000000001</v>
      </c>
      <c r="BZ66" s="9">
        <v>11583.9</v>
      </c>
      <c r="CA66" s="9">
        <v>1778.4</v>
      </c>
      <c r="CB66" s="9">
        <v>0</v>
      </c>
      <c r="CC66" s="9">
        <v>0</v>
      </c>
      <c r="CD66" s="9">
        <v>0</v>
      </c>
      <c r="CE66" s="9">
        <v>3153.2</v>
      </c>
      <c r="CF66" s="9">
        <v>255501.60649832</v>
      </c>
      <c r="CG66" s="9">
        <v>972132.87772287137</v>
      </c>
      <c r="CH66" s="9"/>
      <c r="CI66" s="9"/>
      <c r="CJ66" s="9">
        <v>31</v>
      </c>
      <c r="CK66" s="9">
        <v>15.9</v>
      </c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>
        <v>68</v>
      </c>
      <c r="DA66" s="9">
        <v>48</v>
      </c>
      <c r="DB66" s="9">
        <v>14</v>
      </c>
      <c r="DC66" s="9">
        <v>23</v>
      </c>
      <c r="DD66" s="9">
        <v>1</v>
      </c>
      <c r="DE66" s="9">
        <v>0</v>
      </c>
      <c r="DF66" s="9">
        <v>3</v>
      </c>
      <c r="DG66" s="9">
        <v>1</v>
      </c>
      <c r="DH66" s="9">
        <v>10</v>
      </c>
      <c r="DI66" s="9">
        <v>0</v>
      </c>
      <c r="DJ66" s="9">
        <v>1</v>
      </c>
      <c r="DK66" s="9">
        <v>8</v>
      </c>
      <c r="DL66" s="9">
        <v>0</v>
      </c>
      <c r="DM66" s="9">
        <v>11</v>
      </c>
      <c r="DN66" s="9">
        <v>0</v>
      </c>
      <c r="DO66" s="9">
        <v>93.86</v>
      </c>
      <c r="DP66" s="9">
        <v>25.8</v>
      </c>
      <c r="DQ66" s="9">
        <v>15.54</v>
      </c>
      <c r="DR66" s="9">
        <v>10.26</v>
      </c>
      <c r="DS66" s="9">
        <v>14.25</v>
      </c>
      <c r="DT66" s="9">
        <v>0.44</v>
      </c>
      <c r="DU66" s="9">
        <v>34.32</v>
      </c>
      <c r="DV66" s="9">
        <v>21.59</v>
      </c>
      <c r="DW66" s="9">
        <v>7.98</v>
      </c>
      <c r="DX66" s="9">
        <v>19.399999999999999</v>
      </c>
      <c r="DY66" s="9">
        <v>10.91</v>
      </c>
      <c r="DZ66" s="9">
        <v>2.4300000000000002</v>
      </c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>
        <v>1188</v>
      </c>
      <c r="EV66" s="9"/>
      <c r="EW66" s="9"/>
      <c r="EX66" s="9"/>
      <c r="EY66" s="9"/>
      <c r="EZ66" s="9"/>
      <c r="FA66" s="9"/>
      <c r="FB66" s="9">
        <v>54.977678571399998</v>
      </c>
      <c r="FC66" s="9">
        <v>48.6663636364</v>
      </c>
      <c r="FD66" s="9">
        <v>3241.9</v>
      </c>
      <c r="FE66" s="9">
        <v>28.11</v>
      </c>
      <c r="FF66" s="9">
        <v>421.8725</v>
      </c>
      <c r="FG66" s="9">
        <v>685784.06</v>
      </c>
      <c r="FH66" s="9">
        <v>25192.85</v>
      </c>
      <c r="FI66" s="9">
        <v>45523.18</v>
      </c>
      <c r="FJ66" s="9">
        <v>250603.39</v>
      </c>
      <c r="FK66" s="9">
        <v>5721.79</v>
      </c>
      <c r="FL66" s="9">
        <v>11544.35</v>
      </c>
      <c r="FM66" s="9"/>
      <c r="FN66" s="9"/>
      <c r="FO66" s="9"/>
      <c r="FP66" s="9"/>
      <c r="FQ66" s="9"/>
      <c r="FR66" s="9"/>
      <c r="FS66" s="9"/>
      <c r="FT66" s="9">
        <v>435179.02</v>
      </c>
      <c r="FU66" s="9">
        <v>19471.07</v>
      </c>
      <c r="FV66" s="9">
        <v>33977.160000000003</v>
      </c>
      <c r="FW66" s="9"/>
      <c r="FX66" s="9"/>
      <c r="FY66" s="9"/>
      <c r="FZ66" s="9">
        <v>40677.94</v>
      </c>
      <c r="GA66" s="9">
        <v>800755.04999999993</v>
      </c>
      <c r="GB66" s="9">
        <v>226165.52</v>
      </c>
      <c r="GC66" s="9">
        <v>574589.52999999991</v>
      </c>
      <c r="GD66" s="9">
        <v>580700.5</v>
      </c>
      <c r="GE66" s="9">
        <v>31782.1</v>
      </c>
      <c r="GF66" s="9">
        <v>548918.4</v>
      </c>
      <c r="GG66" s="9">
        <v>220054.55</v>
      </c>
      <c r="GH66" s="9">
        <v>194383.42</v>
      </c>
      <c r="GI66" s="9">
        <v>25671.13</v>
      </c>
      <c r="GJ66" s="9">
        <v>62487.93</v>
      </c>
      <c r="GK66" s="9">
        <v>1233996.96</v>
      </c>
      <c r="GL66" s="9">
        <v>176843.33</v>
      </c>
      <c r="GM66">
        <v>1189</v>
      </c>
      <c r="GO66" s="6"/>
      <c r="GP66" s="6"/>
      <c r="GQ66" s="6"/>
    </row>
    <row r="67" spans="1:199" x14ac:dyDescent="0.2">
      <c r="A67" s="8">
        <v>2005</v>
      </c>
      <c r="B67" s="8" t="s">
        <v>283</v>
      </c>
      <c r="C67" s="8" t="s">
        <v>286</v>
      </c>
      <c r="D67" s="9">
        <v>824924.3</v>
      </c>
      <c r="E67" s="9">
        <v>235351.7</v>
      </c>
      <c r="F67" s="9">
        <v>153128.29999999999</v>
      </c>
      <c r="G67" s="9">
        <v>49193.4</v>
      </c>
      <c r="H67" s="9">
        <v>19696.8</v>
      </c>
      <c r="I67" s="9">
        <v>15141.2</v>
      </c>
      <c r="J67" s="9">
        <v>46020.4</v>
      </c>
      <c r="K67" s="9">
        <v>62376.9</v>
      </c>
      <c r="L67" s="9">
        <v>24909.5</v>
      </c>
      <c r="M67" s="9">
        <v>142729.70000000001</v>
      </c>
      <c r="N67" s="9">
        <v>76376.3</v>
      </c>
      <c r="O67" s="9">
        <v>2792643.3031157032</v>
      </c>
      <c r="P67" s="9">
        <v>613926.3507143415</v>
      </c>
      <c r="Q67" s="9">
        <v>445635.01276748208</v>
      </c>
      <c r="R67" s="9">
        <v>223610.25767651841</v>
      </c>
      <c r="S67" s="9">
        <v>72597.603457118501</v>
      </c>
      <c r="T67" s="9">
        <v>95754.921016386303</v>
      </c>
      <c r="U67" s="9">
        <v>183263.38630383339</v>
      </c>
      <c r="V67" s="9">
        <v>100392.30647626839</v>
      </c>
      <c r="W67" s="9">
        <v>44442.87218097</v>
      </c>
      <c r="X67" s="9">
        <v>836194.57113612059</v>
      </c>
      <c r="Y67" s="9">
        <v>176826.02138666439</v>
      </c>
      <c r="Z67" s="9">
        <v>790967.3</v>
      </c>
      <c r="AA67" s="9">
        <v>367253</v>
      </c>
      <c r="AB67" s="9">
        <v>86908.1</v>
      </c>
      <c r="AC67" s="9">
        <v>328603.40000000002</v>
      </c>
      <c r="AD67" s="9">
        <v>112670.2</v>
      </c>
      <c r="AE67" s="9">
        <v>380477.1</v>
      </c>
      <c r="AF67" s="9">
        <v>484944.4</v>
      </c>
      <c r="AG67" s="9">
        <v>2648309.0347143179</v>
      </c>
      <c r="AH67" s="9">
        <v>1005869.701761525</v>
      </c>
      <c r="AI67" s="9">
        <v>358081.34387291921</v>
      </c>
      <c r="AJ67" s="9">
        <v>979524.76768215944</v>
      </c>
      <c r="AK67" s="9">
        <v>441666.13437627163</v>
      </c>
      <c r="AL67" s="9">
        <v>604198.25515067566</v>
      </c>
      <c r="AM67" s="9">
        <v>741031.16812923236</v>
      </c>
      <c r="AN67" s="9"/>
      <c r="AO67" s="9"/>
      <c r="AP67" s="9"/>
      <c r="AQ67" s="9"/>
      <c r="AR67" s="9"/>
      <c r="AS67" s="9"/>
      <c r="AT67" s="9"/>
      <c r="AU67" s="9"/>
      <c r="AV67" s="9"/>
      <c r="AW67" s="9">
        <v>101.8</v>
      </c>
      <c r="AX67" s="9">
        <v>48.8</v>
      </c>
      <c r="AY67" s="9">
        <v>117.4</v>
      </c>
      <c r="AZ67" s="9">
        <v>102.4</v>
      </c>
      <c r="BA67" s="9">
        <v>115.3</v>
      </c>
      <c r="BB67" s="9"/>
      <c r="BC67" s="9">
        <v>114</v>
      </c>
      <c r="BD67" s="9">
        <v>73.7</v>
      </c>
      <c r="BE67" s="9">
        <v>108.8</v>
      </c>
      <c r="BF67" s="9">
        <v>125.8</v>
      </c>
      <c r="BG67" s="9"/>
      <c r="BH67" s="9">
        <v>129.19999999999999</v>
      </c>
      <c r="BI67" s="9">
        <v>66</v>
      </c>
      <c r="BJ67" s="9">
        <v>115.1</v>
      </c>
      <c r="BK67" s="9">
        <v>81.599999999999994</v>
      </c>
      <c r="BL67" s="9"/>
      <c r="BM67" s="9">
        <v>63.2</v>
      </c>
      <c r="BN67" s="9">
        <v>101536.9</v>
      </c>
      <c r="BO67" s="9">
        <v>75825.3</v>
      </c>
      <c r="BP67" s="9">
        <v>25936.799999999999</v>
      </c>
      <c r="BQ67" s="9">
        <v>20180.2</v>
      </c>
      <c r="BR67" s="9">
        <v>5756.6</v>
      </c>
      <c r="BS67" s="9">
        <v>8715.7000000000007</v>
      </c>
      <c r="BT67" s="9">
        <v>17720.900000000001</v>
      </c>
      <c r="BU67" s="9">
        <v>7804.1</v>
      </c>
      <c r="BV67" s="9">
        <v>25262.2</v>
      </c>
      <c r="BW67" s="9">
        <v>52078.3</v>
      </c>
      <c r="BX67" s="9">
        <v>2220.6999999999998</v>
      </c>
      <c r="BY67" s="9">
        <v>18694.2</v>
      </c>
      <c r="BZ67" s="9">
        <v>15814.4</v>
      </c>
      <c r="CA67" s="9">
        <v>1587.2</v>
      </c>
      <c r="CB67" s="9">
        <v>0</v>
      </c>
      <c r="CC67" s="9">
        <v>0</v>
      </c>
      <c r="CD67" s="9">
        <v>0</v>
      </c>
      <c r="CE67" s="9">
        <v>7329.9</v>
      </c>
      <c r="CF67" s="9">
        <v>277664.36478049011</v>
      </c>
      <c r="CG67" s="9">
        <v>1009588.4656675319</v>
      </c>
      <c r="CH67" s="9"/>
      <c r="CI67" s="9"/>
      <c r="CJ67" s="9">
        <v>30</v>
      </c>
      <c r="CK67" s="9">
        <v>17.3</v>
      </c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>
        <v>114</v>
      </c>
      <c r="DA67" s="9">
        <v>83</v>
      </c>
      <c r="DB67" s="9">
        <v>58</v>
      </c>
      <c r="DC67" s="9">
        <v>16</v>
      </c>
      <c r="DD67" s="9">
        <v>0</v>
      </c>
      <c r="DE67" s="9">
        <v>0</v>
      </c>
      <c r="DF67" s="9">
        <v>2</v>
      </c>
      <c r="DG67" s="9">
        <v>1</v>
      </c>
      <c r="DH67" s="9">
        <v>20</v>
      </c>
      <c r="DI67" s="9">
        <v>0</v>
      </c>
      <c r="DJ67" s="9">
        <v>1</v>
      </c>
      <c r="DK67" s="9">
        <v>16</v>
      </c>
      <c r="DL67" s="9">
        <v>0</v>
      </c>
      <c r="DM67" s="9">
        <v>10</v>
      </c>
      <c r="DN67" s="9">
        <v>0</v>
      </c>
      <c r="DO67" s="9">
        <v>135</v>
      </c>
      <c r="DP67" s="9">
        <v>30.82</v>
      </c>
      <c r="DQ67" s="9">
        <v>18.309999999999999</v>
      </c>
      <c r="DR67" s="9">
        <v>12.51</v>
      </c>
      <c r="DS67" s="9">
        <v>17.079999999999998</v>
      </c>
      <c r="DT67" s="9">
        <v>0.45</v>
      </c>
      <c r="DU67" s="9">
        <v>56.31</v>
      </c>
      <c r="DV67" s="9">
        <v>30.21</v>
      </c>
      <c r="DW67" s="9">
        <v>9.51</v>
      </c>
      <c r="DX67" s="9">
        <v>30.77</v>
      </c>
      <c r="DY67" s="9">
        <v>17.16</v>
      </c>
      <c r="DZ67" s="9">
        <v>5.72</v>
      </c>
      <c r="EA67" s="9">
        <v>-31.875599999999999</v>
      </c>
      <c r="EB67" s="9">
        <v>-71.610699999999994</v>
      </c>
      <c r="EC67" s="9">
        <v>-2.9556399999999998</v>
      </c>
      <c r="ED67" s="9">
        <v>-7.4358199999999997</v>
      </c>
      <c r="EE67" s="9">
        <v>50.126600000000003</v>
      </c>
      <c r="EF67" s="9">
        <v>0</v>
      </c>
      <c r="EG67" s="9">
        <v>6.1867130000000001</v>
      </c>
      <c r="EH67" s="9">
        <v>-29.86</v>
      </c>
      <c r="EI67" s="9">
        <v>0</v>
      </c>
      <c r="EJ67" s="9">
        <v>0</v>
      </c>
      <c r="EK67" s="9">
        <v>36.046709999999997</v>
      </c>
      <c r="EL67" s="9">
        <v>63.776969999999999</v>
      </c>
      <c r="EM67" s="9">
        <v>25.714700000000001</v>
      </c>
      <c r="EN67" s="9"/>
      <c r="EO67" s="9"/>
      <c r="EP67" s="9"/>
      <c r="EQ67" s="9"/>
      <c r="ER67" s="9"/>
      <c r="ES67" s="9"/>
      <c r="ET67" s="9"/>
      <c r="EU67">
        <v>1190.53</v>
      </c>
      <c r="EV67" s="9">
        <v>4631.5600000000004</v>
      </c>
      <c r="EW67" s="9">
        <v>1320.84</v>
      </c>
      <c r="EX67" s="9">
        <v>14.56</v>
      </c>
      <c r="EY67" s="9">
        <v>39.729999999999997</v>
      </c>
      <c r="EZ67" s="9">
        <v>832.86</v>
      </c>
      <c r="FA67" s="9">
        <v>2423.58</v>
      </c>
      <c r="FB67" s="9">
        <v>54.642857142899999</v>
      </c>
      <c r="FC67" s="9">
        <v>54.307727272699999</v>
      </c>
      <c r="FD67" s="9">
        <v>3529.7272727272998</v>
      </c>
      <c r="FE67" s="9">
        <v>28.11</v>
      </c>
      <c r="FF67" s="9">
        <v>430.65681818180002</v>
      </c>
      <c r="FG67" s="9">
        <v>720674.27</v>
      </c>
      <c r="FH67" s="9">
        <v>22533.35</v>
      </c>
      <c r="FI67" s="9">
        <v>46632.04</v>
      </c>
      <c r="FJ67" s="9">
        <v>262711.17</v>
      </c>
      <c r="FK67" s="9">
        <v>5483.32</v>
      </c>
      <c r="FL67" s="9">
        <v>11050.17</v>
      </c>
      <c r="FM67" s="9"/>
      <c r="FN67" s="9"/>
      <c r="FO67" s="9"/>
      <c r="FP67" s="9"/>
      <c r="FQ67" s="9"/>
      <c r="FR67" s="9"/>
      <c r="FS67" s="9"/>
      <c r="FT67" s="9">
        <v>457962.62999999989</v>
      </c>
      <c r="FU67" s="9">
        <v>17050.03</v>
      </c>
      <c r="FV67" s="9">
        <v>35581.4</v>
      </c>
      <c r="FW67" s="9"/>
      <c r="FX67" s="9"/>
      <c r="FY67" s="9"/>
      <c r="FZ67" s="9">
        <v>36205.279999999999</v>
      </c>
      <c r="GA67" s="9">
        <v>823934.14</v>
      </c>
      <c r="GB67" s="9">
        <v>236534.89</v>
      </c>
      <c r="GC67" s="9">
        <v>587399.25</v>
      </c>
      <c r="GD67" s="9">
        <v>596281.06000000006</v>
      </c>
      <c r="GE67" s="9">
        <v>34681.53</v>
      </c>
      <c r="GF67" s="9">
        <v>561599.53</v>
      </c>
      <c r="GG67" s="9">
        <v>227653.08</v>
      </c>
      <c r="GH67" s="9">
        <v>201853.36</v>
      </c>
      <c r="GI67" s="9">
        <v>25799.72</v>
      </c>
      <c r="GJ67" s="9">
        <v>66896.259999999995</v>
      </c>
      <c r="GK67" s="9">
        <v>1292060.0900000001</v>
      </c>
      <c r="GL67" s="9">
        <v>179448.98</v>
      </c>
      <c r="GM67">
        <v>1193</v>
      </c>
      <c r="GO67" s="6"/>
      <c r="GP67" s="6"/>
      <c r="GQ67" s="6"/>
    </row>
    <row r="68" spans="1:199" x14ac:dyDescent="0.2">
      <c r="A68" s="8">
        <v>2005</v>
      </c>
      <c r="B68" s="8" t="s">
        <v>287</v>
      </c>
      <c r="C68" s="8" t="s">
        <v>288</v>
      </c>
      <c r="D68" s="9"/>
      <c r="E68" s="9"/>
      <c r="F68" s="9"/>
      <c r="G68" s="9"/>
      <c r="H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>
        <v>73240.899999999994</v>
      </c>
      <c r="BO68" s="9">
        <v>60948.3</v>
      </c>
      <c r="BP68" s="9">
        <v>12403</v>
      </c>
      <c r="BQ68" s="9">
        <v>7970.8</v>
      </c>
      <c r="BR68" s="9">
        <v>4432.3</v>
      </c>
      <c r="BS68" s="9">
        <v>6364</v>
      </c>
      <c r="BT68" s="9">
        <v>17146.099999999999</v>
      </c>
      <c r="BU68" s="9">
        <v>8365.2000000000007</v>
      </c>
      <c r="BV68" s="9">
        <v>12091.4</v>
      </c>
      <c r="BW68" s="9">
        <v>38285.9</v>
      </c>
      <c r="BX68" s="9">
        <v>8969.6</v>
      </c>
      <c r="BY68" s="9">
        <v>12440.2</v>
      </c>
      <c r="BZ68" s="9">
        <v>9821</v>
      </c>
      <c r="CA68" s="9">
        <v>568</v>
      </c>
      <c r="CB68" s="9">
        <v>0</v>
      </c>
      <c r="CC68" s="9">
        <v>0</v>
      </c>
      <c r="CD68" s="9">
        <v>0</v>
      </c>
      <c r="CE68" s="9">
        <v>5527.5</v>
      </c>
      <c r="CF68" s="9">
        <v>278810.84159656003</v>
      </c>
      <c r="CG68" s="9">
        <v>1040143.258903226</v>
      </c>
      <c r="CH68" s="9"/>
      <c r="CI68" s="9"/>
      <c r="CJ68" s="9">
        <v>27.2</v>
      </c>
      <c r="CK68" s="9">
        <v>17.8</v>
      </c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>
        <v>75</v>
      </c>
      <c r="DA68" s="9">
        <v>46</v>
      </c>
      <c r="DB68" s="9">
        <v>14</v>
      </c>
      <c r="DC68" s="9">
        <v>22</v>
      </c>
      <c r="DD68" s="9">
        <v>0</v>
      </c>
      <c r="DE68" s="9">
        <v>0</v>
      </c>
      <c r="DF68" s="9">
        <v>3</v>
      </c>
      <c r="DG68" s="9">
        <v>1</v>
      </c>
      <c r="DH68" s="9">
        <v>14</v>
      </c>
      <c r="DI68" s="9">
        <v>0</v>
      </c>
      <c r="DJ68" s="9">
        <v>0</v>
      </c>
      <c r="DK68" s="9">
        <v>12</v>
      </c>
      <c r="DL68" s="9">
        <v>0</v>
      </c>
      <c r="DM68" s="9">
        <v>15</v>
      </c>
      <c r="DN68" s="9">
        <v>0</v>
      </c>
      <c r="DO68" s="9">
        <v>115.52</v>
      </c>
      <c r="DP68" s="9">
        <v>27.73</v>
      </c>
      <c r="DQ68" s="9">
        <v>14.46</v>
      </c>
      <c r="DR68" s="9">
        <v>13.26</v>
      </c>
      <c r="DS68" s="9">
        <v>16.22</v>
      </c>
      <c r="DT68" s="9">
        <v>0.4</v>
      </c>
      <c r="DU68" s="9">
        <v>35.5</v>
      </c>
      <c r="DV68" s="9">
        <v>21.06</v>
      </c>
      <c r="DW68" s="9">
        <v>9.06</v>
      </c>
      <c r="DX68" s="9">
        <v>36.06</v>
      </c>
      <c r="DY68" s="9">
        <v>18.96</v>
      </c>
      <c r="DZ68" s="9">
        <v>3.7</v>
      </c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>
        <v>1193.45</v>
      </c>
      <c r="EV68" s="9"/>
      <c r="EW68" s="9"/>
      <c r="EX68" s="9"/>
      <c r="EY68" s="9"/>
      <c r="EZ68" s="9"/>
      <c r="FA68" s="9"/>
      <c r="FB68" s="9">
        <v>54.535714285700003</v>
      </c>
      <c r="FC68" s="9">
        <v>57.579047619000001</v>
      </c>
      <c r="FD68" s="9">
        <v>3608.4761904761999</v>
      </c>
      <c r="FE68" s="9">
        <v>28.11</v>
      </c>
      <c r="FF68" s="9">
        <v>424.47857142859999</v>
      </c>
      <c r="FG68" s="9">
        <v>734810.86</v>
      </c>
      <c r="FH68" s="9">
        <v>23256.76</v>
      </c>
      <c r="FI68" s="9">
        <v>47681.77</v>
      </c>
      <c r="FJ68" s="9">
        <v>262584.53999999998</v>
      </c>
      <c r="FK68" s="9">
        <v>5665.39</v>
      </c>
      <c r="FL68" s="9">
        <v>11564.79</v>
      </c>
      <c r="FM68" s="9"/>
      <c r="FN68" s="9"/>
      <c r="FO68" s="9"/>
      <c r="FP68" s="9"/>
      <c r="FQ68" s="9"/>
      <c r="FR68" s="9"/>
      <c r="FS68" s="9"/>
      <c r="FT68" s="9">
        <v>472225.81000000011</v>
      </c>
      <c r="FU68" s="9">
        <v>17591.36</v>
      </c>
      <c r="FV68" s="9">
        <v>36116.5</v>
      </c>
      <c r="FW68" s="9"/>
      <c r="FX68" s="9"/>
      <c r="FY68" s="9"/>
      <c r="FZ68" s="9">
        <v>37346.339999999997</v>
      </c>
      <c r="GA68" s="9">
        <v>853489.59000000008</v>
      </c>
      <c r="GB68" s="9">
        <v>244736.54</v>
      </c>
      <c r="GC68" s="9">
        <v>608753.05000000005</v>
      </c>
      <c r="GD68" s="9">
        <v>615488</v>
      </c>
      <c r="GE68" s="9">
        <v>33241.160000000003</v>
      </c>
      <c r="GF68" s="9">
        <v>582246.84</v>
      </c>
      <c r="GG68" s="9">
        <v>238001.59</v>
      </c>
      <c r="GH68" s="9">
        <v>211495.38</v>
      </c>
      <c r="GI68" s="9">
        <v>26506.21</v>
      </c>
      <c r="GJ68" s="9">
        <v>63928.11</v>
      </c>
      <c r="GK68" s="9">
        <v>1309585.32</v>
      </c>
      <c r="GL68" s="9">
        <v>182628.42</v>
      </c>
      <c r="GM68">
        <v>1193</v>
      </c>
      <c r="GO68" s="6"/>
      <c r="GP68" s="6"/>
      <c r="GQ68" s="6"/>
    </row>
    <row r="69" spans="1:199" x14ac:dyDescent="0.2">
      <c r="A69" s="8">
        <v>2005</v>
      </c>
      <c r="B69" s="8" t="s">
        <v>287</v>
      </c>
      <c r="C69" s="8" t="s">
        <v>289</v>
      </c>
      <c r="D69" s="9"/>
      <c r="E69" s="9"/>
      <c r="F69" s="9"/>
      <c r="G69" s="9"/>
      <c r="H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>
        <v>68829.5</v>
      </c>
      <c r="BO69" s="9">
        <v>61074.8</v>
      </c>
      <c r="BP69" s="9">
        <v>14208.6</v>
      </c>
      <c r="BQ69" s="9">
        <v>10312.9</v>
      </c>
      <c r="BR69" s="9">
        <v>3895.5</v>
      </c>
      <c r="BS69" s="9">
        <v>7136.9</v>
      </c>
      <c r="BT69" s="9">
        <v>18444.2</v>
      </c>
      <c r="BU69" s="9">
        <v>7493.6</v>
      </c>
      <c r="BV69" s="9">
        <v>7585.5</v>
      </c>
      <c r="BW69" s="9">
        <v>41638.5</v>
      </c>
      <c r="BX69" s="9">
        <v>11662.4</v>
      </c>
      <c r="BY69" s="9">
        <v>14640.6</v>
      </c>
      <c r="BZ69" s="9">
        <v>8792.7000000000007</v>
      </c>
      <c r="CA69" s="9">
        <v>2393.8000000000002</v>
      </c>
      <c r="CB69" s="9">
        <v>0</v>
      </c>
      <c r="CC69" s="9">
        <v>0</v>
      </c>
      <c r="CD69" s="9">
        <v>0</v>
      </c>
      <c r="CE69" s="9">
        <v>10530</v>
      </c>
      <c r="CF69" s="9">
        <v>293241.37568693003</v>
      </c>
      <c r="CG69" s="9">
        <v>1081202.9838802861</v>
      </c>
      <c r="CH69" s="9"/>
      <c r="CI69" s="9"/>
      <c r="CJ69" s="9">
        <v>31.7</v>
      </c>
      <c r="CK69" s="9">
        <v>18</v>
      </c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>
        <v>84</v>
      </c>
      <c r="DA69" s="9">
        <v>55</v>
      </c>
      <c r="DB69" s="9">
        <v>18</v>
      </c>
      <c r="DC69" s="9">
        <v>26</v>
      </c>
      <c r="DD69" s="9">
        <v>1</v>
      </c>
      <c r="DE69" s="9">
        <v>0</v>
      </c>
      <c r="DF69" s="9">
        <v>3</v>
      </c>
      <c r="DG69" s="9">
        <v>1</v>
      </c>
      <c r="DH69" s="9">
        <v>11</v>
      </c>
      <c r="DI69" s="9">
        <v>0</v>
      </c>
      <c r="DJ69" s="9">
        <v>3</v>
      </c>
      <c r="DK69" s="9">
        <v>7</v>
      </c>
      <c r="DL69" s="9">
        <v>0</v>
      </c>
      <c r="DM69" s="9">
        <v>17</v>
      </c>
      <c r="DN69" s="9">
        <v>0</v>
      </c>
      <c r="DO69" s="9">
        <v>108.32</v>
      </c>
      <c r="DP69" s="9">
        <v>26.1</v>
      </c>
      <c r="DQ69" s="9">
        <v>15.98</v>
      </c>
      <c r="DR69" s="9">
        <v>10.119999999999999</v>
      </c>
      <c r="DS69" s="9">
        <v>14.56</v>
      </c>
      <c r="DT69" s="9">
        <v>0.52</v>
      </c>
      <c r="DU69" s="9">
        <v>43.37</v>
      </c>
      <c r="DV69" s="9">
        <v>25.36</v>
      </c>
      <c r="DW69" s="9">
        <v>9.7799999999999994</v>
      </c>
      <c r="DX69" s="9">
        <v>24.28</v>
      </c>
      <c r="DY69" s="9">
        <v>10.039999999999999</v>
      </c>
      <c r="DZ69" s="9">
        <v>2.31</v>
      </c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>
        <v>1200.07</v>
      </c>
      <c r="EV69" s="9"/>
      <c r="EW69" s="9"/>
      <c r="EX69" s="9"/>
      <c r="EY69" s="9"/>
      <c r="EZ69" s="9"/>
      <c r="FA69" s="9"/>
      <c r="FB69" s="9">
        <v>50.690746753200003</v>
      </c>
      <c r="FC69" s="9">
        <v>64.124782608700002</v>
      </c>
      <c r="FD69" s="9">
        <v>3791.9090909091001</v>
      </c>
      <c r="FE69" s="9">
        <v>28.11</v>
      </c>
      <c r="FF69" s="9">
        <v>437.92954545449999</v>
      </c>
      <c r="FG69" s="9">
        <v>752367.56</v>
      </c>
      <c r="FH69" s="9">
        <v>24532.76</v>
      </c>
      <c r="FI69" s="9">
        <v>49634.13</v>
      </c>
      <c r="FJ69" s="9">
        <v>282681.24</v>
      </c>
      <c r="FK69" s="9">
        <v>4903.83</v>
      </c>
      <c r="FL69" s="9">
        <v>12598.66</v>
      </c>
      <c r="FM69" s="9"/>
      <c r="FN69" s="9"/>
      <c r="FO69" s="9"/>
      <c r="FP69" s="9"/>
      <c r="FQ69" s="9"/>
      <c r="FR69" s="9"/>
      <c r="FS69" s="9"/>
      <c r="FT69" s="9">
        <v>469685.83</v>
      </c>
      <c r="FU69" s="9">
        <v>19628.93</v>
      </c>
      <c r="FV69" s="9">
        <v>37034.99</v>
      </c>
      <c r="FW69" s="9"/>
      <c r="FX69" s="9"/>
      <c r="FY69" s="9"/>
      <c r="FZ69" s="9">
        <v>41295.39</v>
      </c>
      <c r="GA69" s="9">
        <v>885569.0199999999</v>
      </c>
      <c r="GB69" s="9">
        <v>266654.34999999998</v>
      </c>
      <c r="GC69" s="9">
        <v>618914.66999999993</v>
      </c>
      <c r="GD69" s="9">
        <v>633669.62</v>
      </c>
      <c r="GE69" s="9">
        <v>39555.69</v>
      </c>
      <c r="GF69" s="9">
        <v>594113.92999999993</v>
      </c>
      <c r="GG69" s="9">
        <v>251899.4</v>
      </c>
      <c r="GH69" s="9">
        <v>227098.66</v>
      </c>
      <c r="GI69" s="9">
        <v>24800.74</v>
      </c>
      <c r="GJ69" s="9">
        <v>66104.42</v>
      </c>
      <c r="GK69" s="9">
        <v>1364290.14</v>
      </c>
      <c r="GL69" s="9">
        <v>187728.92</v>
      </c>
      <c r="GM69">
        <v>1205</v>
      </c>
      <c r="GO69" s="6"/>
      <c r="GP69" s="6"/>
      <c r="GQ69" s="6"/>
    </row>
    <row r="70" spans="1:199" x14ac:dyDescent="0.2">
      <c r="A70" s="8">
        <v>2005</v>
      </c>
      <c r="B70" s="8" t="s">
        <v>287</v>
      </c>
      <c r="C70" s="8" t="s">
        <v>290</v>
      </c>
      <c r="D70" s="9">
        <v>817679.8</v>
      </c>
      <c r="E70" s="9">
        <v>175278.4</v>
      </c>
      <c r="F70" s="9">
        <v>192839</v>
      </c>
      <c r="G70" s="9">
        <v>44439.6</v>
      </c>
      <c r="H70" s="9">
        <v>16490.400000000001</v>
      </c>
      <c r="I70" s="9">
        <v>26004.7</v>
      </c>
      <c r="J70" s="9">
        <v>43583.7</v>
      </c>
      <c r="K70" s="9">
        <v>68347.100000000006</v>
      </c>
      <c r="L70" s="9">
        <v>26382</v>
      </c>
      <c r="M70" s="9">
        <v>134198.70000000001</v>
      </c>
      <c r="N70" s="9">
        <v>90116.4</v>
      </c>
      <c r="O70" s="9">
        <v>2768118.2595336172</v>
      </c>
      <c r="P70" s="9">
        <v>456722.83680468542</v>
      </c>
      <c r="Q70" s="9">
        <v>560588.40077226621</v>
      </c>
      <c r="R70" s="9">
        <v>201781.06783628801</v>
      </c>
      <c r="S70" s="9">
        <v>60713.209539673997</v>
      </c>
      <c r="T70" s="9">
        <v>164277.48553583611</v>
      </c>
      <c r="U70" s="9">
        <v>173370.3424645598</v>
      </c>
      <c r="V70" s="9">
        <v>109880.880083503</v>
      </c>
      <c r="W70" s="9">
        <v>47018.6565989468</v>
      </c>
      <c r="X70" s="9">
        <v>785356.22786996118</v>
      </c>
      <c r="Y70" s="9">
        <v>208409.15202789681</v>
      </c>
      <c r="Z70" s="9">
        <v>839779.9</v>
      </c>
      <c r="AA70" s="9">
        <v>461037.9</v>
      </c>
      <c r="AB70" s="9">
        <v>68525.100000000006</v>
      </c>
      <c r="AC70" s="9">
        <v>247673.60000000001</v>
      </c>
      <c r="AD70" s="9">
        <v>84949.9</v>
      </c>
      <c r="AE70" s="9">
        <v>498252</v>
      </c>
      <c r="AF70" s="9">
        <v>520658.5</v>
      </c>
      <c r="AG70" s="9">
        <v>2811742.908134744</v>
      </c>
      <c r="AH70" s="9">
        <v>1359309.4146326431</v>
      </c>
      <c r="AI70" s="9">
        <v>303932.00784875028</v>
      </c>
      <c r="AJ70" s="9">
        <v>794746.10415250529</v>
      </c>
      <c r="AK70" s="9">
        <v>358470.34076578083</v>
      </c>
      <c r="AL70" s="9">
        <v>851736.61318716453</v>
      </c>
      <c r="AM70" s="9">
        <v>856451.57245209999</v>
      </c>
      <c r="AN70" s="9"/>
      <c r="AO70" s="9"/>
      <c r="AP70" s="9"/>
      <c r="AQ70" s="9"/>
      <c r="AR70" s="9"/>
      <c r="AS70" s="9"/>
      <c r="AT70" s="9"/>
      <c r="AU70" s="9"/>
      <c r="AV70" s="9"/>
      <c r="AW70" s="9">
        <v>100</v>
      </c>
      <c r="AX70" s="9">
        <v>56.9</v>
      </c>
      <c r="AY70" s="9">
        <v>118.6</v>
      </c>
      <c r="AZ70" s="9">
        <v>95.7</v>
      </c>
      <c r="BA70" s="9">
        <v>120.8</v>
      </c>
      <c r="BB70" s="9"/>
      <c r="BC70" s="9">
        <v>115.8</v>
      </c>
      <c r="BD70" s="9">
        <v>72.2</v>
      </c>
      <c r="BE70" s="9">
        <v>116</v>
      </c>
      <c r="BF70" s="9">
        <v>106.5</v>
      </c>
      <c r="BG70" s="9"/>
      <c r="BH70" s="9">
        <v>191.7</v>
      </c>
      <c r="BI70" s="9">
        <v>71.7</v>
      </c>
      <c r="BJ70" s="9">
        <v>69.400000000000006</v>
      </c>
      <c r="BK70" s="9">
        <v>86.1</v>
      </c>
      <c r="BL70" s="9"/>
      <c r="BM70" s="9">
        <v>72.7</v>
      </c>
      <c r="BN70" s="9">
        <v>92311.4</v>
      </c>
      <c r="BO70" s="9">
        <v>61814.6</v>
      </c>
      <c r="BP70" s="9">
        <v>16620.099999999999</v>
      </c>
      <c r="BQ70" s="9">
        <v>11383.5</v>
      </c>
      <c r="BR70" s="9">
        <v>5236.7</v>
      </c>
      <c r="BS70" s="9">
        <v>8686.6</v>
      </c>
      <c r="BT70" s="9">
        <v>13787.3</v>
      </c>
      <c r="BU70" s="9">
        <v>6833.4</v>
      </c>
      <c r="BV70" s="9">
        <v>13899.6</v>
      </c>
      <c r="BW70" s="9">
        <v>47920.800000000003</v>
      </c>
      <c r="BX70" s="9">
        <v>7178.6</v>
      </c>
      <c r="BY70" s="9">
        <v>17283.8</v>
      </c>
      <c r="BZ70" s="9">
        <v>12446.9</v>
      </c>
      <c r="CA70" s="9">
        <v>633.70000000000005</v>
      </c>
      <c r="CB70" s="9">
        <v>0</v>
      </c>
      <c r="CC70" s="9">
        <v>0</v>
      </c>
      <c r="CD70" s="9">
        <v>0</v>
      </c>
      <c r="CE70" s="9">
        <v>8734.7999999999993</v>
      </c>
      <c r="CF70" s="9">
        <v>273522.23966139002</v>
      </c>
      <c r="CG70" s="9">
        <v>1112374.925927812</v>
      </c>
      <c r="CH70" s="9"/>
      <c r="CI70" s="9"/>
      <c r="CJ70" s="9">
        <v>30.5</v>
      </c>
      <c r="CK70" s="9">
        <v>16.2</v>
      </c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>
        <v>108</v>
      </c>
      <c r="DA70" s="9">
        <v>76</v>
      </c>
      <c r="DB70" s="9">
        <v>38</v>
      </c>
      <c r="DC70" s="9">
        <v>29</v>
      </c>
      <c r="DD70" s="9">
        <v>0</v>
      </c>
      <c r="DE70" s="9">
        <v>1</v>
      </c>
      <c r="DF70" s="9">
        <v>3</v>
      </c>
      <c r="DG70" s="9">
        <v>1</v>
      </c>
      <c r="DH70" s="9">
        <v>17</v>
      </c>
      <c r="DI70" s="9">
        <v>2</v>
      </c>
      <c r="DJ70" s="9">
        <v>4</v>
      </c>
      <c r="DK70" s="9">
        <v>8</v>
      </c>
      <c r="DL70" s="9">
        <v>0</v>
      </c>
      <c r="DM70" s="9">
        <v>15</v>
      </c>
      <c r="DN70" s="9">
        <v>0</v>
      </c>
      <c r="DO70" s="9">
        <v>100.09</v>
      </c>
      <c r="DP70" s="9">
        <v>23.55</v>
      </c>
      <c r="DQ70" s="9">
        <v>13.76</v>
      </c>
      <c r="DR70" s="9">
        <v>9.7899999999999991</v>
      </c>
      <c r="DS70" s="9">
        <v>15.23</v>
      </c>
      <c r="DT70" s="9">
        <v>0.38</v>
      </c>
      <c r="DU70" s="9">
        <v>28.72</v>
      </c>
      <c r="DV70" s="9">
        <v>16.23</v>
      </c>
      <c r="DW70" s="9">
        <v>8.61</v>
      </c>
      <c r="DX70" s="9">
        <v>32.520000000000003</v>
      </c>
      <c r="DY70" s="9">
        <v>15.58</v>
      </c>
      <c r="DZ70" s="9">
        <v>4.63</v>
      </c>
      <c r="EA70" s="9">
        <v>47.98912</v>
      </c>
      <c r="EB70" s="9">
        <v>-23.5169</v>
      </c>
      <c r="EC70" s="9">
        <v>15.545579999999999</v>
      </c>
      <c r="ED70" s="9">
        <v>-9.13828</v>
      </c>
      <c r="EE70" s="9">
        <v>65.098759999999999</v>
      </c>
      <c r="EF70" s="9">
        <v>0</v>
      </c>
      <c r="EG70" s="9">
        <v>7.5047449999999998</v>
      </c>
      <c r="EH70" s="9">
        <v>-34.24</v>
      </c>
      <c r="EI70" s="9">
        <v>-1.2</v>
      </c>
      <c r="EJ70" s="9">
        <v>0</v>
      </c>
      <c r="EK70" s="9">
        <v>42.944749999999999</v>
      </c>
      <c r="EL70" s="9">
        <v>2.362895</v>
      </c>
      <c r="EM70" s="9">
        <v>42.847270000000002</v>
      </c>
      <c r="EN70" s="9"/>
      <c r="EO70" s="9"/>
      <c r="EP70" s="9"/>
      <c r="EQ70" s="9"/>
      <c r="ER70" s="9"/>
      <c r="ES70" s="9"/>
      <c r="ET70" s="9"/>
      <c r="EU70">
        <v>1212.19</v>
      </c>
      <c r="EV70" s="9">
        <v>4597.1000000000004</v>
      </c>
      <c r="EW70" s="9">
        <v>1316.93</v>
      </c>
      <c r="EX70" s="9">
        <v>11.7</v>
      </c>
      <c r="EY70" s="9">
        <v>42.45</v>
      </c>
      <c r="EZ70" s="9">
        <v>802.44</v>
      </c>
      <c r="FA70" s="9">
        <v>2423.58</v>
      </c>
      <c r="FB70" s="9">
        <v>48.321428571399998</v>
      </c>
      <c r="FC70" s="9">
        <v>62.9822727273</v>
      </c>
      <c r="FD70" s="9">
        <v>3850.6590909091001</v>
      </c>
      <c r="FE70" s="9">
        <v>28.11</v>
      </c>
      <c r="FF70" s="9">
        <v>456.0477272727</v>
      </c>
      <c r="FG70" s="9">
        <v>775069.88</v>
      </c>
      <c r="FH70" s="9">
        <v>22390.93</v>
      </c>
      <c r="FI70" s="9">
        <v>52654.47</v>
      </c>
      <c r="FJ70" s="9">
        <v>294561.95000000013</v>
      </c>
      <c r="FK70" s="9">
        <v>4723.54</v>
      </c>
      <c r="FL70" s="9">
        <v>12359.9</v>
      </c>
      <c r="FM70" s="9"/>
      <c r="FN70" s="9"/>
      <c r="FO70" s="9"/>
      <c r="FP70" s="9"/>
      <c r="FQ70" s="9"/>
      <c r="FR70" s="9"/>
      <c r="FS70" s="9"/>
      <c r="FT70" s="9">
        <v>480507.45</v>
      </c>
      <c r="FU70" s="9">
        <v>17667.38</v>
      </c>
      <c r="FV70" s="9">
        <v>40294.089999999997</v>
      </c>
      <c r="FW70" s="9"/>
      <c r="FX70" s="9"/>
      <c r="FY70" s="9"/>
      <c r="FZ70" s="9">
        <v>46464.07</v>
      </c>
      <c r="GA70" s="9">
        <v>932454.44</v>
      </c>
      <c r="GB70" s="9">
        <v>286570.36</v>
      </c>
      <c r="GC70" s="9">
        <v>645884.07999999996</v>
      </c>
      <c r="GD70" s="9">
        <v>647670.09000000008</v>
      </c>
      <c r="GE70" s="9">
        <v>40860.959999999999</v>
      </c>
      <c r="GF70" s="9">
        <v>606809.13</v>
      </c>
      <c r="GG70" s="9">
        <v>284784.34999999998</v>
      </c>
      <c r="GH70" s="9">
        <v>245709.4</v>
      </c>
      <c r="GI70" s="9">
        <v>39074.949999999997</v>
      </c>
      <c r="GJ70" s="9">
        <v>57686.28</v>
      </c>
      <c r="GK70" s="9">
        <v>1416653.66</v>
      </c>
      <c r="GL70" s="9">
        <v>190708.6</v>
      </c>
      <c r="GM70">
        <v>1215</v>
      </c>
      <c r="GO70" s="6"/>
      <c r="GP70" s="6"/>
      <c r="GQ70" s="6"/>
    </row>
    <row r="71" spans="1:199" x14ac:dyDescent="0.2">
      <c r="A71" s="8">
        <v>2005</v>
      </c>
      <c r="B71" s="8" t="s">
        <v>291</v>
      </c>
      <c r="C71" s="8" t="s">
        <v>292</v>
      </c>
      <c r="D71" s="9"/>
      <c r="E71" s="9"/>
      <c r="F71" s="9"/>
      <c r="G71" s="9"/>
      <c r="H71" s="9"/>
      <c r="I71" s="9"/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  <c r="AA71" s="9"/>
      <c r="AB71" s="9"/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>
        <v>64185.1</v>
      </c>
      <c r="BO71" s="9">
        <v>71629.5</v>
      </c>
      <c r="BP71" s="9">
        <v>23742.1</v>
      </c>
      <c r="BQ71" s="9">
        <v>18563.5</v>
      </c>
      <c r="BR71" s="9">
        <v>5178.6000000000004</v>
      </c>
      <c r="BS71" s="9">
        <v>7433.8</v>
      </c>
      <c r="BT71" s="9">
        <v>17685.8</v>
      </c>
      <c r="BU71" s="9">
        <v>9013.7000000000007</v>
      </c>
      <c r="BV71" s="9">
        <v>8726</v>
      </c>
      <c r="BW71" s="9">
        <v>50457.8</v>
      </c>
      <c r="BX71" s="9">
        <v>7650.7</v>
      </c>
      <c r="BY71" s="9">
        <v>18950.8</v>
      </c>
      <c r="BZ71" s="9">
        <v>12532.6</v>
      </c>
      <c r="CA71" s="9">
        <v>2728.3</v>
      </c>
      <c r="CB71" s="9">
        <v>0</v>
      </c>
      <c r="CC71" s="9">
        <v>0</v>
      </c>
      <c r="CD71" s="9">
        <v>0</v>
      </c>
      <c r="CE71" s="9">
        <v>10538.6</v>
      </c>
      <c r="CF71" s="9">
        <v>262138.21757961001</v>
      </c>
      <c r="CG71" s="9">
        <v>1112799.4896437421</v>
      </c>
      <c r="CH71" s="9"/>
      <c r="CI71" s="9"/>
      <c r="CJ71" s="9">
        <v>30.55</v>
      </c>
      <c r="CK71" s="9">
        <v>17.78</v>
      </c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>
        <v>116</v>
      </c>
      <c r="DA71" s="9">
        <v>93</v>
      </c>
      <c r="DB71" s="9">
        <v>39</v>
      </c>
      <c r="DC71" s="9">
        <v>40</v>
      </c>
      <c r="DD71" s="9">
        <v>0</v>
      </c>
      <c r="DE71" s="9">
        <v>2</v>
      </c>
      <c r="DF71" s="9">
        <v>2</v>
      </c>
      <c r="DG71" s="9">
        <v>1</v>
      </c>
      <c r="DH71" s="9">
        <v>9</v>
      </c>
      <c r="DI71" s="9">
        <v>1</v>
      </c>
      <c r="DJ71" s="9">
        <v>3</v>
      </c>
      <c r="DK71" s="9">
        <v>4</v>
      </c>
      <c r="DL71" s="9">
        <v>0</v>
      </c>
      <c r="DM71" s="9">
        <v>14</v>
      </c>
      <c r="DN71" s="9">
        <v>0</v>
      </c>
      <c r="DO71" s="9">
        <v>113.29</v>
      </c>
      <c r="DP71" s="9">
        <v>27.82</v>
      </c>
      <c r="DQ71" s="9">
        <v>19.93</v>
      </c>
      <c r="DR71" s="9">
        <v>7.88</v>
      </c>
      <c r="DS71" s="9">
        <v>13.36</v>
      </c>
      <c r="DT71" s="9">
        <v>0.43</v>
      </c>
      <c r="DU71" s="9">
        <v>33.32</v>
      </c>
      <c r="DV71" s="9">
        <v>20.81</v>
      </c>
      <c r="DW71" s="9">
        <v>8.24</v>
      </c>
      <c r="DX71" s="9">
        <v>38.590000000000003</v>
      </c>
      <c r="DY71" s="9">
        <v>21.62</v>
      </c>
      <c r="DZ71" s="9">
        <v>5.63</v>
      </c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>
        <v>1218.77</v>
      </c>
      <c r="EV71" s="9"/>
      <c r="EW71" s="9"/>
      <c r="EX71" s="9"/>
      <c r="EY71" s="9"/>
      <c r="EZ71" s="9"/>
      <c r="FA71" s="9"/>
      <c r="FB71" s="9">
        <v>44.5280612245</v>
      </c>
      <c r="FC71" s="9">
        <v>58.522380952399999</v>
      </c>
      <c r="FD71" s="9">
        <v>4056.1666666667002</v>
      </c>
      <c r="FE71" s="9">
        <v>28.11</v>
      </c>
      <c r="FF71" s="9">
        <v>469.89761904760002</v>
      </c>
      <c r="FG71" s="9">
        <v>781246.76</v>
      </c>
      <c r="FH71" s="9">
        <v>21745.71</v>
      </c>
      <c r="FI71" s="9">
        <v>55360.2</v>
      </c>
      <c r="FJ71" s="9">
        <v>300194.66999999993</v>
      </c>
      <c r="FK71" s="9">
        <v>4869.33</v>
      </c>
      <c r="FL71" s="9">
        <v>12930.53</v>
      </c>
      <c r="FM71" s="9"/>
      <c r="FN71" s="9"/>
      <c r="FO71" s="9"/>
      <c r="FP71" s="9"/>
      <c r="FQ71" s="9"/>
      <c r="FR71" s="9"/>
      <c r="FS71" s="9"/>
      <c r="FT71" s="9">
        <v>481051.60000000009</v>
      </c>
      <c r="FU71" s="9">
        <v>16876.37</v>
      </c>
      <c r="FV71" s="9">
        <v>42429.2</v>
      </c>
      <c r="FW71" s="9"/>
      <c r="FX71" s="9"/>
      <c r="FY71" s="9"/>
      <c r="FZ71" s="9">
        <v>48179.61</v>
      </c>
      <c r="GA71" s="9">
        <v>942514.7</v>
      </c>
      <c r="GB71" s="9">
        <v>276966.12</v>
      </c>
      <c r="GC71" s="9">
        <v>665548.58000000007</v>
      </c>
      <c r="GD71" s="9">
        <v>650898.41</v>
      </c>
      <c r="GE71" s="9">
        <v>38604.14</v>
      </c>
      <c r="GF71" s="9">
        <v>612294.27</v>
      </c>
      <c r="GG71" s="9">
        <v>291616.28999999998</v>
      </c>
      <c r="GH71" s="9">
        <v>238361.98</v>
      </c>
      <c r="GI71" s="9">
        <v>53254.31</v>
      </c>
      <c r="GJ71" s="9">
        <v>61218.54</v>
      </c>
      <c r="GK71" s="9">
        <v>1434186.38</v>
      </c>
      <c r="GL71" s="9">
        <v>194422.86</v>
      </c>
      <c r="GM71">
        <v>1221</v>
      </c>
      <c r="GO71" s="6"/>
      <c r="GP71" s="6"/>
      <c r="GQ71" s="6"/>
    </row>
    <row r="72" spans="1:199" x14ac:dyDescent="0.2">
      <c r="A72" s="8">
        <v>2005</v>
      </c>
      <c r="B72" s="8" t="s">
        <v>291</v>
      </c>
      <c r="C72" s="8" t="s">
        <v>293</v>
      </c>
      <c r="D72" s="9"/>
      <c r="E72" s="9"/>
      <c r="F72" s="9"/>
      <c r="G72" s="9"/>
      <c r="H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  <c r="AB72" s="9"/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>
        <v>74893</v>
      </c>
      <c r="BO72" s="9">
        <v>63748.3</v>
      </c>
      <c r="BP72" s="9">
        <v>18757.2</v>
      </c>
      <c r="BQ72" s="9">
        <v>12789.1</v>
      </c>
      <c r="BR72" s="9">
        <v>5968.1</v>
      </c>
      <c r="BS72" s="9">
        <v>8570</v>
      </c>
      <c r="BT72" s="9">
        <v>13657.3</v>
      </c>
      <c r="BU72" s="9">
        <v>8847.2999999999993</v>
      </c>
      <c r="BV72" s="9">
        <v>11009.2</v>
      </c>
      <c r="BW72" s="9">
        <v>54303.5</v>
      </c>
      <c r="BX72" s="9">
        <v>2444.3000000000002</v>
      </c>
      <c r="BY72" s="9">
        <v>22163.8</v>
      </c>
      <c r="BZ72" s="9">
        <v>12220.2</v>
      </c>
      <c r="CA72" s="9">
        <v>1436.3</v>
      </c>
      <c r="CB72" s="9">
        <v>0</v>
      </c>
      <c r="CC72" s="9">
        <v>0</v>
      </c>
      <c r="CD72" s="9">
        <v>0</v>
      </c>
      <c r="CE72" s="9">
        <v>8660.2000000000007</v>
      </c>
      <c r="CF72" s="9">
        <v>253099.07728778</v>
      </c>
      <c r="CG72" s="9">
        <v>1110615.1318397741</v>
      </c>
      <c r="CH72" s="9"/>
      <c r="CI72" s="9"/>
      <c r="CJ72" s="9">
        <v>29</v>
      </c>
      <c r="CK72" s="9">
        <v>15.5</v>
      </c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>
        <v>118</v>
      </c>
      <c r="DA72" s="9">
        <v>92</v>
      </c>
      <c r="DB72" s="9">
        <v>38</v>
      </c>
      <c r="DC72" s="9">
        <v>39</v>
      </c>
      <c r="DD72" s="9">
        <v>1</v>
      </c>
      <c r="DE72" s="9">
        <v>3</v>
      </c>
      <c r="DF72" s="9">
        <v>3</v>
      </c>
      <c r="DG72" s="9">
        <v>0</v>
      </c>
      <c r="DH72" s="9">
        <v>15</v>
      </c>
      <c r="DI72" s="9">
        <v>3</v>
      </c>
      <c r="DJ72" s="9">
        <v>4</v>
      </c>
      <c r="DK72" s="9">
        <v>6</v>
      </c>
      <c r="DL72" s="9">
        <v>0</v>
      </c>
      <c r="DM72" s="9">
        <v>11</v>
      </c>
      <c r="DN72" s="9">
        <v>0</v>
      </c>
      <c r="DO72" s="9">
        <v>109.85</v>
      </c>
      <c r="DP72" s="9">
        <v>32.94</v>
      </c>
      <c r="DQ72" s="9">
        <v>20.54</v>
      </c>
      <c r="DR72" s="9">
        <v>12.4</v>
      </c>
      <c r="DS72" s="9">
        <v>18.57</v>
      </c>
      <c r="DT72" s="9">
        <v>0.15</v>
      </c>
      <c r="DU72" s="9">
        <v>25.62</v>
      </c>
      <c r="DV72" s="9">
        <v>14.38</v>
      </c>
      <c r="DW72" s="9">
        <v>6.04</v>
      </c>
      <c r="DX72" s="9">
        <v>32.72</v>
      </c>
      <c r="DY72" s="9">
        <v>16.64</v>
      </c>
      <c r="DZ72" s="9">
        <v>6.71</v>
      </c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>
        <v>1224.4000000000001</v>
      </c>
      <c r="EV72" s="9"/>
      <c r="EW72" s="9"/>
      <c r="EX72" s="9"/>
      <c r="EY72" s="9"/>
      <c r="EZ72" s="9"/>
      <c r="FA72" s="9"/>
      <c r="FB72" s="9">
        <v>40.641233766200003</v>
      </c>
      <c r="FC72" s="9">
        <v>55.535909090899999</v>
      </c>
      <c r="FD72" s="9">
        <v>4278.1590909091001</v>
      </c>
      <c r="FE72" s="9">
        <v>28.11</v>
      </c>
      <c r="FF72" s="9">
        <v>476.66590909090002</v>
      </c>
      <c r="FG72" s="9">
        <v>823931.38</v>
      </c>
      <c r="FH72" s="9">
        <v>24185.91</v>
      </c>
      <c r="FI72" s="9">
        <v>55263.23</v>
      </c>
      <c r="FJ72" s="9">
        <v>314154.33000000007</v>
      </c>
      <c r="FK72" s="9">
        <v>4669.47</v>
      </c>
      <c r="FL72" s="9">
        <v>12899.3</v>
      </c>
      <c r="FM72" s="9"/>
      <c r="FN72" s="9"/>
      <c r="FO72" s="9"/>
      <c r="FP72" s="9"/>
      <c r="FQ72" s="9"/>
      <c r="FR72" s="9"/>
      <c r="FS72" s="9"/>
      <c r="FT72" s="9">
        <v>509776.55</v>
      </c>
      <c r="FU72" s="9">
        <v>19516.43</v>
      </c>
      <c r="FV72" s="9">
        <v>42363.45</v>
      </c>
      <c r="FW72" s="9"/>
      <c r="FX72" s="9"/>
      <c r="FY72" s="9"/>
      <c r="FZ72" s="9">
        <v>50509.09</v>
      </c>
      <c r="GA72" s="9">
        <v>945426.75</v>
      </c>
      <c r="GB72" s="9">
        <v>265472.44</v>
      </c>
      <c r="GC72" s="9">
        <v>679954.30999999994</v>
      </c>
      <c r="GD72" s="9">
        <v>662263.74</v>
      </c>
      <c r="GE72" s="9">
        <v>35719.53</v>
      </c>
      <c r="GF72" s="9">
        <v>626544.21</v>
      </c>
      <c r="GG72" s="9">
        <v>283163.01</v>
      </c>
      <c r="GH72" s="9">
        <v>229752.91</v>
      </c>
      <c r="GI72" s="9">
        <v>53410.1</v>
      </c>
      <c r="GJ72" s="9">
        <v>73444</v>
      </c>
      <c r="GK72" s="9">
        <v>1503233.13</v>
      </c>
      <c r="GL72" s="9">
        <v>200994.13</v>
      </c>
      <c r="GM72">
        <v>1228</v>
      </c>
      <c r="GO72" s="6"/>
      <c r="GP72" s="6"/>
      <c r="GQ72" s="6"/>
    </row>
    <row r="73" spans="1:199" x14ac:dyDescent="0.2">
      <c r="A73" s="8">
        <v>2005</v>
      </c>
      <c r="B73" s="8" t="s">
        <v>291</v>
      </c>
      <c r="C73" s="8" t="s">
        <v>294</v>
      </c>
      <c r="D73" s="9">
        <v>904974.6</v>
      </c>
      <c r="E73" s="9">
        <v>157755.20000000001</v>
      </c>
      <c r="F73" s="9">
        <v>203081.8</v>
      </c>
      <c r="G73" s="9">
        <v>52022.2</v>
      </c>
      <c r="H73" s="9">
        <v>28068.2</v>
      </c>
      <c r="I73" s="9">
        <v>36199.599999999999</v>
      </c>
      <c r="J73" s="9">
        <v>98432.9</v>
      </c>
      <c r="K73" s="9">
        <v>71096.399999999994</v>
      </c>
      <c r="L73" s="9">
        <v>23632</v>
      </c>
      <c r="M73" s="9">
        <v>149169.4</v>
      </c>
      <c r="N73" s="9">
        <v>85516.800000000003</v>
      </c>
      <c r="O73" s="9">
        <v>3063640.2105984902</v>
      </c>
      <c r="P73" s="9">
        <v>394981.86568403541</v>
      </c>
      <c r="Q73" s="9">
        <v>567269.43865334673</v>
      </c>
      <c r="R73" s="9">
        <v>226969.83146857371</v>
      </c>
      <c r="S73" s="9">
        <v>99296.9045500715</v>
      </c>
      <c r="T73" s="9">
        <v>219734.93850634689</v>
      </c>
      <c r="U73" s="9">
        <v>376235.81664230308</v>
      </c>
      <c r="V73" s="9">
        <v>109829.4462136432</v>
      </c>
      <c r="W73" s="9">
        <v>40469.899359119197</v>
      </c>
      <c r="X73" s="9">
        <v>838817.09373644902</v>
      </c>
      <c r="Y73" s="9">
        <v>190034.97578460129</v>
      </c>
      <c r="Z73" s="9">
        <v>931149</v>
      </c>
      <c r="AA73" s="9">
        <v>490722.6</v>
      </c>
      <c r="AB73" s="9">
        <v>109101.6</v>
      </c>
      <c r="AC73" s="9">
        <v>216535.1</v>
      </c>
      <c r="AD73" s="9">
        <v>74514.2</v>
      </c>
      <c r="AE73" s="9">
        <v>605003.30000000005</v>
      </c>
      <c r="AF73" s="9">
        <v>564727.9</v>
      </c>
      <c r="AG73" s="9">
        <v>3117664.0416932572</v>
      </c>
      <c r="AH73" s="9">
        <v>1481223.709029641</v>
      </c>
      <c r="AI73" s="9">
        <v>495405.44955949369</v>
      </c>
      <c r="AJ73" s="9">
        <v>711344.36335119233</v>
      </c>
      <c r="AK73" s="9">
        <v>321908.3919725247</v>
      </c>
      <c r="AL73" s="9">
        <v>1058807.254191688</v>
      </c>
      <c r="AM73" s="9">
        <v>951025.12641128397</v>
      </c>
      <c r="AN73" s="9"/>
      <c r="AO73" s="9"/>
      <c r="AP73" s="9"/>
      <c r="AQ73" s="9"/>
      <c r="AR73" s="9"/>
      <c r="AS73" s="9"/>
      <c r="AT73" s="9"/>
      <c r="AU73" s="9"/>
      <c r="AV73" s="9"/>
      <c r="AW73" s="9">
        <v>105.4</v>
      </c>
      <c r="AX73" s="9">
        <v>56.7</v>
      </c>
      <c r="AY73" s="9">
        <v>137.19999999999999</v>
      </c>
      <c r="AZ73" s="9">
        <v>104.9</v>
      </c>
      <c r="BA73" s="9">
        <v>118.1</v>
      </c>
      <c r="BB73" s="9"/>
      <c r="BC73" s="9">
        <v>111</v>
      </c>
      <c r="BD73" s="9">
        <v>75.400000000000006</v>
      </c>
      <c r="BE73" s="9">
        <v>114.2</v>
      </c>
      <c r="BF73" s="9">
        <v>122.6</v>
      </c>
      <c r="BG73" s="9"/>
      <c r="BH73" s="9">
        <v>202.5</v>
      </c>
      <c r="BI73" s="9">
        <v>71.400000000000006</v>
      </c>
      <c r="BJ73" s="9">
        <v>98.4</v>
      </c>
      <c r="BK73" s="9">
        <v>90.1</v>
      </c>
      <c r="BL73" s="9"/>
      <c r="BM73" s="9">
        <v>76.3</v>
      </c>
      <c r="BN73" s="9">
        <v>91380</v>
      </c>
      <c r="BO73" s="9">
        <v>72016.7</v>
      </c>
      <c r="BP73" s="9">
        <v>16630.900000000001</v>
      </c>
      <c r="BQ73" s="9">
        <v>9633.7999999999993</v>
      </c>
      <c r="BR73" s="9">
        <v>6997.1</v>
      </c>
      <c r="BS73" s="9">
        <v>14418.2</v>
      </c>
      <c r="BT73" s="9">
        <v>17270.7</v>
      </c>
      <c r="BU73" s="9">
        <v>5517.3</v>
      </c>
      <c r="BV73" s="9">
        <v>17345.099999999999</v>
      </c>
      <c r="BW73" s="9">
        <v>88844</v>
      </c>
      <c r="BX73" s="9">
        <v>745.5</v>
      </c>
      <c r="BY73" s="9">
        <v>51689</v>
      </c>
      <c r="BZ73" s="9">
        <v>14796.8</v>
      </c>
      <c r="CA73" s="9">
        <v>3130.3</v>
      </c>
      <c r="CB73" s="9">
        <v>0</v>
      </c>
      <c r="CC73" s="9">
        <v>0</v>
      </c>
      <c r="CD73" s="9">
        <v>0</v>
      </c>
      <c r="CE73" s="9">
        <v>29073.3</v>
      </c>
      <c r="CF73" s="9">
        <v>269124.3679368</v>
      </c>
      <c r="CG73" s="9">
        <v>1140138.7679367999</v>
      </c>
      <c r="CH73" s="9"/>
      <c r="CI73" s="9"/>
      <c r="CJ73" s="9">
        <v>28.3</v>
      </c>
      <c r="CK73" s="9">
        <v>14.8</v>
      </c>
      <c r="CL73" s="9"/>
      <c r="CM73" s="9">
        <v>35.235779634099998</v>
      </c>
      <c r="CN73" s="9">
        <v>14.001694050499999</v>
      </c>
      <c r="CO73" s="9">
        <v>0.99204887350000004</v>
      </c>
      <c r="CP73" s="9">
        <v>5.3777614641999998</v>
      </c>
      <c r="CQ73" s="9">
        <v>3.8048114395999999</v>
      </c>
      <c r="CR73" s="9">
        <v>1.9867710776</v>
      </c>
      <c r="CS73" s="9">
        <v>0.62568197569999995</v>
      </c>
      <c r="CT73" s="9">
        <v>3.1585836558999998</v>
      </c>
      <c r="CU73" s="9">
        <v>1.0161850484999999</v>
      </c>
      <c r="CV73" s="9">
        <v>1.0875359654000001</v>
      </c>
      <c r="CW73" s="9">
        <v>1.8903013678</v>
      </c>
      <c r="CX73" s="9">
        <v>0.35698183319999999</v>
      </c>
      <c r="CY73" s="9">
        <v>0.93742288230000004</v>
      </c>
      <c r="CZ73" s="9">
        <v>147</v>
      </c>
      <c r="DA73" s="9">
        <v>118</v>
      </c>
      <c r="DB73" s="9">
        <v>73</v>
      </c>
      <c r="DC73" s="9">
        <v>34</v>
      </c>
      <c r="DD73" s="9">
        <v>1</v>
      </c>
      <c r="DE73" s="9">
        <v>4</v>
      </c>
      <c r="DF73" s="9">
        <v>2</v>
      </c>
      <c r="DG73" s="9">
        <v>0</v>
      </c>
      <c r="DH73" s="9">
        <v>13</v>
      </c>
      <c r="DI73" s="9">
        <v>2</v>
      </c>
      <c r="DJ73" s="9">
        <v>4</v>
      </c>
      <c r="DK73" s="9">
        <v>6</v>
      </c>
      <c r="DL73" s="9">
        <v>0</v>
      </c>
      <c r="DM73" s="9">
        <v>15</v>
      </c>
      <c r="DN73" s="9">
        <v>0</v>
      </c>
      <c r="DO73" s="9">
        <v>93.31</v>
      </c>
      <c r="DP73" s="9">
        <v>28.93</v>
      </c>
      <c r="DQ73" s="9">
        <v>19.7</v>
      </c>
      <c r="DR73" s="9">
        <v>9.23</v>
      </c>
      <c r="DS73" s="9">
        <v>15.7</v>
      </c>
      <c r="DT73" s="9">
        <v>0.8</v>
      </c>
      <c r="DU73" s="9">
        <v>28.68</v>
      </c>
      <c r="DV73" s="9">
        <v>16.37</v>
      </c>
      <c r="DW73" s="9">
        <v>4.1900000000000004</v>
      </c>
      <c r="DX73" s="9">
        <v>19.98</v>
      </c>
      <c r="DY73" s="9">
        <v>11.87</v>
      </c>
      <c r="DZ73" s="9">
        <v>3.02</v>
      </c>
      <c r="EA73" s="9">
        <v>54.108690000000003</v>
      </c>
      <c r="EB73" s="9">
        <v>32.380119999999998</v>
      </c>
      <c r="EC73" s="9">
        <v>1.7165079999999999</v>
      </c>
      <c r="ED73" s="9">
        <v>-29.862200000000001</v>
      </c>
      <c r="EE73" s="9">
        <v>49.874279999999999</v>
      </c>
      <c r="EF73" s="9">
        <v>0</v>
      </c>
      <c r="EG73" s="9">
        <v>-14.803900000000001</v>
      </c>
      <c r="EH73" s="9">
        <v>-41.26</v>
      </c>
      <c r="EI73" s="9">
        <v>0</v>
      </c>
      <c r="EJ73" s="9">
        <v>0</v>
      </c>
      <c r="EK73" s="9">
        <v>26.456140000000001</v>
      </c>
      <c r="EL73" s="9">
        <v>-25.893899999999999</v>
      </c>
      <c r="EM73" s="9">
        <v>43.018639999999998</v>
      </c>
      <c r="EN73" s="9"/>
      <c r="EO73" s="9"/>
      <c r="EP73" s="9"/>
      <c r="EQ73" s="9"/>
      <c r="ER73" s="9"/>
      <c r="ES73" s="9"/>
      <c r="ET73" s="9"/>
      <c r="EU73">
        <v>1226.68</v>
      </c>
      <c r="EV73" s="9">
        <v>4577.5</v>
      </c>
      <c r="EW73" s="9">
        <v>1311.79</v>
      </c>
      <c r="EX73" s="9">
        <v>10.5</v>
      </c>
      <c r="EY73" s="9">
        <v>44.92</v>
      </c>
      <c r="EZ73" s="9">
        <v>786.72</v>
      </c>
      <c r="FA73" s="9">
        <v>2423.58</v>
      </c>
      <c r="FB73" s="9">
        <v>41.689285714299999</v>
      </c>
      <c r="FC73" s="9">
        <v>56.712272727299997</v>
      </c>
      <c r="FD73" s="9">
        <v>4577.0249999999996</v>
      </c>
      <c r="FE73" s="9">
        <v>28.11</v>
      </c>
      <c r="FF73" s="9">
        <v>510.0972222222</v>
      </c>
      <c r="FG73" s="9">
        <v>859851.82000000007</v>
      </c>
      <c r="FH73" s="9">
        <v>20929.59</v>
      </c>
      <c r="FI73" s="9">
        <v>49471.02</v>
      </c>
      <c r="FJ73" s="9">
        <v>321606.76</v>
      </c>
      <c r="FK73" s="9">
        <v>3899.41</v>
      </c>
      <c r="FL73" s="9">
        <v>12890.26</v>
      </c>
      <c r="FM73" s="9"/>
      <c r="FN73" s="9"/>
      <c r="FO73" s="9"/>
      <c r="FP73" s="9"/>
      <c r="FQ73" s="9"/>
      <c r="FR73" s="9"/>
      <c r="FS73" s="9"/>
      <c r="FT73" s="9">
        <v>538244.57999999996</v>
      </c>
      <c r="FU73" s="9">
        <v>17030.189999999999</v>
      </c>
      <c r="FV73" s="9">
        <v>36580.28</v>
      </c>
      <c r="FW73" s="9"/>
      <c r="FX73" s="9"/>
      <c r="FY73" s="9"/>
      <c r="FZ73" s="9">
        <v>51408.03</v>
      </c>
      <c r="GA73" s="9">
        <v>1004996.3</v>
      </c>
      <c r="GB73" s="9">
        <v>312197.28999999998</v>
      </c>
      <c r="GC73" s="9">
        <v>692799.01</v>
      </c>
      <c r="GD73" s="9">
        <v>674688.8600000001</v>
      </c>
      <c r="GE73" s="9">
        <v>42153.37</v>
      </c>
      <c r="GF73" s="9">
        <v>632535.49</v>
      </c>
      <c r="GG73" s="9">
        <v>330307.44</v>
      </c>
      <c r="GH73" s="9">
        <v>270043.92</v>
      </c>
      <c r="GI73" s="9">
        <v>60263.519999999997</v>
      </c>
      <c r="GJ73" s="9">
        <v>73022.929999999993</v>
      </c>
      <c r="GK73" s="9">
        <v>1585037.23</v>
      </c>
      <c r="GL73" s="9">
        <v>207075.69</v>
      </c>
      <c r="GM73">
        <v>1221</v>
      </c>
      <c r="GO73" s="6"/>
      <c r="GP73" s="6"/>
      <c r="GQ73" s="6"/>
    </row>
    <row r="74" spans="1:199" x14ac:dyDescent="0.2">
      <c r="A74" s="8">
        <v>2006</v>
      </c>
      <c r="B74" s="8" t="s">
        <v>295</v>
      </c>
      <c r="C74" s="8" t="s">
        <v>296</v>
      </c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>
        <v>56306.2</v>
      </c>
      <c r="BO74" s="9">
        <v>48194.5</v>
      </c>
      <c r="BP74" s="9">
        <v>12149.6</v>
      </c>
      <c r="BQ74" s="9">
        <v>9344</v>
      </c>
      <c r="BR74" s="9">
        <v>2805.5</v>
      </c>
      <c r="BS74" s="9">
        <v>6490.3</v>
      </c>
      <c r="BT74" s="9">
        <v>15388</v>
      </c>
      <c r="BU74" s="9">
        <v>5803.1</v>
      </c>
      <c r="BV74" s="9">
        <v>7633.1</v>
      </c>
      <c r="BW74" s="9">
        <v>50950.400000000001</v>
      </c>
      <c r="BX74" s="9">
        <v>3955.6</v>
      </c>
      <c r="BY74" s="9">
        <v>18930.2</v>
      </c>
      <c r="BZ74" s="9">
        <v>12485</v>
      </c>
      <c r="CA74" s="9">
        <v>673.3</v>
      </c>
      <c r="CB74" s="9">
        <v>0</v>
      </c>
      <c r="CC74" s="9">
        <v>0</v>
      </c>
      <c r="CD74" s="9">
        <v>0</v>
      </c>
      <c r="CE74" s="9">
        <v>1579.1</v>
      </c>
      <c r="CF74" s="9">
        <v>267579.55397704011</v>
      </c>
      <c r="CG74" s="9">
        <v>1146470.7070947087</v>
      </c>
      <c r="CH74" s="9"/>
      <c r="CI74" s="9"/>
      <c r="CJ74" s="9">
        <v>29.5</v>
      </c>
      <c r="CK74" s="9">
        <v>17.8</v>
      </c>
      <c r="CL74" s="9"/>
      <c r="CM74" s="9">
        <v>35.606678966300002</v>
      </c>
      <c r="CN74" s="9">
        <v>14.2469271172</v>
      </c>
      <c r="CO74" s="9">
        <v>1.0003563509</v>
      </c>
      <c r="CP74" s="9">
        <v>5.4144341258999997</v>
      </c>
      <c r="CQ74" s="9">
        <v>3.7740404450999998</v>
      </c>
      <c r="CR74" s="9">
        <v>1.9944063265</v>
      </c>
      <c r="CS74" s="9">
        <v>0.62705700760000005</v>
      </c>
      <c r="CT74" s="9">
        <v>3.2557266974000001</v>
      </c>
      <c r="CU74" s="9">
        <v>1.0158112455999999</v>
      </c>
      <c r="CV74" s="9">
        <v>1.0832683510000001</v>
      </c>
      <c r="CW74" s="9">
        <v>1.8920352064999999</v>
      </c>
      <c r="CX74" s="9">
        <v>0.36069906800000001</v>
      </c>
      <c r="CY74" s="9">
        <v>0.94191702470000005</v>
      </c>
      <c r="CZ74" s="9">
        <v>68</v>
      </c>
      <c r="DA74" s="9">
        <v>43</v>
      </c>
      <c r="DB74" s="9">
        <v>12</v>
      </c>
      <c r="DC74" s="9">
        <v>19</v>
      </c>
      <c r="DD74" s="9">
        <v>1</v>
      </c>
      <c r="DE74" s="9">
        <v>4</v>
      </c>
      <c r="DF74" s="9">
        <v>2</v>
      </c>
      <c r="DG74" s="9">
        <v>0</v>
      </c>
      <c r="DH74" s="9">
        <v>13</v>
      </c>
      <c r="DI74" s="9">
        <v>1</v>
      </c>
      <c r="DJ74" s="9">
        <v>7</v>
      </c>
      <c r="DK74" s="9">
        <v>4</v>
      </c>
      <c r="DL74" s="9">
        <v>0</v>
      </c>
      <c r="DM74" s="9">
        <v>12</v>
      </c>
      <c r="DN74" s="9">
        <v>0</v>
      </c>
      <c r="DO74" s="9">
        <v>90.91</v>
      </c>
      <c r="DP74" s="9">
        <v>24.67</v>
      </c>
      <c r="DQ74" s="9">
        <v>15.85</v>
      </c>
      <c r="DR74" s="9">
        <v>8.82</v>
      </c>
      <c r="DS74" s="9">
        <v>12.19</v>
      </c>
      <c r="DT74" s="9">
        <v>0.32</v>
      </c>
      <c r="DU74" s="9">
        <v>34.96</v>
      </c>
      <c r="DV74" s="9">
        <v>22.75</v>
      </c>
      <c r="DW74" s="9">
        <v>3.84</v>
      </c>
      <c r="DX74" s="9">
        <v>19.05</v>
      </c>
      <c r="DY74" s="9">
        <v>10.25</v>
      </c>
      <c r="DZ74" s="9">
        <v>3.58</v>
      </c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>
        <v>326</v>
      </c>
      <c r="EO74" s="9"/>
      <c r="EP74" s="9"/>
      <c r="EQ74" s="9"/>
      <c r="ER74" s="9"/>
      <c r="ES74" s="9"/>
      <c r="ET74" s="9"/>
      <c r="EU74">
        <v>1220.73</v>
      </c>
      <c r="EV74" s="9"/>
      <c r="EW74" s="9"/>
      <c r="EX74" s="9"/>
      <c r="EY74" s="9"/>
      <c r="EZ74" s="9"/>
      <c r="FA74" s="9"/>
      <c r="FB74" s="9">
        <v>45.642857142899999</v>
      </c>
      <c r="FC74" s="9">
        <v>63.3613636364</v>
      </c>
      <c r="FD74" s="9">
        <v>4743.8571428571004</v>
      </c>
      <c r="FE74" s="9">
        <v>33.450000000000003</v>
      </c>
      <c r="FF74" s="9">
        <v>549.86428571429997</v>
      </c>
      <c r="FG74" s="9">
        <v>885357.28</v>
      </c>
      <c r="FH74" s="9">
        <v>25302.63</v>
      </c>
      <c r="FI74" s="9">
        <v>50988.02</v>
      </c>
      <c r="FJ74" s="9">
        <v>337689.33</v>
      </c>
      <c r="FK74" s="9">
        <v>4897.47</v>
      </c>
      <c r="FL74" s="9">
        <v>13551.54</v>
      </c>
      <c r="FM74" s="9"/>
      <c r="FN74" s="9"/>
      <c r="FO74" s="9"/>
      <c r="FP74" s="9"/>
      <c r="FQ74" s="9"/>
      <c r="FR74" s="9"/>
      <c r="FS74" s="9"/>
      <c r="FT74" s="9">
        <v>547667.45000000007</v>
      </c>
      <c r="FU74" s="9">
        <v>20405.16</v>
      </c>
      <c r="FV74" s="9">
        <v>37436</v>
      </c>
      <c r="FW74" s="9"/>
      <c r="FX74" s="9"/>
      <c r="FY74" s="9"/>
      <c r="FZ74" s="9">
        <v>52752.42</v>
      </c>
      <c r="GA74" s="9">
        <v>1001316.18</v>
      </c>
      <c r="GB74" s="9">
        <v>287244.40999999997</v>
      </c>
      <c r="GC74" s="9">
        <v>714071.77</v>
      </c>
      <c r="GD74" s="9">
        <v>687296.07000000007</v>
      </c>
      <c r="GE74" s="9">
        <v>36947.800000000003</v>
      </c>
      <c r="GF74" s="9">
        <v>650348.27</v>
      </c>
      <c r="GG74" s="9">
        <v>314020.11</v>
      </c>
      <c r="GH74" s="9">
        <v>250296.61</v>
      </c>
      <c r="GI74" s="9">
        <v>63723.5</v>
      </c>
      <c r="GJ74" s="9">
        <v>68797.710000000006</v>
      </c>
      <c r="GK74" s="9">
        <v>1587994.49</v>
      </c>
      <c r="GL74" s="9">
        <v>209390.48</v>
      </c>
      <c r="GM74">
        <v>1216</v>
      </c>
      <c r="GO74" s="6"/>
      <c r="GP74" s="6"/>
      <c r="GQ74" s="6"/>
    </row>
    <row r="75" spans="1:199" x14ac:dyDescent="0.2">
      <c r="A75" s="8">
        <v>2006</v>
      </c>
      <c r="B75" s="8" t="s">
        <v>295</v>
      </c>
      <c r="C75" s="8" t="s">
        <v>297</v>
      </c>
      <c r="D75" s="9"/>
      <c r="E75" s="9"/>
      <c r="F75" s="9"/>
      <c r="G75" s="9"/>
      <c r="H75" s="9"/>
      <c r="I75" s="9"/>
      <c r="J75" s="9"/>
      <c r="K75" s="9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  <c r="AA75" s="9"/>
      <c r="AB75" s="9"/>
      <c r="AC75" s="9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>
        <v>84150.399999999994</v>
      </c>
      <c r="BO75" s="9">
        <v>74184</v>
      </c>
      <c r="BP75" s="9">
        <v>31921.1</v>
      </c>
      <c r="BQ75" s="9">
        <v>27193</v>
      </c>
      <c r="BR75" s="9">
        <v>4728.2</v>
      </c>
      <c r="BS75" s="9">
        <v>6864.5</v>
      </c>
      <c r="BT75" s="9">
        <v>14684.9</v>
      </c>
      <c r="BU75" s="9">
        <v>6795.2</v>
      </c>
      <c r="BV75" s="9">
        <v>7721.9</v>
      </c>
      <c r="BW75" s="9">
        <v>56422.2</v>
      </c>
      <c r="BX75" s="9">
        <v>1593.5</v>
      </c>
      <c r="BY75" s="9">
        <v>22737.599999999999</v>
      </c>
      <c r="BZ75" s="9">
        <v>13711.2</v>
      </c>
      <c r="CA75" s="9">
        <v>2476.9</v>
      </c>
      <c r="CB75" s="9">
        <v>0</v>
      </c>
      <c r="CC75" s="9">
        <v>0</v>
      </c>
      <c r="CD75" s="9">
        <v>0</v>
      </c>
      <c r="CE75" s="9">
        <v>3152.2</v>
      </c>
      <c r="CF75" s="9">
        <v>262113.53648241999</v>
      </c>
      <c r="CG75" s="9">
        <v>1145392.2909906751</v>
      </c>
      <c r="CH75" s="9"/>
      <c r="CI75" s="9"/>
      <c r="CJ75" s="9">
        <v>27.57</v>
      </c>
      <c r="CK75" s="9">
        <v>15.36</v>
      </c>
      <c r="CL75" s="9"/>
      <c r="CM75" s="9">
        <v>35.8257836075</v>
      </c>
      <c r="CN75" s="9">
        <v>14.436522631800001</v>
      </c>
      <c r="CO75" s="9">
        <v>1.0039289392999999</v>
      </c>
      <c r="CP75" s="9">
        <v>5.4082790255999997</v>
      </c>
      <c r="CQ75" s="9">
        <v>3.7907945350999999</v>
      </c>
      <c r="CR75" s="9">
        <v>2.0015308178</v>
      </c>
      <c r="CS75" s="9">
        <v>0.62730723639999997</v>
      </c>
      <c r="CT75" s="9">
        <v>3.2604886818000001</v>
      </c>
      <c r="CU75" s="9">
        <v>1.0150350334</v>
      </c>
      <c r="CV75" s="9">
        <v>1.0855533974</v>
      </c>
      <c r="CW75" s="9">
        <v>1.8920352064999999</v>
      </c>
      <c r="CX75" s="9">
        <v>0.36135091940000003</v>
      </c>
      <c r="CY75" s="9">
        <v>0.94295718299999998</v>
      </c>
      <c r="CZ75" s="9">
        <v>69</v>
      </c>
      <c r="DA75" s="9">
        <v>55</v>
      </c>
      <c r="DB75" s="9">
        <v>11</v>
      </c>
      <c r="DC75" s="9">
        <v>33</v>
      </c>
      <c r="DD75" s="9">
        <v>0</v>
      </c>
      <c r="DE75" s="9">
        <v>4</v>
      </c>
      <c r="DF75" s="9">
        <v>1</v>
      </c>
      <c r="DG75" s="9">
        <v>0</v>
      </c>
      <c r="DH75" s="9">
        <v>5</v>
      </c>
      <c r="DI75" s="9">
        <v>0</v>
      </c>
      <c r="DJ75" s="9">
        <v>3</v>
      </c>
      <c r="DK75" s="9">
        <v>2</v>
      </c>
      <c r="DL75" s="9">
        <v>0</v>
      </c>
      <c r="DM75" s="9">
        <v>9</v>
      </c>
      <c r="DN75" s="9">
        <v>0</v>
      </c>
      <c r="DO75" s="9">
        <v>76.45</v>
      </c>
      <c r="DP75" s="9">
        <v>25.31</v>
      </c>
      <c r="DQ75" s="9">
        <v>18.850000000000001</v>
      </c>
      <c r="DR75" s="9">
        <v>6.46</v>
      </c>
      <c r="DS75" s="9">
        <v>9.32</v>
      </c>
      <c r="DT75" s="9">
        <v>0.83</v>
      </c>
      <c r="DU75" s="9">
        <v>22.85</v>
      </c>
      <c r="DV75" s="9">
        <v>15.43</v>
      </c>
      <c r="DW75" s="9">
        <v>3.37</v>
      </c>
      <c r="DX75" s="9">
        <v>16.45</v>
      </c>
      <c r="DY75" s="9">
        <v>6.34</v>
      </c>
      <c r="DZ75" s="9">
        <v>2.79</v>
      </c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>
        <v>340.7</v>
      </c>
      <c r="EO75" s="9"/>
      <c r="EP75" s="9"/>
      <c r="EQ75" s="9"/>
      <c r="ER75" s="9"/>
      <c r="ES75" s="9"/>
      <c r="ET75" s="9"/>
      <c r="EU75">
        <v>1210.21</v>
      </c>
      <c r="EV75" s="9"/>
      <c r="EW75" s="9"/>
      <c r="EX75" s="9"/>
      <c r="EY75" s="9"/>
      <c r="EZ75" s="9"/>
      <c r="FA75" s="9"/>
      <c r="FB75" s="9">
        <v>50.919642857100001</v>
      </c>
      <c r="FC75" s="9">
        <v>59.923499999999997</v>
      </c>
      <c r="FD75" s="9">
        <v>4974.9750000000004</v>
      </c>
      <c r="FE75" s="9">
        <v>33.450000000000003</v>
      </c>
      <c r="FF75" s="9">
        <v>554.995</v>
      </c>
      <c r="FG75" s="9">
        <v>904630.84</v>
      </c>
      <c r="FH75" s="9">
        <v>25208.94</v>
      </c>
      <c r="FI75" s="9">
        <v>51839.7</v>
      </c>
      <c r="FJ75" s="9">
        <v>346792.33</v>
      </c>
      <c r="FK75" s="9">
        <v>4075.4</v>
      </c>
      <c r="FL75" s="9">
        <v>14580.36</v>
      </c>
      <c r="FM75" s="9"/>
      <c r="FN75" s="9"/>
      <c r="FO75" s="9"/>
      <c r="FP75" s="9"/>
      <c r="FQ75" s="9"/>
      <c r="FR75" s="9"/>
      <c r="FS75" s="9"/>
      <c r="FT75" s="9">
        <v>557838.03</v>
      </c>
      <c r="FU75" s="9">
        <v>21133.53</v>
      </c>
      <c r="FV75" s="9">
        <v>37258.870000000003</v>
      </c>
      <c r="FW75" s="9"/>
      <c r="FX75" s="9"/>
      <c r="FY75" s="9"/>
      <c r="FZ75" s="9">
        <v>50757.26</v>
      </c>
      <c r="GA75" s="9">
        <v>1023633.93</v>
      </c>
      <c r="GB75" s="9">
        <v>304190.56</v>
      </c>
      <c r="GC75" s="9">
        <v>719443.36999999988</v>
      </c>
      <c r="GD75" s="9">
        <v>698918.79999999993</v>
      </c>
      <c r="GE75" s="9">
        <v>37750.86</v>
      </c>
      <c r="GF75" s="9">
        <v>661167.93999999994</v>
      </c>
      <c r="GG75" s="9">
        <v>324715.13000000012</v>
      </c>
      <c r="GH75" s="9">
        <v>266439.7</v>
      </c>
      <c r="GI75" s="9">
        <v>58275.43</v>
      </c>
      <c r="GJ75" s="9">
        <v>70695.3</v>
      </c>
      <c r="GK75" s="9">
        <v>1614047.4</v>
      </c>
      <c r="GL75" s="9">
        <v>212597.12</v>
      </c>
      <c r="GM75">
        <v>1200</v>
      </c>
      <c r="GO75" s="6"/>
      <c r="GP75" s="6"/>
      <c r="GQ75" s="6"/>
    </row>
    <row r="76" spans="1:199" x14ac:dyDescent="0.2">
      <c r="A76" s="8">
        <v>2006</v>
      </c>
      <c r="B76" s="8" t="s">
        <v>295</v>
      </c>
      <c r="C76" s="8" t="s">
        <v>298</v>
      </c>
      <c r="D76" s="9">
        <v>671623.2</v>
      </c>
      <c r="E76" s="9">
        <v>55320.5</v>
      </c>
      <c r="F76" s="9">
        <v>182156.4</v>
      </c>
      <c r="G76" s="9">
        <v>36665.1</v>
      </c>
      <c r="H76" s="9">
        <v>30886.7</v>
      </c>
      <c r="I76" s="9">
        <v>3939.4</v>
      </c>
      <c r="J76" s="9">
        <v>38757.699999999997</v>
      </c>
      <c r="K76" s="9">
        <v>61975.6</v>
      </c>
      <c r="L76" s="9">
        <v>22206.2</v>
      </c>
      <c r="M76" s="9">
        <v>161058.4</v>
      </c>
      <c r="N76" s="9">
        <v>78657.2</v>
      </c>
      <c r="O76" s="9">
        <v>1863864.2881483079</v>
      </c>
      <c r="P76" s="9">
        <v>123961.65635687621</v>
      </c>
      <c r="Q76" s="9">
        <v>297717.06082800432</v>
      </c>
      <c r="R76" s="9">
        <v>142531.5310741654</v>
      </c>
      <c r="S76" s="9">
        <v>94105.857621865202</v>
      </c>
      <c r="T76" s="9">
        <v>23150.9479859889</v>
      </c>
      <c r="U76" s="9">
        <v>140601.80731170619</v>
      </c>
      <c r="V76" s="9">
        <v>94112.725354135997</v>
      </c>
      <c r="W76" s="9">
        <v>39991.306533434901</v>
      </c>
      <c r="X76" s="9">
        <v>743757.98134909978</v>
      </c>
      <c r="Y76" s="9">
        <v>163933.41373303099</v>
      </c>
      <c r="Z76" s="9">
        <v>658619</v>
      </c>
      <c r="AA76" s="9">
        <v>474776.5</v>
      </c>
      <c r="AB76" s="9">
        <v>94444.5</v>
      </c>
      <c r="AC76" s="9">
        <v>77221.2</v>
      </c>
      <c r="AD76" s="9">
        <v>6072.6</v>
      </c>
      <c r="AE76" s="9">
        <v>382557.6</v>
      </c>
      <c r="AF76" s="9">
        <v>376453.4</v>
      </c>
      <c r="AG76" s="9">
        <v>1858361.5142389841</v>
      </c>
      <c r="AH76" s="9">
        <v>1341281.1814786859</v>
      </c>
      <c r="AI76" s="9">
        <v>348320.55404016102</v>
      </c>
      <c r="AJ76" s="9">
        <v>219460.10311159419</v>
      </c>
      <c r="AK76" s="9">
        <v>22807.488984650601</v>
      </c>
      <c r="AL76" s="9">
        <v>505643.15624253987</v>
      </c>
      <c r="AM76" s="9">
        <v>579150.96961864864</v>
      </c>
      <c r="AN76" s="9"/>
      <c r="AO76" s="9"/>
      <c r="AP76" s="9"/>
      <c r="AQ76" s="9"/>
      <c r="AR76" s="9"/>
      <c r="AS76" s="9"/>
      <c r="AT76" s="9"/>
      <c r="AU76" s="9"/>
      <c r="AV76" s="9"/>
      <c r="AW76" s="9">
        <v>116.6</v>
      </c>
      <c r="AX76" s="9">
        <v>57.4</v>
      </c>
      <c r="AY76" s="9">
        <v>147.69999999999999</v>
      </c>
      <c r="AZ76" s="9">
        <v>110.1</v>
      </c>
      <c r="BA76" s="9">
        <v>136.30000000000001</v>
      </c>
      <c r="BB76" s="9"/>
      <c r="BC76" s="9">
        <v>124.9</v>
      </c>
      <c r="BD76" s="9">
        <v>80</v>
      </c>
      <c r="BE76" s="9">
        <v>118.8</v>
      </c>
      <c r="BF76" s="9">
        <v>107.1</v>
      </c>
      <c r="BG76" s="9"/>
      <c r="BH76" s="9">
        <v>249.7</v>
      </c>
      <c r="BI76" s="9">
        <v>79.7</v>
      </c>
      <c r="BJ76" s="9">
        <v>108.9</v>
      </c>
      <c r="BK76" s="9">
        <v>101.8</v>
      </c>
      <c r="BL76" s="9"/>
      <c r="BM76" s="9">
        <v>85</v>
      </c>
      <c r="BN76" s="9">
        <v>73926</v>
      </c>
      <c r="BO76" s="9">
        <v>63332.7</v>
      </c>
      <c r="BP76" s="9">
        <v>16574.8</v>
      </c>
      <c r="BQ76" s="9">
        <v>9922.9</v>
      </c>
      <c r="BR76" s="9">
        <v>6652</v>
      </c>
      <c r="BS76" s="9">
        <v>9280.2999999999993</v>
      </c>
      <c r="BT76" s="9">
        <v>19020.5</v>
      </c>
      <c r="BU76" s="9">
        <v>6500.6</v>
      </c>
      <c r="BV76" s="9">
        <v>9590.6</v>
      </c>
      <c r="BW76" s="9">
        <v>58236</v>
      </c>
      <c r="BX76" s="9">
        <v>-1820.8</v>
      </c>
      <c r="BY76" s="9">
        <v>21868.9</v>
      </c>
      <c r="BZ76" s="9">
        <v>16644.2</v>
      </c>
      <c r="CA76" s="9">
        <v>447</v>
      </c>
      <c r="CB76" s="9">
        <v>0</v>
      </c>
      <c r="CC76" s="9">
        <v>0</v>
      </c>
      <c r="CD76" s="9">
        <v>0</v>
      </c>
      <c r="CE76" s="9">
        <v>5006.6000000000004</v>
      </c>
      <c r="CF76" s="9">
        <v>274375.73268376</v>
      </c>
      <c r="CG76" s="9">
        <v>1191241.285096874</v>
      </c>
      <c r="CH76" s="9"/>
      <c r="CI76" s="9"/>
      <c r="CJ76" s="9">
        <v>28.34</v>
      </c>
      <c r="CK76" s="9">
        <v>15.83</v>
      </c>
      <c r="CL76" s="9"/>
      <c r="CM76" s="9">
        <v>35.8954451846</v>
      </c>
      <c r="CN76" s="9">
        <v>14.5915820305</v>
      </c>
      <c r="CO76" s="9">
        <v>1.0005539044</v>
      </c>
      <c r="CP76" s="9">
        <v>5.4299372944000002</v>
      </c>
      <c r="CQ76" s="9">
        <v>3.7632602923</v>
      </c>
      <c r="CR76" s="9">
        <v>2.0072563999000002</v>
      </c>
      <c r="CS76" s="9">
        <v>0.62964255899999999</v>
      </c>
      <c r="CT76" s="9">
        <v>3.2660362536999998</v>
      </c>
      <c r="CU76" s="9">
        <v>0.91147450990000001</v>
      </c>
      <c r="CV76" s="9">
        <v>1.0958545037</v>
      </c>
      <c r="CW76" s="9">
        <v>1.8927719819</v>
      </c>
      <c r="CX76" s="9">
        <v>0.36207468440000001</v>
      </c>
      <c r="CY76" s="9">
        <v>0.94500077069999999</v>
      </c>
      <c r="CZ76" s="9">
        <v>104</v>
      </c>
      <c r="DA76" s="9">
        <v>82</v>
      </c>
      <c r="DB76" s="9">
        <v>12</v>
      </c>
      <c r="DC76" s="9">
        <v>52</v>
      </c>
      <c r="DD76" s="9">
        <v>0</v>
      </c>
      <c r="DE76" s="9">
        <v>5</v>
      </c>
      <c r="DF76" s="9">
        <v>3</v>
      </c>
      <c r="DG76" s="9">
        <v>1</v>
      </c>
      <c r="DH76" s="9">
        <v>11</v>
      </c>
      <c r="DI76" s="9">
        <v>1</v>
      </c>
      <c r="DJ76" s="9">
        <v>6</v>
      </c>
      <c r="DK76" s="9">
        <v>2</v>
      </c>
      <c r="DL76" s="9">
        <v>0</v>
      </c>
      <c r="DM76" s="9">
        <v>10</v>
      </c>
      <c r="DN76" s="9">
        <v>0</v>
      </c>
      <c r="DO76" s="9">
        <v>90.62</v>
      </c>
      <c r="DP76" s="9">
        <v>21.25</v>
      </c>
      <c r="DQ76" s="9">
        <v>12.17</v>
      </c>
      <c r="DR76" s="9">
        <v>9.08</v>
      </c>
      <c r="DS76" s="9">
        <v>11.55</v>
      </c>
      <c r="DT76" s="9">
        <v>0.54</v>
      </c>
      <c r="DU76" s="9">
        <v>30.19</v>
      </c>
      <c r="DV76" s="9">
        <v>18.96</v>
      </c>
      <c r="DW76" s="9">
        <v>7.36</v>
      </c>
      <c r="DX76" s="9">
        <v>27.58</v>
      </c>
      <c r="DY76" s="9">
        <v>13.56</v>
      </c>
      <c r="DZ76" s="9">
        <v>4.42</v>
      </c>
      <c r="EA76" s="9">
        <v>73.367760000000004</v>
      </c>
      <c r="EB76" s="9">
        <v>5.7621599999999997</v>
      </c>
      <c r="EC76" s="9">
        <v>1.2045600000000001</v>
      </c>
      <c r="ED76" s="9">
        <v>-2.85561</v>
      </c>
      <c r="EE76" s="9">
        <v>69.256649999999993</v>
      </c>
      <c r="EF76" s="9">
        <v>0</v>
      </c>
      <c r="EG76" s="9">
        <v>-16.838000000000001</v>
      </c>
      <c r="EH76" s="9">
        <v>-24.4</v>
      </c>
      <c r="EI76" s="9">
        <v>0</v>
      </c>
      <c r="EJ76" s="9">
        <v>0</v>
      </c>
      <c r="EK76" s="9">
        <v>7.56196</v>
      </c>
      <c r="EL76" s="9">
        <v>-38.102400000000003</v>
      </c>
      <c r="EM76" s="9">
        <v>52.103349999999999</v>
      </c>
      <c r="EN76" s="9">
        <v>382.9</v>
      </c>
      <c r="EO76" s="9"/>
      <c r="EP76" s="9"/>
      <c r="EQ76" s="9"/>
      <c r="ER76" s="9"/>
      <c r="ES76" s="9"/>
      <c r="ET76" s="9"/>
      <c r="EU76">
        <v>1183.23</v>
      </c>
      <c r="EV76" s="9">
        <v>4591.67</v>
      </c>
      <c r="EW76" s="9">
        <v>1315.21</v>
      </c>
      <c r="EX76" s="9">
        <v>18.29</v>
      </c>
      <c r="EY76" s="9">
        <v>45.97</v>
      </c>
      <c r="EZ76" s="9">
        <v>788.62</v>
      </c>
      <c r="FA76" s="9">
        <v>2423.58</v>
      </c>
      <c r="FB76" s="9">
        <v>53.212732919300002</v>
      </c>
      <c r="FC76" s="9">
        <v>62.253913043499999</v>
      </c>
      <c r="FD76" s="9">
        <v>5123.6739130434999</v>
      </c>
      <c r="FE76" s="9">
        <v>33.450000000000003</v>
      </c>
      <c r="FF76" s="9">
        <v>557.09347826090004</v>
      </c>
      <c r="FG76" s="9">
        <v>951677.38</v>
      </c>
      <c r="FH76" s="9">
        <v>26436.21</v>
      </c>
      <c r="FI76" s="9">
        <v>54385.62</v>
      </c>
      <c r="FJ76" s="9">
        <v>363810.98</v>
      </c>
      <c r="FK76" s="9">
        <v>4683.67</v>
      </c>
      <c r="FL76" s="9">
        <v>14230.4</v>
      </c>
      <c r="FM76" s="9"/>
      <c r="FN76" s="9"/>
      <c r="FO76" s="9"/>
      <c r="FP76" s="9"/>
      <c r="FQ76" s="9"/>
      <c r="FR76" s="9"/>
      <c r="FS76" s="9"/>
      <c r="FT76" s="9">
        <v>587865.94000000006</v>
      </c>
      <c r="FU76" s="9">
        <v>21752.54</v>
      </c>
      <c r="FV76" s="9">
        <v>40154.75</v>
      </c>
      <c r="FW76" s="9"/>
      <c r="FX76" s="9"/>
      <c r="FY76" s="9"/>
      <c r="FZ76" s="9">
        <v>53475.42</v>
      </c>
      <c r="GA76" s="9">
        <v>1054687.8999999999</v>
      </c>
      <c r="GB76" s="9">
        <v>316389.09999999998</v>
      </c>
      <c r="GC76" s="9">
        <v>738298.79999999993</v>
      </c>
      <c r="GD76" s="9">
        <v>717277.25</v>
      </c>
      <c r="GE76" s="9">
        <v>38959.18</v>
      </c>
      <c r="GF76" s="9">
        <v>678318.07</v>
      </c>
      <c r="GG76" s="9">
        <v>337410.65</v>
      </c>
      <c r="GH76" s="9">
        <v>277429.92</v>
      </c>
      <c r="GI76" s="9">
        <v>59980.73</v>
      </c>
      <c r="GJ76" s="9">
        <v>80762.48</v>
      </c>
      <c r="GK76" s="9">
        <v>1671673.18</v>
      </c>
      <c r="GL76" s="9">
        <v>226021.13</v>
      </c>
      <c r="GM76">
        <v>1174</v>
      </c>
      <c r="GO76" s="6"/>
      <c r="GP76" s="6"/>
      <c r="GQ76" s="6"/>
    </row>
    <row r="77" spans="1:199" x14ac:dyDescent="0.2">
      <c r="A77" s="8">
        <v>2006</v>
      </c>
      <c r="B77" s="8" t="s">
        <v>299</v>
      </c>
      <c r="C77" s="8" t="s">
        <v>300</v>
      </c>
      <c r="D77" s="9"/>
      <c r="E77" s="9"/>
      <c r="F77" s="9"/>
      <c r="G77" s="9"/>
      <c r="H77" s="9"/>
      <c r="I77" s="9"/>
      <c r="J77" s="9"/>
      <c r="K77" s="9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  <c r="AA77" s="9"/>
      <c r="AB77" s="9"/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>
        <v>81589.8</v>
      </c>
      <c r="BO77" s="9">
        <v>55314.6</v>
      </c>
      <c r="BP77" s="9">
        <v>13002.9</v>
      </c>
      <c r="BQ77" s="9">
        <v>6959.7</v>
      </c>
      <c r="BR77" s="9">
        <v>6043.1</v>
      </c>
      <c r="BS77" s="9">
        <v>6568.9</v>
      </c>
      <c r="BT77" s="9">
        <v>17864.7</v>
      </c>
      <c r="BU77" s="9">
        <v>5936</v>
      </c>
      <c r="BV77" s="9">
        <v>26028.1</v>
      </c>
      <c r="BW77" s="9">
        <v>60019.8</v>
      </c>
      <c r="BX77" s="9">
        <v>6927.8</v>
      </c>
      <c r="BY77" s="9">
        <v>23209.9</v>
      </c>
      <c r="BZ77" s="9">
        <v>15514</v>
      </c>
      <c r="CA77" s="9">
        <v>2385.3000000000002</v>
      </c>
      <c r="CB77" s="9">
        <v>0</v>
      </c>
      <c r="CC77" s="9">
        <v>0</v>
      </c>
      <c r="CD77" s="9">
        <v>0</v>
      </c>
      <c r="CE77" s="9">
        <v>6795.3</v>
      </c>
      <c r="CF77" s="9">
        <v>292829.01256528997</v>
      </c>
      <c r="CG77" s="9">
        <v>1251237.258338741</v>
      </c>
      <c r="CH77" s="9"/>
      <c r="CI77" s="9"/>
      <c r="CJ77" s="9">
        <v>27.3</v>
      </c>
      <c r="CK77" s="9">
        <v>16.2</v>
      </c>
      <c r="CL77" s="9"/>
      <c r="CM77" s="9">
        <v>36.782880470099997</v>
      </c>
      <c r="CN77" s="9">
        <v>15.4375188101</v>
      </c>
      <c r="CO77" s="9">
        <v>1.0047026435999999</v>
      </c>
      <c r="CP77" s="9">
        <v>5.4449551132999998</v>
      </c>
      <c r="CQ77" s="9">
        <v>3.7644345383000002</v>
      </c>
      <c r="CR77" s="9">
        <v>2.0115295693999999</v>
      </c>
      <c r="CS77" s="9">
        <v>0.63482451129999995</v>
      </c>
      <c r="CT77" s="9">
        <v>3.2656323934000002</v>
      </c>
      <c r="CU77" s="9">
        <v>0.90589371829999998</v>
      </c>
      <c r="CV77" s="9">
        <v>1.0961205951999999</v>
      </c>
      <c r="CW77" s="9">
        <v>1.9070295461</v>
      </c>
      <c r="CX77" s="9">
        <v>0.36519768870000002</v>
      </c>
      <c r="CY77" s="9">
        <v>0.94504134220000002</v>
      </c>
      <c r="CZ77" s="9">
        <v>107</v>
      </c>
      <c r="DA77" s="9">
        <v>87</v>
      </c>
      <c r="DB77" s="9">
        <v>24</v>
      </c>
      <c r="DC77" s="9">
        <v>43</v>
      </c>
      <c r="DD77" s="9">
        <v>1</v>
      </c>
      <c r="DE77" s="9">
        <v>5</v>
      </c>
      <c r="DF77" s="9">
        <v>5</v>
      </c>
      <c r="DG77" s="9">
        <v>1</v>
      </c>
      <c r="DH77" s="9">
        <v>11</v>
      </c>
      <c r="DI77" s="9">
        <v>0</v>
      </c>
      <c r="DJ77" s="9">
        <v>2</v>
      </c>
      <c r="DK77" s="9">
        <v>8</v>
      </c>
      <c r="DL77" s="9">
        <v>0</v>
      </c>
      <c r="DM77" s="9">
        <v>8</v>
      </c>
      <c r="DN77" s="9">
        <v>0</v>
      </c>
      <c r="DO77" s="9">
        <v>112.72</v>
      </c>
      <c r="DP77" s="9">
        <v>25.12</v>
      </c>
      <c r="DQ77" s="9">
        <v>16.22</v>
      </c>
      <c r="DR77" s="9">
        <v>8.9</v>
      </c>
      <c r="DS77" s="9">
        <v>13.36</v>
      </c>
      <c r="DT77" s="9">
        <v>0.57999999999999996</v>
      </c>
      <c r="DU77" s="9">
        <v>42.96</v>
      </c>
      <c r="DV77" s="9">
        <v>25.78</v>
      </c>
      <c r="DW77" s="9">
        <v>7.91</v>
      </c>
      <c r="DX77" s="9">
        <v>31.25</v>
      </c>
      <c r="DY77" s="9">
        <v>17.98</v>
      </c>
      <c r="DZ77" s="9">
        <v>3.3</v>
      </c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>
        <v>379</v>
      </c>
      <c r="EO77" s="9"/>
      <c r="EP77" s="9"/>
      <c r="EQ77" s="9"/>
      <c r="ER77" s="9"/>
      <c r="ES77" s="9"/>
      <c r="ET77" s="9"/>
      <c r="EU77">
        <v>1186.27</v>
      </c>
      <c r="EV77" s="9"/>
      <c r="EW77" s="9"/>
      <c r="EX77" s="9"/>
      <c r="EY77" s="9"/>
      <c r="EZ77" s="9"/>
      <c r="FA77" s="9"/>
      <c r="FB77" s="9">
        <v>56.470238095200003</v>
      </c>
      <c r="FC77" s="9">
        <v>70.432500000000005</v>
      </c>
      <c r="FD77" s="9">
        <v>6404.4444444443998</v>
      </c>
      <c r="FE77" s="9">
        <v>33.450000000000003</v>
      </c>
      <c r="FF77" s="9">
        <v>610.6527777778</v>
      </c>
      <c r="FG77" s="9">
        <v>981785.83</v>
      </c>
      <c r="FH77" s="9">
        <v>26126.23</v>
      </c>
      <c r="FI77" s="9">
        <v>55438.5</v>
      </c>
      <c r="FJ77" s="9">
        <v>377125.76</v>
      </c>
      <c r="FK77" s="9">
        <v>5356.71</v>
      </c>
      <c r="FL77" s="9">
        <v>15072.87</v>
      </c>
      <c r="FM77" s="9"/>
      <c r="FN77" s="9"/>
      <c r="FO77" s="9"/>
      <c r="FP77" s="9"/>
      <c r="FQ77" s="9"/>
      <c r="FR77" s="9"/>
      <c r="FS77" s="9"/>
      <c r="FT77" s="9">
        <v>604659.58999999985</v>
      </c>
      <c r="FU77" s="9">
        <v>20769.52</v>
      </c>
      <c r="FV77" s="9">
        <v>40365.15</v>
      </c>
      <c r="FW77" s="9"/>
      <c r="FX77" s="9"/>
      <c r="FY77" s="9"/>
      <c r="FZ77" s="9">
        <v>56664.05</v>
      </c>
      <c r="GA77" s="9">
        <v>1084145.1100000001</v>
      </c>
      <c r="GB77" s="9">
        <v>322108.68999999989</v>
      </c>
      <c r="GC77" s="9">
        <v>762036.42</v>
      </c>
      <c r="GD77" s="9">
        <v>735793.03999999992</v>
      </c>
      <c r="GE77" s="9">
        <v>42957.31</v>
      </c>
      <c r="GF77" s="9">
        <v>692835.73</v>
      </c>
      <c r="GG77" s="9">
        <v>348352.07</v>
      </c>
      <c r="GH77" s="9">
        <v>279151.38</v>
      </c>
      <c r="GI77" s="9">
        <v>69200.69</v>
      </c>
      <c r="GJ77" s="9">
        <v>82133.570000000007</v>
      </c>
      <c r="GK77" s="9">
        <v>2037046.79</v>
      </c>
      <c r="GL77" s="9">
        <v>236114.05</v>
      </c>
      <c r="GM77">
        <v>1191</v>
      </c>
      <c r="GO77" s="6"/>
      <c r="GP77" s="6"/>
      <c r="GQ77" s="6"/>
    </row>
    <row r="78" spans="1:199" x14ac:dyDescent="0.2">
      <c r="A78" s="8">
        <v>2006</v>
      </c>
      <c r="B78" s="8" t="s">
        <v>299</v>
      </c>
      <c r="C78" s="8" t="s">
        <v>301</v>
      </c>
      <c r="D78" s="9"/>
      <c r="E78" s="9"/>
      <c r="F78" s="9"/>
      <c r="G78" s="9"/>
      <c r="H78" s="9"/>
      <c r="I78" s="9"/>
      <c r="J78" s="9"/>
      <c r="K78" s="9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  <c r="AA78" s="9"/>
      <c r="AB78" s="9"/>
      <c r="AC78" s="9"/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>
        <v>113160.8</v>
      </c>
      <c r="BO78" s="9">
        <v>74893.899999999994</v>
      </c>
      <c r="BP78" s="9">
        <v>18967.5</v>
      </c>
      <c r="BQ78" s="9">
        <v>12810.9</v>
      </c>
      <c r="BR78" s="9">
        <v>6156.6</v>
      </c>
      <c r="BS78" s="9">
        <v>8917.2999999999993</v>
      </c>
      <c r="BT78" s="9">
        <v>18207.900000000001</v>
      </c>
      <c r="BU78" s="9">
        <v>7931.3</v>
      </c>
      <c r="BV78" s="9">
        <v>38144.9</v>
      </c>
      <c r="BW78" s="9">
        <v>58272.4</v>
      </c>
      <c r="BX78" s="9">
        <v>-795.4</v>
      </c>
      <c r="BY78" s="9">
        <v>22584.400000000001</v>
      </c>
      <c r="BZ78" s="9">
        <v>16080.7</v>
      </c>
      <c r="CA78" s="9">
        <v>1433.7</v>
      </c>
      <c r="CB78" s="9">
        <v>0</v>
      </c>
      <c r="CC78" s="9">
        <v>0</v>
      </c>
      <c r="CD78" s="9">
        <v>0</v>
      </c>
      <c r="CE78" s="9">
        <v>6283.7</v>
      </c>
      <c r="CF78" s="9">
        <v>326227.34002136998</v>
      </c>
      <c r="CG78" s="9">
        <v>1402747.5607539141</v>
      </c>
      <c r="CH78" s="9"/>
      <c r="CI78" s="9"/>
      <c r="CJ78" s="9">
        <v>27.3</v>
      </c>
      <c r="CK78" s="9">
        <v>16.600000000000001</v>
      </c>
      <c r="CL78" s="9"/>
      <c r="CM78" s="9">
        <v>37.2011200245</v>
      </c>
      <c r="CN78" s="9">
        <v>15.7788308838</v>
      </c>
      <c r="CO78" s="9">
        <v>1.0019751578</v>
      </c>
      <c r="CP78" s="9">
        <v>5.4407203462</v>
      </c>
      <c r="CQ78" s="9">
        <v>3.7971873739999999</v>
      </c>
      <c r="CR78" s="9">
        <v>2.0151099495000002</v>
      </c>
      <c r="CS78" s="9">
        <v>0.63459000679999999</v>
      </c>
      <c r="CT78" s="9">
        <v>3.3149963829</v>
      </c>
      <c r="CU78" s="9">
        <v>0.86386556339999998</v>
      </c>
      <c r="CV78" s="9">
        <v>1.1077012850000001</v>
      </c>
      <c r="CW78" s="9">
        <v>1.9102656848999999</v>
      </c>
      <c r="CX78" s="9">
        <v>0.36664116089999998</v>
      </c>
      <c r="CY78" s="9">
        <v>0.96923622929999997</v>
      </c>
      <c r="CZ78" s="9">
        <v>127</v>
      </c>
      <c r="DA78" s="9">
        <v>86</v>
      </c>
      <c r="DB78" s="9">
        <v>18</v>
      </c>
      <c r="DC78" s="9">
        <v>45</v>
      </c>
      <c r="DD78" s="9">
        <v>2</v>
      </c>
      <c r="DE78" s="9">
        <v>7</v>
      </c>
      <c r="DF78" s="9">
        <v>3</v>
      </c>
      <c r="DG78" s="9">
        <v>2</v>
      </c>
      <c r="DH78" s="9">
        <v>28</v>
      </c>
      <c r="DI78" s="9">
        <v>0</v>
      </c>
      <c r="DJ78" s="9">
        <v>1</v>
      </c>
      <c r="DK78" s="9">
        <v>25</v>
      </c>
      <c r="DL78" s="9">
        <v>0</v>
      </c>
      <c r="DM78" s="9">
        <v>13</v>
      </c>
      <c r="DN78" s="9">
        <v>0</v>
      </c>
      <c r="DO78" s="9">
        <v>127.2</v>
      </c>
      <c r="DP78" s="9">
        <v>32.75</v>
      </c>
      <c r="DQ78" s="9">
        <v>20.27</v>
      </c>
      <c r="DR78" s="9">
        <v>12.48</v>
      </c>
      <c r="DS78" s="9">
        <v>16.75</v>
      </c>
      <c r="DT78" s="9">
        <v>0.61</v>
      </c>
      <c r="DU78" s="9">
        <v>48.15</v>
      </c>
      <c r="DV78" s="9">
        <v>30.89</v>
      </c>
      <c r="DW78" s="9">
        <v>11.2</v>
      </c>
      <c r="DX78" s="9">
        <v>29.32</v>
      </c>
      <c r="DY78" s="9">
        <v>14.29</v>
      </c>
      <c r="DZ78" s="9">
        <v>4.63</v>
      </c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>
        <v>425.3</v>
      </c>
      <c r="EO78" s="9"/>
      <c r="EP78" s="9"/>
      <c r="EQ78" s="9"/>
      <c r="ER78" s="9"/>
      <c r="ES78" s="9"/>
      <c r="ET78" s="9"/>
      <c r="EU78">
        <v>1182.55</v>
      </c>
      <c r="EV78" s="9"/>
      <c r="EW78" s="9"/>
      <c r="EX78" s="9"/>
      <c r="EY78" s="9"/>
      <c r="EZ78" s="9"/>
      <c r="FA78" s="9"/>
      <c r="FB78" s="9">
        <v>56.7219387755</v>
      </c>
      <c r="FC78" s="9">
        <v>70.266956521699996</v>
      </c>
      <c r="FD78" s="9">
        <v>8059.1904761904998</v>
      </c>
      <c r="FE78" s="9">
        <v>33.450000000000003</v>
      </c>
      <c r="FF78" s="9">
        <v>675.39285714289997</v>
      </c>
      <c r="FG78" s="9">
        <v>1003032.81</v>
      </c>
      <c r="FH78" s="9">
        <v>25398.05</v>
      </c>
      <c r="FI78" s="9">
        <v>56343.56</v>
      </c>
      <c r="FJ78" s="9">
        <v>393537.34</v>
      </c>
      <c r="FK78" s="9">
        <v>5118.6000000000004</v>
      </c>
      <c r="FL78" s="9">
        <v>16191.51</v>
      </c>
      <c r="FM78" s="9"/>
      <c r="FN78" s="9"/>
      <c r="FO78" s="9"/>
      <c r="FP78" s="9"/>
      <c r="FQ78" s="9"/>
      <c r="FR78" s="9"/>
      <c r="FS78" s="9"/>
      <c r="FT78" s="9">
        <v>609494.9800000001</v>
      </c>
      <c r="FU78" s="9">
        <v>20279.45</v>
      </c>
      <c r="FV78" s="9">
        <v>40151.56</v>
      </c>
      <c r="FW78" s="9"/>
      <c r="FX78" s="9"/>
      <c r="FY78" s="9"/>
      <c r="FZ78" s="9">
        <v>60711.35</v>
      </c>
      <c r="GA78" s="9">
        <v>1212736.3500000001</v>
      </c>
      <c r="GB78" s="9">
        <v>331707.26</v>
      </c>
      <c r="GC78" s="9">
        <v>881029.09000000008</v>
      </c>
      <c r="GD78" s="9">
        <v>764468.5</v>
      </c>
      <c r="GE78" s="9">
        <v>42902.25</v>
      </c>
      <c r="GF78" s="9">
        <v>721566.25000000012</v>
      </c>
      <c r="GG78" s="9">
        <v>448267.85</v>
      </c>
      <c r="GH78" s="9">
        <v>288805.01</v>
      </c>
      <c r="GI78" s="9">
        <v>159462.84</v>
      </c>
      <c r="GJ78" s="9">
        <v>86949.13</v>
      </c>
      <c r="GK78" s="9">
        <v>2096266.69</v>
      </c>
      <c r="GL78" s="9">
        <v>240426.16</v>
      </c>
      <c r="GM78">
        <v>1175</v>
      </c>
      <c r="GO78" s="6"/>
      <c r="GP78" s="6"/>
      <c r="GQ78" s="6"/>
    </row>
    <row r="79" spans="1:199" x14ac:dyDescent="0.2">
      <c r="A79" s="8">
        <v>2006</v>
      </c>
      <c r="B79" s="8" t="s">
        <v>299</v>
      </c>
      <c r="C79" s="8" t="s">
        <v>302</v>
      </c>
      <c r="D79" s="9">
        <v>1150052.7</v>
      </c>
      <c r="E79" s="9">
        <v>317154.90000000002</v>
      </c>
      <c r="F79" s="9">
        <v>300712.2</v>
      </c>
      <c r="G79" s="9">
        <v>59492.9</v>
      </c>
      <c r="H79" s="9">
        <v>24730.9</v>
      </c>
      <c r="I79" s="9">
        <v>16774.900000000001</v>
      </c>
      <c r="J79" s="9">
        <v>48427.199999999997</v>
      </c>
      <c r="K79" s="9">
        <v>83364.2</v>
      </c>
      <c r="L79" s="9">
        <v>20545.2</v>
      </c>
      <c r="M79" s="9">
        <v>182416.4</v>
      </c>
      <c r="N79" s="9">
        <v>96433.8</v>
      </c>
      <c r="O79" s="9">
        <v>3191584.443507222</v>
      </c>
      <c r="P79" s="9">
        <v>758588.71795696719</v>
      </c>
      <c r="Q79" s="9">
        <v>524619.00099369546</v>
      </c>
      <c r="R79" s="9">
        <v>246863.5077786654</v>
      </c>
      <c r="S79" s="9">
        <v>80430.125884006295</v>
      </c>
      <c r="T79" s="9">
        <v>105228.2428747573</v>
      </c>
      <c r="U79" s="9">
        <v>187523.60602566009</v>
      </c>
      <c r="V79" s="9">
        <v>135126.6085727819</v>
      </c>
      <c r="W79" s="9">
        <v>39494.388984498299</v>
      </c>
      <c r="X79" s="9">
        <v>899178.30413751281</v>
      </c>
      <c r="Y79" s="9">
        <v>214531.94029867809</v>
      </c>
      <c r="Z79" s="9">
        <v>1127040.6000000001</v>
      </c>
      <c r="AA79" s="9">
        <v>423162.9</v>
      </c>
      <c r="AB79" s="9">
        <v>110128.7</v>
      </c>
      <c r="AC79" s="9">
        <v>506376.9</v>
      </c>
      <c r="AD79" s="9">
        <v>39075.699999999997</v>
      </c>
      <c r="AE79" s="9">
        <v>609503.30000000005</v>
      </c>
      <c r="AF79" s="9">
        <v>561206.9</v>
      </c>
      <c r="AG79" s="9">
        <v>3180061.4255355722</v>
      </c>
      <c r="AH79" s="9">
        <v>1214695.7010913787</v>
      </c>
      <c r="AI79" s="9">
        <v>412697.87847943808</v>
      </c>
      <c r="AJ79" s="9">
        <v>1462251.957368959</v>
      </c>
      <c r="AK79" s="9">
        <v>149121.01743082929</v>
      </c>
      <c r="AL79" s="9">
        <v>818564.02431380027</v>
      </c>
      <c r="AM79" s="9">
        <v>877269.15314883366</v>
      </c>
      <c r="AN79" s="9"/>
      <c r="AO79" s="9"/>
      <c r="AP79" s="9"/>
      <c r="AQ79" s="9"/>
      <c r="AR79" s="9"/>
      <c r="AS79" s="9"/>
      <c r="AT79" s="9"/>
      <c r="AU79" s="9"/>
      <c r="AV79" s="9"/>
      <c r="AW79" s="9">
        <v>128.5</v>
      </c>
      <c r="AX79" s="9">
        <v>68.2</v>
      </c>
      <c r="AY79" s="9">
        <v>138.1</v>
      </c>
      <c r="AZ79" s="9">
        <v>123.8</v>
      </c>
      <c r="BA79" s="9">
        <v>142.9</v>
      </c>
      <c r="BB79" s="9"/>
      <c r="BC79" s="9">
        <v>124.9</v>
      </c>
      <c r="BD79" s="9">
        <v>86.3</v>
      </c>
      <c r="BE79" s="9">
        <v>127.9</v>
      </c>
      <c r="BF79" s="9">
        <v>151.69999999999999</v>
      </c>
      <c r="BG79" s="9"/>
      <c r="BH79" s="9">
        <v>244.3</v>
      </c>
      <c r="BI79" s="9">
        <v>89.4</v>
      </c>
      <c r="BJ79" s="9">
        <v>148.4</v>
      </c>
      <c r="BK79" s="9">
        <v>113</v>
      </c>
      <c r="BL79" s="9"/>
      <c r="BM79" s="9">
        <v>89.8</v>
      </c>
      <c r="BN79" s="9">
        <v>129690.5</v>
      </c>
      <c r="BO79" s="9">
        <v>114942.7</v>
      </c>
      <c r="BP79" s="9">
        <v>47782.9</v>
      </c>
      <c r="BQ79" s="9">
        <v>34776.9</v>
      </c>
      <c r="BR79" s="9">
        <v>13006</v>
      </c>
      <c r="BS79" s="9">
        <v>11161</v>
      </c>
      <c r="BT79" s="9">
        <v>22578.5</v>
      </c>
      <c r="BU79" s="9">
        <v>8219.2999999999993</v>
      </c>
      <c r="BV79" s="9">
        <v>14397.4</v>
      </c>
      <c r="BW79" s="9">
        <v>72056.600000000006</v>
      </c>
      <c r="BX79" s="9">
        <v>4402.6000000000004</v>
      </c>
      <c r="BY79" s="9">
        <v>28365.200000000001</v>
      </c>
      <c r="BZ79" s="9">
        <v>22765.200000000001</v>
      </c>
      <c r="CA79" s="9">
        <v>1075.8</v>
      </c>
      <c r="CB79" s="9">
        <v>0</v>
      </c>
      <c r="CC79" s="9">
        <v>0</v>
      </c>
      <c r="CD79" s="9">
        <v>0</v>
      </c>
      <c r="CE79" s="9">
        <v>12005.4</v>
      </c>
      <c r="CF79" s="9">
        <v>328612.86344957998</v>
      </c>
      <c r="CG79" s="9">
        <v>1449536.2373698491</v>
      </c>
      <c r="CH79" s="9"/>
      <c r="CI79" s="9"/>
      <c r="CJ79" s="9">
        <v>24.2</v>
      </c>
      <c r="CK79" s="9">
        <v>15.9</v>
      </c>
      <c r="CL79" s="9"/>
      <c r="CM79" s="9">
        <v>37.227796153900002</v>
      </c>
      <c r="CN79" s="9">
        <v>15.767534463100001</v>
      </c>
      <c r="CO79" s="9">
        <v>1.012063446</v>
      </c>
      <c r="CP79" s="9">
        <v>5.4305472112000004</v>
      </c>
      <c r="CQ79" s="9">
        <v>3.7914566098</v>
      </c>
      <c r="CR79" s="9">
        <v>2.0171117996999999</v>
      </c>
      <c r="CS79" s="9">
        <v>0.63503891150000003</v>
      </c>
      <c r="CT79" s="9">
        <v>3.3550951684000001</v>
      </c>
      <c r="CU79" s="9">
        <v>0.85817336209999995</v>
      </c>
      <c r="CV79" s="9">
        <v>1.1097727729</v>
      </c>
      <c r="CW79" s="9">
        <v>1.9102656848999999</v>
      </c>
      <c r="CX79" s="9">
        <v>0.36700709840000001</v>
      </c>
      <c r="CY79" s="9">
        <v>0.97372962569999999</v>
      </c>
      <c r="CZ79" s="9">
        <v>147</v>
      </c>
      <c r="DA79" s="9">
        <v>94</v>
      </c>
      <c r="DB79" s="9">
        <v>12</v>
      </c>
      <c r="DC79" s="9">
        <v>62</v>
      </c>
      <c r="DD79" s="9">
        <v>1</v>
      </c>
      <c r="DE79" s="9">
        <v>6</v>
      </c>
      <c r="DF79" s="9">
        <v>4</v>
      </c>
      <c r="DG79" s="9">
        <v>2</v>
      </c>
      <c r="DH79" s="9">
        <v>39</v>
      </c>
      <c r="DI79" s="9">
        <v>1</v>
      </c>
      <c r="DJ79" s="9">
        <v>1</v>
      </c>
      <c r="DK79" s="9">
        <v>36</v>
      </c>
      <c r="DL79" s="9">
        <v>0</v>
      </c>
      <c r="DM79" s="9">
        <v>13</v>
      </c>
      <c r="DN79" s="9">
        <v>1</v>
      </c>
      <c r="DO79" s="9">
        <v>131.36000000000001</v>
      </c>
      <c r="DP79" s="9">
        <v>36.64</v>
      </c>
      <c r="DQ79" s="9">
        <v>21.85</v>
      </c>
      <c r="DR79" s="9">
        <v>14.79</v>
      </c>
      <c r="DS79" s="9">
        <v>16.600000000000001</v>
      </c>
      <c r="DT79" s="9">
        <v>0.51</v>
      </c>
      <c r="DU79" s="9">
        <v>46.28</v>
      </c>
      <c r="DV79" s="9">
        <v>27.31</v>
      </c>
      <c r="DW79" s="9">
        <v>10.62</v>
      </c>
      <c r="DX79" s="9">
        <v>31.76</v>
      </c>
      <c r="DY79" s="9">
        <v>16.86</v>
      </c>
      <c r="DZ79" s="9">
        <v>4.5599999999999996</v>
      </c>
      <c r="EA79" s="9">
        <v>83.878469999999993</v>
      </c>
      <c r="EB79" s="9">
        <v>28.84281</v>
      </c>
      <c r="EC79" s="9">
        <v>10.87594</v>
      </c>
      <c r="ED79" s="9">
        <v>-17.468299999999999</v>
      </c>
      <c r="EE79" s="9">
        <v>61.628059999999998</v>
      </c>
      <c r="EF79" s="9">
        <v>0</v>
      </c>
      <c r="EG79" s="9">
        <v>79.678730000000002</v>
      </c>
      <c r="EH79" s="9">
        <v>-76.959999999999994</v>
      </c>
      <c r="EI79" s="9">
        <v>-0.6</v>
      </c>
      <c r="EJ79" s="9">
        <v>0</v>
      </c>
      <c r="EK79" s="9">
        <v>157.23869999999999</v>
      </c>
      <c r="EL79" s="9">
        <v>29.974740000000001</v>
      </c>
      <c r="EM79" s="9">
        <v>34.174480000000003</v>
      </c>
      <c r="EN79" s="9">
        <v>417</v>
      </c>
      <c r="EO79" s="9"/>
      <c r="EP79" s="9"/>
      <c r="EQ79" s="9"/>
      <c r="ER79" s="9"/>
      <c r="ES79" s="9"/>
      <c r="ET79" s="9"/>
      <c r="EU79">
        <v>1171.53</v>
      </c>
      <c r="EV79" s="9">
        <v>4600.93</v>
      </c>
      <c r="EW79" s="9">
        <v>1321.34</v>
      </c>
      <c r="EX79" s="9">
        <v>18.149999999999999</v>
      </c>
      <c r="EY79" s="9">
        <v>48.88</v>
      </c>
      <c r="EZ79" s="9">
        <v>788.99</v>
      </c>
      <c r="FA79" s="9">
        <v>2423.58</v>
      </c>
      <c r="FB79" s="9">
        <v>54.910714285700003</v>
      </c>
      <c r="FC79" s="9">
        <v>68.857727272700004</v>
      </c>
      <c r="FD79" s="9">
        <v>7222.7727272726997</v>
      </c>
      <c r="FE79" s="9">
        <v>33.450000000000003</v>
      </c>
      <c r="FF79" s="9">
        <v>596.1454545455</v>
      </c>
      <c r="FG79" s="9">
        <v>1050909.57</v>
      </c>
      <c r="FH79" s="9">
        <v>25156.65</v>
      </c>
      <c r="FI79" s="9">
        <v>60351.31</v>
      </c>
      <c r="FJ79" s="9">
        <v>413244.06999999989</v>
      </c>
      <c r="FK79" s="9">
        <v>5974.53</v>
      </c>
      <c r="FL79" s="9">
        <v>16592.830000000002</v>
      </c>
      <c r="FM79" s="9"/>
      <c r="FN79" s="9"/>
      <c r="FO79" s="9"/>
      <c r="FP79" s="9"/>
      <c r="FQ79" s="9"/>
      <c r="FR79" s="9"/>
      <c r="FS79" s="9"/>
      <c r="FT79" s="9">
        <v>637665</v>
      </c>
      <c r="FU79" s="9">
        <v>19182.12</v>
      </c>
      <c r="FV79" s="9">
        <v>43758</v>
      </c>
      <c r="FW79" s="9"/>
      <c r="FX79" s="9"/>
      <c r="FY79" s="9"/>
      <c r="FZ79" s="9">
        <v>65291.88</v>
      </c>
      <c r="GA79" s="9">
        <v>1256470.58</v>
      </c>
      <c r="GB79" s="9">
        <v>334906.75</v>
      </c>
      <c r="GC79" s="9">
        <v>921563.83</v>
      </c>
      <c r="GD79" s="9">
        <v>799776.1</v>
      </c>
      <c r="GE79" s="9">
        <v>51956.05</v>
      </c>
      <c r="GF79" s="9">
        <v>747820.04999999993</v>
      </c>
      <c r="GG79" s="9">
        <v>456694.48</v>
      </c>
      <c r="GH79" s="9">
        <v>282950.7</v>
      </c>
      <c r="GI79" s="9">
        <v>173743.78</v>
      </c>
      <c r="GJ79" s="9">
        <v>85563.51</v>
      </c>
      <c r="GK79" s="9">
        <v>2010973.63</v>
      </c>
      <c r="GL79" s="9">
        <v>242354.98</v>
      </c>
      <c r="GM79">
        <v>1172</v>
      </c>
      <c r="GO79" s="6"/>
      <c r="GP79" s="6"/>
      <c r="GQ79" s="6"/>
    </row>
    <row r="80" spans="1:199" x14ac:dyDescent="0.2">
      <c r="A80" s="8">
        <v>2006</v>
      </c>
      <c r="B80" s="8" t="s">
        <v>303</v>
      </c>
      <c r="C80" s="8" t="s">
        <v>304</v>
      </c>
      <c r="D80" s="9"/>
      <c r="E80" s="9"/>
      <c r="F80" s="9"/>
      <c r="G80" s="9"/>
      <c r="H80" s="9"/>
      <c r="I80" s="9"/>
      <c r="J80" s="9"/>
      <c r="K80" s="9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  <c r="AA80" s="9"/>
      <c r="AB80" s="9"/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>
        <v>95314.9</v>
      </c>
      <c r="BO80" s="9">
        <v>93286.399999999994</v>
      </c>
      <c r="BP80" s="9">
        <v>39017.300000000003</v>
      </c>
      <c r="BQ80" s="9">
        <v>26091.3</v>
      </c>
      <c r="BR80" s="9">
        <v>12925.9</v>
      </c>
      <c r="BS80" s="9">
        <v>10193.1</v>
      </c>
      <c r="BT80" s="9">
        <v>21721.1</v>
      </c>
      <c r="BU80" s="9">
        <v>8602.1</v>
      </c>
      <c r="BV80" s="9">
        <v>1751.3</v>
      </c>
      <c r="BW80" s="9">
        <v>51525.8</v>
      </c>
      <c r="BX80" s="9">
        <v>3078.6</v>
      </c>
      <c r="BY80" s="9">
        <v>17098.3</v>
      </c>
      <c r="BZ80" s="9">
        <v>12404.6</v>
      </c>
      <c r="CA80" s="9">
        <v>875.2</v>
      </c>
      <c r="CB80" s="9">
        <v>0</v>
      </c>
      <c r="CC80" s="9">
        <v>0</v>
      </c>
      <c r="CD80" s="9">
        <v>0</v>
      </c>
      <c r="CE80" s="9">
        <v>10546.1</v>
      </c>
      <c r="CF80" s="9">
        <v>325022.66265494999</v>
      </c>
      <c r="CG80" s="9">
        <v>1472774.8066783687</v>
      </c>
      <c r="CH80" s="9"/>
      <c r="CI80" s="9"/>
      <c r="CJ80" s="9">
        <v>25.5</v>
      </c>
      <c r="CK80" s="9">
        <v>16.829999999999998</v>
      </c>
      <c r="CL80" s="9"/>
      <c r="CM80" s="9">
        <v>37.223228350299998</v>
      </c>
      <c r="CN80" s="9">
        <v>15.714732160600001</v>
      </c>
      <c r="CO80" s="9">
        <v>1.0163338193</v>
      </c>
      <c r="CP80" s="9">
        <v>5.4075971660000004</v>
      </c>
      <c r="CQ80" s="9">
        <v>3.7797395802999998</v>
      </c>
      <c r="CR80" s="9">
        <v>2.0247125454999999</v>
      </c>
      <c r="CS80" s="9">
        <v>0.63562296409999997</v>
      </c>
      <c r="CT80" s="9">
        <v>3.4183220971999999</v>
      </c>
      <c r="CU80" s="9">
        <v>0.85620741570000003</v>
      </c>
      <c r="CV80" s="9">
        <v>1.113257027</v>
      </c>
      <c r="CW80" s="9">
        <v>1.9102656848999999</v>
      </c>
      <c r="CX80" s="9">
        <v>0.36707672600000002</v>
      </c>
      <c r="CY80" s="9">
        <v>0.97936116380000005</v>
      </c>
      <c r="CZ80" s="9">
        <v>142</v>
      </c>
      <c r="DA80" s="9">
        <v>104</v>
      </c>
      <c r="DB80" s="9">
        <v>14</v>
      </c>
      <c r="DC80" s="9">
        <v>67</v>
      </c>
      <c r="DD80" s="9">
        <v>2</v>
      </c>
      <c r="DE80" s="9">
        <v>10</v>
      </c>
      <c r="DF80" s="9">
        <v>4</v>
      </c>
      <c r="DG80" s="9">
        <v>2</v>
      </c>
      <c r="DH80" s="9">
        <v>18</v>
      </c>
      <c r="DI80" s="9">
        <v>0</v>
      </c>
      <c r="DJ80" s="9">
        <v>2</v>
      </c>
      <c r="DK80" s="9">
        <v>16</v>
      </c>
      <c r="DL80" s="9">
        <v>0</v>
      </c>
      <c r="DM80" s="9">
        <v>19</v>
      </c>
      <c r="DN80" s="9">
        <v>0</v>
      </c>
      <c r="DO80" s="9">
        <v>148.85</v>
      </c>
      <c r="DP80" s="9">
        <v>37.840000000000003</v>
      </c>
      <c r="DQ80" s="9">
        <v>19.3</v>
      </c>
      <c r="DR80" s="9">
        <v>18.54</v>
      </c>
      <c r="DS80" s="9">
        <v>14.98</v>
      </c>
      <c r="DT80" s="9">
        <v>0.71</v>
      </c>
      <c r="DU80" s="9">
        <v>50.82</v>
      </c>
      <c r="DV80" s="9">
        <v>24.61</v>
      </c>
      <c r="DW80" s="9">
        <v>12.47</v>
      </c>
      <c r="DX80" s="9">
        <v>45.1</v>
      </c>
      <c r="DY80" s="9">
        <v>25.83</v>
      </c>
      <c r="DZ80" s="9">
        <v>6.1</v>
      </c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>
        <v>467.5</v>
      </c>
      <c r="EO80" s="9"/>
      <c r="EP80" s="9"/>
      <c r="EQ80" s="9"/>
      <c r="ER80" s="9"/>
      <c r="ES80" s="9"/>
      <c r="ET80" s="9"/>
      <c r="EU80">
        <v>1170.32</v>
      </c>
      <c r="EV80" s="9"/>
      <c r="EW80" s="9"/>
      <c r="EX80" s="9"/>
      <c r="EY80" s="9"/>
      <c r="EZ80" s="9"/>
      <c r="FA80" s="9"/>
      <c r="FB80" s="9">
        <v>56.954081632700003</v>
      </c>
      <c r="FC80" s="9">
        <v>73.898095238099998</v>
      </c>
      <c r="FD80" s="9">
        <v>7726.7380952381</v>
      </c>
      <c r="FE80" s="9">
        <v>33.450000000000003</v>
      </c>
      <c r="FF80" s="9">
        <v>633.70952380949996</v>
      </c>
      <c r="FG80" s="9">
        <v>1086171.54</v>
      </c>
      <c r="FH80" s="9">
        <v>25749.18</v>
      </c>
      <c r="FI80" s="9">
        <v>67980.22</v>
      </c>
      <c r="FJ80" s="9">
        <v>417405.25</v>
      </c>
      <c r="FK80" s="9">
        <v>6954.97</v>
      </c>
      <c r="FL80" s="9">
        <v>14878.36</v>
      </c>
      <c r="FM80" s="9"/>
      <c r="FN80" s="9"/>
      <c r="FO80" s="9"/>
      <c r="FP80" s="9"/>
      <c r="FQ80" s="9"/>
      <c r="FR80" s="9"/>
      <c r="FS80" s="9"/>
      <c r="FT80" s="9">
        <v>668765.79999999993</v>
      </c>
      <c r="FU80" s="9">
        <v>18794.21</v>
      </c>
      <c r="FV80" s="9">
        <v>53101.38</v>
      </c>
      <c r="FW80" s="9"/>
      <c r="FX80" s="9"/>
      <c r="FY80" s="9"/>
      <c r="FZ80" s="9">
        <v>63584.95</v>
      </c>
      <c r="GA80" s="9">
        <v>1286201.26</v>
      </c>
      <c r="GB80" s="9">
        <v>333075.36</v>
      </c>
      <c r="GC80" s="9">
        <v>953125.9</v>
      </c>
      <c r="GD80" s="9">
        <v>829021.59999999986</v>
      </c>
      <c r="GE80" s="9">
        <v>48629.33</v>
      </c>
      <c r="GF80" s="9">
        <v>780392.27</v>
      </c>
      <c r="GG80" s="9">
        <v>457179.66</v>
      </c>
      <c r="GH80" s="9">
        <v>284446.03000000003</v>
      </c>
      <c r="GI80" s="9">
        <v>172733.63</v>
      </c>
      <c r="GJ80" s="9">
        <v>89416</v>
      </c>
      <c r="GK80" s="9">
        <v>2206582.91</v>
      </c>
      <c r="GL80" s="9">
        <v>248925.48</v>
      </c>
      <c r="GM80">
        <v>1169</v>
      </c>
      <c r="GO80" s="6"/>
      <c r="GP80" s="6"/>
      <c r="GQ80" s="6"/>
    </row>
    <row r="81" spans="1:199" x14ac:dyDescent="0.2">
      <c r="A81" s="8">
        <v>2006</v>
      </c>
      <c r="B81" s="8" t="s">
        <v>303</v>
      </c>
      <c r="C81" s="8" t="s">
        <v>305</v>
      </c>
      <c r="D81" s="9"/>
      <c r="E81" s="9"/>
      <c r="F81" s="9"/>
      <c r="G81" s="9"/>
      <c r="H81" s="9"/>
      <c r="I81" s="9"/>
      <c r="J81" s="9"/>
      <c r="K81" s="9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  <c r="AA81" s="9"/>
      <c r="AB81" s="9"/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>
        <v>128125.8</v>
      </c>
      <c r="BO81" s="9">
        <v>118275.4</v>
      </c>
      <c r="BP81" s="9">
        <v>53305.1</v>
      </c>
      <c r="BQ81" s="9">
        <v>6720.7</v>
      </c>
      <c r="BR81" s="9">
        <v>-6517.2</v>
      </c>
      <c r="BS81" s="9">
        <v>6191.3</v>
      </c>
      <c r="BT81" s="9">
        <v>26934</v>
      </c>
      <c r="BU81" s="9">
        <v>10162.9</v>
      </c>
      <c r="BV81" s="9">
        <v>9451.1</v>
      </c>
      <c r="BW81" s="9">
        <v>59747.7</v>
      </c>
      <c r="BX81" s="9">
        <v>3822.5</v>
      </c>
      <c r="BY81" s="9">
        <v>18292.400000000001</v>
      </c>
      <c r="BZ81" s="9">
        <v>13351.4</v>
      </c>
      <c r="CA81" s="9">
        <v>2209.6999999999998</v>
      </c>
      <c r="CB81" s="9">
        <v>0</v>
      </c>
      <c r="CC81" s="9">
        <v>0</v>
      </c>
      <c r="CD81" s="9">
        <v>0</v>
      </c>
      <c r="CE81" s="9">
        <v>11094.5</v>
      </c>
      <c r="CF81" s="9">
        <v>343056.92758091999</v>
      </c>
      <c r="CG81" s="9">
        <v>1490910.5066910619</v>
      </c>
      <c r="CH81" s="9"/>
      <c r="CI81" s="9"/>
      <c r="CJ81" s="9">
        <v>28.1</v>
      </c>
      <c r="CK81" s="9">
        <v>16.3</v>
      </c>
      <c r="CL81" s="9"/>
      <c r="CM81" s="9">
        <v>36.7648974194</v>
      </c>
      <c r="CN81" s="9">
        <v>15.1136413301</v>
      </c>
      <c r="CO81" s="9">
        <v>1.0168591983999999</v>
      </c>
      <c r="CP81" s="9">
        <v>5.4422621588000002</v>
      </c>
      <c r="CQ81" s="9">
        <v>3.7873068434000001</v>
      </c>
      <c r="CR81" s="9">
        <v>2.0311747245</v>
      </c>
      <c r="CS81" s="9">
        <v>0.63772664960000003</v>
      </c>
      <c r="CT81" s="9">
        <v>3.4515576813000002</v>
      </c>
      <c r="CU81" s="9">
        <v>0.85333340680000003</v>
      </c>
      <c r="CV81" s="9">
        <v>1.1071865330999999</v>
      </c>
      <c r="CW81" s="9">
        <v>1.9723726324999999</v>
      </c>
      <c r="CX81" s="9">
        <v>0.37157747689999998</v>
      </c>
      <c r="CY81" s="9">
        <v>0.97989878409999998</v>
      </c>
      <c r="CZ81" s="9">
        <v>147</v>
      </c>
      <c r="DA81" s="9">
        <v>114</v>
      </c>
      <c r="DB81" s="9">
        <v>14</v>
      </c>
      <c r="DC81" s="9">
        <v>71</v>
      </c>
      <c r="DD81" s="9">
        <v>2</v>
      </c>
      <c r="DE81" s="9">
        <v>11</v>
      </c>
      <c r="DF81" s="9">
        <v>4</v>
      </c>
      <c r="DG81" s="9">
        <v>3</v>
      </c>
      <c r="DH81" s="9">
        <v>16</v>
      </c>
      <c r="DI81" s="9">
        <v>0</v>
      </c>
      <c r="DJ81" s="9">
        <v>2</v>
      </c>
      <c r="DK81" s="9">
        <v>12</v>
      </c>
      <c r="DL81" s="9">
        <v>0</v>
      </c>
      <c r="DM81" s="9">
        <v>17</v>
      </c>
      <c r="DN81" s="9">
        <v>1</v>
      </c>
      <c r="DO81" s="9">
        <v>163.72</v>
      </c>
      <c r="DP81" s="9">
        <v>33.840000000000003</v>
      </c>
      <c r="DQ81" s="9">
        <v>21.32</v>
      </c>
      <c r="DR81" s="9">
        <v>12.52</v>
      </c>
      <c r="DS81" s="9">
        <v>14.47</v>
      </c>
      <c r="DT81" s="9">
        <v>0.33</v>
      </c>
      <c r="DU81" s="9">
        <v>55.64</v>
      </c>
      <c r="DV81" s="9">
        <v>28.8</v>
      </c>
      <c r="DW81" s="9">
        <v>14.83</v>
      </c>
      <c r="DX81" s="9">
        <v>59.68</v>
      </c>
      <c r="DY81" s="9">
        <v>28</v>
      </c>
      <c r="DZ81" s="9">
        <v>8.85</v>
      </c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>
        <v>486.3</v>
      </c>
      <c r="EO81" s="9"/>
      <c r="EP81" s="9"/>
      <c r="EQ81" s="9"/>
      <c r="ER81" s="9"/>
      <c r="ES81" s="9"/>
      <c r="ET81" s="9"/>
      <c r="EU81">
        <v>1168.3499999999999</v>
      </c>
      <c r="EV81" s="9"/>
      <c r="EW81" s="9"/>
      <c r="EX81" s="9"/>
      <c r="EY81" s="9"/>
      <c r="EZ81" s="9"/>
      <c r="FA81" s="9"/>
      <c r="FB81" s="9">
        <v>55.633928571399998</v>
      </c>
      <c r="FC81" s="9">
        <v>73.612173913000007</v>
      </c>
      <c r="FD81" s="9">
        <v>7690.25</v>
      </c>
      <c r="FE81" s="9">
        <v>33.450000000000003</v>
      </c>
      <c r="FF81" s="9">
        <v>632.59318181820004</v>
      </c>
      <c r="FG81" s="9">
        <v>1104061.1599999999</v>
      </c>
      <c r="FH81" s="9">
        <v>29928.2</v>
      </c>
      <c r="FI81" s="9">
        <v>67405.38</v>
      </c>
      <c r="FJ81" s="9">
        <v>445154.11999999988</v>
      </c>
      <c r="FK81" s="9">
        <v>7172.22</v>
      </c>
      <c r="FL81" s="9">
        <v>15510.59</v>
      </c>
      <c r="FM81" s="9"/>
      <c r="FN81" s="9"/>
      <c r="FO81" s="9"/>
      <c r="FP81" s="9"/>
      <c r="FQ81" s="9"/>
      <c r="FR81" s="9"/>
      <c r="FS81" s="9"/>
      <c r="FT81" s="9">
        <v>658906.56999999983</v>
      </c>
      <c r="FU81" s="9">
        <v>22755.98</v>
      </c>
      <c r="FV81" s="9">
        <v>51894.31</v>
      </c>
      <c r="FW81" s="9"/>
      <c r="FX81" s="9"/>
      <c r="FY81" s="9"/>
      <c r="FZ81" s="9">
        <v>67065.440000000002</v>
      </c>
      <c r="GA81" s="9">
        <v>1292556.06</v>
      </c>
      <c r="GB81" s="9">
        <v>325848.01</v>
      </c>
      <c r="GC81" s="9">
        <v>966708.05</v>
      </c>
      <c r="GD81" s="9">
        <v>843760.4</v>
      </c>
      <c r="GE81" s="9">
        <v>49459.5</v>
      </c>
      <c r="GF81" s="9">
        <v>794300.9</v>
      </c>
      <c r="GG81" s="9">
        <v>448795.66000000009</v>
      </c>
      <c r="GH81" s="9">
        <v>276388.51</v>
      </c>
      <c r="GI81" s="9">
        <v>172407.15</v>
      </c>
      <c r="GJ81" s="9">
        <v>88318.38</v>
      </c>
      <c r="GK81" s="9">
        <v>2121644.4500000002</v>
      </c>
      <c r="GL81" s="9">
        <v>254987.75</v>
      </c>
      <c r="GM81">
        <v>1168</v>
      </c>
      <c r="GO81" s="6"/>
      <c r="GP81" s="6"/>
      <c r="GQ81" s="6"/>
    </row>
    <row r="82" spans="1:199" x14ac:dyDescent="0.2">
      <c r="A82" s="8">
        <v>2006</v>
      </c>
      <c r="B82" s="8" t="s">
        <v>303</v>
      </c>
      <c r="C82" s="8" t="s">
        <v>306</v>
      </c>
      <c r="D82" s="9">
        <v>1025419.9</v>
      </c>
      <c r="E82" s="9">
        <v>172789.2</v>
      </c>
      <c r="F82" s="9">
        <v>312969.8</v>
      </c>
      <c r="G82" s="9">
        <v>55743.9</v>
      </c>
      <c r="H82" s="9">
        <v>19656.7</v>
      </c>
      <c r="I82" s="9">
        <v>25980.3</v>
      </c>
      <c r="J82" s="9">
        <v>46974.400000000001</v>
      </c>
      <c r="K82" s="9">
        <v>76857.100000000006</v>
      </c>
      <c r="L82" s="9">
        <v>28939.1</v>
      </c>
      <c r="M82" s="9">
        <v>164058.9</v>
      </c>
      <c r="N82" s="9">
        <v>121450.8</v>
      </c>
      <c r="O82" s="9">
        <v>2845708.0279040532</v>
      </c>
      <c r="P82" s="9">
        <v>411440.02516832761</v>
      </c>
      <c r="Q82" s="9">
        <v>543563.63050985907</v>
      </c>
      <c r="R82" s="9">
        <v>230273.57134845949</v>
      </c>
      <c r="S82" s="9">
        <v>63642.089024710702</v>
      </c>
      <c r="T82" s="9">
        <v>162245.07795171821</v>
      </c>
      <c r="U82" s="9">
        <v>181085.14205286489</v>
      </c>
      <c r="V82" s="9">
        <v>124022.44067564989</v>
      </c>
      <c r="W82" s="9">
        <v>55381.5410948973</v>
      </c>
      <c r="X82" s="9">
        <v>805075.71107914241</v>
      </c>
      <c r="Y82" s="9">
        <v>268978.79899842368</v>
      </c>
      <c r="Z82" s="9">
        <v>1049119.5</v>
      </c>
      <c r="AA82" s="9">
        <v>504268.4</v>
      </c>
      <c r="AB82" s="9">
        <v>84817.4</v>
      </c>
      <c r="AC82" s="9">
        <v>320223</v>
      </c>
      <c r="AD82" s="9">
        <v>24948.5</v>
      </c>
      <c r="AE82" s="9">
        <v>741482.2</v>
      </c>
      <c r="AF82" s="9">
        <v>626619.9</v>
      </c>
      <c r="AG82" s="9">
        <v>2960198.996138352</v>
      </c>
      <c r="AH82" s="9">
        <v>1529478.5473446471</v>
      </c>
      <c r="AI82" s="9">
        <v>335844.62752554729</v>
      </c>
      <c r="AJ82" s="9">
        <v>977063.014154398</v>
      </c>
      <c r="AK82" s="9">
        <v>100600.0639926056</v>
      </c>
      <c r="AL82" s="9">
        <v>1052201.819166342</v>
      </c>
      <c r="AM82" s="9">
        <v>1034989.076045188</v>
      </c>
      <c r="AN82" s="9">
        <v>861982</v>
      </c>
      <c r="AO82" s="9">
        <v>443593</v>
      </c>
      <c r="AP82" s="9">
        <v>418389</v>
      </c>
      <c r="AQ82" s="9">
        <v>113147</v>
      </c>
      <c r="AR82" s="9">
        <v>54923</v>
      </c>
      <c r="AS82" s="9">
        <v>58224</v>
      </c>
      <c r="AT82" s="9">
        <v>530539</v>
      </c>
      <c r="AU82" s="9">
        <v>218486</v>
      </c>
      <c r="AV82" s="9">
        <v>312053</v>
      </c>
      <c r="AW82" s="9">
        <v>128.1</v>
      </c>
      <c r="AX82" s="9">
        <v>67.8</v>
      </c>
      <c r="AY82" s="9">
        <v>146.4</v>
      </c>
      <c r="AZ82" s="9">
        <v>126.1</v>
      </c>
      <c r="BA82" s="9">
        <v>136</v>
      </c>
      <c r="BB82" s="9"/>
      <c r="BC82" s="9">
        <v>141.9</v>
      </c>
      <c r="BD82" s="9">
        <v>86.8</v>
      </c>
      <c r="BE82" s="9">
        <v>132.9</v>
      </c>
      <c r="BF82" s="9">
        <v>120.8</v>
      </c>
      <c r="BG82" s="9"/>
      <c r="BH82" s="9">
        <v>267.60000000000002</v>
      </c>
      <c r="BI82" s="9">
        <v>98.3</v>
      </c>
      <c r="BJ82" s="9">
        <v>98.6</v>
      </c>
      <c r="BK82" s="9">
        <v>122.7</v>
      </c>
      <c r="BL82" s="9"/>
      <c r="BM82" s="9">
        <v>92.2</v>
      </c>
      <c r="BN82" s="9">
        <v>133122.1</v>
      </c>
      <c r="BO82" s="9">
        <v>104417.5</v>
      </c>
      <c r="BP82" s="9">
        <v>44929</v>
      </c>
      <c r="BQ82" s="9">
        <v>6464.5</v>
      </c>
      <c r="BR82" s="9">
        <v>6117.7</v>
      </c>
      <c r="BS82" s="9">
        <v>12130.8</v>
      </c>
      <c r="BT82" s="9">
        <v>24315.9</v>
      </c>
      <c r="BU82" s="9">
        <v>7797.2</v>
      </c>
      <c r="BV82" s="9">
        <v>28508.6</v>
      </c>
      <c r="BW82" s="9">
        <v>78389.8</v>
      </c>
      <c r="BX82" s="9">
        <v>3185</v>
      </c>
      <c r="BY82" s="9">
        <v>34722.300000000003</v>
      </c>
      <c r="BZ82" s="9">
        <v>16506.2</v>
      </c>
      <c r="CA82" s="9">
        <v>591.29999999999995</v>
      </c>
      <c r="CB82" s="9">
        <v>0</v>
      </c>
      <c r="CC82" s="9">
        <v>0</v>
      </c>
      <c r="CD82" s="9">
        <v>0</v>
      </c>
      <c r="CE82" s="9">
        <v>9511.7999999999993</v>
      </c>
      <c r="CF82" s="9">
        <v>331262.52514364</v>
      </c>
      <c r="CG82" s="9">
        <v>1542756.8807726407</v>
      </c>
      <c r="CH82" s="9"/>
      <c r="CI82" s="9"/>
      <c r="CJ82" s="9">
        <v>26.098144185599999</v>
      </c>
      <c r="CK82" s="9">
        <v>15.2516925347</v>
      </c>
      <c r="CL82" s="9"/>
      <c r="CM82" s="9">
        <v>36.8935426898</v>
      </c>
      <c r="CN82" s="9">
        <v>14.5743245044</v>
      </c>
      <c r="CO82" s="9">
        <v>1.0212652477999999</v>
      </c>
      <c r="CP82" s="9">
        <v>5.4769764878</v>
      </c>
      <c r="CQ82" s="9">
        <v>4.056308467</v>
      </c>
      <c r="CR82" s="9">
        <v>2.0485302246999999</v>
      </c>
      <c r="CS82" s="9">
        <v>0.64976245300000002</v>
      </c>
      <c r="CT82" s="9">
        <v>3.5457076075999998</v>
      </c>
      <c r="CU82" s="9">
        <v>0.85976055780000005</v>
      </c>
      <c r="CV82" s="9">
        <v>1.1235398904</v>
      </c>
      <c r="CW82" s="9">
        <v>2.1744551865999999</v>
      </c>
      <c r="CX82" s="9">
        <v>0.37557156479999998</v>
      </c>
      <c r="CY82" s="9">
        <v>0.98734049800000001</v>
      </c>
      <c r="CZ82" s="9">
        <v>186</v>
      </c>
      <c r="DA82" s="9">
        <v>146</v>
      </c>
      <c r="DB82" s="9">
        <v>64</v>
      </c>
      <c r="DC82" s="9">
        <v>61</v>
      </c>
      <c r="DD82" s="9">
        <v>1</v>
      </c>
      <c r="DE82" s="9">
        <v>8</v>
      </c>
      <c r="DF82" s="9">
        <v>3</v>
      </c>
      <c r="DG82" s="9">
        <v>2</v>
      </c>
      <c r="DH82" s="9">
        <v>22</v>
      </c>
      <c r="DI82" s="9">
        <v>3</v>
      </c>
      <c r="DJ82" s="9">
        <v>3</v>
      </c>
      <c r="DK82" s="9">
        <v>15</v>
      </c>
      <c r="DL82" s="9">
        <v>0</v>
      </c>
      <c r="DM82" s="9">
        <v>18</v>
      </c>
      <c r="DN82" s="9">
        <v>0</v>
      </c>
      <c r="DO82" s="9">
        <v>128.07</v>
      </c>
      <c r="DP82" s="9">
        <v>34.39</v>
      </c>
      <c r="DQ82" s="9">
        <v>22.16</v>
      </c>
      <c r="DR82" s="9">
        <v>12.23</v>
      </c>
      <c r="DS82" s="9">
        <v>13.9</v>
      </c>
      <c r="DT82" s="9">
        <v>0.52</v>
      </c>
      <c r="DU82" s="9">
        <v>46.9</v>
      </c>
      <c r="DV82" s="9">
        <v>26.3</v>
      </c>
      <c r="DW82" s="9">
        <v>12.91</v>
      </c>
      <c r="DX82" s="9">
        <v>32.799999999999997</v>
      </c>
      <c r="DY82" s="9">
        <v>10.87</v>
      </c>
      <c r="DZ82" s="9">
        <v>5.73</v>
      </c>
      <c r="EA82" s="9">
        <v>132.78829999999999</v>
      </c>
      <c r="EB82" s="9">
        <v>39.43844</v>
      </c>
      <c r="EC82" s="9">
        <v>57.671300000000002</v>
      </c>
      <c r="ED82" s="9">
        <v>-7.7979999999999994E-2</v>
      </c>
      <c r="EE82" s="9">
        <v>35.756540000000001</v>
      </c>
      <c r="EF82" s="9">
        <v>0</v>
      </c>
      <c r="EG82" s="9">
        <v>-53.054699999999997</v>
      </c>
      <c r="EH82" s="9">
        <v>-88.7</v>
      </c>
      <c r="EI82" s="9">
        <v>0</v>
      </c>
      <c r="EJ82" s="9">
        <v>0</v>
      </c>
      <c r="EK82" s="9">
        <v>35.645330000000001</v>
      </c>
      <c r="EL82" s="9">
        <v>-59.703099999999999</v>
      </c>
      <c r="EM82" s="9">
        <v>126.1399</v>
      </c>
      <c r="EN82" s="9">
        <v>541.6</v>
      </c>
      <c r="EO82" s="9"/>
      <c r="EP82" s="9"/>
      <c r="EQ82" s="9"/>
      <c r="ER82" s="9"/>
      <c r="ES82" s="9"/>
      <c r="ET82" s="9"/>
      <c r="EU82">
        <v>1167.7</v>
      </c>
      <c r="EV82" s="9">
        <v>4607.87</v>
      </c>
      <c r="EW82" s="9">
        <v>1333.12</v>
      </c>
      <c r="EX82" s="9">
        <v>16.670000000000002</v>
      </c>
      <c r="EY82" s="9">
        <v>56.4</v>
      </c>
      <c r="EZ82" s="9">
        <v>778.11</v>
      </c>
      <c r="FA82" s="9">
        <v>2423.58</v>
      </c>
      <c r="FB82" s="9">
        <v>51.887755102</v>
      </c>
      <c r="FC82" s="9">
        <v>62.772857142900001</v>
      </c>
      <c r="FD82" s="9">
        <v>7622.6428571428996</v>
      </c>
      <c r="FE82" s="9">
        <v>33.450000000000003</v>
      </c>
      <c r="FF82" s="9">
        <v>598.18571428569999</v>
      </c>
      <c r="FG82" s="9">
        <v>1120909.54</v>
      </c>
      <c r="FH82" s="9">
        <v>34868.400000000001</v>
      </c>
      <c r="FI82" s="9">
        <v>67526.02</v>
      </c>
      <c r="FJ82" s="9">
        <v>461241.73999999987</v>
      </c>
      <c r="FK82" s="9">
        <v>7714.41</v>
      </c>
      <c r="FL82" s="9">
        <v>15830.16</v>
      </c>
      <c r="FM82" s="9"/>
      <c r="FN82" s="9"/>
      <c r="FO82" s="9"/>
      <c r="FP82" s="9"/>
      <c r="FQ82" s="9"/>
      <c r="FR82" s="9"/>
      <c r="FS82" s="9"/>
      <c r="FT82" s="9">
        <v>659667.30999999994</v>
      </c>
      <c r="FU82" s="9">
        <v>27153.99</v>
      </c>
      <c r="FV82" s="9">
        <v>51695.37</v>
      </c>
      <c r="FW82" s="9"/>
      <c r="FX82" s="9"/>
      <c r="FY82" s="9"/>
      <c r="FZ82" s="9">
        <v>65812.81</v>
      </c>
      <c r="GA82" s="9">
        <v>1330235.67</v>
      </c>
      <c r="GB82" s="9">
        <v>361772.68000000011</v>
      </c>
      <c r="GC82" s="9">
        <v>968462.99</v>
      </c>
      <c r="GD82" s="9">
        <v>861341.89</v>
      </c>
      <c r="GE82" s="9">
        <v>47545.17</v>
      </c>
      <c r="GF82" s="9">
        <v>813796.72</v>
      </c>
      <c r="GG82" s="9">
        <v>468893.78</v>
      </c>
      <c r="GH82" s="9">
        <v>314227.51</v>
      </c>
      <c r="GI82" s="9">
        <v>154666.26999999999</v>
      </c>
      <c r="GJ82" s="9">
        <v>115195.07</v>
      </c>
      <c r="GK82" s="9">
        <v>2248814.75</v>
      </c>
      <c r="GL82" s="9">
        <v>264231.27</v>
      </c>
      <c r="GM82">
        <v>1168</v>
      </c>
      <c r="GO82" s="6"/>
      <c r="GP82" s="6"/>
      <c r="GQ82" s="6"/>
    </row>
    <row r="83" spans="1:199" x14ac:dyDescent="0.2">
      <c r="A83" s="8">
        <v>2006</v>
      </c>
      <c r="B83" s="8" t="s">
        <v>307</v>
      </c>
      <c r="C83" s="8" t="s">
        <v>308</v>
      </c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>
        <v>169037</v>
      </c>
      <c r="BO83" s="9">
        <v>144108.4</v>
      </c>
      <c r="BP83" s="9">
        <v>81746.600000000006</v>
      </c>
      <c r="BQ83" s="9">
        <v>49379.3</v>
      </c>
      <c r="BR83" s="9">
        <v>6969.9</v>
      </c>
      <c r="BS83" s="9">
        <v>13810.9</v>
      </c>
      <c r="BT83" s="9">
        <v>17320.599999999999</v>
      </c>
      <c r="BU83" s="9">
        <v>8716.2000000000007</v>
      </c>
      <c r="BV83" s="9">
        <v>24539.1</v>
      </c>
      <c r="BW83" s="9">
        <v>87024.7</v>
      </c>
      <c r="BX83" s="9">
        <v>28898.5</v>
      </c>
      <c r="BY83" s="9">
        <v>35801.5</v>
      </c>
      <c r="BZ83" s="9">
        <v>17699.8</v>
      </c>
      <c r="CA83" s="9">
        <v>2934.2</v>
      </c>
      <c r="CB83" s="9">
        <v>0</v>
      </c>
      <c r="CC83" s="9">
        <v>0</v>
      </c>
      <c r="CD83" s="9">
        <v>0</v>
      </c>
      <c r="CE83" s="9">
        <v>34296</v>
      </c>
      <c r="CF83" s="9">
        <v>320034.15024251997</v>
      </c>
      <c r="CG83" s="9">
        <v>1548790.091448907</v>
      </c>
      <c r="CH83" s="9"/>
      <c r="CI83" s="9"/>
      <c r="CJ83" s="9">
        <v>27.606451142899999</v>
      </c>
      <c r="CK83" s="9">
        <v>16.104867123799998</v>
      </c>
      <c r="CL83" s="9"/>
      <c r="CM83" s="9">
        <v>40.535943134299998</v>
      </c>
      <c r="CN83" s="9">
        <v>14.439660806399999</v>
      </c>
      <c r="CO83" s="9">
        <v>1.0249253291</v>
      </c>
      <c r="CP83" s="9">
        <v>5.5621417393000003</v>
      </c>
      <c r="CQ83" s="9">
        <v>4.1660726318999997</v>
      </c>
      <c r="CR83" s="9">
        <v>2.0592020642</v>
      </c>
      <c r="CS83" s="9">
        <v>0.66800230130000005</v>
      </c>
      <c r="CT83" s="9">
        <v>3.5472647799999999</v>
      </c>
      <c r="CU83" s="9">
        <v>0.85977258209999996</v>
      </c>
      <c r="CV83" s="9">
        <v>1.1250029772000001</v>
      </c>
      <c r="CW83" s="9">
        <v>2.1752776272999998</v>
      </c>
      <c r="CX83" s="9">
        <v>0.38487529370000001</v>
      </c>
      <c r="CY83" s="9">
        <v>1.0001670385999999</v>
      </c>
      <c r="CZ83" s="9">
        <v>126</v>
      </c>
      <c r="DA83" s="9">
        <v>93</v>
      </c>
      <c r="DB83" s="9">
        <v>13</v>
      </c>
      <c r="DC83" s="9">
        <v>58</v>
      </c>
      <c r="DD83" s="9">
        <v>1</v>
      </c>
      <c r="DE83" s="9">
        <v>9</v>
      </c>
      <c r="DF83" s="9">
        <v>4</v>
      </c>
      <c r="DG83" s="9">
        <v>2</v>
      </c>
      <c r="DH83" s="9">
        <v>19</v>
      </c>
      <c r="DI83" s="9">
        <v>4</v>
      </c>
      <c r="DJ83" s="9">
        <v>4</v>
      </c>
      <c r="DK83" s="9">
        <v>10</v>
      </c>
      <c r="DL83" s="9">
        <v>1</v>
      </c>
      <c r="DM83" s="9">
        <v>12</v>
      </c>
      <c r="DN83" s="9">
        <v>1</v>
      </c>
      <c r="DO83" s="9">
        <v>131.59</v>
      </c>
      <c r="DP83" s="9">
        <v>33.42</v>
      </c>
      <c r="DQ83" s="9">
        <v>19.82</v>
      </c>
      <c r="DR83" s="9">
        <v>13.6</v>
      </c>
      <c r="DS83" s="9">
        <v>11.35</v>
      </c>
      <c r="DT83" s="9">
        <v>0.56000000000000005</v>
      </c>
      <c r="DU83" s="9">
        <v>46.58</v>
      </c>
      <c r="DV83" s="9">
        <v>24.4</v>
      </c>
      <c r="DW83" s="9">
        <v>13.97</v>
      </c>
      <c r="DX83" s="9">
        <v>40.15</v>
      </c>
      <c r="DY83" s="9">
        <v>15.28</v>
      </c>
      <c r="DZ83" s="9">
        <v>7.62</v>
      </c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>
        <v>608.70000000000005</v>
      </c>
      <c r="EO83" s="9"/>
      <c r="EP83" s="9"/>
      <c r="EQ83" s="9"/>
      <c r="ER83" s="9"/>
      <c r="ES83" s="9"/>
      <c r="ET83" s="9"/>
      <c r="EU83">
        <v>1166.6099999999999</v>
      </c>
      <c r="EV83" s="9"/>
      <c r="EW83" s="9"/>
      <c r="EX83" s="9"/>
      <c r="EY83" s="9"/>
      <c r="EZ83" s="9"/>
      <c r="FA83" s="9"/>
      <c r="FB83" s="9">
        <v>47.690746753200003</v>
      </c>
      <c r="FC83" s="9">
        <v>58.3818181818</v>
      </c>
      <c r="FD83" s="9">
        <v>7497.4090909091001</v>
      </c>
      <c r="FE83" s="9">
        <v>33.450000000000003</v>
      </c>
      <c r="FF83" s="9">
        <v>585.77954545449995</v>
      </c>
      <c r="FG83" s="9">
        <v>1129289.56</v>
      </c>
      <c r="FH83" s="9">
        <v>29855.52</v>
      </c>
      <c r="FI83" s="9">
        <v>66081.429999999993</v>
      </c>
      <c r="FJ83" s="9">
        <v>470830.65</v>
      </c>
      <c r="FK83" s="9">
        <v>7648.02</v>
      </c>
      <c r="FL83" s="9">
        <v>15761.09</v>
      </c>
      <c r="FM83" s="9"/>
      <c r="FN83" s="9"/>
      <c r="FO83" s="9"/>
      <c r="FP83" s="9"/>
      <c r="FQ83" s="9"/>
      <c r="FR83" s="9"/>
      <c r="FS83" s="9"/>
      <c r="FT83" s="9">
        <v>658458.21</v>
      </c>
      <c r="FU83" s="9">
        <v>22207.51</v>
      </c>
      <c r="FV83" s="9">
        <v>50319.64</v>
      </c>
      <c r="FW83" s="9"/>
      <c r="FX83" s="9"/>
      <c r="FY83" s="9"/>
      <c r="FZ83" s="9">
        <v>66177</v>
      </c>
      <c r="GA83" s="9">
        <v>1345356.05</v>
      </c>
      <c r="GB83" s="9">
        <v>333575.21000000002</v>
      </c>
      <c r="GC83" s="9">
        <v>1011780.84</v>
      </c>
      <c r="GD83" s="9">
        <v>898316.64</v>
      </c>
      <c r="GE83" s="9">
        <v>45691.93</v>
      </c>
      <c r="GF83" s="9">
        <v>852624.71</v>
      </c>
      <c r="GG83" s="9">
        <v>447039.41</v>
      </c>
      <c r="GH83" s="9">
        <v>287883.28000000003</v>
      </c>
      <c r="GI83" s="9">
        <v>159156.13</v>
      </c>
      <c r="GJ83" s="9">
        <v>119278.94</v>
      </c>
      <c r="GK83" s="9">
        <v>2246662.9700000002</v>
      </c>
      <c r="GL83" s="9">
        <v>270288.06</v>
      </c>
      <c r="GM83">
        <v>1165</v>
      </c>
      <c r="GO83" s="6"/>
      <c r="GP83" s="6"/>
      <c r="GQ83" s="6"/>
    </row>
    <row r="84" spans="1:199" x14ac:dyDescent="0.2">
      <c r="A84" s="8">
        <v>2006</v>
      </c>
      <c r="B84" s="8" t="s">
        <v>307</v>
      </c>
      <c r="C84" s="8" t="s">
        <v>309</v>
      </c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>
        <v>117230.9</v>
      </c>
      <c r="BO84" s="9">
        <v>96589.6</v>
      </c>
      <c r="BP84" s="9">
        <v>44488.3</v>
      </c>
      <c r="BQ84" s="9">
        <v>12945.5</v>
      </c>
      <c r="BR84" s="9">
        <v>6391.7</v>
      </c>
      <c r="BS84" s="9">
        <v>11623.3</v>
      </c>
      <c r="BT84" s="9">
        <v>17638.2</v>
      </c>
      <c r="BU84" s="9">
        <v>10293.5</v>
      </c>
      <c r="BV84" s="9">
        <v>20452.2</v>
      </c>
      <c r="BW84" s="9">
        <v>63998.9</v>
      </c>
      <c r="BX84" s="9">
        <v>13328</v>
      </c>
      <c r="BY84" s="9">
        <v>22227.7</v>
      </c>
      <c r="BZ84" s="9">
        <v>16718.5</v>
      </c>
      <c r="CA84" s="9">
        <v>744</v>
      </c>
      <c r="CB84" s="9">
        <v>0</v>
      </c>
      <c r="CC84" s="9">
        <v>0</v>
      </c>
      <c r="CD84" s="9">
        <v>0</v>
      </c>
      <c r="CE84" s="9">
        <v>21017.8</v>
      </c>
      <c r="CF84" s="9">
        <v>325026.38743803801</v>
      </c>
      <c r="CG84" s="9">
        <v>1586198.0987259899</v>
      </c>
      <c r="CH84" s="9"/>
      <c r="CI84" s="9"/>
      <c r="CJ84" s="9">
        <v>27.2</v>
      </c>
      <c r="CK84" s="9">
        <v>14.4</v>
      </c>
      <c r="CL84" s="9"/>
      <c r="CM84" s="9">
        <v>40.954987041800003</v>
      </c>
      <c r="CN84" s="9">
        <v>14.3322811977</v>
      </c>
      <c r="CO84" s="9">
        <v>1.0245699515</v>
      </c>
      <c r="CP84" s="9">
        <v>5.6008521925999997</v>
      </c>
      <c r="CQ84" s="9">
        <v>4.2444775078000001</v>
      </c>
      <c r="CR84" s="9">
        <v>2.0792846422000002</v>
      </c>
      <c r="CS84" s="9">
        <v>0.67625074220000003</v>
      </c>
      <c r="CT84" s="9">
        <v>3.5689453644000002</v>
      </c>
      <c r="CU84" s="9">
        <v>0.86011182750000004</v>
      </c>
      <c r="CV84" s="9">
        <v>1.1263609733</v>
      </c>
      <c r="CW84" s="9">
        <v>2.1752776272999998</v>
      </c>
      <c r="CX84" s="9">
        <v>0.3845393929</v>
      </c>
      <c r="CY84" s="9">
        <v>1.0060998626</v>
      </c>
      <c r="CZ84" s="9">
        <v>186</v>
      </c>
      <c r="DA84" s="9">
        <v>152</v>
      </c>
      <c r="DB84" s="9">
        <v>63</v>
      </c>
      <c r="DC84" s="9">
        <v>61</v>
      </c>
      <c r="DD84" s="9">
        <v>1</v>
      </c>
      <c r="DE84" s="9">
        <v>11</v>
      </c>
      <c r="DF84" s="9">
        <v>7</v>
      </c>
      <c r="DG84" s="9">
        <v>2</v>
      </c>
      <c r="DH84" s="9">
        <v>22</v>
      </c>
      <c r="DI84" s="9">
        <v>5</v>
      </c>
      <c r="DJ84" s="9">
        <v>5</v>
      </c>
      <c r="DK84" s="9">
        <v>11</v>
      </c>
      <c r="DL84" s="9">
        <v>1</v>
      </c>
      <c r="DM84" s="9">
        <v>11</v>
      </c>
      <c r="DN84" s="9">
        <v>0</v>
      </c>
      <c r="DO84" s="9">
        <v>143.56</v>
      </c>
      <c r="DP84" s="9">
        <v>36.619999999999997</v>
      </c>
      <c r="DQ84" s="9">
        <v>22.37</v>
      </c>
      <c r="DR84" s="9">
        <v>14.25</v>
      </c>
      <c r="DS84" s="9">
        <v>12.43</v>
      </c>
      <c r="DT84" s="9">
        <v>0.51</v>
      </c>
      <c r="DU84" s="9">
        <v>44.86</v>
      </c>
      <c r="DV84" s="9">
        <v>28.25</v>
      </c>
      <c r="DW84" s="9">
        <v>10.16</v>
      </c>
      <c r="DX84" s="9">
        <v>49.59</v>
      </c>
      <c r="DY84" s="9">
        <v>24.81</v>
      </c>
      <c r="DZ84" s="9">
        <v>8.98</v>
      </c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>
        <v>697.3</v>
      </c>
      <c r="EO84" s="9"/>
      <c r="EP84" s="9"/>
      <c r="EQ84" s="9"/>
      <c r="ER84" s="9"/>
      <c r="ES84" s="9"/>
      <c r="ET84" s="9"/>
      <c r="EU84">
        <v>1164.0999999999999</v>
      </c>
      <c r="EV84" s="9"/>
      <c r="EW84" s="9"/>
      <c r="EX84" s="9"/>
      <c r="EY84" s="9"/>
      <c r="EZ84" s="9"/>
      <c r="FA84" s="9"/>
      <c r="FB84" s="9">
        <v>48.214285714299997</v>
      </c>
      <c r="FC84" s="9">
        <v>58.484090909099997</v>
      </c>
      <c r="FD84" s="9">
        <v>7029.2954545455004</v>
      </c>
      <c r="FE84" s="9">
        <v>33.450000000000003</v>
      </c>
      <c r="FF84" s="9">
        <v>627.82727272730006</v>
      </c>
      <c r="FG84" s="9">
        <v>1181397.48</v>
      </c>
      <c r="FH84" s="9">
        <v>31456.12</v>
      </c>
      <c r="FI84" s="9">
        <v>66269.19</v>
      </c>
      <c r="FJ84" s="9">
        <v>491852.46</v>
      </c>
      <c r="FK84" s="9">
        <v>8450.0499999999993</v>
      </c>
      <c r="FL84" s="9">
        <v>16344.05</v>
      </c>
      <c r="FM84" s="9"/>
      <c r="FN84" s="9"/>
      <c r="FO84" s="9"/>
      <c r="FP84" s="9"/>
      <c r="FQ84" s="9"/>
      <c r="FR84" s="9"/>
      <c r="FS84" s="9"/>
      <c r="FT84" s="9">
        <v>689544.41</v>
      </c>
      <c r="FU84" s="9">
        <v>23006.06</v>
      </c>
      <c r="FV84" s="9">
        <v>49924.54</v>
      </c>
      <c r="FW84" s="9"/>
      <c r="FX84" s="9"/>
      <c r="FY84" s="9"/>
      <c r="FZ84" s="9">
        <v>65075.59</v>
      </c>
      <c r="GA84" s="9">
        <v>1380719.24</v>
      </c>
      <c r="GB84" s="9">
        <v>350933.56000000011</v>
      </c>
      <c r="GC84" s="9">
        <v>1029785.68</v>
      </c>
      <c r="GD84" s="9">
        <v>913429.3</v>
      </c>
      <c r="GE84" s="9">
        <v>44590.66</v>
      </c>
      <c r="GF84" s="9">
        <v>868838.64</v>
      </c>
      <c r="GG84" s="9">
        <v>467289.94</v>
      </c>
      <c r="GH84" s="9">
        <v>306342.90000000002</v>
      </c>
      <c r="GI84" s="9">
        <v>160947.04</v>
      </c>
      <c r="GJ84" s="9">
        <v>122572.72</v>
      </c>
      <c r="GK84" s="9">
        <v>2243992.27</v>
      </c>
      <c r="GL84" s="9">
        <v>275244.42</v>
      </c>
      <c r="GM84">
        <v>1164</v>
      </c>
      <c r="GO84" s="6"/>
      <c r="GP84" s="6"/>
      <c r="GQ84" s="6"/>
    </row>
    <row r="85" spans="1:199" x14ac:dyDescent="0.2">
      <c r="A85" s="8">
        <v>2006</v>
      </c>
      <c r="B85" s="8" t="s">
        <v>307</v>
      </c>
      <c r="C85" s="8" t="s">
        <v>310</v>
      </c>
      <c r="D85" s="9">
        <v>1180462.7</v>
      </c>
      <c r="E85" s="9">
        <v>165344.6</v>
      </c>
      <c r="F85" s="9">
        <v>349895.5</v>
      </c>
      <c r="G85" s="9">
        <v>66983.7</v>
      </c>
      <c r="H85" s="9">
        <v>31681.3</v>
      </c>
      <c r="I85" s="9">
        <v>40097.699999999997</v>
      </c>
      <c r="J85" s="9">
        <v>137352.29999999999</v>
      </c>
      <c r="K85" s="9">
        <v>65304.6</v>
      </c>
      <c r="L85" s="9">
        <v>28811.5</v>
      </c>
      <c r="M85" s="9">
        <v>186279.2</v>
      </c>
      <c r="N85" s="9">
        <v>108712.1</v>
      </c>
      <c r="O85" s="9">
        <v>3275977.1699684141</v>
      </c>
      <c r="P85" s="9">
        <v>371059.05816871818</v>
      </c>
      <c r="Q85" s="9">
        <v>572729.28933415667</v>
      </c>
      <c r="R85" s="9">
        <v>260782.80833046351</v>
      </c>
      <c r="S85" s="9">
        <v>96671.818738149101</v>
      </c>
      <c r="T85" s="9">
        <v>235998.86217554679</v>
      </c>
      <c r="U85" s="9">
        <v>499023.03224018408</v>
      </c>
      <c r="V85" s="9">
        <v>99316.894655965705</v>
      </c>
      <c r="W85" s="9">
        <v>51964.764511782902</v>
      </c>
      <c r="X85" s="9">
        <v>861518.03062929935</v>
      </c>
      <c r="Y85" s="9">
        <v>226912.61118414771</v>
      </c>
      <c r="Z85" s="9">
        <v>1226121.8999999999</v>
      </c>
      <c r="AA85" s="9">
        <v>547200</v>
      </c>
      <c r="AB85" s="9">
        <v>136902.29999999999</v>
      </c>
      <c r="AC85" s="9">
        <v>437446.8</v>
      </c>
      <c r="AD85" s="9">
        <v>33932.300000000003</v>
      </c>
      <c r="AE85" s="9">
        <v>660569.19999999995</v>
      </c>
      <c r="AF85" s="9">
        <v>589928.69999999995</v>
      </c>
      <c r="AG85" s="9">
        <v>3459629.5441303379</v>
      </c>
      <c r="AH85" s="9">
        <v>1579042.8218741701</v>
      </c>
      <c r="AI85" s="9">
        <v>515739.47928645811</v>
      </c>
      <c r="AJ85" s="9">
        <v>1269876.4782627269</v>
      </c>
      <c r="AK85" s="9">
        <v>130176.7122459464</v>
      </c>
      <c r="AL85" s="9">
        <v>891831.52867252787</v>
      </c>
      <c r="AM85" s="9">
        <v>927037.47621149081</v>
      </c>
      <c r="AN85" s="9">
        <v>855910</v>
      </c>
      <c r="AO85" s="9">
        <v>440959</v>
      </c>
      <c r="AP85" s="9">
        <v>414951</v>
      </c>
      <c r="AQ85" s="9">
        <v>123696</v>
      </c>
      <c r="AR85" s="9">
        <v>63701</v>
      </c>
      <c r="AS85" s="9">
        <v>59995</v>
      </c>
      <c r="AT85" s="9">
        <v>609374</v>
      </c>
      <c r="AU85" s="9">
        <v>262891</v>
      </c>
      <c r="AV85" s="9">
        <v>346483</v>
      </c>
      <c r="AW85" s="9">
        <v>137.69999999999999</v>
      </c>
      <c r="AX85" s="9">
        <v>69.8</v>
      </c>
      <c r="AY85" s="9">
        <v>152.19999999999999</v>
      </c>
      <c r="AZ85" s="9">
        <v>136.30000000000001</v>
      </c>
      <c r="BA85" s="9">
        <v>142.80000000000001</v>
      </c>
      <c r="BB85" s="9"/>
      <c r="BC85" s="9">
        <v>141.69999999999999</v>
      </c>
      <c r="BD85" s="9">
        <v>89.6</v>
      </c>
      <c r="BE85" s="9">
        <v>139.30000000000001</v>
      </c>
      <c r="BF85" s="9">
        <v>143</v>
      </c>
      <c r="BG85" s="9"/>
      <c r="BH85" s="9">
        <v>260.39999999999998</v>
      </c>
      <c r="BI85" s="9">
        <v>99</v>
      </c>
      <c r="BJ85" s="9">
        <v>138.69999999999999</v>
      </c>
      <c r="BK85" s="9">
        <v>128.4</v>
      </c>
      <c r="BL85" s="9"/>
      <c r="BM85" s="9">
        <v>98.5</v>
      </c>
      <c r="BN85" s="9">
        <v>178755.4</v>
      </c>
      <c r="BO85" s="9">
        <v>140600.9</v>
      </c>
      <c r="BP85" s="9">
        <v>72947.899999999994</v>
      </c>
      <c r="BQ85" s="9">
        <v>19730</v>
      </c>
      <c r="BR85" s="9">
        <v>11694.2</v>
      </c>
      <c r="BS85" s="9">
        <v>8701.7000000000007</v>
      </c>
      <c r="BT85" s="9">
        <v>25608.3</v>
      </c>
      <c r="BU85" s="9">
        <v>13374.4</v>
      </c>
      <c r="BV85" s="9">
        <v>37739.1</v>
      </c>
      <c r="BW85" s="9">
        <v>285705.3</v>
      </c>
      <c r="BX85" s="9">
        <v>12411</v>
      </c>
      <c r="BY85" s="9">
        <v>52520.5</v>
      </c>
      <c r="BZ85" s="9">
        <v>22727.7</v>
      </c>
      <c r="CA85" s="9">
        <v>2235.3000000000002</v>
      </c>
      <c r="CB85" s="9">
        <v>0</v>
      </c>
      <c r="CC85" s="9">
        <v>0</v>
      </c>
      <c r="CD85" s="9">
        <v>0</v>
      </c>
      <c r="CE85" s="9">
        <v>54383</v>
      </c>
      <c r="CF85" s="9">
        <v>331903.35815465002</v>
      </c>
      <c r="CG85" s="9">
        <v>1536590.4127596547</v>
      </c>
      <c r="CH85" s="9"/>
      <c r="CI85" s="9"/>
      <c r="CJ85" s="9">
        <v>24.5</v>
      </c>
      <c r="CK85" s="9">
        <v>15.5</v>
      </c>
      <c r="CL85" s="9"/>
      <c r="CM85" s="9">
        <v>41.634912955700003</v>
      </c>
      <c r="CN85" s="9">
        <v>14.630343868800001</v>
      </c>
      <c r="CO85" s="9">
        <v>1.0339578614</v>
      </c>
      <c r="CP85" s="9">
        <v>5.6232966661999999</v>
      </c>
      <c r="CQ85" s="9">
        <v>4.2495696067999997</v>
      </c>
      <c r="CR85" s="9">
        <v>2.0849716595999999</v>
      </c>
      <c r="CS85" s="9">
        <v>0.67729379420000002</v>
      </c>
      <c r="CT85" s="9">
        <v>3.5387841911</v>
      </c>
      <c r="CU85" s="9">
        <v>0.86038373260000001</v>
      </c>
      <c r="CV85" s="9">
        <v>1.1317246082000001</v>
      </c>
      <c r="CW85" s="9">
        <v>2.1752776272999998</v>
      </c>
      <c r="CX85" s="9">
        <v>0.39090059760000001</v>
      </c>
      <c r="CY85" s="9">
        <v>1.0101151857999999</v>
      </c>
      <c r="CZ85" s="9">
        <v>133</v>
      </c>
      <c r="DA85" s="9">
        <v>102</v>
      </c>
      <c r="DB85" s="9">
        <v>13</v>
      </c>
      <c r="DC85" s="9">
        <v>62</v>
      </c>
      <c r="DD85" s="9">
        <v>1</v>
      </c>
      <c r="DE85" s="9">
        <v>10</v>
      </c>
      <c r="DF85" s="9">
        <v>6</v>
      </c>
      <c r="DG85" s="9">
        <v>2</v>
      </c>
      <c r="DH85" s="9">
        <v>19</v>
      </c>
      <c r="DI85" s="9">
        <v>3</v>
      </c>
      <c r="DJ85" s="9">
        <v>8</v>
      </c>
      <c r="DK85" s="9">
        <v>7</v>
      </c>
      <c r="DL85" s="9">
        <v>0</v>
      </c>
      <c r="DM85" s="9">
        <v>11</v>
      </c>
      <c r="DN85" s="9">
        <v>0</v>
      </c>
      <c r="DO85" s="9">
        <v>140.55000000000001</v>
      </c>
      <c r="DP85" s="9">
        <v>39.83</v>
      </c>
      <c r="DQ85" s="9">
        <v>17.23</v>
      </c>
      <c r="DR85" s="9">
        <v>22.6</v>
      </c>
      <c r="DS85" s="9">
        <v>12.68</v>
      </c>
      <c r="DT85" s="9">
        <v>0.56000000000000005</v>
      </c>
      <c r="DU85" s="9">
        <v>48.13</v>
      </c>
      <c r="DV85" s="9">
        <v>30.83</v>
      </c>
      <c r="DW85" s="9">
        <v>8.5500000000000007</v>
      </c>
      <c r="DX85" s="9">
        <v>39.74</v>
      </c>
      <c r="DY85" s="9">
        <v>20.239999999999998</v>
      </c>
      <c r="DZ85" s="9">
        <v>6.17</v>
      </c>
      <c r="EA85" s="9">
        <v>82.12106</v>
      </c>
      <c r="EB85" s="9">
        <v>62.142139999999998</v>
      </c>
      <c r="EC85" s="9">
        <v>-2.5517400000000001</v>
      </c>
      <c r="ED85" s="9">
        <v>-22.268000000000001</v>
      </c>
      <c r="EE85" s="9">
        <v>44.798639999999999</v>
      </c>
      <c r="EF85" s="9">
        <v>0</v>
      </c>
      <c r="EG85" s="9">
        <v>-37.282699999999998</v>
      </c>
      <c r="EH85" s="9">
        <v>-1</v>
      </c>
      <c r="EI85" s="9">
        <v>0</v>
      </c>
      <c r="EJ85" s="9">
        <v>0</v>
      </c>
      <c r="EK85" s="9">
        <v>-36.282699999999998</v>
      </c>
      <c r="EL85" s="9">
        <v>57.455289999999998</v>
      </c>
      <c r="EM85" s="9">
        <v>176.85910000000001</v>
      </c>
      <c r="EN85" s="9">
        <v>718</v>
      </c>
      <c r="EO85" s="9"/>
      <c r="EP85" s="9"/>
      <c r="EQ85" s="9"/>
      <c r="ER85" s="9"/>
      <c r="ES85" s="9"/>
      <c r="ET85" s="9"/>
      <c r="EU85">
        <v>1164.8399999999999</v>
      </c>
      <c r="EV85" s="9">
        <v>4702.33</v>
      </c>
      <c r="EW85" s="9">
        <v>1413.9</v>
      </c>
      <c r="EX85" s="9">
        <v>16.28</v>
      </c>
      <c r="EY85" s="9">
        <v>65.25</v>
      </c>
      <c r="EZ85" s="9">
        <v>783.33</v>
      </c>
      <c r="FA85" s="9">
        <v>2423.58</v>
      </c>
      <c r="FB85" s="9">
        <v>54.510338345900003</v>
      </c>
      <c r="FC85" s="9">
        <v>62.270476190499998</v>
      </c>
      <c r="FD85" s="9">
        <v>6680.9736842105003</v>
      </c>
      <c r="FE85" s="9">
        <v>33.450000000000003</v>
      </c>
      <c r="FF85" s="9">
        <v>629.79117647060002</v>
      </c>
      <c r="FG85" s="9">
        <v>1223287.33</v>
      </c>
      <c r="FH85" s="9">
        <v>33320.42</v>
      </c>
      <c r="FI85" s="9">
        <v>60021.56</v>
      </c>
      <c r="FJ85" s="9">
        <v>507569.96</v>
      </c>
      <c r="FK85" s="9">
        <v>8674.6200000000008</v>
      </c>
      <c r="FL85" s="9">
        <v>15682.74</v>
      </c>
      <c r="FM85" s="9"/>
      <c r="FN85" s="9"/>
      <c r="FO85" s="9"/>
      <c r="FP85" s="9"/>
      <c r="FQ85" s="9"/>
      <c r="FR85" s="9"/>
      <c r="FS85" s="9"/>
      <c r="FT85" s="9">
        <v>715716.7899999998</v>
      </c>
      <c r="FU85" s="9">
        <v>24645.8</v>
      </c>
      <c r="FV85" s="9">
        <v>44338.239999999998</v>
      </c>
      <c r="FW85" s="9"/>
      <c r="FX85" s="9"/>
      <c r="FY85" s="9"/>
      <c r="FZ85" s="9">
        <v>63789.34</v>
      </c>
      <c r="GA85" s="9">
        <v>1320495.32</v>
      </c>
      <c r="GB85" s="9">
        <v>349897.38</v>
      </c>
      <c r="GC85" s="9">
        <v>970597.94</v>
      </c>
      <c r="GD85" s="9">
        <v>957243.74</v>
      </c>
      <c r="GE85" s="9">
        <v>48375.75</v>
      </c>
      <c r="GF85" s="9">
        <v>908867.99</v>
      </c>
      <c r="GG85" s="9">
        <v>363251.58</v>
      </c>
      <c r="GH85" s="9">
        <v>301521.62999999989</v>
      </c>
      <c r="GI85" s="9">
        <v>61729.95</v>
      </c>
      <c r="GJ85" s="9">
        <v>151593.94</v>
      </c>
      <c r="GK85" s="9">
        <v>2314597.87</v>
      </c>
      <c r="GL85" s="9">
        <v>294779.96999999997</v>
      </c>
      <c r="GM85">
        <v>1165</v>
      </c>
      <c r="GO85" s="6"/>
      <c r="GP85" s="6"/>
      <c r="GQ85" s="6"/>
    </row>
    <row r="86" spans="1:199" x14ac:dyDescent="0.2">
      <c r="A86" s="8">
        <v>2007</v>
      </c>
      <c r="B86" s="8" t="s">
        <v>311</v>
      </c>
      <c r="C86" s="8" t="s">
        <v>312</v>
      </c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>
        <v>153143</v>
      </c>
      <c r="BO86" s="9">
        <v>82784.2</v>
      </c>
      <c r="BP86" s="9">
        <v>25491.7</v>
      </c>
      <c r="BQ86" s="9">
        <v>18409.7</v>
      </c>
      <c r="BR86" s="9">
        <v>4231.2</v>
      </c>
      <c r="BS86" s="9">
        <v>5344.7</v>
      </c>
      <c r="BT86" s="9">
        <v>21718.5</v>
      </c>
      <c r="BU86" s="9">
        <v>6340.4</v>
      </c>
      <c r="BV86" s="9">
        <v>70156.2</v>
      </c>
      <c r="BW86" s="9">
        <v>76579.5</v>
      </c>
      <c r="BX86" s="9">
        <v>1688.1</v>
      </c>
      <c r="BY86" s="9">
        <v>27492.3</v>
      </c>
      <c r="BZ86" s="9">
        <v>26016.5</v>
      </c>
      <c r="CA86" s="9">
        <v>498.4</v>
      </c>
      <c r="CB86" s="9">
        <v>0</v>
      </c>
      <c r="CC86" s="9">
        <v>0</v>
      </c>
      <c r="CD86" s="9">
        <v>0</v>
      </c>
      <c r="CE86" s="9">
        <v>564.29999999999995</v>
      </c>
      <c r="CF86" s="9">
        <v>334996.97343849012</v>
      </c>
      <c r="CG86" s="9">
        <v>1556010.8848538329</v>
      </c>
      <c r="CH86" s="9"/>
      <c r="CI86" s="9"/>
      <c r="CJ86" s="9">
        <v>25.3</v>
      </c>
      <c r="CK86" s="9">
        <v>15.1</v>
      </c>
      <c r="CL86" s="9"/>
      <c r="CM86" s="9">
        <v>37.469491315699997</v>
      </c>
      <c r="CN86" s="9">
        <v>14.8708812678</v>
      </c>
      <c r="CO86" s="9">
        <v>1.037372113</v>
      </c>
      <c r="CP86" s="9">
        <v>5.6071943638999997</v>
      </c>
      <c r="CQ86" s="9">
        <v>4.1083490766999997</v>
      </c>
      <c r="CR86" s="9">
        <v>2.0855865884</v>
      </c>
      <c r="CS86" s="9">
        <v>0.68075524629999995</v>
      </c>
      <c r="CT86" s="9">
        <v>3.5217177269</v>
      </c>
      <c r="CU86" s="9">
        <v>0.8427886416</v>
      </c>
      <c r="CV86" s="9">
        <v>1.1334692065</v>
      </c>
      <c r="CW86" s="9">
        <v>2.1752776272999998</v>
      </c>
      <c r="CX86" s="9">
        <v>0.39467558069999997</v>
      </c>
      <c r="CY86" s="9">
        <v>1.0114238766000001</v>
      </c>
      <c r="CZ86" s="9">
        <v>181</v>
      </c>
      <c r="DA86" s="9">
        <v>154</v>
      </c>
      <c r="DB86" s="9">
        <v>74</v>
      </c>
      <c r="DC86" s="9">
        <v>54</v>
      </c>
      <c r="DD86" s="9">
        <v>0</v>
      </c>
      <c r="DE86" s="9">
        <v>18</v>
      </c>
      <c r="DF86" s="9">
        <v>1</v>
      </c>
      <c r="DG86" s="9">
        <v>1</v>
      </c>
      <c r="DH86" s="9">
        <v>14</v>
      </c>
      <c r="DI86" s="9">
        <v>1</v>
      </c>
      <c r="DJ86" s="9">
        <v>6</v>
      </c>
      <c r="DK86" s="9">
        <v>6</v>
      </c>
      <c r="DL86" s="9">
        <v>0</v>
      </c>
      <c r="DM86" s="9">
        <v>12</v>
      </c>
      <c r="DN86" s="9">
        <v>0</v>
      </c>
      <c r="DO86" s="9">
        <v>120.23</v>
      </c>
      <c r="DP86" s="9">
        <v>33.39</v>
      </c>
      <c r="DQ86" s="9">
        <v>21.84</v>
      </c>
      <c r="DR86" s="9">
        <v>11.55</v>
      </c>
      <c r="DS86" s="9">
        <v>13.98</v>
      </c>
      <c r="DT86" s="9">
        <v>0.57999999999999996</v>
      </c>
      <c r="DU86" s="9">
        <v>37.92</v>
      </c>
      <c r="DV86" s="9">
        <v>23.33</v>
      </c>
      <c r="DW86" s="9">
        <v>9.15</v>
      </c>
      <c r="DX86" s="9">
        <v>34.89</v>
      </c>
      <c r="DY86" s="9">
        <v>14.63</v>
      </c>
      <c r="DZ86" s="9">
        <v>7.53</v>
      </c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>
        <v>808.3</v>
      </c>
      <c r="EO86" s="9"/>
      <c r="EP86" s="9"/>
      <c r="EQ86" s="9"/>
      <c r="ER86" s="9"/>
      <c r="ES86" s="9"/>
      <c r="ET86" s="9"/>
      <c r="EU86">
        <v>1165.55</v>
      </c>
      <c r="EV86" s="9"/>
      <c r="EW86" s="9"/>
      <c r="EX86" s="9"/>
      <c r="EY86" s="9"/>
      <c r="EZ86" s="9"/>
      <c r="FA86" s="9"/>
      <c r="FB86" s="9">
        <v>55.762987013</v>
      </c>
      <c r="FC86" s="9">
        <v>54.553913043500003</v>
      </c>
      <c r="FD86" s="9">
        <v>5689.3409090908999</v>
      </c>
      <c r="FE86" s="9">
        <v>36.630000000000003</v>
      </c>
      <c r="FF86" s="9">
        <v>631.16590909089996</v>
      </c>
      <c r="FG86" s="9">
        <v>1280164.4099999999</v>
      </c>
      <c r="FH86" s="9">
        <v>35068.06</v>
      </c>
      <c r="FI86" s="9">
        <v>62242.95</v>
      </c>
      <c r="FJ86" s="9">
        <v>530832.82999999996</v>
      </c>
      <c r="FK86" s="9">
        <v>9523.4</v>
      </c>
      <c r="FL86" s="9">
        <v>16609.7</v>
      </c>
      <c r="FM86" s="9"/>
      <c r="FN86" s="9"/>
      <c r="FO86" s="9"/>
      <c r="FP86" s="9"/>
      <c r="FQ86" s="9"/>
      <c r="FR86" s="9"/>
      <c r="FS86" s="9"/>
      <c r="FT86" s="9">
        <v>749331.33000000007</v>
      </c>
      <c r="FU86" s="9">
        <v>25544.67</v>
      </c>
      <c r="FV86" s="9">
        <v>45633</v>
      </c>
      <c r="FW86" s="9"/>
      <c r="FX86" s="9"/>
      <c r="FY86" s="9"/>
      <c r="FZ86" s="9">
        <v>63279.17</v>
      </c>
      <c r="GA86" s="9">
        <v>1345961.63</v>
      </c>
      <c r="GB86" s="9">
        <v>362656.28</v>
      </c>
      <c r="GC86" s="9">
        <v>983305.35</v>
      </c>
      <c r="GD86" s="9">
        <v>995324.12</v>
      </c>
      <c r="GE86" s="9">
        <v>57260.33</v>
      </c>
      <c r="GF86" s="9">
        <v>938063.79</v>
      </c>
      <c r="GG86" s="9">
        <v>350637.51</v>
      </c>
      <c r="GH86" s="9">
        <v>305395.95</v>
      </c>
      <c r="GI86" s="9">
        <v>45241.56</v>
      </c>
      <c r="GJ86" s="9">
        <v>230886.57</v>
      </c>
      <c r="GK86" s="9">
        <v>2272620.98</v>
      </c>
      <c r="GL86" s="9">
        <v>291779.88</v>
      </c>
      <c r="GM86">
        <v>1166</v>
      </c>
      <c r="GO86" s="6"/>
      <c r="GP86" s="6"/>
      <c r="GQ86" s="6"/>
    </row>
    <row r="87" spans="1:199" x14ac:dyDescent="0.2">
      <c r="A87" s="8">
        <v>2007</v>
      </c>
      <c r="B87" s="8" t="s">
        <v>311</v>
      </c>
      <c r="C87" s="8" t="s">
        <v>313</v>
      </c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>
        <v>80221.100000000006</v>
      </c>
      <c r="BO87" s="9">
        <v>69288.600000000006</v>
      </c>
      <c r="BP87" s="9">
        <v>27497.7</v>
      </c>
      <c r="BQ87" s="9">
        <v>15661.3</v>
      </c>
      <c r="BR87" s="9">
        <v>5977.7</v>
      </c>
      <c r="BS87" s="9">
        <v>11718.5</v>
      </c>
      <c r="BT87" s="9">
        <v>9260.9</v>
      </c>
      <c r="BU87" s="9">
        <v>7952.2</v>
      </c>
      <c r="BV87" s="9">
        <v>10667.5</v>
      </c>
      <c r="BW87" s="9">
        <v>63437.7</v>
      </c>
      <c r="BX87" s="9">
        <v>4828.6000000000004</v>
      </c>
      <c r="BY87" s="9">
        <v>16827.599999999999</v>
      </c>
      <c r="BZ87" s="9">
        <v>13582.8</v>
      </c>
      <c r="CA87" s="9">
        <v>2422.3000000000002</v>
      </c>
      <c r="CB87" s="9">
        <v>0</v>
      </c>
      <c r="CC87" s="9">
        <v>0</v>
      </c>
      <c r="CD87" s="9">
        <v>0</v>
      </c>
      <c r="CE87" s="9">
        <v>3713.7</v>
      </c>
      <c r="CF87" s="9">
        <v>342596.82404722</v>
      </c>
      <c r="CG87" s="9">
        <v>1627767.7510006933</v>
      </c>
      <c r="CH87" s="9"/>
      <c r="CI87" s="9"/>
      <c r="CJ87" s="9">
        <v>21.64</v>
      </c>
      <c r="CK87" s="9">
        <v>15.68</v>
      </c>
      <c r="CL87" s="9"/>
      <c r="CM87" s="9">
        <v>38.117889527099997</v>
      </c>
      <c r="CN87" s="9">
        <v>15.554967706299999</v>
      </c>
      <c r="CO87" s="9">
        <v>1.0326990368</v>
      </c>
      <c r="CP87" s="9">
        <v>5.5906387486</v>
      </c>
      <c r="CQ87" s="9">
        <v>4.0938326958999998</v>
      </c>
      <c r="CR87" s="9">
        <v>2.0886806309999999</v>
      </c>
      <c r="CS87" s="9">
        <v>0.67946229300000005</v>
      </c>
      <c r="CT87" s="9">
        <v>3.5145703263999999</v>
      </c>
      <c r="CU87" s="9">
        <v>0.84137443160000003</v>
      </c>
      <c r="CV87" s="9">
        <v>1.1336099813</v>
      </c>
      <c r="CW87" s="9">
        <v>2.1752776272999998</v>
      </c>
      <c r="CX87" s="9">
        <v>0.39515041820000002</v>
      </c>
      <c r="CY87" s="9">
        <v>1.0176256307</v>
      </c>
      <c r="CZ87" s="9">
        <v>104</v>
      </c>
      <c r="DA87" s="9">
        <v>82</v>
      </c>
      <c r="DB87" s="9">
        <v>12</v>
      </c>
      <c r="DC87" s="9">
        <v>45</v>
      </c>
      <c r="DD87" s="9">
        <v>0</v>
      </c>
      <c r="DE87" s="9">
        <v>14</v>
      </c>
      <c r="DF87" s="9">
        <v>1</v>
      </c>
      <c r="DG87" s="9">
        <v>2</v>
      </c>
      <c r="DH87" s="9">
        <v>11</v>
      </c>
      <c r="DI87" s="9">
        <v>1</v>
      </c>
      <c r="DJ87" s="9">
        <v>4</v>
      </c>
      <c r="DK87" s="9">
        <v>4</v>
      </c>
      <c r="DL87" s="9">
        <v>0</v>
      </c>
      <c r="DM87" s="9">
        <v>11</v>
      </c>
      <c r="DN87" s="9">
        <v>0</v>
      </c>
      <c r="DO87" s="9">
        <v>100.77</v>
      </c>
      <c r="DP87" s="9">
        <v>29.88</v>
      </c>
      <c r="DQ87" s="9">
        <v>18.239999999999998</v>
      </c>
      <c r="DR87" s="9">
        <v>11.64</v>
      </c>
      <c r="DS87" s="9">
        <v>14.7</v>
      </c>
      <c r="DT87" s="9">
        <v>0.6</v>
      </c>
      <c r="DU87" s="9">
        <v>28.42</v>
      </c>
      <c r="DV87" s="9">
        <v>19.66</v>
      </c>
      <c r="DW87" s="9">
        <v>5.92</v>
      </c>
      <c r="DX87" s="9">
        <v>27.71</v>
      </c>
      <c r="DY87" s="9">
        <v>13.75</v>
      </c>
      <c r="DZ87" s="9">
        <v>5.59</v>
      </c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>
        <v>833.8</v>
      </c>
      <c r="EO87" s="9"/>
      <c r="EP87" s="9"/>
      <c r="EQ87" s="9"/>
      <c r="ER87" s="9"/>
      <c r="ES87" s="9"/>
      <c r="ET87" s="9"/>
      <c r="EU87">
        <v>1164.6400000000001</v>
      </c>
      <c r="EV87" s="9"/>
      <c r="EW87" s="9"/>
      <c r="EX87" s="9"/>
      <c r="EY87" s="9"/>
      <c r="EZ87" s="9"/>
      <c r="FA87" s="9"/>
      <c r="FB87" s="9">
        <v>56.006250000000001</v>
      </c>
      <c r="FC87" s="9">
        <v>57.758499999999998</v>
      </c>
      <c r="FD87" s="9">
        <v>5718.15</v>
      </c>
      <c r="FE87" s="9">
        <v>36.630000000000003</v>
      </c>
      <c r="FF87" s="9">
        <v>664.745</v>
      </c>
      <c r="FG87" s="9">
        <v>1334083.0900000001</v>
      </c>
      <c r="FH87" s="9">
        <v>41380.400000000001</v>
      </c>
      <c r="FI87" s="9">
        <v>64024.12</v>
      </c>
      <c r="FJ87" s="9">
        <v>543075.07000000007</v>
      </c>
      <c r="FK87" s="9">
        <v>9342.36</v>
      </c>
      <c r="FL87" s="9">
        <v>17511.93</v>
      </c>
      <c r="FM87" s="9"/>
      <c r="FN87" s="9"/>
      <c r="FO87" s="9"/>
      <c r="FP87" s="9"/>
      <c r="FQ87" s="9"/>
      <c r="FR87" s="9"/>
      <c r="FS87" s="9"/>
      <c r="FT87" s="9">
        <v>790705.14000000013</v>
      </c>
      <c r="FU87" s="9">
        <v>32038.04</v>
      </c>
      <c r="FV87" s="9">
        <v>46209.3</v>
      </c>
      <c r="FW87" s="9"/>
      <c r="FX87" s="9"/>
      <c r="FY87" s="9"/>
      <c r="FZ87" s="9">
        <v>62748.13</v>
      </c>
      <c r="GA87" s="9">
        <v>1427148.19</v>
      </c>
      <c r="GB87" s="9">
        <v>371836.13</v>
      </c>
      <c r="GC87" s="9">
        <v>1055312.06</v>
      </c>
      <c r="GD87" s="9">
        <v>1060284.56</v>
      </c>
      <c r="GE87" s="9">
        <v>58007.66</v>
      </c>
      <c r="GF87" s="9">
        <v>1002276.9</v>
      </c>
      <c r="GG87" s="9">
        <v>366863.63000000012</v>
      </c>
      <c r="GH87" s="9">
        <v>313828.46999999997</v>
      </c>
      <c r="GI87" s="9">
        <v>53035.16</v>
      </c>
      <c r="GJ87" s="9">
        <v>210447.73</v>
      </c>
      <c r="GK87" s="9">
        <v>2366970.0099999998</v>
      </c>
      <c r="GL87" s="9">
        <v>294162.37</v>
      </c>
      <c r="GM87">
        <v>1164</v>
      </c>
      <c r="GO87" s="6"/>
      <c r="GP87" s="6"/>
      <c r="GQ87" s="6"/>
    </row>
    <row r="88" spans="1:199" x14ac:dyDescent="0.2">
      <c r="A88" s="8">
        <v>2007</v>
      </c>
      <c r="B88" s="8" t="s">
        <v>311</v>
      </c>
      <c r="C88" s="8" t="s">
        <v>314</v>
      </c>
      <c r="D88" s="9">
        <v>803696.4</v>
      </c>
      <c r="E88" s="9">
        <v>60016.5</v>
      </c>
      <c r="F88" s="9">
        <v>226539.5</v>
      </c>
      <c r="G88" s="9">
        <v>56033.3</v>
      </c>
      <c r="H88" s="9">
        <v>32775.5</v>
      </c>
      <c r="I88" s="9">
        <v>5473.9</v>
      </c>
      <c r="J88" s="9">
        <v>45307.7</v>
      </c>
      <c r="K88" s="9">
        <v>65249.1</v>
      </c>
      <c r="L88" s="9">
        <v>28571.3</v>
      </c>
      <c r="M88" s="9">
        <v>197301.3</v>
      </c>
      <c r="N88" s="9">
        <v>86428.2</v>
      </c>
      <c r="O88" s="9">
        <v>1998045.023389285</v>
      </c>
      <c r="P88" s="9">
        <v>120604.19706394149</v>
      </c>
      <c r="Q88" s="9">
        <v>322292.56052729441</v>
      </c>
      <c r="R88" s="9">
        <v>197840.46699738051</v>
      </c>
      <c r="S88" s="9">
        <v>100653.2671334529</v>
      </c>
      <c r="T88" s="9">
        <v>28341.057351526099</v>
      </c>
      <c r="U88" s="9">
        <v>151434.81168252151</v>
      </c>
      <c r="V88" s="9">
        <v>111438.2687340118</v>
      </c>
      <c r="W88" s="9">
        <v>38939.219726077099</v>
      </c>
      <c r="X88" s="9">
        <v>766808.34104281664</v>
      </c>
      <c r="Y88" s="9">
        <v>159692.83313026329</v>
      </c>
      <c r="Z88" s="9">
        <v>822320</v>
      </c>
      <c r="AA88" s="9">
        <v>487604</v>
      </c>
      <c r="AB88" s="9">
        <v>123598.1</v>
      </c>
      <c r="AC88" s="9">
        <v>160517</v>
      </c>
      <c r="AD88" s="9">
        <v>14027.3</v>
      </c>
      <c r="AE88" s="9">
        <v>535784.9</v>
      </c>
      <c r="AF88" s="9">
        <v>499211.3</v>
      </c>
      <c r="AG88" s="9">
        <v>2000031.9614947331</v>
      </c>
      <c r="AH88" s="9">
        <v>1277461.6383512861</v>
      </c>
      <c r="AI88" s="9">
        <v>376254.75602266542</v>
      </c>
      <c r="AJ88" s="9">
        <v>403290.53228961001</v>
      </c>
      <c r="AK88" s="9">
        <v>47300.628259764999</v>
      </c>
      <c r="AL88" s="9">
        <v>622815.67520752328</v>
      </c>
      <c r="AM88" s="9">
        <v>727091.26863611629</v>
      </c>
      <c r="AN88" s="9">
        <v>926590</v>
      </c>
      <c r="AO88" s="9">
        <v>481403</v>
      </c>
      <c r="AP88" s="9">
        <v>445187</v>
      </c>
      <c r="AQ88" s="9">
        <v>128357</v>
      </c>
      <c r="AR88" s="9">
        <v>67058</v>
      </c>
      <c r="AS88" s="9">
        <v>61299</v>
      </c>
      <c r="AT88" s="9">
        <v>629934</v>
      </c>
      <c r="AU88" s="9">
        <v>263191</v>
      </c>
      <c r="AV88" s="9">
        <v>366743</v>
      </c>
      <c r="AW88" s="9">
        <v>154.69999999999999</v>
      </c>
      <c r="AX88" s="9">
        <v>70</v>
      </c>
      <c r="AY88" s="9">
        <v>198</v>
      </c>
      <c r="AZ88" s="9">
        <v>152.1</v>
      </c>
      <c r="BA88" s="9">
        <v>156</v>
      </c>
      <c r="BB88" s="9"/>
      <c r="BC88" s="9">
        <v>135.6</v>
      </c>
      <c r="BD88" s="9">
        <v>113.2</v>
      </c>
      <c r="BE88" s="9">
        <v>151.4</v>
      </c>
      <c r="BF88" s="9">
        <v>122.2</v>
      </c>
      <c r="BG88" s="9"/>
      <c r="BH88" s="9">
        <v>328.9</v>
      </c>
      <c r="BI88" s="9">
        <v>115.1</v>
      </c>
      <c r="BJ88" s="9">
        <v>146.5</v>
      </c>
      <c r="BK88" s="9">
        <v>153.69999999999999</v>
      </c>
      <c r="BL88" s="9"/>
      <c r="BM88" s="9">
        <v>122.4</v>
      </c>
      <c r="BN88" s="9">
        <v>108900.3</v>
      </c>
      <c r="BO88" s="9">
        <v>96908.9</v>
      </c>
      <c r="BP88" s="9">
        <v>39605.5</v>
      </c>
      <c r="BQ88" s="9">
        <v>15036</v>
      </c>
      <c r="BR88" s="9">
        <v>5709.5</v>
      </c>
      <c r="BS88" s="9">
        <v>13420</v>
      </c>
      <c r="BT88" s="9">
        <v>18221.3</v>
      </c>
      <c r="BU88" s="9">
        <v>10040.299999999999</v>
      </c>
      <c r="BV88" s="9">
        <v>11696</v>
      </c>
      <c r="BW88" s="9">
        <v>108651.1</v>
      </c>
      <c r="BX88" s="9">
        <v>2924</v>
      </c>
      <c r="BY88" s="9">
        <v>53009.8</v>
      </c>
      <c r="BZ88" s="9">
        <v>20297.5</v>
      </c>
      <c r="CA88" s="9">
        <v>486.8</v>
      </c>
      <c r="CB88" s="9">
        <v>0</v>
      </c>
      <c r="CC88" s="9">
        <v>0</v>
      </c>
      <c r="CD88" s="9">
        <v>0</v>
      </c>
      <c r="CE88" s="9">
        <v>7116.4</v>
      </c>
      <c r="CF88" s="9">
        <v>401498.59914393013</v>
      </c>
      <c r="CG88" s="9">
        <v>1746754.3831451193</v>
      </c>
      <c r="CH88" s="9"/>
      <c r="CI88" s="9"/>
      <c r="CJ88" s="9">
        <v>22.5</v>
      </c>
      <c r="CK88" s="9">
        <v>13.2</v>
      </c>
      <c r="CL88" s="9"/>
      <c r="CM88" s="9">
        <v>38.482424322</v>
      </c>
      <c r="CN88" s="9">
        <v>15.8898371258</v>
      </c>
      <c r="CO88" s="9">
        <v>1.0374168034</v>
      </c>
      <c r="CP88" s="9">
        <v>5.6296802492999998</v>
      </c>
      <c r="CQ88" s="9">
        <v>4.0783677607</v>
      </c>
      <c r="CR88" s="9">
        <v>2.0947930752000001</v>
      </c>
      <c r="CS88" s="9">
        <v>0.68056853709999998</v>
      </c>
      <c r="CT88" s="9">
        <v>3.5010095401000001</v>
      </c>
      <c r="CU88" s="9">
        <v>0.84138489250000004</v>
      </c>
      <c r="CV88" s="9">
        <v>1.1326710880999999</v>
      </c>
      <c r="CW88" s="9">
        <v>2.1752776272999998</v>
      </c>
      <c r="CX88" s="9">
        <v>0.39839221159999999</v>
      </c>
      <c r="CY88" s="9">
        <v>1.0230254110000001</v>
      </c>
      <c r="CZ88" s="9">
        <v>97</v>
      </c>
      <c r="DA88" s="9">
        <v>80</v>
      </c>
      <c r="DB88" s="9">
        <v>14</v>
      </c>
      <c r="DC88" s="9">
        <v>40</v>
      </c>
      <c r="DD88" s="9">
        <v>0</v>
      </c>
      <c r="DE88" s="9">
        <v>14</v>
      </c>
      <c r="DF88" s="9">
        <v>1</v>
      </c>
      <c r="DG88" s="9">
        <v>4</v>
      </c>
      <c r="DH88" s="9">
        <v>7</v>
      </c>
      <c r="DI88" s="9">
        <v>1</v>
      </c>
      <c r="DJ88" s="9">
        <v>3</v>
      </c>
      <c r="DK88" s="9">
        <v>2</v>
      </c>
      <c r="DL88" s="9">
        <v>0</v>
      </c>
      <c r="DM88" s="9">
        <v>10</v>
      </c>
      <c r="DN88" s="9">
        <v>0</v>
      </c>
      <c r="DO88" s="9">
        <v>127.23</v>
      </c>
      <c r="DP88" s="9">
        <v>37.29</v>
      </c>
      <c r="DQ88" s="9">
        <v>24.78</v>
      </c>
      <c r="DR88" s="9">
        <v>12.52</v>
      </c>
      <c r="DS88" s="9">
        <v>12.37</v>
      </c>
      <c r="DT88" s="9">
        <v>0.45</v>
      </c>
      <c r="DU88" s="9">
        <v>41.23</v>
      </c>
      <c r="DV88" s="9">
        <v>24.91</v>
      </c>
      <c r="DW88" s="9">
        <v>9.56</v>
      </c>
      <c r="DX88" s="9">
        <v>36.25</v>
      </c>
      <c r="DY88" s="9">
        <v>18.16</v>
      </c>
      <c r="DZ88" s="9">
        <v>7.68</v>
      </c>
      <c r="EA88" s="9">
        <v>69.184100000000001</v>
      </c>
      <c r="EB88" s="9">
        <v>47.701599999999999</v>
      </c>
      <c r="EC88" s="9">
        <v>-16.838799999999999</v>
      </c>
      <c r="ED88" s="9">
        <v>3.0252330000000001</v>
      </c>
      <c r="EE88" s="9">
        <v>35.296100000000003</v>
      </c>
      <c r="EF88" s="9">
        <v>0</v>
      </c>
      <c r="EG88" s="9">
        <v>-114.55</v>
      </c>
      <c r="EH88" s="9">
        <v>-25.801300000000001</v>
      </c>
      <c r="EI88" s="9">
        <v>-74.8</v>
      </c>
      <c r="EJ88" s="9">
        <v>0</v>
      </c>
      <c r="EK88" s="9">
        <v>-13.9482</v>
      </c>
      <c r="EL88" s="9">
        <v>-18.247199999999999</v>
      </c>
      <c r="EM88" s="9">
        <v>165.4864</v>
      </c>
      <c r="EN88" s="9">
        <v>882</v>
      </c>
      <c r="EO88" s="9"/>
      <c r="EP88" s="9"/>
      <c r="EQ88" s="9"/>
      <c r="ER88" s="9"/>
      <c r="ES88" s="9"/>
      <c r="ET88" s="9"/>
      <c r="EU88">
        <v>1164.55</v>
      </c>
      <c r="EV88" s="9">
        <v>4786.04</v>
      </c>
      <c r="EW88" s="9">
        <v>1425.31</v>
      </c>
      <c r="EX88" s="9">
        <v>14.73</v>
      </c>
      <c r="EY88" s="9">
        <v>145.44</v>
      </c>
      <c r="EZ88" s="9">
        <v>779.09</v>
      </c>
      <c r="FA88" s="9">
        <v>2421.48</v>
      </c>
      <c r="FB88" s="9">
        <v>56.924512987</v>
      </c>
      <c r="FC88" s="9">
        <v>62.143636363600002</v>
      </c>
      <c r="FD88" s="9">
        <v>6465.2954545455004</v>
      </c>
      <c r="FE88" s="9">
        <v>36.630000000000003</v>
      </c>
      <c r="FF88" s="9">
        <v>654.8954545455</v>
      </c>
      <c r="FG88" s="9">
        <v>1404573.17</v>
      </c>
      <c r="FH88" s="9">
        <v>37639.85</v>
      </c>
      <c r="FI88" s="9">
        <v>61032.24</v>
      </c>
      <c r="FJ88" s="9">
        <v>566658.6</v>
      </c>
      <c r="FK88" s="9">
        <v>9908.92</v>
      </c>
      <c r="FL88" s="9">
        <v>17607.88</v>
      </c>
      <c r="FM88" s="9"/>
      <c r="FN88" s="9"/>
      <c r="FO88" s="9"/>
      <c r="FP88" s="9"/>
      <c r="FQ88" s="9"/>
      <c r="FR88" s="9"/>
      <c r="FS88" s="9"/>
      <c r="FT88" s="9">
        <v>837611.44000000006</v>
      </c>
      <c r="FU88" s="9">
        <v>27730.94</v>
      </c>
      <c r="FV88" s="9">
        <v>43121.22</v>
      </c>
      <c r="FW88" s="9"/>
      <c r="FX88" s="9"/>
      <c r="FY88" s="9"/>
      <c r="FZ88" s="9">
        <v>60359.72</v>
      </c>
      <c r="GA88" s="9">
        <v>1496767.52</v>
      </c>
      <c r="GB88" s="9">
        <v>403943.4</v>
      </c>
      <c r="GC88" s="9">
        <v>1092824.1200000001</v>
      </c>
      <c r="GD88" s="9">
        <v>1080201.48</v>
      </c>
      <c r="GE88" s="9">
        <v>63426.82</v>
      </c>
      <c r="GF88" s="9">
        <v>1016774.66</v>
      </c>
      <c r="GG88" s="9">
        <v>416566.04</v>
      </c>
      <c r="GH88" s="9">
        <v>340516.58</v>
      </c>
      <c r="GI88" s="9">
        <v>76049.460000000006</v>
      </c>
      <c r="GJ88" s="9">
        <v>211822</v>
      </c>
      <c r="GK88" s="9">
        <v>2480975.27</v>
      </c>
      <c r="GL88" s="9">
        <v>301470.17</v>
      </c>
      <c r="GM88">
        <v>1165</v>
      </c>
      <c r="GO88" s="6"/>
      <c r="GP88" s="6"/>
      <c r="GQ88" s="6"/>
    </row>
    <row r="89" spans="1:199" x14ac:dyDescent="0.2">
      <c r="A89" s="8">
        <v>2007</v>
      </c>
      <c r="B89" s="8" t="s">
        <v>315</v>
      </c>
      <c r="C89" s="8" t="s">
        <v>316</v>
      </c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>
        <v>109927.1</v>
      </c>
      <c r="BO89" s="9">
        <v>84613.2</v>
      </c>
      <c r="BP89" s="9">
        <v>37566.199999999997</v>
      </c>
      <c r="BQ89" s="9">
        <v>14817.8</v>
      </c>
      <c r="BR89" s="9">
        <v>5139.7</v>
      </c>
      <c r="BS89" s="9">
        <v>11654.5</v>
      </c>
      <c r="BT89" s="9">
        <v>11560.8</v>
      </c>
      <c r="BU89" s="9">
        <v>7389.6</v>
      </c>
      <c r="BV89" s="9">
        <v>25013.7</v>
      </c>
      <c r="BW89" s="9">
        <v>89190.2</v>
      </c>
      <c r="BX89" s="9">
        <v>11526.5</v>
      </c>
      <c r="BY89" s="9">
        <v>9980.7999999999993</v>
      </c>
      <c r="BZ89" s="9">
        <v>20090.599999999999</v>
      </c>
      <c r="CA89" s="9">
        <v>2271.6</v>
      </c>
      <c r="CB89" s="9">
        <v>0</v>
      </c>
      <c r="CC89" s="9">
        <v>0</v>
      </c>
      <c r="CD89" s="9">
        <v>0</v>
      </c>
      <c r="CE89" s="9">
        <v>16467.099999999999</v>
      </c>
      <c r="CF89" s="9">
        <v>455119.23962556012</v>
      </c>
      <c r="CG89" s="9">
        <v>1883624.8420066929</v>
      </c>
      <c r="CH89" s="9"/>
      <c r="CI89" s="9"/>
      <c r="CJ89" s="9">
        <v>22.3</v>
      </c>
      <c r="CK89" s="9">
        <v>16.3</v>
      </c>
      <c r="CL89" s="9"/>
      <c r="CM89" s="9">
        <v>38.995727690499997</v>
      </c>
      <c r="CN89" s="9">
        <v>16.380238222599999</v>
      </c>
      <c r="CO89" s="9">
        <v>1.0350354623</v>
      </c>
      <c r="CP89" s="9">
        <v>5.6218585423</v>
      </c>
      <c r="CQ89" s="9">
        <v>4.0536198079999997</v>
      </c>
      <c r="CR89" s="9">
        <v>2.1319836354000001</v>
      </c>
      <c r="CS89" s="9">
        <v>0.68405587960000003</v>
      </c>
      <c r="CT89" s="9">
        <v>3.5128536806000001</v>
      </c>
      <c r="CU89" s="9">
        <v>0.84056750329999996</v>
      </c>
      <c r="CV89" s="9">
        <v>1.1326837909</v>
      </c>
      <c r="CW89" s="9">
        <v>2.1752776272999998</v>
      </c>
      <c r="CX89" s="9">
        <v>0.39970844589999999</v>
      </c>
      <c r="CY89" s="9">
        <v>1.0278450924</v>
      </c>
      <c r="CZ89" s="9">
        <v>141</v>
      </c>
      <c r="DA89" s="9">
        <v>103</v>
      </c>
      <c r="DB89" s="9">
        <v>15</v>
      </c>
      <c r="DC89" s="9">
        <v>60</v>
      </c>
      <c r="DD89" s="9">
        <v>0</v>
      </c>
      <c r="DE89" s="9">
        <v>10</v>
      </c>
      <c r="DF89" s="9">
        <v>8</v>
      </c>
      <c r="DG89" s="9">
        <v>4</v>
      </c>
      <c r="DH89" s="9">
        <v>29</v>
      </c>
      <c r="DI89" s="9">
        <v>0</v>
      </c>
      <c r="DJ89" s="9">
        <v>5</v>
      </c>
      <c r="DK89" s="9">
        <v>24</v>
      </c>
      <c r="DL89" s="9">
        <v>0</v>
      </c>
      <c r="DM89" s="9">
        <v>9</v>
      </c>
      <c r="DN89" s="9">
        <v>0</v>
      </c>
      <c r="DO89" s="9">
        <v>153.99</v>
      </c>
      <c r="DP89" s="9">
        <v>47.63</v>
      </c>
      <c r="DQ89" s="9">
        <v>32</v>
      </c>
      <c r="DR89" s="9">
        <v>15.63</v>
      </c>
      <c r="DS89" s="9">
        <v>13.45</v>
      </c>
      <c r="DT89" s="9">
        <v>0.65</v>
      </c>
      <c r="DU89" s="9">
        <v>64.38</v>
      </c>
      <c r="DV89" s="9">
        <v>42.77</v>
      </c>
      <c r="DW89" s="9">
        <v>13.58</v>
      </c>
      <c r="DX89" s="9">
        <v>28.32</v>
      </c>
      <c r="DY89" s="9">
        <v>11.78</v>
      </c>
      <c r="DZ89" s="9">
        <v>6.22</v>
      </c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>
        <v>922.4</v>
      </c>
      <c r="EO89" s="9"/>
      <c r="EP89" s="9"/>
      <c r="EQ89" s="9"/>
      <c r="ER89" s="9"/>
      <c r="ES89" s="9"/>
      <c r="ET89" s="9"/>
      <c r="EU89">
        <v>1165</v>
      </c>
      <c r="EV89" s="9"/>
      <c r="EW89" s="9"/>
      <c r="EX89" s="9"/>
      <c r="EY89" s="9"/>
      <c r="EZ89" s="9"/>
      <c r="FA89" s="9"/>
      <c r="FB89" s="9">
        <v>58.051691729300003</v>
      </c>
      <c r="FC89" s="9">
        <v>67.504761904800006</v>
      </c>
      <c r="FD89" s="9">
        <v>7753.3421052632002</v>
      </c>
      <c r="FE89" s="9">
        <v>36.630000000000003</v>
      </c>
      <c r="FF89" s="9">
        <v>679.36842105259996</v>
      </c>
      <c r="FG89" s="9">
        <v>1477606.96</v>
      </c>
      <c r="FH89" s="9">
        <v>41109.75</v>
      </c>
      <c r="FI89" s="9">
        <v>60437.53</v>
      </c>
      <c r="FJ89" s="9">
        <v>581557.90000000014</v>
      </c>
      <c r="FK89" s="9">
        <v>10709.53</v>
      </c>
      <c r="FL89" s="9">
        <v>18161.71</v>
      </c>
      <c r="FM89" s="9"/>
      <c r="FN89" s="9"/>
      <c r="FO89" s="9"/>
      <c r="FP89" s="9"/>
      <c r="FQ89" s="9"/>
      <c r="FR89" s="9"/>
      <c r="FS89" s="9"/>
      <c r="FT89" s="9">
        <v>895746.15</v>
      </c>
      <c r="FU89" s="9">
        <v>30400.23</v>
      </c>
      <c r="FV89" s="9">
        <v>41972.92</v>
      </c>
      <c r="FW89" s="9"/>
      <c r="FX89" s="9"/>
      <c r="FY89" s="9"/>
      <c r="FZ89" s="9">
        <v>64223.22</v>
      </c>
      <c r="GA89" s="9">
        <v>1595044.84</v>
      </c>
      <c r="GB89" s="9">
        <v>467249.43999999989</v>
      </c>
      <c r="GC89" s="9">
        <v>1127795.3999999999</v>
      </c>
      <c r="GD89" s="9">
        <v>1105777.44</v>
      </c>
      <c r="GE89" s="9">
        <v>70244.87</v>
      </c>
      <c r="GF89" s="9">
        <v>1035532.57</v>
      </c>
      <c r="GG89" s="9">
        <v>489267.4</v>
      </c>
      <c r="GH89" s="9">
        <v>397004.56999999989</v>
      </c>
      <c r="GI89" s="9">
        <v>92262.83</v>
      </c>
      <c r="GJ89" s="9">
        <v>236154.45</v>
      </c>
      <c r="GK89" s="9">
        <v>2629117.88</v>
      </c>
      <c r="GL89" s="9">
        <v>307336.15000000002</v>
      </c>
      <c r="GM89">
        <v>1165</v>
      </c>
      <c r="GO89" s="6"/>
      <c r="GP89" s="6"/>
      <c r="GQ89" s="6"/>
    </row>
    <row r="90" spans="1:199" x14ac:dyDescent="0.2">
      <c r="A90" s="8">
        <v>2007</v>
      </c>
      <c r="B90" s="8" t="s">
        <v>315</v>
      </c>
      <c r="C90" s="8" t="s">
        <v>317</v>
      </c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>
        <v>129117.8</v>
      </c>
      <c r="BO90" s="9">
        <v>112248.6</v>
      </c>
      <c r="BP90" s="9">
        <v>42998.2</v>
      </c>
      <c r="BQ90" s="9">
        <v>13684.2</v>
      </c>
      <c r="BR90" s="9">
        <v>5508.1</v>
      </c>
      <c r="BS90" s="9">
        <v>12548</v>
      </c>
      <c r="BT90" s="9">
        <v>16363.1</v>
      </c>
      <c r="BU90" s="9">
        <v>11284</v>
      </c>
      <c r="BV90" s="9">
        <v>15457.5</v>
      </c>
      <c r="BW90" s="9">
        <v>101068</v>
      </c>
      <c r="BX90" s="9">
        <v>5016.2</v>
      </c>
      <c r="BY90" s="9">
        <v>26094.2</v>
      </c>
      <c r="BZ90" s="9">
        <v>21309.7</v>
      </c>
      <c r="CA90" s="9">
        <v>1300.3</v>
      </c>
      <c r="CB90" s="9">
        <v>0</v>
      </c>
      <c r="CC90" s="9">
        <v>0</v>
      </c>
      <c r="CD90" s="9">
        <v>0</v>
      </c>
      <c r="CE90" s="9">
        <v>39968</v>
      </c>
      <c r="CF90" s="9">
        <v>490293.12857538002</v>
      </c>
      <c r="CG90" s="9">
        <v>1966094.2762081579</v>
      </c>
      <c r="CH90" s="9"/>
      <c r="CI90" s="9"/>
      <c r="CJ90" s="9">
        <v>23.69</v>
      </c>
      <c r="CK90" s="9">
        <v>14.11</v>
      </c>
      <c r="CL90" s="9"/>
      <c r="CM90" s="9">
        <v>39.303987625200001</v>
      </c>
      <c r="CN90" s="9">
        <v>16.724282883200001</v>
      </c>
      <c r="CO90" s="9">
        <v>1.0345003736</v>
      </c>
      <c r="CP90" s="9">
        <v>5.5803209221000003</v>
      </c>
      <c r="CQ90" s="9">
        <v>4.0487578491000003</v>
      </c>
      <c r="CR90" s="9">
        <v>2.1348366398</v>
      </c>
      <c r="CS90" s="9">
        <v>0.68318466349999996</v>
      </c>
      <c r="CT90" s="9">
        <v>3.5127575289999999</v>
      </c>
      <c r="CU90" s="9">
        <v>0.84223401320000002</v>
      </c>
      <c r="CV90" s="9">
        <v>1.134024309</v>
      </c>
      <c r="CW90" s="9">
        <v>2.1752776272999998</v>
      </c>
      <c r="CX90" s="9">
        <v>0.40268053660000003</v>
      </c>
      <c r="CY90" s="9">
        <v>1.0311302788000001</v>
      </c>
      <c r="CZ90" s="9">
        <v>172</v>
      </c>
      <c r="DA90" s="9">
        <v>118</v>
      </c>
      <c r="DB90" s="9">
        <v>13</v>
      </c>
      <c r="DC90" s="9">
        <v>74</v>
      </c>
      <c r="DD90" s="9">
        <v>1</v>
      </c>
      <c r="DE90" s="9">
        <v>7</v>
      </c>
      <c r="DF90" s="9">
        <v>11</v>
      </c>
      <c r="DG90" s="9">
        <v>4</v>
      </c>
      <c r="DH90" s="9">
        <v>39</v>
      </c>
      <c r="DI90" s="9">
        <v>0</v>
      </c>
      <c r="DJ90" s="9">
        <v>1</v>
      </c>
      <c r="DK90" s="9">
        <v>36</v>
      </c>
      <c r="DL90" s="9">
        <v>0</v>
      </c>
      <c r="DM90" s="9">
        <v>15</v>
      </c>
      <c r="DN90" s="9">
        <v>0</v>
      </c>
      <c r="DO90" s="9">
        <v>184.12</v>
      </c>
      <c r="DP90" s="9">
        <v>44.97</v>
      </c>
      <c r="DQ90" s="9">
        <v>25.46</v>
      </c>
      <c r="DR90" s="9">
        <v>19.510000000000002</v>
      </c>
      <c r="DS90" s="9">
        <v>17.54</v>
      </c>
      <c r="DT90" s="9">
        <v>0.45</v>
      </c>
      <c r="DU90" s="9">
        <v>70.8</v>
      </c>
      <c r="DV90" s="9">
        <v>44.34</v>
      </c>
      <c r="DW90" s="9">
        <v>17.64</v>
      </c>
      <c r="DX90" s="9">
        <v>50.79</v>
      </c>
      <c r="DY90" s="9">
        <v>25.93</v>
      </c>
      <c r="DZ90" s="9">
        <v>9.35</v>
      </c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>
        <v>967.9</v>
      </c>
      <c r="EO90" s="9"/>
      <c r="EP90" s="9"/>
      <c r="EQ90" s="9"/>
      <c r="ER90" s="9"/>
      <c r="ES90" s="9"/>
      <c r="ET90" s="9"/>
      <c r="EU90">
        <v>1165</v>
      </c>
      <c r="EV90" s="9"/>
      <c r="EW90" s="9"/>
      <c r="EX90" s="9"/>
      <c r="EY90" s="9"/>
      <c r="EZ90" s="9"/>
      <c r="FA90" s="9"/>
      <c r="FB90" s="9">
        <v>58.456632653100002</v>
      </c>
      <c r="FC90" s="9">
        <v>67.476521739099994</v>
      </c>
      <c r="FD90" s="9">
        <v>7677.9523809523998</v>
      </c>
      <c r="FE90" s="9">
        <v>36.630000000000003</v>
      </c>
      <c r="FF90" s="9">
        <v>666.85952380950005</v>
      </c>
      <c r="FG90" s="9">
        <v>1509738.42</v>
      </c>
      <c r="FH90" s="9">
        <v>53035.34</v>
      </c>
      <c r="FI90" s="9">
        <v>63970</v>
      </c>
      <c r="FJ90" s="9">
        <v>590818.01</v>
      </c>
      <c r="FK90" s="9">
        <v>11549.88</v>
      </c>
      <c r="FL90" s="9">
        <v>20171.259999999998</v>
      </c>
      <c r="FM90" s="9"/>
      <c r="FN90" s="9"/>
      <c r="FO90" s="9"/>
      <c r="FP90" s="9"/>
      <c r="FQ90" s="9"/>
      <c r="FR90" s="9"/>
      <c r="FS90" s="9"/>
      <c r="FT90" s="9">
        <v>918615.93</v>
      </c>
      <c r="FU90" s="9">
        <v>41485.47</v>
      </c>
      <c r="FV90" s="9">
        <v>43494.23</v>
      </c>
      <c r="FW90" s="9"/>
      <c r="FX90" s="9"/>
      <c r="FY90" s="9"/>
      <c r="FZ90" s="9">
        <v>64773.38</v>
      </c>
      <c r="GA90" s="9">
        <v>1663469.64</v>
      </c>
      <c r="GB90" s="9">
        <v>486478.46</v>
      </c>
      <c r="GC90" s="9">
        <v>1176991.18</v>
      </c>
      <c r="GD90" s="9">
        <v>1150684.5</v>
      </c>
      <c r="GE90" s="9">
        <v>69629.289999999994</v>
      </c>
      <c r="GF90" s="9">
        <v>1081055.21</v>
      </c>
      <c r="GG90" s="9">
        <v>512785.14</v>
      </c>
      <c r="GH90" s="9">
        <v>416849.17</v>
      </c>
      <c r="GI90" s="9">
        <v>95935.97</v>
      </c>
      <c r="GJ90" s="9">
        <v>243114.18</v>
      </c>
      <c r="GK90" s="9">
        <v>2680438.56</v>
      </c>
      <c r="GL90" s="9">
        <v>311119.38</v>
      </c>
      <c r="GM90">
        <v>1165</v>
      </c>
      <c r="GO90" s="6"/>
      <c r="GP90" s="6"/>
      <c r="GQ90" s="6"/>
    </row>
    <row r="91" spans="1:199" x14ac:dyDescent="0.2">
      <c r="A91" s="8">
        <v>2007</v>
      </c>
      <c r="B91" s="8" t="s">
        <v>315</v>
      </c>
      <c r="C91" s="8" t="s">
        <v>318</v>
      </c>
      <c r="D91" s="9">
        <v>1353700</v>
      </c>
      <c r="E91" s="9">
        <v>347740.4</v>
      </c>
      <c r="F91" s="9">
        <v>398142.7</v>
      </c>
      <c r="G91" s="9">
        <v>76714.399999999994</v>
      </c>
      <c r="H91" s="9">
        <v>25631.5</v>
      </c>
      <c r="I91" s="9">
        <v>16223.8</v>
      </c>
      <c r="J91" s="9">
        <v>54282.2</v>
      </c>
      <c r="K91" s="9">
        <v>76907.100000000006</v>
      </c>
      <c r="L91" s="9">
        <v>40382.5</v>
      </c>
      <c r="M91" s="9">
        <v>211383.7</v>
      </c>
      <c r="N91" s="9">
        <v>106291.7</v>
      </c>
      <c r="O91" s="9">
        <v>3365392.1408159551</v>
      </c>
      <c r="P91" s="9">
        <v>762415.78012439224</v>
      </c>
      <c r="Q91" s="9">
        <v>618002.27093058545</v>
      </c>
      <c r="R91" s="9">
        <v>295522.66279291589</v>
      </c>
      <c r="S91" s="9">
        <v>85881.089185325603</v>
      </c>
      <c r="T91" s="9">
        <v>91646.681536262302</v>
      </c>
      <c r="U91" s="9">
        <v>197950.27842428291</v>
      </c>
      <c r="V91" s="9">
        <v>143308.26448643149</v>
      </c>
      <c r="W91" s="9">
        <v>60047.567039158101</v>
      </c>
      <c r="X91" s="9">
        <v>896341.17595970584</v>
      </c>
      <c r="Y91" s="9">
        <v>214276.3703368943</v>
      </c>
      <c r="Z91" s="9">
        <v>1380855.5</v>
      </c>
      <c r="AA91" s="9">
        <v>478780.8</v>
      </c>
      <c r="AB91" s="9">
        <v>139836.5</v>
      </c>
      <c r="AC91" s="9">
        <v>670350</v>
      </c>
      <c r="AD91" s="9">
        <v>70070.7</v>
      </c>
      <c r="AE91" s="9">
        <v>697211</v>
      </c>
      <c r="AF91" s="9">
        <v>675393.4</v>
      </c>
      <c r="AG91" s="9">
        <v>3358491.9912026832</v>
      </c>
      <c r="AH91" s="9">
        <v>1229163.1592564811</v>
      </c>
      <c r="AI91" s="9">
        <v>417141.06950640469</v>
      </c>
      <c r="AJ91" s="9">
        <v>1650406.0508200061</v>
      </c>
      <c r="AK91" s="9">
        <v>231537.57544831419</v>
      </c>
      <c r="AL91" s="9">
        <v>794191.97875846515</v>
      </c>
      <c r="AM91" s="9">
        <v>963947.84258698742</v>
      </c>
      <c r="AN91" s="9">
        <v>951247</v>
      </c>
      <c r="AO91" s="9">
        <v>489164</v>
      </c>
      <c r="AP91" s="9">
        <v>462083</v>
      </c>
      <c r="AQ91" s="9">
        <v>92930</v>
      </c>
      <c r="AR91" s="9">
        <v>49080</v>
      </c>
      <c r="AS91" s="9">
        <v>43850</v>
      </c>
      <c r="AT91" s="9">
        <v>638230</v>
      </c>
      <c r="AU91" s="9">
        <v>260276</v>
      </c>
      <c r="AV91" s="9">
        <v>377954</v>
      </c>
      <c r="AW91" s="9">
        <v>166.2</v>
      </c>
      <c r="AX91" s="9">
        <v>85</v>
      </c>
      <c r="AY91" s="9">
        <v>215.5</v>
      </c>
      <c r="AZ91" s="9">
        <v>155.4</v>
      </c>
      <c r="BA91" s="9">
        <v>161.69999999999999</v>
      </c>
      <c r="BB91" s="9"/>
      <c r="BC91" s="9">
        <v>162</v>
      </c>
      <c r="BD91" s="9">
        <v>119</v>
      </c>
      <c r="BE91" s="9">
        <v>172.6</v>
      </c>
      <c r="BF91" s="9">
        <v>163.80000000000001</v>
      </c>
      <c r="BG91" s="9"/>
      <c r="BH91" s="9">
        <v>346.4</v>
      </c>
      <c r="BI91" s="9">
        <v>119.2</v>
      </c>
      <c r="BJ91" s="9">
        <v>193.1</v>
      </c>
      <c r="BK91" s="9">
        <v>149.80000000000001</v>
      </c>
      <c r="BL91" s="9"/>
      <c r="BM91" s="9">
        <v>129.30000000000001</v>
      </c>
      <c r="BN91" s="9">
        <v>156012.5</v>
      </c>
      <c r="BO91" s="9">
        <v>128522.7</v>
      </c>
      <c r="BP91" s="9">
        <v>54200.1</v>
      </c>
      <c r="BQ91" s="9">
        <v>9640.5</v>
      </c>
      <c r="BR91" s="9">
        <v>5627.4</v>
      </c>
      <c r="BS91" s="9">
        <v>12934.3</v>
      </c>
      <c r="BT91" s="9">
        <v>23582</v>
      </c>
      <c r="BU91" s="9">
        <v>9567.1</v>
      </c>
      <c r="BV91" s="9">
        <v>26997.200000000001</v>
      </c>
      <c r="BW91" s="9">
        <v>87594</v>
      </c>
      <c r="BX91" s="9">
        <v>5498.5</v>
      </c>
      <c r="BY91" s="9">
        <v>30117.9</v>
      </c>
      <c r="BZ91" s="9">
        <v>27387.4</v>
      </c>
      <c r="CA91" s="9">
        <v>1610</v>
      </c>
      <c r="CB91" s="9">
        <v>0</v>
      </c>
      <c r="CC91" s="9">
        <v>0</v>
      </c>
      <c r="CD91" s="9">
        <v>0</v>
      </c>
      <c r="CE91" s="9">
        <v>13582.1</v>
      </c>
      <c r="CF91" s="9">
        <v>502223.41978613002</v>
      </c>
      <c r="CG91" s="9">
        <v>2016090.180787001</v>
      </c>
      <c r="CH91" s="9"/>
      <c r="CI91" s="9"/>
      <c r="CJ91" s="9">
        <v>21</v>
      </c>
      <c r="CK91" s="9">
        <v>15.5</v>
      </c>
      <c r="CL91" s="9"/>
      <c r="CM91" s="9">
        <v>39.434718247200003</v>
      </c>
      <c r="CN91" s="9">
        <v>16.815364041599999</v>
      </c>
      <c r="CO91" s="9">
        <v>1.0414931978999999</v>
      </c>
      <c r="CP91" s="9">
        <v>5.5941564321000001</v>
      </c>
      <c r="CQ91" s="9">
        <v>4.0288421847000002</v>
      </c>
      <c r="CR91" s="9">
        <v>2.1317686997999998</v>
      </c>
      <c r="CS91" s="9">
        <v>0.68686857069999996</v>
      </c>
      <c r="CT91" s="9">
        <v>3.5812018761000002</v>
      </c>
      <c r="CU91" s="9">
        <v>0.82285580349999998</v>
      </c>
      <c r="CV91" s="9">
        <v>1.1211414806</v>
      </c>
      <c r="CW91" s="9">
        <v>2.1752776272999998</v>
      </c>
      <c r="CX91" s="9">
        <v>0.40295697670000002</v>
      </c>
      <c r="CY91" s="9">
        <v>1.0327913563</v>
      </c>
      <c r="CZ91" s="9">
        <v>176</v>
      </c>
      <c r="DA91" s="9">
        <v>128</v>
      </c>
      <c r="DB91" s="9">
        <v>17</v>
      </c>
      <c r="DC91" s="9">
        <v>78</v>
      </c>
      <c r="DD91" s="9">
        <v>1</v>
      </c>
      <c r="DE91" s="9">
        <v>9</v>
      </c>
      <c r="DF91" s="9">
        <v>9</v>
      </c>
      <c r="DG91" s="9">
        <v>4</v>
      </c>
      <c r="DH91" s="9">
        <v>36</v>
      </c>
      <c r="DI91" s="9">
        <v>1</v>
      </c>
      <c r="DJ91" s="9">
        <v>1</v>
      </c>
      <c r="DK91" s="9">
        <v>34</v>
      </c>
      <c r="DL91" s="9">
        <v>0</v>
      </c>
      <c r="DM91" s="9">
        <v>11</v>
      </c>
      <c r="DN91" s="9">
        <v>0</v>
      </c>
      <c r="DO91" s="9">
        <v>177.42</v>
      </c>
      <c r="DP91" s="9">
        <v>44.17</v>
      </c>
      <c r="DQ91" s="9">
        <v>26.04</v>
      </c>
      <c r="DR91" s="9">
        <v>18.13</v>
      </c>
      <c r="DS91" s="9">
        <v>19.059999999999999</v>
      </c>
      <c r="DT91" s="9">
        <v>0.46</v>
      </c>
      <c r="DU91" s="9">
        <v>70.53</v>
      </c>
      <c r="DV91" s="9">
        <v>40.65</v>
      </c>
      <c r="DW91" s="9">
        <v>18.55</v>
      </c>
      <c r="DX91" s="9">
        <v>43.53</v>
      </c>
      <c r="DY91" s="9">
        <v>21.35</v>
      </c>
      <c r="DZ91" s="9">
        <v>7.68</v>
      </c>
      <c r="EA91" s="9">
        <v>64.022109999999998</v>
      </c>
      <c r="EB91" s="9">
        <v>-11.3604</v>
      </c>
      <c r="EC91" s="9">
        <v>30.252780000000001</v>
      </c>
      <c r="ED91" s="9">
        <v>-12.3666</v>
      </c>
      <c r="EE91" s="9">
        <v>57.496299999999998</v>
      </c>
      <c r="EF91" s="9">
        <v>0</v>
      </c>
      <c r="EG91" s="9">
        <v>-6.3726900000000004</v>
      </c>
      <c r="EH91" s="9">
        <v>-65.389799999999994</v>
      </c>
      <c r="EI91" s="9">
        <v>0</v>
      </c>
      <c r="EJ91" s="9">
        <v>0</v>
      </c>
      <c r="EK91" s="9">
        <v>59.017110000000002</v>
      </c>
      <c r="EL91" s="9">
        <v>52.566290000000002</v>
      </c>
      <c r="EM91" s="9">
        <v>122.9611</v>
      </c>
      <c r="EN91" s="9">
        <v>1004</v>
      </c>
      <c r="EO91" s="9"/>
      <c r="EP91" s="9"/>
      <c r="EQ91" s="9"/>
      <c r="ER91" s="9"/>
      <c r="ES91" s="9"/>
      <c r="ET91" s="9"/>
      <c r="EU91">
        <v>1164.0899999999999</v>
      </c>
      <c r="EV91" s="9">
        <v>4775.82</v>
      </c>
      <c r="EW91" s="9">
        <v>1434.46</v>
      </c>
      <c r="EX91" s="9">
        <v>13.83</v>
      </c>
      <c r="EY91" s="9">
        <v>169.28</v>
      </c>
      <c r="EZ91" s="9">
        <v>752.11</v>
      </c>
      <c r="FA91" s="9">
        <v>2406.15</v>
      </c>
      <c r="FB91" s="9">
        <v>63.150510204100001</v>
      </c>
      <c r="FC91" s="9">
        <v>71.317142857099995</v>
      </c>
      <c r="FD91" s="9">
        <v>7514.2380952381</v>
      </c>
      <c r="FE91" s="9">
        <v>36.630000000000003</v>
      </c>
      <c r="FF91" s="9">
        <v>655.49047619049998</v>
      </c>
      <c r="FG91" s="9">
        <v>1600220.65</v>
      </c>
      <c r="FH91" s="9">
        <v>44728.77</v>
      </c>
      <c r="FI91" s="9">
        <v>61861.23</v>
      </c>
      <c r="FJ91" s="9">
        <v>616179.46999999986</v>
      </c>
      <c r="FK91" s="9">
        <v>11363.05</v>
      </c>
      <c r="FL91" s="9">
        <v>19453.07</v>
      </c>
      <c r="FM91" s="9"/>
      <c r="FN91" s="9"/>
      <c r="FO91" s="9"/>
      <c r="FP91" s="9"/>
      <c r="FQ91" s="9"/>
      <c r="FR91" s="9"/>
      <c r="FS91" s="9"/>
      <c r="FT91" s="9">
        <v>983736.99</v>
      </c>
      <c r="FU91" s="9">
        <v>33365.72</v>
      </c>
      <c r="FV91" s="9">
        <v>42103.96</v>
      </c>
      <c r="FW91" s="9"/>
      <c r="FX91" s="9"/>
      <c r="FY91" s="9"/>
      <c r="FZ91" s="9">
        <v>65470.78</v>
      </c>
      <c r="GA91" s="9">
        <v>1719350.68</v>
      </c>
      <c r="GB91" s="9">
        <v>486790.31</v>
      </c>
      <c r="GC91" s="9">
        <v>1232560.3700000001</v>
      </c>
      <c r="GD91" s="9">
        <v>1192872.5900000001</v>
      </c>
      <c r="GE91" s="9">
        <v>73531.44</v>
      </c>
      <c r="GF91" s="9">
        <v>1119341.1499999999</v>
      </c>
      <c r="GG91" s="9">
        <v>526478.09000000008</v>
      </c>
      <c r="GH91" s="9">
        <v>413258.87</v>
      </c>
      <c r="GI91" s="9">
        <v>113219.22</v>
      </c>
      <c r="GJ91" s="9">
        <v>233145.35</v>
      </c>
      <c r="GK91" s="9">
        <v>2771140.46</v>
      </c>
      <c r="GL91" s="9">
        <v>318872.02</v>
      </c>
      <c r="GM91">
        <v>1163.6300000000001</v>
      </c>
      <c r="GO91" s="6"/>
      <c r="GP91" s="6"/>
      <c r="GQ91" s="6"/>
    </row>
    <row r="92" spans="1:199" x14ac:dyDescent="0.2">
      <c r="A92" s="8">
        <v>2007</v>
      </c>
      <c r="B92" s="8" t="s">
        <v>319</v>
      </c>
      <c r="C92" s="8" t="s">
        <v>320</v>
      </c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>
        <v>131040.7</v>
      </c>
      <c r="BO92" s="9">
        <v>109180.5</v>
      </c>
      <c r="BP92" s="9">
        <v>39958.699999999997</v>
      </c>
      <c r="BQ92" s="9">
        <v>10726.9</v>
      </c>
      <c r="BR92" s="9">
        <v>5567.8</v>
      </c>
      <c r="BS92" s="9">
        <v>11271.5</v>
      </c>
      <c r="BT92" s="9">
        <v>21027.8</v>
      </c>
      <c r="BU92" s="9">
        <v>12348.1</v>
      </c>
      <c r="BV92" s="9">
        <v>21611.599999999999</v>
      </c>
      <c r="BW92" s="9">
        <v>67874.7</v>
      </c>
      <c r="BX92" s="9">
        <v>6488.4</v>
      </c>
      <c r="BY92" s="9">
        <v>20359</v>
      </c>
      <c r="BZ92" s="9">
        <v>17296.3</v>
      </c>
      <c r="CA92" s="9">
        <v>351.7</v>
      </c>
      <c r="CB92" s="9">
        <v>0</v>
      </c>
      <c r="CC92" s="9">
        <v>0</v>
      </c>
      <c r="CD92" s="9">
        <v>0</v>
      </c>
      <c r="CE92" s="9">
        <v>34375.9</v>
      </c>
      <c r="CF92" s="9">
        <v>497043.87133277999</v>
      </c>
      <c r="CG92" s="9">
        <v>2094659.5873104481</v>
      </c>
      <c r="CH92" s="9"/>
      <c r="CI92" s="9"/>
      <c r="CJ92" s="9">
        <v>22.27</v>
      </c>
      <c r="CK92" s="9">
        <v>14.46</v>
      </c>
      <c r="CL92" s="9">
        <v>6.4</v>
      </c>
      <c r="CM92" s="9">
        <v>39.617143402899998</v>
      </c>
      <c r="CN92" s="9">
        <v>16.9455024853</v>
      </c>
      <c r="CO92" s="9">
        <v>1.042289698</v>
      </c>
      <c r="CP92" s="9">
        <v>5.5862385254999998</v>
      </c>
      <c r="CQ92" s="9">
        <v>4.0682313817000004</v>
      </c>
      <c r="CR92" s="9">
        <v>2.1466255373999998</v>
      </c>
      <c r="CS92" s="9">
        <v>0.68756380090000002</v>
      </c>
      <c r="CT92" s="9">
        <v>3.5824916777000002</v>
      </c>
      <c r="CU92" s="9">
        <v>0.81321354850000005</v>
      </c>
      <c r="CV92" s="9">
        <v>1.13026526</v>
      </c>
      <c r="CW92" s="9">
        <v>2.1752776272999998</v>
      </c>
      <c r="CX92" s="9">
        <v>0.40308586959999998</v>
      </c>
      <c r="CY92" s="9">
        <v>1.036357991</v>
      </c>
      <c r="CZ92" s="9">
        <v>145</v>
      </c>
      <c r="DA92" s="9">
        <v>119</v>
      </c>
      <c r="DB92" s="9">
        <v>13</v>
      </c>
      <c r="DC92" s="9">
        <v>75</v>
      </c>
      <c r="DD92" s="9">
        <v>1</v>
      </c>
      <c r="DE92" s="9">
        <v>10</v>
      </c>
      <c r="DF92" s="9">
        <v>8</v>
      </c>
      <c r="DG92" s="9">
        <v>4</v>
      </c>
      <c r="DH92" s="9">
        <v>17</v>
      </c>
      <c r="DI92" s="9">
        <v>0</v>
      </c>
      <c r="DJ92" s="9">
        <v>2</v>
      </c>
      <c r="DK92" s="9">
        <v>13</v>
      </c>
      <c r="DL92" s="9">
        <v>0</v>
      </c>
      <c r="DM92" s="9">
        <v>9</v>
      </c>
      <c r="DN92" s="9">
        <v>0</v>
      </c>
      <c r="DO92" s="9">
        <v>182.99</v>
      </c>
      <c r="DP92" s="9">
        <v>42.87</v>
      </c>
      <c r="DQ92" s="9">
        <v>23.86</v>
      </c>
      <c r="DR92" s="9">
        <v>19.010000000000002</v>
      </c>
      <c r="DS92" s="9">
        <v>17.010000000000002</v>
      </c>
      <c r="DT92" s="9">
        <v>0.47</v>
      </c>
      <c r="DU92" s="9">
        <v>68.72</v>
      </c>
      <c r="DV92" s="9">
        <v>36.340000000000003</v>
      </c>
      <c r="DW92" s="9">
        <v>22.08</v>
      </c>
      <c r="DX92" s="9">
        <v>54.25</v>
      </c>
      <c r="DY92" s="9">
        <v>25.69</v>
      </c>
      <c r="DZ92" s="9">
        <v>10.14</v>
      </c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>
        <v>1075.5</v>
      </c>
      <c r="EO92" s="9"/>
      <c r="EP92" s="9"/>
      <c r="EQ92" s="9"/>
      <c r="ER92" s="9"/>
      <c r="ES92" s="9"/>
      <c r="ET92" s="9"/>
      <c r="EU92">
        <v>1164.0999999999999</v>
      </c>
      <c r="EV92" s="9"/>
      <c r="EW92" s="9"/>
      <c r="EX92" s="9"/>
      <c r="EY92" s="9"/>
      <c r="EZ92" s="9"/>
      <c r="FA92" s="9"/>
      <c r="FB92" s="9">
        <v>72.793831168799997</v>
      </c>
      <c r="FC92" s="9">
        <v>77.204999999999998</v>
      </c>
      <c r="FD92" s="9">
        <v>7980.9318181817998</v>
      </c>
      <c r="FE92" s="9">
        <v>36.630000000000003</v>
      </c>
      <c r="FF92" s="9">
        <v>665.29545454549998</v>
      </c>
      <c r="FG92" s="9">
        <v>1640370.47</v>
      </c>
      <c r="FH92" s="9">
        <v>46345.47</v>
      </c>
      <c r="FI92" s="9">
        <v>65697.240000000005</v>
      </c>
      <c r="FJ92" s="9">
        <v>643527.86</v>
      </c>
      <c r="FK92" s="9">
        <v>11859.63</v>
      </c>
      <c r="FL92" s="9">
        <v>19544.12</v>
      </c>
      <c r="FM92" s="9"/>
      <c r="FN92" s="9"/>
      <c r="FO92" s="9"/>
      <c r="FP92" s="9"/>
      <c r="FQ92" s="9"/>
      <c r="FR92" s="9"/>
      <c r="FS92" s="9"/>
      <c r="FT92" s="9">
        <v>996539.67000000016</v>
      </c>
      <c r="FU92" s="9">
        <v>34485.83</v>
      </c>
      <c r="FV92" s="9">
        <v>45850.19</v>
      </c>
      <c r="FW92" s="9"/>
      <c r="FX92" s="9"/>
      <c r="FY92" s="9"/>
      <c r="FZ92" s="9">
        <v>63684.57</v>
      </c>
      <c r="GA92" s="9">
        <v>1790860.11</v>
      </c>
      <c r="GB92" s="9">
        <v>498691.9</v>
      </c>
      <c r="GC92" s="9">
        <v>1292168.21</v>
      </c>
      <c r="GD92" s="9">
        <v>1236524.73</v>
      </c>
      <c r="GE92" s="9">
        <v>73941.56</v>
      </c>
      <c r="GF92" s="9">
        <v>1162583.17</v>
      </c>
      <c r="GG92" s="9">
        <v>554335.38</v>
      </c>
      <c r="GH92" s="9">
        <v>424750.34</v>
      </c>
      <c r="GI92" s="9">
        <v>129585.04</v>
      </c>
      <c r="GJ92" s="9">
        <v>235882.99</v>
      </c>
      <c r="GK92" s="9">
        <v>2834200.53</v>
      </c>
      <c r="GL92" s="9">
        <v>326815.55</v>
      </c>
      <c r="GM92">
        <v>1165.1300000000001</v>
      </c>
      <c r="GO92" s="6"/>
      <c r="GP92" s="6"/>
      <c r="GQ92" s="6"/>
    </row>
    <row r="93" spans="1:199" x14ac:dyDescent="0.2">
      <c r="A93" s="8">
        <v>2007</v>
      </c>
      <c r="B93" s="8" t="s">
        <v>319</v>
      </c>
      <c r="C93" s="8" t="s">
        <v>321</v>
      </c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>
        <v>183495.8</v>
      </c>
      <c r="BO93" s="9">
        <v>153394</v>
      </c>
      <c r="BP93" s="9">
        <v>80067.600000000006</v>
      </c>
      <c r="BQ93" s="9">
        <v>27447.3</v>
      </c>
      <c r="BR93" s="9">
        <v>3609.6</v>
      </c>
      <c r="BS93" s="9">
        <v>13515.4</v>
      </c>
      <c r="BT93" s="9">
        <v>28195.5</v>
      </c>
      <c r="BU93" s="9">
        <v>12949.6</v>
      </c>
      <c r="BV93" s="9">
        <v>29585.3</v>
      </c>
      <c r="BW93" s="9">
        <v>119237.3</v>
      </c>
      <c r="BX93" s="9">
        <v>189.5</v>
      </c>
      <c r="BY93" s="9">
        <v>121823.9</v>
      </c>
      <c r="BZ93" s="9">
        <v>14910.7</v>
      </c>
      <c r="CA93" s="9">
        <v>2629.1</v>
      </c>
      <c r="CB93" s="9">
        <v>0</v>
      </c>
      <c r="CC93" s="9">
        <v>0</v>
      </c>
      <c r="CD93" s="9">
        <v>0</v>
      </c>
      <c r="CE93" s="9">
        <v>-26978</v>
      </c>
      <c r="CF93" s="9">
        <v>535468.44580455008</v>
      </c>
      <c r="CG93" s="9">
        <v>2195414.4918971239</v>
      </c>
      <c r="CH93" s="9"/>
      <c r="CI93" s="9"/>
      <c r="CJ93" s="9">
        <v>20</v>
      </c>
      <c r="CK93" s="9">
        <v>12</v>
      </c>
      <c r="CL93" s="9">
        <v>6.4</v>
      </c>
      <c r="CM93" s="9">
        <v>40.717720227000001</v>
      </c>
      <c r="CN93" s="9">
        <v>17.305143726099999</v>
      </c>
      <c r="CO93" s="9">
        <v>1.0792515027</v>
      </c>
      <c r="CP93" s="9">
        <v>5.6295819168000003</v>
      </c>
      <c r="CQ93" s="9">
        <v>4.1752778210999999</v>
      </c>
      <c r="CR93" s="9">
        <v>2.2121191446999999</v>
      </c>
      <c r="CS93" s="9">
        <v>0.72656639180000004</v>
      </c>
      <c r="CT93" s="9">
        <v>3.7442203676000001</v>
      </c>
      <c r="CU93" s="9">
        <v>0.82140154180000002</v>
      </c>
      <c r="CV93" s="9">
        <v>1.1282718199999999</v>
      </c>
      <c r="CW93" s="9">
        <v>2.4306727652000002</v>
      </c>
      <c r="CX93" s="9">
        <v>0.4084276262</v>
      </c>
      <c r="CY93" s="9">
        <v>1.056785603</v>
      </c>
      <c r="CZ93" s="9">
        <v>171</v>
      </c>
      <c r="DA93" s="9">
        <v>141</v>
      </c>
      <c r="DB93" s="9">
        <v>21</v>
      </c>
      <c r="DC93" s="9">
        <v>80</v>
      </c>
      <c r="DD93" s="9">
        <v>1</v>
      </c>
      <c r="DE93" s="9">
        <v>11</v>
      </c>
      <c r="DF93" s="9">
        <v>13</v>
      </c>
      <c r="DG93" s="9">
        <v>4</v>
      </c>
      <c r="DH93" s="9">
        <v>16</v>
      </c>
      <c r="DI93" s="9">
        <v>1</v>
      </c>
      <c r="DJ93" s="9">
        <v>2</v>
      </c>
      <c r="DK93" s="9">
        <v>12</v>
      </c>
      <c r="DL93" s="9">
        <v>0</v>
      </c>
      <c r="DM93" s="9">
        <v>14</v>
      </c>
      <c r="DN93" s="9">
        <v>0</v>
      </c>
      <c r="DO93" s="9">
        <v>201.26</v>
      </c>
      <c r="DP93" s="9">
        <v>45.35</v>
      </c>
      <c r="DQ93" s="9">
        <v>26.37</v>
      </c>
      <c r="DR93" s="9">
        <v>18.98</v>
      </c>
      <c r="DS93" s="9">
        <v>17.62</v>
      </c>
      <c r="DT93" s="9">
        <v>0.46</v>
      </c>
      <c r="DU93" s="9">
        <v>79.319999999999993</v>
      </c>
      <c r="DV93" s="9">
        <v>39.18</v>
      </c>
      <c r="DW93" s="9">
        <v>24.69</v>
      </c>
      <c r="DX93" s="9">
        <v>58.95</v>
      </c>
      <c r="DY93" s="9">
        <v>28.73</v>
      </c>
      <c r="DZ93" s="9">
        <v>10.1</v>
      </c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>
        <v>1064.3</v>
      </c>
      <c r="EO93" s="9"/>
      <c r="EP93" s="9"/>
      <c r="EQ93" s="9"/>
      <c r="ER93" s="9"/>
      <c r="ES93" s="9"/>
      <c r="ET93" s="9"/>
      <c r="EU93">
        <v>1180.3800000000001</v>
      </c>
      <c r="EV93" s="9"/>
      <c r="EW93" s="9"/>
      <c r="EX93" s="9"/>
      <c r="EY93" s="9"/>
      <c r="EZ93" s="9"/>
      <c r="FA93" s="9"/>
      <c r="FB93" s="9">
        <v>74.834415584400006</v>
      </c>
      <c r="FC93" s="9">
        <v>70.796956521699997</v>
      </c>
      <c r="FD93" s="9">
        <v>7500.2045454544996</v>
      </c>
      <c r="FE93" s="9">
        <v>36.630000000000003</v>
      </c>
      <c r="FF93" s="9">
        <v>665.41136363639998</v>
      </c>
      <c r="FG93" s="9">
        <v>1808108.92</v>
      </c>
      <c r="FH93" s="9">
        <v>45029.33</v>
      </c>
      <c r="FI93" s="9">
        <v>64112.32</v>
      </c>
      <c r="FJ93" s="9">
        <v>701676.47</v>
      </c>
      <c r="FK93" s="9">
        <v>12127.51</v>
      </c>
      <c r="FL93" s="9">
        <v>19956.689999999999</v>
      </c>
      <c r="FM93" s="9"/>
      <c r="FN93" s="9"/>
      <c r="FO93" s="9"/>
      <c r="FP93" s="9"/>
      <c r="FQ93" s="9"/>
      <c r="FR93" s="9"/>
      <c r="FS93" s="9"/>
      <c r="FT93" s="9">
        <v>1106123.78</v>
      </c>
      <c r="FU93" s="9">
        <v>32901.83</v>
      </c>
      <c r="FV93" s="9">
        <v>43846.94</v>
      </c>
      <c r="FW93" s="9"/>
      <c r="FX93" s="9"/>
      <c r="FY93" s="9"/>
      <c r="FZ93" s="9">
        <v>58762.11</v>
      </c>
      <c r="GA93" s="9">
        <v>1874451.53</v>
      </c>
      <c r="GB93" s="9">
        <v>524046.36</v>
      </c>
      <c r="GC93" s="9">
        <v>1350405.17</v>
      </c>
      <c r="GD93" s="9">
        <v>1282710.73</v>
      </c>
      <c r="GE93" s="9">
        <v>74503.89</v>
      </c>
      <c r="GF93" s="9">
        <v>1208206.8400000001</v>
      </c>
      <c r="GG93" s="9">
        <v>591740.79999999993</v>
      </c>
      <c r="GH93" s="9">
        <v>449542.47</v>
      </c>
      <c r="GI93" s="9">
        <v>142198.32999999999</v>
      </c>
      <c r="GJ93" s="9">
        <v>161495.23000000001</v>
      </c>
      <c r="GK93" s="9">
        <v>2954614.73</v>
      </c>
      <c r="GL93" s="9">
        <v>335073.59999999998</v>
      </c>
      <c r="GM93">
        <v>1187.28</v>
      </c>
      <c r="GO93" s="6"/>
      <c r="GP93" s="6"/>
      <c r="GQ93" s="6"/>
    </row>
    <row r="94" spans="1:199" x14ac:dyDescent="0.2">
      <c r="A94" s="8">
        <v>2007</v>
      </c>
      <c r="B94" s="8" t="s">
        <v>319</v>
      </c>
      <c r="C94" s="8" t="s">
        <v>322</v>
      </c>
      <c r="D94" s="9">
        <v>1275352.1000000001</v>
      </c>
      <c r="E94" s="9">
        <v>255450.6</v>
      </c>
      <c r="F94" s="9">
        <v>345002.9</v>
      </c>
      <c r="G94" s="9">
        <v>78290.7</v>
      </c>
      <c r="H94" s="9">
        <v>21007.599999999999</v>
      </c>
      <c r="I94" s="9">
        <v>26894.5</v>
      </c>
      <c r="J94" s="9">
        <v>75924.899999999994</v>
      </c>
      <c r="K94" s="9">
        <v>100967.2</v>
      </c>
      <c r="L94" s="9">
        <v>46881.4</v>
      </c>
      <c r="M94" s="9">
        <v>191651.3</v>
      </c>
      <c r="N94" s="9">
        <v>133281.1</v>
      </c>
      <c r="O94" s="9">
        <v>3170613.8244168749</v>
      </c>
      <c r="P94" s="9">
        <v>548826.4590744907</v>
      </c>
      <c r="Q94" s="9">
        <v>524765.70601730759</v>
      </c>
      <c r="R94" s="9">
        <v>295539.45024621638</v>
      </c>
      <c r="S94" s="9">
        <v>68974.942490756599</v>
      </c>
      <c r="T94" s="9">
        <v>148874.05618689509</v>
      </c>
      <c r="U94" s="9">
        <v>271315.30368210259</v>
      </c>
      <c r="V94" s="9">
        <v>184364.1605341004</v>
      </c>
      <c r="W94" s="9">
        <v>68311.555194050306</v>
      </c>
      <c r="X94" s="9">
        <v>796351.87673675874</v>
      </c>
      <c r="Y94" s="9">
        <v>263290.31425419671</v>
      </c>
      <c r="Z94" s="9">
        <v>1275137.5</v>
      </c>
      <c r="AA94" s="9">
        <v>740290.3</v>
      </c>
      <c r="AB94" s="9">
        <v>101711.3</v>
      </c>
      <c r="AC94" s="9">
        <v>429694.1</v>
      </c>
      <c r="AD94" s="9">
        <v>44614.9</v>
      </c>
      <c r="AE94" s="9">
        <v>758404.8</v>
      </c>
      <c r="AF94" s="9">
        <v>799577.8</v>
      </c>
      <c r="AG94" s="9">
        <v>3101366.5669088559</v>
      </c>
      <c r="AH94" s="9">
        <v>1881951.8645098193</v>
      </c>
      <c r="AI94" s="9">
        <v>300445.18851423898</v>
      </c>
      <c r="AJ94" s="9">
        <v>1047568.009023154</v>
      </c>
      <c r="AK94" s="9">
        <v>145981.75899770169</v>
      </c>
      <c r="AL94" s="9">
        <v>855452.66245035373</v>
      </c>
      <c r="AM94" s="9">
        <v>1130032.9165864119</v>
      </c>
      <c r="AN94" s="9">
        <v>968579</v>
      </c>
      <c r="AO94" s="9">
        <v>493462</v>
      </c>
      <c r="AP94" s="9">
        <v>475117</v>
      </c>
      <c r="AQ94" s="9">
        <v>89071</v>
      </c>
      <c r="AR94" s="9">
        <v>45156</v>
      </c>
      <c r="AS94" s="9">
        <v>43915</v>
      </c>
      <c r="AT94" s="9">
        <v>599192</v>
      </c>
      <c r="AU94" s="9">
        <v>251413</v>
      </c>
      <c r="AV94" s="9">
        <v>347779</v>
      </c>
      <c r="AW94" s="9">
        <v>165.1</v>
      </c>
      <c r="AX94" s="9">
        <v>86.6</v>
      </c>
      <c r="AY94" s="9">
        <v>226.6</v>
      </c>
      <c r="AZ94" s="9">
        <v>154.5</v>
      </c>
      <c r="BA94" s="9">
        <v>163</v>
      </c>
      <c r="BB94" s="9"/>
      <c r="BC94" s="9">
        <v>176.9</v>
      </c>
      <c r="BD94" s="9">
        <v>119.9</v>
      </c>
      <c r="BE94" s="9">
        <v>166.9</v>
      </c>
      <c r="BF94" s="9">
        <v>148.1</v>
      </c>
      <c r="BG94" s="9"/>
      <c r="BH94" s="9">
        <v>360.1</v>
      </c>
      <c r="BI94" s="9">
        <v>121.8</v>
      </c>
      <c r="BJ94" s="9">
        <v>138.19999999999999</v>
      </c>
      <c r="BK94" s="9">
        <v>153.9</v>
      </c>
      <c r="BL94" s="9"/>
      <c r="BM94" s="9">
        <v>154.5</v>
      </c>
      <c r="BN94" s="9">
        <v>179269.8</v>
      </c>
      <c r="BO94" s="9">
        <v>157328.79999999999</v>
      </c>
      <c r="BP94" s="9">
        <v>76326.2</v>
      </c>
      <c r="BQ94" s="9">
        <v>33425.300000000003</v>
      </c>
      <c r="BR94" s="9">
        <v>5575.8</v>
      </c>
      <c r="BS94" s="9">
        <v>14552</v>
      </c>
      <c r="BT94" s="9">
        <v>27656</v>
      </c>
      <c r="BU94" s="9">
        <v>10482.200000000001</v>
      </c>
      <c r="BV94" s="9">
        <v>21499.4</v>
      </c>
      <c r="BW94" s="9">
        <v>209518.8</v>
      </c>
      <c r="BX94" s="9">
        <v>11817.3</v>
      </c>
      <c r="BY94" s="9">
        <v>-74650.5</v>
      </c>
      <c r="BZ94" s="9">
        <v>19293.3</v>
      </c>
      <c r="CA94" s="9">
        <v>446.7</v>
      </c>
      <c r="CB94" s="9">
        <v>0</v>
      </c>
      <c r="CC94" s="9">
        <v>0</v>
      </c>
      <c r="CD94" s="9">
        <v>0</v>
      </c>
      <c r="CE94" s="9">
        <v>28345.200000000001</v>
      </c>
      <c r="CF94" s="9">
        <v>515432.23840824992</v>
      </c>
      <c r="CG94" s="9">
        <v>2191937.7317168559</v>
      </c>
      <c r="CH94" s="9"/>
      <c r="CI94" s="9"/>
      <c r="CJ94" s="9">
        <v>19.739999999999998</v>
      </c>
      <c r="CK94" s="9">
        <v>12.87</v>
      </c>
      <c r="CL94" s="9">
        <v>6.4</v>
      </c>
      <c r="CM94" s="9">
        <v>41.532031822100002</v>
      </c>
      <c r="CN94" s="9">
        <v>17.462944995499999</v>
      </c>
      <c r="CO94" s="9">
        <v>1.1379830984999999</v>
      </c>
      <c r="CP94" s="9">
        <v>5.7817362069999998</v>
      </c>
      <c r="CQ94" s="9">
        <v>4.3783395786000003</v>
      </c>
      <c r="CR94" s="9">
        <v>2.3012000074999999</v>
      </c>
      <c r="CS94" s="9">
        <v>0.77742522680000004</v>
      </c>
      <c r="CT94" s="9">
        <v>3.7825908456000001</v>
      </c>
      <c r="CU94" s="9">
        <v>0.82093248890000003</v>
      </c>
      <c r="CV94" s="9">
        <v>1.1291451877000001</v>
      </c>
      <c r="CW94" s="9">
        <v>2.4623625322999998</v>
      </c>
      <c r="CX94" s="9">
        <v>0.41985260680000003</v>
      </c>
      <c r="CY94" s="9">
        <v>1.0775190469</v>
      </c>
      <c r="CZ94" s="9">
        <v>165</v>
      </c>
      <c r="DA94" s="9">
        <v>135</v>
      </c>
      <c r="DB94" s="9">
        <v>10</v>
      </c>
      <c r="DC94" s="9">
        <v>76</v>
      </c>
      <c r="DD94" s="9">
        <v>1</v>
      </c>
      <c r="DE94" s="9">
        <v>14</v>
      </c>
      <c r="DF94" s="9">
        <v>14</v>
      </c>
      <c r="DG94" s="9">
        <v>5</v>
      </c>
      <c r="DH94" s="9">
        <v>19</v>
      </c>
      <c r="DI94" s="9">
        <v>2</v>
      </c>
      <c r="DJ94" s="9">
        <v>3</v>
      </c>
      <c r="DK94" s="9">
        <v>12</v>
      </c>
      <c r="DL94" s="9">
        <v>0</v>
      </c>
      <c r="DM94" s="9">
        <v>11</v>
      </c>
      <c r="DN94" s="9">
        <v>1</v>
      </c>
      <c r="DO94" s="9">
        <v>192.7</v>
      </c>
      <c r="DP94" s="9">
        <v>43.52</v>
      </c>
      <c r="DQ94" s="9">
        <v>25.19</v>
      </c>
      <c r="DR94" s="9">
        <v>18.329999999999998</v>
      </c>
      <c r="DS94" s="9">
        <v>17.29</v>
      </c>
      <c r="DT94" s="9">
        <v>0.55000000000000004</v>
      </c>
      <c r="DU94" s="9">
        <v>83.45</v>
      </c>
      <c r="DV94" s="9">
        <v>46.26</v>
      </c>
      <c r="DW94" s="9">
        <v>24.56</v>
      </c>
      <c r="DX94" s="9">
        <v>48.4</v>
      </c>
      <c r="DY94" s="9">
        <v>22.71</v>
      </c>
      <c r="DZ94" s="9">
        <v>8.68</v>
      </c>
      <c r="EA94" s="9">
        <v>5.7984559999999998</v>
      </c>
      <c r="EB94" s="9">
        <v>-92.366200000000006</v>
      </c>
      <c r="EC94" s="9">
        <v>57.498539999999998</v>
      </c>
      <c r="ED94" s="9">
        <v>-22.804400000000001</v>
      </c>
      <c r="EE94" s="9">
        <v>63.470500000000001</v>
      </c>
      <c r="EF94" s="9">
        <v>0</v>
      </c>
      <c r="EG94" s="9">
        <v>-13.9015</v>
      </c>
      <c r="EH94" s="9">
        <v>-86.644000000000005</v>
      </c>
      <c r="EI94" s="9">
        <v>-1.2769999999999999</v>
      </c>
      <c r="EJ94" s="9">
        <v>0</v>
      </c>
      <c r="EK94" s="9">
        <v>74.019549999999995</v>
      </c>
      <c r="EL94" s="9">
        <v>52.470889999999997</v>
      </c>
      <c r="EM94" s="9">
        <v>72.1708</v>
      </c>
      <c r="EN94" s="9">
        <v>1074.5</v>
      </c>
      <c r="EO94" s="9"/>
      <c r="EP94" s="9"/>
      <c r="EQ94" s="9"/>
      <c r="ER94" s="9"/>
      <c r="ES94" s="9"/>
      <c r="ET94" s="9"/>
      <c r="EU94">
        <v>1187.6300000000001</v>
      </c>
      <c r="EV94" s="9">
        <v>4872.74</v>
      </c>
      <c r="EW94" s="9">
        <v>1489.99</v>
      </c>
      <c r="EX94" s="9">
        <v>12.15</v>
      </c>
      <c r="EY94" s="9">
        <v>174.65</v>
      </c>
      <c r="EZ94" s="9">
        <v>783.78</v>
      </c>
      <c r="FA94" s="9">
        <v>2412.17</v>
      </c>
      <c r="FB94" s="9">
        <v>73.553571428599994</v>
      </c>
      <c r="FC94" s="9">
        <v>77.128500000000003</v>
      </c>
      <c r="FD94" s="9">
        <v>7671.35</v>
      </c>
      <c r="FE94" s="9">
        <v>36.630000000000003</v>
      </c>
      <c r="FF94" s="9">
        <v>712.65250000000003</v>
      </c>
      <c r="FG94" s="9">
        <v>1859120.88</v>
      </c>
      <c r="FH94" s="9">
        <v>50142.32</v>
      </c>
      <c r="FI94" s="9">
        <v>69059.02</v>
      </c>
      <c r="FJ94" s="9">
        <v>733341.05000000028</v>
      </c>
      <c r="FK94" s="9">
        <v>11802.61</v>
      </c>
      <c r="FL94" s="9">
        <v>21410.58</v>
      </c>
      <c r="FM94" s="9"/>
      <c r="FN94" s="9"/>
      <c r="FO94" s="9"/>
      <c r="FP94" s="9"/>
      <c r="FQ94" s="9"/>
      <c r="FR94" s="9"/>
      <c r="FS94" s="9"/>
      <c r="FT94" s="9">
        <v>1125472.06</v>
      </c>
      <c r="FU94" s="9">
        <v>38339.71</v>
      </c>
      <c r="FV94" s="9">
        <v>47340.67</v>
      </c>
      <c r="FW94" s="9"/>
      <c r="FX94" s="9"/>
      <c r="FY94" s="9"/>
      <c r="FZ94" s="9">
        <v>54763.16</v>
      </c>
      <c r="GA94" s="9">
        <v>1893970.31</v>
      </c>
      <c r="GB94" s="9">
        <v>535781.98</v>
      </c>
      <c r="GC94" s="9">
        <v>1358188.33</v>
      </c>
      <c r="GD94" s="9">
        <v>1307635.02</v>
      </c>
      <c r="GE94" s="9">
        <v>76485.8</v>
      </c>
      <c r="GF94" s="9">
        <v>1231149.22</v>
      </c>
      <c r="GG94" s="9">
        <v>586335.28999999992</v>
      </c>
      <c r="GH94" s="9">
        <v>459296.18</v>
      </c>
      <c r="GI94" s="9">
        <v>127039.11</v>
      </c>
      <c r="GJ94" s="9">
        <v>174374.95</v>
      </c>
      <c r="GK94" s="9">
        <v>3009814.98</v>
      </c>
      <c r="GL94" s="9">
        <v>345391.24</v>
      </c>
      <c r="GM94">
        <v>1184.26</v>
      </c>
      <c r="GO94" s="6"/>
      <c r="GP94" s="6"/>
      <c r="GQ94" s="6"/>
    </row>
    <row r="95" spans="1:199" x14ac:dyDescent="0.2">
      <c r="A95" s="8">
        <v>2007</v>
      </c>
      <c r="B95" s="8" t="s">
        <v>323</v>
      </c>
      <c r="C95" s="8" t="s">
        <v>324</v>
      </c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>
        <v>176375</v>
      </c>
      <c r="BO95" s="9">
        <v>136477</v>
      </c>
      <c r="BP95" s="9">
        <v>65426.1</v>
      </c>
      <c r="BQ95" s="9">
        <v>21796.6</v>
      </c>
      <c r="BR95" s="9">
        <v>6108.4</v>
      </c>
      <c r="BS95" s="9">
        <v>13648.9</v>
      </c>
      <c r="BT95" s="9">
        <v>15374.3</v>
      </c>
      <c r="BU95" s="9">
        <v>15069.2</v>
      </c>
      <c r="BV95" s="9">
        <v>39726.400000000001</v>
      </c>
      <c r="BW95" s="9">
        <v>101375.4</v>
      </c>
      <c r="BX95" s="9">
        <v>-1075.9000000000001</v>
      </c>
      <c r="BY95" s="9">
        <v>26898.7</v>
      </c>
      <c r="BZ95" s="9">
        <v>30992.1</v>
      </c>
      <c r="CA95" s="9">
        <v>1714.2</v>
      </c>
      <c r="CB95" s="9">
        <v>0</v>
      </c>
      <c r="CC95" s="9">
        <v>0</v>
      </c>
      <c r="CD95" s="9">
        <v>0</v>
      </c>
      <c r="CE95" s="9">
        <v>30681.7</v>
      </c>
      <c r="CF95" s="9">
        <v>523434.33820275002</v>
      </c>
      <c r="CG95" s="9">
        <v>2264356.737762684</v>
      </c>
      <c r="CH95" s="9"/>
      <c r="CI95" s="9"/>
      <c r="CJ95" s="9">
        <v>21.3</v>
      </c>
      <c r="CK95" s="9">
        <v>13.8</v>
      </c>
      <c r="CL95" s="9">
        <v>7.4</v>
      </c>
      <c r="CM95" s="9">
        <v>45.977176859799997</v>
      </c>
      <c r="CN95" s="9">
        <v>17.487467337999998</v>
      </c>
      <c r="CO95" s="9">
        <v>1.1564273939</v>
      </c>
      <c r="CP95" s="9">
        <v>5.8891004207000002</v>
      </c>
      <c r="CQ95" s="9">
        <v>4.7321700398999997</v>
      </c>
      <c r="CR95" s="9">
        <v>2.3430061775</v>
      </c>
      <c r="CS95" s="9">
        <v>0.79536585959999995</v>
      </c>
      <c r="CT95" s="9">
        <v>4.0984878862</v>
      </c>
      <c r="CU95" s="9">
        <v>0.82242659139999996</v>
      </c>
      <c r="CV95" s="9">
        <v>1.1487618226</v>
      </c>
      <c r="CW95" s="9">
        <v>2.4623625322999998</v>
      </c>
      <c r="CX95" s="9">
        <v>0.42352783150000001</v>
      </c>
      <c r="CY95" s="9">
        <v>1.0944950028</v>
      </c>
      <c r="CZ95" s="9">
        <v>181</v>
      </c>
      <c r="DA95" s="9">
        <v>147</v>
      </c>
      <c r="DB95" s="9">
        <v>13</v>
      </c>
      <c r="DC95" s="9">
        <v>86</v>
      </c>
      <c r="DD95" s="9">
        <v>1</v>
      </c>
      <c r="DE95" s="9">
        <v>12</v>
      </c>
      <c r="DF95" s="9">
        <v>14</v>
      </c>
      <c r="DG95" s="9">
        <v>8</v>
      </c>
      <c r="DH95" s="9">
        <v>22</v>
      </c>
      <c r="DI95" s="9">
        <v>5</v>
      </c>
      <c r="DJ95" s="9">
        <v>4</v>
      </c>
      <c r="DK95" s="9">
        <v>12</v>
      </c>
      <c r="DL95" s="9">
        <v>0</v>
      </c>
      <c r="DM95" s="9">
        <v>11</v>
      </c>
      <c r="DN95" s="9">
        <v>0</v>
      </c>
      <c r="DO95" s="9">
        <v>206.9</v>
      </c>
      <c r="DP95" s="9">
        <v>55.29</v>
      </c>
      <c r="DQ95" s="9">
        <v>35.58</v>
      </c>
      <c r="DR95" s="9">
        <v>19.71</v>
      </c>
      <c r="DS95" s="9">
        <v>18.54</v>
      </c>
      <c r="DT95" s="9">
        <v>0.62</v>
      </c>
      <c r="DU95" s="9">
        <v>70.55</v>
      </c>
      <c r="DV95" s="9">
        <v>36.21</v>
      </c>
      <c r="DW95" s="9">
        <v>25.66</v>
      </c>
      <c r="DX95" s="9">
        <v>62.43</v>
      </c>
      <c r="DY95" s="9">
        <v>30.19</v>
      </c>
      <c r="DZ95" s="9">
        <v>12.19</v>
      </c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>
        <v>1074.5</v>
      </c>
      <c r="EO95" s="9"/>
      <c r="EP95" s="9"/>
      <c r="EQ95" s="9"/>
      <c r="ER95" s="9"/>
      <c r="ES95" s="9"/>
      <c r="ET95" s="9"/>
      <c r="EU95">
        <v>1179.71</v>
      </c>
      <c r="EV95" s="9"/>
      <c r="EW95" s="9"/>
      <c r="EX95" s="9"/>
      <c r="EY95" s="9"/>
      <c r="EZ95" s="9"/>
      <c r="FA95" s="9"/>
      <c r="FB95" s="9">
        <v>79.509316770200002</v>
      </c>
      <c r="FC95" s="9">
        <v>82.831739130399995</v>
      </c>
      <c r="FD95" s="9">
        <v>8020.5869565216999</v>
      </c>
      <c r="FE95" s="9">
        <v>36.630000000000003</v>
      </c>
      <c r="FF95" s="9">
        <v>754.60434782610002</v>
      </c>
      <c r="FG95" s="9">
        <v>1929678.83</v>
      </c>
      <c r="FH95" s="9">
        <v>50420.83</v>
      </c>
      <c r="FI95" s="9">
        <v>66450.52</v>
      </c>
      <c r="FJ95" s="9">
        <v>772387.79</v>
      </c>
      <c r="FK95" s="9">
        <v>10363.35</v>
      </c>
      <c r="FL95" s="9">
        <v>21640.35</v>
      </c>
      <c r="FM95" s="9"/>
      <c r="FN95" s="9"/>
      <c r="FO95" s="9"/>
      <c r="FP95" s="9"/>
      <c r="FQ95" s="9"/>
      <c r="FR95" s="9"/>
      <c r="FS95" s="9"/>
      <c r="FT95" s="9">
        <v>1156988.1399999999</v>
      </c>
      <c r="FU95" s="9">
        <v>40057.480000000003</v>
      </c>
      <c r="FV95" s="9">
        <v>44507.26</v>
      </c>
      <c r="FW95" s="9"/>
      <c r="FX95" s="9"/>
      <c r="FY95" s="9"/>
      <c r="FZ95" s="9">
        <v>49167.38</v>
      </c>
      <c r="GA95" s="9">
        <v>1970179.69</v>
      </c>
      <c r="GB95" s="9">
        <v>571356.15999999992</v>
      </c>
      <c r="GC95" s="9">
        <v>1398823.53</v>
      </c>
      <c r="GD95" s="9">
        <v>1347531.46</v>
      </c>
      <c r="GE95" s="9">
        <v>81868.320000000007</v>
      </c>
      <c r="GF95" s="9">
        <v>1265663.1399999999</v>
      </c>
      <c r="GG95" s="9">
        <v>622648.23</v>
      </c>
      <c r="GH95" s="9">
        <v>489487.84</v>
      </c>
      <c r="GI95" s="9">
        <v>133160.39000000001</v>
      </c>
      <c r="GJ95" s="9">
        <v>180460.19</v>
      </c>
      <c r="GK95" s="9">
        <v>3134817.2</v>
      </c>
      <c r="GL95" s="9">
        <v>354670.27</v>
      </c>
      <c r="GM95">
        <v>1177.51</v>
      </c>
      <c r="GO95" s="6"/>
      <c r="GP95" s="6"/>
      <c r="GQ95" s="6"/>
    </row>
    <row r="96" spans="1:199" x14ac:dyDescent="0.2">
      <c r="A96" s="8">
        <v>2007</v>
      </c>
      <c r="B96" s="8" t="s">
        <v>323</v>
      </c>
      <c r="C96" s="8" t="s">
        <v>325</v>
      </c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>
        <v>188955</v>
      </c>
      <c r="BO96" s="9">
        <v>146909.4</v>
      </c>
      <c r="BP96" s="9">
        <v>58278.8</v>
      </c>
      <c r="BQ96" s="9">
        <v>12655.6</v>
      </c>
      <c r="BR96" s="9">
        <v>9493.7000000000007</v>
      </c>
      <c r="BS96" s="9">
        <v>15422.4</v>
      </c>
      <c r="BT96" s="9">
        <v>29292.3</v>
      </c>
      <c r="BU96" s="9">
        <v>13476.3</v>
      </c>
      <c r="BV96" s="9">
        <v>41374.300000000003</v>
      </c>
      <c r="BW96" s="9">
        <v>157775.20000000001</v>
      </c>
      <c r="BX96" s="9">
        <v>5226.5</v>
      </c>
      <c r="BY96" s="9">
        <v>46775.8</v>
      </c>
      <c r="BZ96" s="9">
        <v>37396.699999999997</v>
      </c>
      <c r="CA96" s="9">
        <v>2335.8000000000002</v>
      </c>
      <c r="CB96" s="9">
        <v>0</v>
      </c>
      <c r="CC96" s="9">
        <v>0</v>
      </c>
      <c r="CD96" s="9">
        <v>0</v>
      </c>
      <c r="CE96" s="9">
        <v>27689</v>
      </c>
      <c r="CF96" s="9">
        <v>519931.97437014122</v>
      </c>
      <c r="CG96" s="9">
        <v>2235080.6326978812</v>
      </c>
      <c r="CH96" s="9"/>
      <c r="CI96" s="9"/>
      <c r="CJ96" s="9">
        <v>22.3</v>
      </c>
      <c r="CK96" s="9">
        <v>13.4</v>
      </c>
      <c r="CL96" s="9">
        <v>8.4</v>
      </c>
      <c r="CM96" s="9">
        <v>47.150015004099998</v>
      </c>
      <c r="CN96" s="9">
        <v>17.883444283999999</v>
      </c>
      <c r="CO96" s="9">
        <v>1.1539968672000001</v>
      </c>
      <c r="CP96" s="9">
        <v>6.0279871993</v>
      </c>
      <c r="CQ96" s="9">
        <v>4.7612878502999996</v>
      </c>
      <c r="CR96" s="9">
        <v>2.3854512701999999</v>
      </c>
      <c r="CS96" s="9">
        <v>0.80395456040000002</v>
      </c>
      <c r="CT96" s="9">
        <v>4.2699515224000004</v>
      </c>
      <c r="CU96" s="9">
        <v>0.8231969603</v>
      </c>
      <c r="CV96" s="9">
        <v>1.1701410430000001</v>
      </c>
      <c r="CW96" s="9">
        <v>2.4623625322999998</v>
      </c>
      <c r="CX96" s="9">
        <v>0.4279269134</v>
      </c>
      <c r="CY96" s="9">
        <v>1.1043782414000001</v>
      </c>
      <c r="CZ96" s="9">
        <v>200</v>
      </c>
      <c r="DA96" s="9">
        <v>152</v>
      </c>
      <c r="DB96" s="9">
        <v>13</v>
      </c>
      <c r="DC96" s="9">
        <v>74</v>
      </c>
      <c r="DD96" s="9">
        <v>4</v>
      </c>
      <c r="DE96" s="9">
        <v>17</v>
      </c>
      <c r="DF96" s="9">
        <v>19</v>
      </c>
      <c r="DG96" s="9">
        <v>7</v>
      </c>
      <c r="DH96" s="9">
        <v>25</v>
      </c>
      <c r="DI96" s="9">
        <v>4</v>
      </c>
      <c r="DJ96" s="9">
        <v>4</v>
      </c>
      <c r="DK96" s="9">
        <v>14</v>
      </c>
      <c r="DL96" s="9">
        <v>1</v>
      </c>
      <c r="DM96" s="9">
        <v>22</v>
      </c>
      <c r="DN96" s="9">
        <v>0</v>
      </c>
      <c r="DO96" s="9">
        <v>193.26</v>
      </c>
      <c r="DP96" s="9">
        <v>54.14</v>
      </c>
      <c r="DQ96" s="9">
        <v>36</v>
      </c>
      <c r="DR96" s="9">
        <v>18.14</v>
      </c>
      <c r="DS96" s="9">
        <v>15.42</v>
      </c>
      <c r="DT96" s="9">
        <v>0.53</v>
      </c>
      <c r="DU96" s="9">
        <v>69.680000000000007</v>
      </c>
      <c r="DV96" s="9">
        <v>42.56</v>
      </c>
      <c r="DW96" s="9">
        <v>14.54</v>
      </c>
      <c r="DX96" s="9">
        <v>53.84</v>
      </c>
      <c r="DY96" s="9">
        <v>27.28</v>
      </c>
      <c r="DZ96" s="9">
        <v>9.15</v>
      </c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>
        <v>1036.9000000000001</v>
      </c>
      <c r="EO96" s="9"/>
      <c r="EP96" s="9"/>
      <c r="EQ96" s="9"/>
      <c r="ER96" s="9"/>
      <c r="ES96" s="9"/>
      <c r="ET96" s="9"/>
      <c r="EU96">
        <v>1173.93</v>
      </c>
      <c r="EV96" s="9"/>
      <c r="EW96" s="9"/>
      <c r="EX96" s="9"/>
      <c r="EY96" s="9"/>
      <c r="EZ96" s="9"/>
      <c r="FA96" s="9"/>
      <c r="FB96" s="9">
        <v>93.116883116899999</v>
      </c>
      <c r="FC96" s="9">
        <v>92.528181818199997</v>
      </c>
      <c r="FD96" s="9">
        <v>6957.4318181817998</v>
      </c>
      <c r="FE96" s="9">
        <v>36.630000000000003</v>
      </c>
      <c r="FF96" s="9">
        <v>806.24772727269999</v>
      </c>
      <c r="FG96" s="9">
        <v>1961078.67</v>
      </c>
      <c r="FH96" s="9">
        <v>44600.62</v>
      </c>
      <c r="FI96" s="9">
        <v>65554.570000000007</v>
      </c>
      <c r="FJ96" s="9">
        <v>798409.32000000007</v>
      </c>
      <c r="FK96" s="9">
        <v>8864.5300000000007</v>
      </c>
      <c r="FL96" s="9">
        <v>21775.39</v>
      </c>
      <c r="FM96" s="9"/>
      <c r="FN96" s="9"/>
      <c r="FO96" s="9"/>
      <c r="FP96" s="9"/>
      <c r="FQ96" s="9"/>
      <c r="FR96" s="9"/>
      <c r="FS96" s="9"/>
      <c r="FT96" s="9">
        <v>1162366.46</v>
      </c>
      <c r="FU96" s="9">
        <v>35736.080000000002</v>
      </c>
      <c r="FV96" s="9">
        <v>43476.29</v>
      </c>
      <c r="FW96" s="9"/>
      <c r="FX96" s="9"/>
      <c r="FY96" s="9"/>
      <c r="FZ96" s="9">
        <v>44203.519999999997</v>
      </c>
      <c r="GA96" s="9">
        <v>1943696.67</v>
      </c>
      <c r="GB96" s="9">
        <v>534479.87</v>
      </c>
      <c r="GC96" s="9">
        <v>1409216.8</v>
      </c>
      <c r="GD96" s="9">
        <v>1359589.87</v>
      </c>
      <c r="GE96" s="9">
        <v>75393.97</v>
      </c>
      <c r="GF96" s="9">
        <v>1284195.8999999999</v>
      </c>
      <c r="GG96" s="9">
        <v>584106.79999999993</v>
      </c>
      <c r="GH96" s="9">
        <v>459085.9</v>
      </c>
      <c r="GI96" s="9">
        <v>125020.9</v>
      </c>
      <c r="GJ96" s="9">
        <v>271942.65000000002</v>
      </c>
      <c r="GK96" s="9">
        <v>3139876.44</v>
      </c>
      <c r="GL96" s="9">
        <v>365735.09</v>
      </c>
      <c r="GM96">
        <v>1171.82</v>
      </c>
      <c r="GO96" s="6"/>
      <c r="GP96" s="6"/>
      <c r="GQ96" s="6"/>
    </row>
    <row r="97" spans="1:199" x14ac:dyDescent="0.2">
      <c r="A97" s="8">
        <v>2007</v>
      </c>
      <c r="B97" s="8" t="s">
        <v>323</v>
      </c>
      <c r="C97" s="8" t="s">
        <v>326</v>
      </c>
      <c r="D97" s="9">
        <v>1523898.6</v>
      </c>
      <c r="E97" s="9">
        <v>250201.7</v>
      </c>
      <c r="F97" s="9">
        <v>371169.3</v>
      </c>
      <c r="G97" s="9">
        <v>98462</v>
      </c>
      <c r="H97" s="9">
        <v>34189.199999999997</v>
      </c>
      <c r="I97" s="9">
        <v>57828.9</v>
      </c>
      <c r="J97" s="9">
        <v>137689.60000000001</v>
      </c>
      <c r="K97" s="9">
        <v>79183.600000000006</v>
      </c>
      <c r="L97" s="9">
        <v>50353.8</v>
      </c>
      <c r="M97" s="9">
        <v>278955.5</v>
      </c>
      <c r="N97" s="9">
        <v>165865</v>
      </c>
      <c r="O97" s="9">
        <v>3788517.6714489446</v>
      </c>
      <c r="P97" s="9">
        <v>496356.22003040009</v>
      </c>
      <c r="Q97" s="9">
        <v>521302.54684751952</v>
      </c>
      <c r="R97" s="9">
        <v>343201.38903050142</v>
      </c>
      <c r="S97" s="9">
        <v>103652.3004136035</v>
      </c>
      <c r="T97" s="9">
        <v>295580.36204544641</v>
      </c>
      <c r="U97" s="9">
        <v>454324.64880358742</v>
      </c>
      <c r="V97" s="9">
        <v>133507.76604055139</v>
      </c>
      <c r="W97" s="9">
        <v>67748.697436968199</v>
      </c>
      <c r="X97" s="9">
        <v>1070294.4311513747</v>
      </c>
      <c r="Y97" s="9">
        <v>302549.30964899098</v>
      </c>
      <c r="Z97" s="9">
        <v>1564175.7</v>
      </c>
      <c r="AA97" s="9">
        <v>751931.5</v>
      </c>
      <c r="AB97" s="9">
        <v>233420.3</v>
      </c>
      <c r="AC97" s="9">
        <v>479659.4</v>
      </c>
      <c r="AD97" s="9">
        <v>49543.8</v>
      </c>
      <c r="AE97" s="9">
        <v>963477.2</v>
      </c>
      <c r="AF97" s="9">
        <v>913856.5</v>
      </c>
      <c r="AG97" s="9">
        <v>3804360.0950887706</v>
      </c>
      <c r="AH97" s="9">
        <v>1950824.643566383</v>
      </c>
      <c r="AI97" s="9">
        <v>703668.60237346776</v>
      </c>
      <c r="AJ97" s="9">
        <v>1193408.972789299</v>
      </c>
      <c r="AK97" s="9">
        <v>165440.3668669106</v>
      </c>
      <c r="AL97" s="9">
        <v>1109097.8242318211</v>
      </c>
      <c r="AM97" s="9">
        <v>1318080.314739113</v>
      </c>
      <c r="AN97" s="9">
        <v>852805</v>
      </c>
      <c r="AO97" s="9">
        <v>452442</v>
      </c>
      <c r="AP97" s="9">
        <v>400363</v>
      </c>
      <c r="AQ97" s="9">
        <v>88838</v>
      </c>
      <c r="AR97" s="9">
        <v>47274</v>
      </c>
      <c r="AS97" s="9">
        <v>41564</v>
      </c>
      <c r="AT97" s="9">
        <v>636501</v>
      </c>
      <c r="AU97" s="9">
        <v>275456</v>
      </c>
      <c r="AV97" s="9">
        <v>361045</v>
      </c>
      <c r="AW97" s="9">
        <v>205.9</v>
      </c>
      <c r="AX97" s="9">
        <v>120.6</v>
      </c>
      <c r="AY97" s="9">
        <v>238.7</v>
      </c>
      <c r="AZ97" s="9">
        <v>178.9</v>
      </c>
      <c r="BA97" s="9">
        <v>182.1</v>
      </c>
      <c r="BB97" s="9"/>
      <c r="BC97" s="9">
        <v>196.2</v>
      </c>
      <c r="BD97" s="9">
        <v>140.19999999999999</v>
      </c>
      <c r="BE97" s="9">
        <v>205.4</v>
      </c>
      <c r="BF97" s="9">
        <v>178.9</v>
      </c>
      <c r="BG97" s="9"/>
      <c r="BH97" s="9">
        <v>412.2</v>
      </c>
      <c r="BI97" s="9">
        <v>173.5</v>
      </c>
      <c r="BJ97" s="9">
        <v>219.6</v>
      </c>
      <c r="BK97" s="9">
        <v>206.7</v>
      </c>
      <c r="BL97" s="9"/>
      <c r="BM97" s="9">
        <v>182.1</v>
      </c>
      <c r="BN97" s="9">
        <v>284030.8</v>
      </c>
      <c r="BO97" s="9">
        <v>224654</v>
      </c>
      <c r="BP97" s="9">
        <v>101097.60000000001</v>
      </c>
      <c r="BQ97" s="9">
        <v>26516.3</v>
      </c>
      <c r="BR97" s="9">
        <v>12435.4</v>
      </c>
      <c r="BS97" s="9">
        <v>24492.6</v>
      </c>
      <c r="BT97" s="9">
        <v>42798.7</v>
      </c>
      <c r="BU97" s="9">
        <v>16858.8</v>
      </c>
      <c r="BV97" s="9">
        <v>39868.6</v>
      </c>
      <c r="BW97" s="9">
        <v>185366.1</v>
      </c>
      <c r="BX97" s="9">
        <v>26016.5</v>
      </c>
      <c r="BY97" s="9">
        <v>71713.600000000006</v>
      </c>
      <c r="BZ97" s="9">
        <v>47716.3</v>
      </c>
      <c r="CA97" s="9">
        <v>2508.6</v>
      </c>
      <c r="CB97" s="9">
        <v>0</v>
      </c>
      <c r="CC97" s="9">
        <v>0</v>
      </c>
      <c r="CD97" s="9">
        <v>0</v>
      </c>
      <c r="CE97" s="9">
        <v>123972.9</v>
      </c>
      <c r="CF97" s="9">
        <v>590471.57277242118</v>
      </c>
      <c r="CG97" s="9">
        <v>2401249.7120808908</v>
      </c>
      <c r="CH97" s="9"/>
      <c r="CI97" s="9"/>
      <c r="CJ97" s="9">
        <v>19.899999999999999</v>
      </c>
      <c r="CK97" s="9">
        <v>14.2</v>
      </c>
      <c r="CL97" s="9">
        <v>8.4</v>
      </c>
      <c r="CM97" s="9">
        <v>48.281227429799998</v>
      </c>
      <c r="CN97" s="9">
        <v>18.768375617899999</v>
      </c>
      <c r="CO97" s="9">
        <v>1.1566613465</v>
      </c>
      <c r="CP97" s="9">
        <v>6.0798852353999999</v>
      </c>
      <c r="CQ97" s="9">
        <v>4.7045691213999996</v>
      </c>
      <c r="CR97" s="9">
        <v>2.3999919220999999</v>
      </c>
      <c r="CS97" s="9">
        <v>0.82612701889999995</v>
      </c>
      <c r="CT97" s="9">
        <v>4.1082782901000003</v>
      </c>
      <c r="CU97" s="9">
        <v>0.82320014559999999</v>
      </c>
      <c r="CV97" s="9">
        <v>1.1822223395</v>
      </c>
      <c r="CW97" s="9">
        <v>2.4623625322999998</v>
      </c>
      <c r="CX97" s="9">
        <v>0.43674402709999999</v>
      </c>
      <c r="CY97" s="9">
        <v>1.1045162768000001</v>
      </c>
      <c r="CZ97" s="9">
        <v>214</v>
      </c>
      <c r="DA97" s="9">
        <v>177</v>
      </c>
      <c r="DB97" s="9">
        <v>21</v>
      </c>
      <c r="DC97" s="9">
        <v>69</v>
      </c>
      <c r="DD97" s="9">
        <v>6</v>
      </c>
      <c r="DE97" s="9">
        <v>40</v>
      </c>
      <c r="DF97" s="9">
        <v>17</v>
      </c>
      <c r="DG97" s="9">
        <v>6</v>
      </c>
      <c r="DH97" s="9">
        <v>25</v>
      </c>
      <c r="DI97" s="9">
        <v>3</v>
      </c>
      <c r="DJ97" s="9">
        <v>8</v>
      </c>
      <c r="DK97" s="9">
        <v>13</v>
      </c>
      <c r="DL97" s="9">
        <v>2</v>
      </c>
      <c r="DM97" s="9">
        <v>11</v>
      </c>
      <c r="DN97" s="9">
        <v>0</v>
      </c>
      <c r="DO97" s="9">
        <v>220.97</v>
      </c>
      <c r="DP97" s="9">
        <v>67.13</v>
      </c>
      <c r="DQ97" s="9">
        <v>39.99</v>
      </c>
      <c r="DR97" s="9">
        <v>27.15</v>
      </c>
      <c r="DS97" s="9">
        <v>18.12</v>
      </c>
      <c r="DT97" s="9">
        <v>0.54</v>
      </c>
      <c r="DU97" s="9">
        <v>75.59</v>
      </c>
      <c r="DV97" s="9">
        <v>51.27</v>
      </c>
      <c r="DW97" s="9">
        <v>13.86</v>
      </c>
      <c r="DX97" s="9">
        <v>60.1</v>
      </c>
      <c r="DY97" s="9">
        <v>30.5</v>
      </c>
      <c r="DZ97" s="9">
        <v>10.23</v>
      </c>
      <c r="EA97" s="9">
        <v>32.782670000000003</v>
      </c>
      <c r="EB97" s="9">
        <v>3.6048819999999999</v>
      </c>
      <c r="EC97" s="9">
        <v>38.522509999999997</v>
      </c>
      <c r="ED97" s="9">
        <v>-65.393799999999999</v>
      </c>
      <c r="EE97" s="9">
        <v>56.049100000000003</v>
      </c>
      <c r="EF97" s="9">
        <v>0</v>
      </c>
      <c r="EG97" s="9">
        <v>-193.83099999999999</v>
      </c>
      <c r="EH97" s="9">
        <v>-182.17400000000001</v>
      </c>
      <c r="EI97" s="9">
        <v>1.2068000000000001</v>
      </c>
      <c r="EJ97" s="9">
        <v>0</v>
      </c>
      <c r="EK97" s="9">
        <v>-12.8637</v>
      </c>
      <c r="EL97" s="9">
        <v>-299.21699999999998</v>
      </c>
      <c r="EM97" s="9">
        <v>-72.6036</v>
      </c>
      <c r="EN97" s="9">
        <v>1000.6</v>
      </c>
      <c r="EO97" s="9"/>
      <c r="EP97" s="9"/>
      <c r="EQ97" s="9"/>
      <c r="ER97" s="9"/>
      <c r="ES97" s="9"/>
      <c r="ET97" s="9"/>
      <c r="EU97">
        <v>1170.22</v>
      </c>
      <c r="EV97" s="9">
        <v>4995.63</v>
      </c>
      <c r="EW97" s="9">
        <v>1528.75</v>
      </c>
      <c r="EX97" s="9">
        <v>10.83</v>
      </c>
      <c r="EY97" s="9">
        <v>190.72</v>
      </c>
      <c r="EZ97" s="9">
        <v>791.84</v>
      </c>
      <c r="FA97" s="9">
        <v>2473.4899999999998</v>
      </c>
      <c r="FB97" s="9">
        <v>98.909774436099994</v>
      </c>
      <c r="FC97" s="9">
        <v>91.529047618999996</v>
      </c>
      <c r="FD97" s="9">
        <v>6630.7361111111004</v>
      </c>
      <c r="FE97" s="9">
        <v>36.630000000000003</v>
      </c>
      <c r="FF97" s="9">
        <v>803.20294117649996</v>
      </c>
      <c r="FG97" s="9">
        <v>2056060.84</v>
      </c>
      <c r="FH97" s="9">
        <v>40320.04</v>
      </c>
      <c r="FI97" s="9">
        <v>68071.3</v>
      </c>
      <c r="FJ97" s="9">
        <v>838778.51</v>
      </c>
      <c r="FK97" s="9">
        <v>7134.86</v>
      </c>
      <c r="FL97" s="9">
        <v>21021.19</v>
      </c>
      <c r="FM97" s="9"/>
      <c r="FN97" s="9"/>
      <c r="FO97" s="9"/>
      <c r="FP97" s="9"/>
      <c r="FQ97" s="9"/>
      <c r="FR97" s="9"/>
      <c r="FS97" s="9"/>
      <c r="FT97" s="9">
        <v>1216979.3999999999</v>
      </c>
      <c r="FU97" s="9">
        <v>33185.17</v>
      </c>
      <c r="FV97" s="9">
        <v>46747.199999999997</v>
      </c>
      <c r="FW97" s="9"/>
      <c r="FX97" s="9"/>
      <c r="FY97" s="9"/>
      <c r="FZ97" s="9">
        <v>46987.71</v>
      </c>
      <c r="GA97" s="9">
        <v>2082582.51</v>
      </c>
      <c r="GB97" s="9">
        <v>617708.11</v>
      </c>
      <c r="GC97" s="9">
        <v>1464874.4</v>
      </c>
      <c r="GD97" s="9">
        <v>1447297.64</v>
      </c>
      <c r="GE97" s="9">
        <v>88894.47</v>
      </c>
      <c r="GF97" s="9">
        <v>1358403.17</v>
      </c>
      <c r="GG97" s="9">
        <v>635284.86999999988</v>
      </c>
      <c r="GH97" s="9">
        <v>528813.64</v>
      </c>
      <c r="GI97" s="9">
        <v>106471.23</v>
      </c>
      <c r="GJ97" s="9">
        <v>291558.64</v>
      </c>
      <c r="GK97" s="9">
        <v>3383951.7</v>
      </c>
      <c r="GL97" s="9">
        <v>376385.61</v>
      </c>
      <c r="GM97">
        <v>1169.97</v>
      </c>
      <c r="GO97" s="6"/>
      <c r="GP97" s="6"/>
      <c r="GQ97" s="6"/>
    </row>
    <row r="98" spans="1:199" x14ac:dyDescent="0.2">
      <c r="A98" s="8">
        <v>2008</v>
      </c>
      <c r="B98" s="8" t="s">
        <v>327</v>
      </c>
      <c r="C98" s="8" t="s">
        <v>328</v>
      </c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>
        <v>175421.4</v>
      </c>
      <c r="BO98" s="9">
        <v>137039</v>
      </c>
      <c r="BP98" s="9">
        <v>62566.2</v>
      </c>
      <c r="BQ98" s="9">
        <v>39921</v>
      </c>
      <c r="BR98" s="9">
        <v>4438.8999999999996</v>
      </c>
      <c r="BS98" s="9">
        <v>12824.1</v>
      </c>
      <c r="BT98" s="9">
        <v>24732.799999999999</v>
      </c>
      <c r="BU98" s="9">
        <v>7965.1</v>
      </c>
      <c r="BV98" s="9">
        <v>36699</v>
      </c>
      <c r="BW98" s="9">
        <v>134592.4</v>
      </c>
      <c r="BX98" s="9">
        <v>368.6</v>
      </c>
      <c r="BY98" s="9">
        <v>25208.799999999999</v>
      </c>
      <c r="BZ98" s="9">
        <v>39667.800000000003</v>
      </c>
      <c r="CA98" s="9">
        <v>527.1</v>
      </c>
      <c r="CB98" s="9">
        <v>0</v>
      </c>
      <c r="CC98" s="9">
        <v>0</v>
      </c>
      <c r="CD98" s="9">
        <v>0</v>
      </c>
      <c r="CE98" s="9">
        <v>2031</v>
      </c>
      <c r="CF98" s="9">
        <v>551883.42316647118</v>
      </c>
      <c r="CG98" s="9">
        <v>2306953.1238021711</v>
      </c>
      <c r="CH98" s="9"/>
      <c r="CI98" s="9"/>
      <c r="CJ98" s="9">
        <v>17.3</v>
      </c>
      <c r="CK98" s="9">
        <v>13.9</v>
      </c>
      <c r="CL98" s="9">
        <v>8.4</v>
      </c>
      <c r="CM98" s="9">
        <v>44.9383283234</v>
      </c>
      <c r="CN98" s="9">
        <v>19.5337648631</v>
      </c>
      <c r="CO98" s="9">
        <v>1.1726017685000001</v>
      </c>
      <c r="CP98" s="9">
        <v>6.1252703077000001</v>
      </c>
      <c r="CQ98" s="9">
        <v>4.7179661850999999</v>
      </c>
      <c r="CR98" s="9">
        <v>2.4198871725000002</v>
      </c>
      <c r="CS98" s="9">
        <v>0.83090566369999996</v>
      </c>
      <c r="CT98" s="9">
        <v>4.1093173364000002</v>
      </c>
      <c r="CU98" s="9">
        <v>0.82412607429999996</v>
      </c>
      <c r="CV98" s="9">
        <v>1.1919394181</v>
      </c>
      <c r="CW98" s="9">
        <v>2.4630626821999999</v>
      </c>
      <c r="CX98" s="9">
        <v>0.44051558219999998</v>
      </c>
      <c r="CY98" s="9">
        <v>1.1089712698</v>
      </c>
      <c r="CZ98" s="9">
        <v>238</v>
      </c>
      <c r="DA98" s="9">
        <v>213</v>
      </c>
      <c r="DB98" s="9">
        <v>103</v>
      </c>
      <c r="DC98" s="9">
        <v>63</v>
      </c>
      <c r="DD98" s="9">
        <v>5</v>
      </c>
      <c r="DE98" s="9">
        <v>22</v>
      </c>
      <c r="DF98" s="9">
        <v>0</v>
      </c>
      <c r="DG98" s="9">
        <v>6</v>
      </c>
      <c r="DH98" s="9">
        <v>16</v>
      </c>
      <c r="DI98" s="9">
        <v>0</v>
      </c>
      <c r="DJ98" s="9">
        <v>6</v>
      </c>
      <c r="DK98" s="9">
        <v>9</v>
      </c>
      <c r="DL98" s="9">
        <v>0</v>
      </c>
      <c r="DM98" s="9">
        <v>9</v>
      </c>
      <c r="DN98" s="9">
        <v>0</v>
      </c>
      <c r="DO98" s="9">
        <v>218.78</v>
      </c>
      <c r="DP98" s="9">
        <v>66.55</v>
      </c>
      <c r="DQ98" s="9">
        <v>43.03</v>
      </c>
      <c r="DR98" s="9">
        <v>23.53</v>
      </c>
      <c r="DS98" s="9">
        <v>20.5</v>
      </c>
      <c r="DT98" s="9">
        <v>0.53</v>
      </c>
      <c r="DU98" s="9">
        <v>75.03</v>
      </c>
      <c r="DV98" s="9">
        <v>54.74</v>
      </c>
      <c r="DW98" s="9">
        <v>15.14</v>
      </c>
      <c r="DX98" s="9">
        <v>56.68</v>
      </c>
      <c r="DY98" s="9">
        <v>29.43</v>
      </c>
      <c r="DZ98" s="9">
        <v>11.7</v>
      </c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>
        <v>1050.9000000000001</v>
      </c>
      <c r="EO98" s="9"/>
      <c r="EP98" s="9"/>
      <c r="EQ98" s="9"/>
      <c r="ER98" s="9"/>
      <c r="ES98" s="9"/>
      <c r="ET98" s="9"/>
      <c r="EU98">
        <v>1170.67</v>
      </c>
      <c r="EV98" s="9"/>
      <c r="EW98" s="9"/>
      <c r="EX98" s="9"/>
      <c r="EY98" s="9"/>
      <c r="EZ98" s="9"/>
      <c r="FA98" s="9"/>
      <c r="FB98" s="9">
        <v>98.486201298699996</v>
      </c>
      <c r="FC98" s="9">
        <v>92.006521739099995</v>
      </c>
      <c r="FD98" s="9">
        <v>7078.9090909091001</v>
      </c>
      <c r="FE98" s="9">
        <v>60.8</v>
      </c>
      <c r="FF98" s="9">
        <v>889.59545454550005</v>
      </c>
      <c r="FG98" s="9">
        <v>2133446.67</v>
      </c>
      <c r="FH98" s="9">
        <v>45518.42</v>
      </c>
      <c r="FI98" s="9">
        <v>67624.149999999994</v>
      </c>
      <c r="FJ98" s="9">
        <v>893461.59</v>
      </c>
      <c r="FK98" s="9">
        <v>7584.56</v>
      </c>
      <c r="FL98" s="9">
        <v>21397.75</v>
      </c>
      <c r="FM98" s="9"/>
      <c r="FN98" s="9"/>
      <c r="FO98" s="9"/>
      <c r="FP98" s="9"/>
      <c r="FQ98" s="9"/>
      <c r="FR98" s="9"/>
      <c r="FS98" s="9"/>
      <c r="FT98" s="9">
        <v>1239682.18</v>
      </c>
      <c r="FU98" s="9">
        <v>37933.870000000003</v>
      </c>
      <c r="FV98" s="9">
        <v>45923.5</v>
      </c>
      <c r="FW98" s="9"/>
      <c r="FX98" s="9"/>
      <c r="FY98" s="9"/>
      <c r="FZ98" s="9">
        <v>47864.28</v>
      </c>
      <c r="GA98" s="9">
        <v>2004567.69</v>
      </c>
      <c r="GB98" s="9">
        <v>530576.29</v>
      </c>
      <c r="GC98" s="9">
        <v>1473991.4</v>
      </c>
      <c r="GD98" s="9">
        <v>1461586.86</v>
      </c>
      <c r="GE98" s="9">
        <v>87480.77</v>
      </c>
      <c r="GF98" s="9">
        <v>1374106.09</v>
      </c>
      <c r="GG98" s="9">
        <v>542980.83000000007</v>
      </c>
      <c r="GH98" s="9">
        <v>443095.52</v>
      </c>
      <c r="GI98" s="9">
        <v>99885.31</v>
      </c>
      <c r="GJ98" s="9">
        <v>231246</v>
      </c>
      <c r="GK98" s="9">
        <v>3295107.85</v>
      </c>
      <c r="GL98" s="9">
        <v>383490.95</v>
      </c>
      <c r="GM98">
        <v>1171.77</v>
      </c>
      <c r="GO98" s="6"/>
      <c r="GP98" s="6"/>
      <c r="GQ98" s="6"/>
    </row>
    <row r="99" spans="1:199" x14ac:dyDescent="0.2">
      <c r="A99" s="8">
        <v>2008</v>
      </c>
      <c r="B99" s="8" t="s">
        <v>327</v>
      </c>
      <c r="C99" s="8" t="s">
        <v>329</v>
      </c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>
        <v>147996.6</v>
      </c>
      <c r="BO99" s="9">
        <v>129491.7</v>
      </c>
      <c r="BP99" s="9">
        <v>67480.7</v>
      </c>
      <c r="BQ99" s="9">
        <v>22091</v>
      </c>
      <c r="BR99" s="9">
        <v>8019.6</v>
      </c>
      <c r="BS99" s="9">
        <v>14274.1</v>
      </c>
      <c r="BT99" s="9">
        <v>19789.900000000001</v>
      </c>
      <c r="BU99" s="9">
        <v>11431.2</v>
      </c>
      <c r="BV99" s="9">
        <v>18179.599999999999</v>
      </c>
      <c r="BW99" s="9">
        <v>119913.4</v>
      </c>
      <c r="BX99" s="9">
        <v>734.6</v>
      </c>
      <c r="BY99" s="9">
        <v>23345.7</v>
      </c>
      <c r="BZ99" s="9">
        <v>41685.300000000003</v>
      </c>
      <c r="CA99" s="9">
        <v>2195.6</v>
      </c>
      <c r="CB99" s="9">
        <v>0</v>
      </c>
      <c r="CC99" s="9">
        <v>0</v>
      </c>
      <c r="CD99" s="9">
        <v>0</v>
      </c>
      <c r="CE99" s="9">
        <v>10504.6</v>
      </c>
      <c r="CF99" s="9">
        <v>549183.52896863082</v>
      </c>
      <c r="CG99" s="9">
        <v>2417222.7364449012</v>
      </c>
      <c r="CH99" s="9"/>
      <c r="CI99" s="9"/>
      <c r="CJ99" s="9">
        <v>22.1</v>
      </c>
      <c r="CK99" s="9">
        <v>16.3</v>
      </c>
      <c r="CL99" s="9">
        <v>8.4</v>
      </c>
      <c r="CM99" s="9">
        <v>46.132389208799999</v>
      </c>
      <c r="CN99" s="9">
        <v>20.540485172099999</v>
      </c>
      <c r="CO99" s="9">
        <v>1.2212121632999999</v>
      </c>
      <c r="CP99" s="9">
        <v>6.1360258306000004</v>
      </c>
      <c r="CQ99" s="9">
        <v>4.8054768481999997</v>
      </c>
      <c r="CR99" s="9">
        <v>2.4337945699999999</v>
      </c>
      <c r="CS99" s="9">
        <v>0.83966521130000005</v>
      </c>
      <c r="CT99" s="9">
        <v>4.1187930873000003</v>
      </c>
      <c r="CU99" s="9">
        <v>0.82310988919999994</v>
      </c>
      <c r="CV99" s="9">
        <v>1.1984646338</v>
      </c>
      <c r="CW99" s="9">
        <v>2.4630626821999999</v>
      </c>
      <c r="CX99" s="9">
        <v>0.44051558219999998</v>
      </c>
      <c r="CY99" s="9">
        <v>1.1117835384000001</v>
      </c>
      <c r="CZ99" s="9">
        <v>216</v>
      </c>
      <c r="DA99" s="9">
        <v>199</v>
      </c>
      <c r="DB99" s="9">
        <v>100</v>
      </c>
      <c r="DC99" s="9">
        <v>63</v>
      </c>
      <c r="DD99" s="9">
        <v>1</v>
      </c>
      <c r="DE99" s="9">
        <v>19</v>
      </c>
      <c r="DF99" s="9">
        <v>0</v>
      </c>
      <c r="DG99" s="9">
        <v>6</v>
      </c>
      <c r="DH99" s="9">
        <v>10</v>
      </c>
      <c r="DI99" s="9">
        <v>0</v>
      </c>
      <c r="DJ99" s="9">
        <v>4</v>
      </c>
      <c r="DK99" s="9">
        <v>4</v>
      </c>
      <c r="DL99" s="9">
        <v>0</v>
      </c>
      <c r="DM99" s="9">
        <v>7</v>
      </c>
      <c r="DN99" s="9">
        <v>0</v>
      </c>
      <c r="DO99" s="9">
        <v>186.02</v>
      </c>
      <c r="DP99" s="9">
        <v>46.92</v>
      </c>
      <c r="DQ99" s="9">
        <v>26.92</v>
      </c>
      <c r="DR99" s="9">
        <v>20</v>
      </c>
      <c r="DS99" s="9">
        <v>14.67</v>
      </c>
      <c r="DT99" s="9">
        <v>0.68</v>
      </c>
      <c r="DU99" s="9">
        <v>61.73</v>
      </c>
      <c r="DV99" s="9">
        <v>40.5</v>
      </c>
      <c r="DW99" s="9">
        <v>15.53</v>
      </c>
      <c r="DX99" s="9">
        <v>62.63</v>
      </c>
      <c r="DY99" s="9">
        <v>29.87</v>
      </c>
      <c r="DZ99" s="9">
        <v>12.63</v>
      </c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>
        <v>1041.9000000000001</v>
      </c>
      <c r="EO99" s="9"/>
      <c r="EP99" s="9"/>
      <c r="EQ99" s="9"/>
      <c r="ER99" s="9"/>
      <c r="ES99" s="9"/>
      <c r="ET99" s="9"/>
      <c r="EU99">
        <v>1171.67</v>
      </c>
      <c r="EV99" s="9"/>
      <c r="EW99" s="9"/>
      <c r="EX99" s="9"/>
      <c r="EY99" s="9"/>
      <c r="EZ99" s="9"/>
      <c r="FA99" s="9"/>
      <c r="FB99" s="9">
        <v>141.887755102</v>
      </c>
      <c r="FC99" s="9">
        <v>94.818571428599995</v>
      </c>
      <c r="FD99" s="9">
        <v>7941.1428571428996</v>
      </c>
      <c r="FE99" s="9">
        <v>60.8</v>
      </c>
      <c r="FF99" s="9">
        <v>922.29761904760005</v>
      </c>
      <c r="FG99" s="9">
        <v>2230514.0099999998</v>
      </c>
      <c r="FH99" s="9">
        <v>48386.41</v>
      </c>
      <c r="FI99" s="9">
        <v>68337.990000000005</v>
      </c>
      <c r="FJ99" s="9">
        <v>912735.61</v>
      </c>
      <c r="FK99" s="9">
        <v>7760.43</v>
      </c>
      <c r="FL99" s="9">
        <v>22400.03</v>
      </c>
      <c r="FM99" s="9"/>
      <c r="FN99" s="9"/>
      <c r="FO99" s="9"/>
      <c r="FP99" s="9"/>
      <c r="FQ99" s="9"/>
      <c r="FR99" s="9"/>
      <c r="FS99" s="9"/>
      <c r="FT99" s="9">
        <v>1317445.49</v>
      </c>
      <c r="FU99" s="9">
        <v>40625.980000000003</v>
      </c>
      <c r="FV99" s="9">
        <v>45605.04</v>
      </c>
      <c r="FW99" s="9"/>
      <c r="FX99" s="9"/>
      <c r="FY99" s="9"/>
      <c r="FZ99" s="9">
        <v>45408.57</v>
      </c>
      <c r="GA99" s="9">
        <v>2129004.96</v>
      </c>
      <c r="GB99" s="9">
        <v>599337.53</v>
      </c>
      <c r="GC99" s="9">
        <v>1529667.43</v>
      </c>
      <c r="GD99" s="9">
        <v>1543108.58</v>
      </c>
      <c r="GE99" s="9">
        <v>115872.23</v>
      </c>
      <c r="GF99" s="9">
        <v>1427236.35</v>
      </c>
      <c r="GG99" s="9">
        <v>585896.37999999989</v>
      </c>
      <c r="GH99" s="9">
        <v>483465.3</v>
      </c>
      <c r="GI99" s="9">
        <v>102431.08</v>
      </c>
      <c r="GJ99" s="9">
        <v>229611.96</v>
      </c>
      <c r="GK99" s="9">
        <v>3445095.94</v>
      </c>
      <c r="GL99" s="9">
        <v>391567.62</v>
      </c>
      <c r="GM99">
        <v>1171.82</v>
      </c>
      <c r="GO99" s="6"/>
      <c r="GP99" s="6"/>
      <c r="GQ99" s="6"/>
    </row>
    <row r="100" spans="1:199" x14ac:dyDescent="0.2">
      <c r="A100" s="8">
        <v>2008</v>
      </c>
      <c r="B100" s="8" t="s">
        <v>327</v>
      </c>
      <c r="C100" s="8" t="s">
        <v>330</v>
      </c>
      <c r="D100" s="9">
        <v>1173886.3</v>
      </c>
      <c r="E100" s="9">
        <v>60348.5</v>
      </c>
      <c r="F100" s="9">
        <v>303906.7</v>
      </c>
      <c r="G100" s="9">
        <v>72764.100000000006</v>
      </c>
      <c r="H100" s="9">
        <v>38409</v>
      </c>
      <c r="I100" s="9">
        <v>5759.4</v>
      </c>
      <c r="J100" s="9">
        <v>80812.5</v>
      </c>
      <c r="K100" s="9">
        <v>77231.3</v>
      </c>
      <c r="L100" s="9">
        <v>49664.4</v>
      </c>
      <c r="M100" s="9">
        <v>350704.4</v>
      </c>
      <c r="N100" s="9">
        <v>134286</v>
      </c>
      <c r="O100" s="9">
        <v>2402958.2247058889</v>
      </c>
      <c r="P100" s="9">
        <v>93576.088293289897</v>
      </c>
      <c r="Q100" s="9">
        <v>437773.55839742499</v>
      </c>
      <c r="R100" s="9">
        <v>192956.8320266894</v>
      </c>
      <c r="S100" s="9">
        <v>100964.5663503156</v>
      </c>
      <c r="T100" s="9">
        <v>22798.316248616498</v>
      </c>
      <c r="U100" s="9">
        <v>209510.39997058079</v>
      </c>
      <c r="V100" s="9">
        <v>122117.9797607387</v>
      </c>
      <c r="W100" s="9">
        <v>61497.452916022303</v>
      </c>
      <c r="X100" s="9">
        <v>945556.79904035595</v>
      </c>
      <c r="Y100" s="9">
        <v>216206.23170185459</v>
      </c>
      <c r="Z100" s="9">
        <v>1170417.2</v>
      </c>
      <c r="AA100" s="9">
        <v>807326.5</v>
      </c>
      <c r="AB100" s="9">
        <v>201030.6</v>
      </c>
      <c r="AC100" s="9">
        <v>169630.9</v>
      </c>
      <c r="AD100" s="9">
        <v>34433.4</v>
      </c>
      <c r="AE100" s="9">
        <v>798625.8</v>
      </c>
      <c r="AF100" s="9">
        <v>840629.9</v>
      </c>
      <c r="AG100" s="9">
        <v>2348722.4908519229</v>
      </c>
      <c r="AH100" s="9">
        <v>1683855.993574331</v>
      </c>
      <c r="AI100" s="9">
        <v>396400.53761316068</v>
      </c>
      <c r="AJ100" s="9">
        <v>339222.30627064162</v>
      </c>
      <c r="AK100" s="9">
        <v>83736.640824190705</v>
      </c>
      <c r="AL100" s="9">
        <v>821339.25055144238</v>
      </c>
      <c r="AM100" s="9">
        <v>975832.23798184341</v>
      </c>
      <c r="AN100" s="9">
        <v>872801</v>
      </c>
      <c r="AO100" s="9">
        <v>450620</v>
      </c>
      <c r="AP100" s="9">
        <v>422181</v>
      </c>
      <c r="AQ100" s="9">
        <v>103708</v>
      </c>
      <c r="AR100" s="9">
        <v>54833</v>
      </c>
      <c r="AS100" s="9">
        <v>48875</v>
      </c>
      <c r="AT100" s="9">
        <v>647054</v>
      </c>
      <c r="AU100" s="9">
        <v>274667</v>
      </c>
      <c r="AV100" s="9">
        <v>372387</v>
      </c>
      <c r="AW100" s="9">
        <v>250</v>
      </c>
      <c r="AX100" s="9">
        <v>129.19999999999999</v>
      </c>
      <c r="AY100" s="9">
        <v>297.5</v>
      </c>
      <c r="AZ100" s="9">
        <v>228.7</v>
      </c>
      <c r="BA100" s="9">
        <v>238</v>
      </c>
      <c r="BB100" s="9"/>
      <c r="BC100" s="9">
        <v>183.6</v>
      </c>
      <c r="BD100" s="9">
        <v>173</v>
      </c>
      <c r="BE100" s="9">
        <v>232.7</v>
      </c>
      <c r="BF100" s="9">
        <v>168.5</v>
      </c>
      <c r="BG100" s="9"/>
      <c r="BH100" s="9">
        <v>427.4</v>
      </c>
      <c r="BI100" s="9">
        <v>244</v>
      </c>
      <c r="BJ100" s="9">
        <v>273.60000000000002</v>
      </c>
      <c r="BK100" s="9">
        <v>275.60000000000002</v>
      </c>
      <c r="BL100" s="9"/>
      <c r="BM100" s="9">
        <v>188.7</v>
      </c>
      <c r="BN100" s="9">
        <v>173616.6</v>
      </c>
      <c r="BO100" s="9">
        <v>148758.70000000001</v>
      </c>
      <c r="BP100" s="9">
        <v>51098.1</v>
      </c>
      <c r="BQ100" s="9">
        <v>13366.4</v>
      </c>
      <c r="BR100" s="9">
        <v>9324.7999999999993</v>
      </c>
      <c r="BS100" s="9">
        <v>26902.9</v>
      </c>
      <c r="BT100" s="9">
        <v>31823.599999999999</v>
      </c>
      <c r="BU100" s="9">
        <v>16068.1</v>
      </c>
      <c r="BV100" s="9">
        <v>24254.5</v>
      </c>
      <c r="BW100" s="9">
        <v>150820.70000000001</v>
      </c>
      <c r="BX100" s="9">
        <v>4106.6000000000004</v>
      </c>
      <c r="BY100" s="9">
        <v>33804.6</v>
      </c>
      <c r="BZ100" s="9">
        <v>43719</v>
      </c>
      <c r="CA100" s="9">
        <v>1183.0999999999999</v>
      </c>
      <c r="CB100" s="9">
        <v>0</v>
      </c>
      <c r="CC100" s="9">
        <v>0</v>
      </c>
      <c r="CD100" s="9">
        <v>0</v>
      </c>
      <c r="CE100" s="9">
        <v>16614.400000000001</v>
      </c>
      <c r="CF100" s="9">
        <v>577707.48354327958</v>
      </c>
      <c r="CG100" s="9">
        <v>2454756.0865677432</v>
      </c>
      <c r="CH100" s="9"/>
      <c r="CI100" s="9"/>
      <c r="CJ100" s="9">
        <v>20.8</v>
      </c>
      <c r="CK100" s="9">
        <v>13.8</v>
      </c>
      <c r="CL100" s="9">
        <v>9.75</v>
      </c>
      <c r="CM100" s="9">
        <v>47.734256842500002</v>
      </c>
      <c r="CN100" s="9">
        <v>21.842642718800001</v>
      </c>
      <c r="CO100" s="9">
        <v>1.2331167498</v>
      </c>
      <c r="CP100" s="9">
        <v>6.1844256837999998</v>
      </c>
      <c r="CQ100" s="9">
        <v>4.7560142995000003</v>
      </c>
      <c r="CR100" s="9">
        <v>2.4854506179999998</v>
      </c>
      <c r="CS100" s="9">
        <v>0.8615640805</v>
      </c>
      <c r="CT100" s="9">
        <v>4.2830394374000003</v>
      </c>
      <c r="CU100" s="9">
        <v>0.82209370420000005</v>
      </c>
      <c r="CV100" s="9">
        <v>1.2191278172</v>
      </c>
      <c r="CW100" s="9">
        <v>2.4630626821999999</v>
      </c>
      <c r="CX100" s="9">
        <v>0.45693674649999999</v>
      </c>
      <c r="CY100" s="9">
        <v>1.1267823046000001</v>
      </c>
      <c r="CZ100" s="9">
        <v>144</v>
      </c>
      <c r="DA100" s="9">
        <v>133</v>
      </c>
      <c r="DB100" s="9">
        <v>10</v>
      </c>
      <c r="DC100" s="9">
        <v>70</v>
      </c>
      <c r="DD100" s="9">
        <v>5</v>
      </c>
      <c r="DE100" s="9">
        <v>17</v>
      </c>
      <c r="DF100" s="9">
        <v>7</v>
      </c>
      <c r="DG100" s="9">
        <v>8</v>
      </c>
      <c r="DH100" s="9">
        <v>4</v>
      </c>
      <c r="DI100" s="9">
        <v>0</v>
      </c>
      <c r="DJ100" s="9">
        <v>1</v>
      </c>
      <c r="DK100" s="9">
        <v>1</v>
      </c>
      <c r="DL100" s="9">
        <v>0</v>
      </c>
      <c r="DM100" s="9">
        <v>7</v>
      </c>
      <c r="DN100" s="9">
        <v>0</v>
      </c>
      <c r="DO100" s="9">
        <v>218.29</v>
      </c>
      <c r="DP100" s="9">
        <v>57.66</v>
      </c>
      <c r="DQ100" s="9">
        <v>29.69</v>
      </c>
      <c r="DR100" s="9">
        <v>27.97</v>
      </c>
      <c r="DS100" s="9">
        <v>16.329999999999998</v>
      </c>
      <c r="DT100" s="9">
        <v>0.64</v>
      </c>
      <c r="DU100" s="9">
        <v>86.55</v>
      </c>
      <c r="DV100" s="9">
        <v>52.14</v>
      </c>
      <c r="DW100" s="9">
        <v>25.92</v>
      </c>
      <c r="DX100" s="9">
        <v>57.58</v>
      </c>
      <c r="DY100" s="9">
        <v>27.13</v>
      </c>
      <c r="DZ100" s="9">
        <v>13.15</v>
      </c>
      <c r="EA100" s="9">
        <v>-63.265500000000003</v>
      </c>
      <c r="EB100" s="9">
        <v>-0.25125999999999998</v>
      </c>
      <c r="EC100" s="9">
        <v>-35.598199999999999</v>
      </c>
      <c r="ED100" s="9">
        <v>-66.433300000000003</v>
      </c>
      <c r="EE100" s="9">
        <v>39.017229999999998</v>
      </c>
      <c r="EF100" s="9">
        <v>18.63278</v>
      </c>
      <c r="EG100" s="9">
        <v>-242.66399999999999</v>
      </c>
      <c r="EH100" s="9">
        <v>-187.048</v>
      </c>
      <c r="EI100" s="9">
        <v>23.313459999999999</v>
      </c>
      <c r="EJ100" s="9">
        <v>0</v>
      </c>
      <c r="EK100" s="9">
        <v>-78.930199999999999</v>
      </c>
      <c r="EL100" s="9">
        <v>-147.364</v>
      </c>
      <c r="EM100" s="9">
        <v>50.66724</v>
      </c>
      <c r="EN100" s="9">
        <v>1006.6</v>
      </c>
      <c r="EO100" s="9"/>
      <c r="EP100" s="9"/>
      <c r="EQ100" s="9"/>
      <c r="ER100" s="9"/>
      <c r="ES100" s="9"/>
      <c r="ET100" s="9"/>
      <c r="EU100">
        <v>1170.8399999999999</v>
      </c>
      <c r="EV100" s="9">
        <v>5102.09</v>
      </c>
      <c r="EW100" s="9">
        <v>1587.12</v>
      </c>
      <c r="EX100" s="9">
        <v>9.89</v>
      </c>
      <c r="EY100" s="9">
        <v>241.75</v>
      </c>
      <c r="EZ100" s="9">
        <v>791.84</v>
      </c>
      <c r="FA100" s="9">
        <v>2471.4899999999998</v>
      </c>
      <c r="FB100" s="9">
        <v>137.76315789469999</v>
      </c>
      <c r="FC100" s="9">
        <v>103.1228571429</v>
      </c>
      <c r="FD100" s="9">
        <v>8434.3157894736996</v>
      </c>
      <c r="FE100" s="9">
        <v>60.8</v>
      </c>
      <c r="FF100" s="9">
        <v>968.43421052630003</v>
      </c>
      <c r="FG100" s="9">
        <v>2335928.87</v>
      </c>
      <c r="FH100" s="9">
        <v>46461.01</v>
      </c>
      <c r="FI100" s="9">
        <v>68224.41</v>
      </c>
      <c r="FJ100" s="9">
        <v>987330.73</v>
      </c>
      <c r="FK100" s="9">
        <v>7892.74</v>
      </c>
      <c r="FL100" s="9">
        <v>21892.13</v>
      </c>
      <c r="FM100" s="9"/>
      <c r="FN100" s="9"/>
      <c r="FO100" s="9"/>
      <c r="FP100" s="9"/>
      <c r="FQ100" s="9"/>
      <c r="FR100" s="9"/>
      <c r="FS100" s="9"/>
      <c r="FT100" s="9">
        <v>1348265.23</v>
      </c>
      <c r="FU100" s="9">
        <v>38568.269999999997</v>
      </c>
      <c r="FV100" s="9">
        <v>45999.38</v>
      </c>
      <c r="FW100" s="9"/>
      <c r="FX100" s="9"/>
      <c r="FY100" s="9"/>
      <c r="FZ100" s="9">
        <v>43228.78</v>
      </c>
      <c r="GA100" s="9">
        <v>2152511.36</v>
      </c>
      <c r="GB100" s="9">
        <v>618641.05000000005</v>
      </c>
      <c r="GC100" s="9">
        <v>1533870.31</v>
      </c>
      <c r="GD100" s="9">
        <v>1547508.99</v>
      </c>
      <c r="GE100" s="9">
        <v>113857.83</v>
      </c>
      <c r="GF100" s="9">
        <v>1433651.16</v>
      </c>
      <c r="GG100" s="9">
        <v>605002.37</v>
      </c>
      <c r="GH100" s="9">
        <v>504783.22</v>
      </c>
      <c r="GI100" s="9">
        <v>100219.15</v>
      </c>
      <c r="GJ100" s="9">
        <v>246294.39999999999</v>
      </c>
      <c r="GK100" s="9">
        <v>3573295.74</v>
      </c>
      <c r="GL100" s="9">
        <v>404061.08</v>
      </c>
      <c r="GM100">
        <v>1168.17</v>
      </c>
      <c r="GO100" s="6"/>
      <c r="GP100" s="6"/>
      <c r="GQ100" s="6"/>
    </row>
    <row r="101" spans="1:199" x14ac:dyDescent="0.2">
      <c r="A101" s="8">
        <v>2008</v>
      </c>
      <c r="B101" s="8" t="s">
        <v>331</v>
      </c>
      <c r="C101" s="8" t="s">
        <v>332</v>
      </c>
      <c r="D101" s="9"/>
      <c r="E101" s="9"/>
      <c r="F101" s="9"/>
      <c r="G101" s="9"/>
      <c r="H101" s="9"/>
      <c r="I101" s="9"/>
      <c r="J101" s="9"/>
      <c r="K101" s="9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9"/>
      <c r="W101" s="9"/>
      <c r="X101" s="9"/>
      <c r="Y101" s="9"/>
      <c r="Z101" s="9"/>
      <c r="AA101" s="9"/>
      <c r="AB101" s="9"/>
      <c r="AC101" s="9"/>
      <c r="AD101" s="9"/>
      <c r="AE101" s="9"/>
      <c r="AF101" s="9"/>
      <c r="AG101" s="9"/>
      <c r="AH101" s="9"/>
      <c r="AI101" s="9"/>
      <c r="AJ101" s="9"/>
      <c r="AK101" s="9"/>
      <c r="AL101" s="9"/>
      <c r="AM101" s="9"/>
      <c r="AN101" s="9"/>
      <c r="AO101" s="9"/>
      <c r="AP101" s="9"/>
      <c r="AQ101" s="9"/>
      <c r="AR101" s="9"/>
      <c r="AS101" s="9"/>
      <c r="AT101" s="9"/>
      <c r="AU101" s="9"/>
      <c r="AV101" s="9"/>
      <c r="AW101" s="9"/>
      <c r="AX101" s="9"/>
      <c r="AY101" s="9"/>
      <c r="AZ101" s="9"/>
      <c r="BA101" s="9"/>
      <c r="BB101" s="9"/>
      <c r="BC101" s="9"/>
      <c r="BD101" s="9"/>
      <c r="BE101" s="9"/>
      <c r="BF101" s="9"/>
      <c r="BG101" s="9"/>
      <c r="BH101" s="9"/>
      <c r="BI101" s="9"/>
      <c r="BJ101" s="9"/>
      <c r="BK101" s="9"/>
      <c r="BL101" s="9"/>
      <c r="BM101" s="9"/>
      <c r="BN101" s="9">
        <v>187523.6</v>
      </c>
      <c r="BO101" s="9">
        <v>178004.4</v>
      </c>
      <c r="BP101" s="9">
        <v>70277.399999999994</v>
      </c>
      <c r="BQ101" s="9">
        <v>26283</v>
      </c>
      <c r="BR101" s="9">
        <v>8765.2000000000007</v>
      </c>
      <c r="BS101" s="9">
        <v>19562.5</v>
      </c>
      <c r="BT101" s="9">
        <v>26063.7</v>
      </c>
      <c r="BU101" s="9">
        <v>14582.6</v>
      </c>
      <c r="BV101" s="9">
        <v>8027.8</v>
      </c>
      <c r="BW101" s="9">
        <v>136272.70000000001</v>
      </c>
      <c r="BX101" s="9">
        <v>31901.7</v>
      </c>
      <c r="BY101" s="9">
        <v>36653.199999999997</v>
      </c>
      <c r="BZ101" s="9">
        <v>42086.3</v>
      </c>
      <c r="CA101" s="9">
        <v>2383.4</v>
      </c>
      <c r="CB101" s="9">
        <v>0</v>
      </c>
      <c r="CC101" s="9">
        <v>0</v>
      </c>
      <c r="CD101" s="9">
        <v>0</v>
      </c>
      <c r="CE101" s="9">
        <v>27950.7</v>
      </c>
      <c r="CF101" s="9">
        <v>583650.21803760994</v>
      </c>
      <c r="CG101" s="9">
        <v>2466295.7621168182</v>
      </c>
      <c r="CH101" s="9"/>
      <c r="CI101" s="9"/>
      <c r="CJ101" s="9">
        <v>21.7</v>
      </c>
      <c r="CK101" s="9">
        <v>13.9</v>
      </c>
      <c r="CL101" s="9">
        <v>9.75</v>
      </c>
      <c r="CM101" s="9">
        <v>50.459915712399997</v>
      </c>
      <c r="CN101" s="9">
        <v>24.264935789500001</v>
      </c>
      <c r="CO101" s="9">
        <v>1.2430372384999999</v>
      </c>
      <c r="CP101" s="9">
        <v>6.2812253901000004</v>
      </c>
      <c r="CQ101" s="9">
        <v>4.7902576023999996</v>
      </c>
      <c r="CR101" s="9">
        <v>2.5390934371</v>
      </c>
      <c r="CS101" s="9">
        <v>0.90849022869999996</v>
      </c>
      <c r="CT101" s="9">
        <v>4.3019909394000004</v>
      </c>
      <c r="CU101" s="9">
        <v>0.81701277900000002</v>
      </c>
      <c r="CV101" s="9">
        <v>1.2267405688999999</v>
      </c>
      <c r="CW101" s="9">
        <v>2.4630626821999999</v>
      </c>
      <c r="CX101" s="9">
        <v>0.46728921969999998</v>
      </c>
      <c r="CY101" s="9">
        <v>1.1567798368</v>
      </c>
      <c r="CZ101" s="9">
        <v>188</v>
      </c>
      <c r="DA101" s="9">
        <v>153</v>
      </c>
      <c r="DB101" s="9">
        <v>15</v>
      </c>
      <c r="DC101" s="9">
        <v>85</v>
      </c>
      <c r="DD101" s="9">
        <v>4</v>
      </c>
      <c r="DE101" s="9">
        <v>15</v>
      </c>
      <c r="DF101" s="9">
        <v>13</v>
      </c>
      <c r="DG101" s="9">
        <v>9</v>
      </c>
      <c r="DH101" s="9">
        <v>24</v>
      </c>
      <c r="DI101" s="9">
        <v>0</v>
      </c>
      <c r="DJ101" s="9">
        <v>5</v>
      </c>
      <c r="DK101" s="9">
        <v>16</v>
      </c>
      <c r="DL101" s="9">
        <v>0</v>
      </c>
      <c r="DM101" s="9">
        <v>11</v>
      </c>
      <c r="DN101" s="9">
        <v>0</v>
      </c>
      <c r="DO101" s="9">
        <v>261.91000000000003</v>
      </c>
      <c r="DP101" s="9">
        <v>71.17</v>
      </c>
      <c r="DQ101" s="9">
        <v>42.33</v>
      </c>
      <c r="DR101" s="9">
        <v>28.84</v>
      </c>
      <c r="DS101" s="9">
        <v>23.22</v>
      </c>
      <c r="DT101" s="9">
        <v>0.25</v>
      </c>
      <c r="DU101" s="9">
        <v>108.99</v>
      </c>
      <c r="DV101" s="9">
        <v>61.12</v>
      </c>
      <c r="DW101" s="9">
        <v>36.35</v>
      </c>
      <c r="DX101" s="9">
        <v>58.43</v>
      </c>
      <c r="DY101" s="9">
        <v>28.62</v>
      </c>
      <c r="DZ101" s="9">
        <v>11.02</v>
      </c>
      <c r="EA101" s="9"/>
      <c r="EB101" s="9"/>
      <c r="EC101" s="9"/>
      <c r="ED101" s="9"/>
      <c r="EE101" s="9"/>
      <c r="EF101" s="9"/>
      <c r="EG101" s="9"/>
      <c r="EH101" s="9"/>
      <c r="EI101" s="9"/>
      <c r="EJ101" s="9"/>
      <c r="EK101" s="9"/>
      <c r="EL101" s="9"/>
      <c r="EM101" s="9"/>
      <c r="EN101" s="9">
        <v>1019.4</v>
      </c>
      <c r="EO101" s="9"/>
      <c r="EP101" s="9"/>
      <c r="EQ101" s="9"/>
      <c r="ER101" s="9"/>
      <c r="ES101" s="9"/>
      <c r="ET101" s="9"/>
      <c r="EU101">
        <v>1166.67</v>
      </c>
      <c r="EV101" s="9"/>
      <c r="EW101" s="9"/>
      <c r="EX101" s="9"/>
      <c r="EY101" s="9"/>
      <c r="EZ101" s="9"/>
      <c r="FA101" s="9"/>
      <c r="FB101" s="9">
        <v>131.73701298700001</v>
      </c>
      <c r="FC101" s="9">
        <v>110.1886363636</v>
      </c>
      <c r="FD101" s="9">
        <v>8714.1818181817998</v>
      </c>
      <c r="FE101" s="9">
        <v>60.8</v>
      </c>
      <c r="FF101" s="9">
        <v>909.70454545450002</v>
      </c>
      <c r="FG101" s="9">
        <v>2436530.46</v>
      </c>
      <c r="FH101" s="9">
        <v>50833.84</v>
      </c>
      <c r="FI101" s="9">
        <v>67092.3</v>
      </c>
      <c r="FJ101" s="9">
        <v>1032513.87</v>
      </c>
      <c r="FK101" s="9">
        <v>8941.8700000000008</v>
      </c>
      <c r="FL101" s="9">
        <v>21647.69</v>
      </c>
      <c r="FM101" s="9"/>
      <c r="FN101" s="9"/>
      <c r="FO101" s="9"/>
      <c r="FP101" s="9"/>
      <c r="FQ101" s="9"/>
      <c r="FR101" s="9"/>
      <c r="FS101" s="9"/>
      <c r="FT101" s="9">
        <v>1403683.7</v>
      </c>
      <c r="FU101" s="9">
        <v>41891.97</v>
      </c>
      <c r="FV101" s="9">
        <v>45111.72</v>
      </c>
      <c r="FW101" s="9"/>
      <c r="FX101" s="9"/>
      <c r="FY101" s="9"/>
      <c r="FZ101" s="9">
        <v>46585.71</v>
      </c>
      <c r="GA101" s="9">
        <v>2144623.58</v>
      </c>
      <c r="GB101" s="9">
        <v>662330.94999999995</v>
      </c>
      <c r="GC101" s="9">
        <v>1482292.63</v>
      </c>
      <c r="GD101" s="9">
        <v>1510094.97</v>
      </c>
      <c r="GE101" s="9">
        <v>123642.62</v>
      </c>
      <c r="GF101" s="9">
        <v>1386452.35</v>
      </c>
      <c r="GG101" s="9">
        <v>634528.6100000001</v>
      </c>
      <c r="GH101" s="9">
        <v>538688.32999999996</v>
      </c>
      <c r="GI101" s="9">
        <v>95840.28</v>
      </c>
      <c r="GJ101" s="9">
        <v>305520.51</v>
      </c>
      <c r="GK101" s="9">
        <v>3683613.34</v>
      </c>
      <c r="GL101" s="9">
        <v>412169.33</v>
      </c>
      <c r="GM101">
        <v>1164.94</v>
      </c>
      <c r="GO101" s="6"/>
      <c r="GP101" s="6"/>
      <c r="GQ101" s="6"/>
    </row>
    <row r="102" spans="1:199" x14ac:dyDescent="0.2">
      <c r="A102" s="8">
        <v>2008</v>
      </c>
      <c r="B102" s="8" t="s">
        <v>331</v>
      </c>
      <c r="C102" s="8" t="s">
        <v>333</v>
      </c>
      <c r="D102" s="9"/>
      <c r="E102" s="9"/>
      <c r="F102" s="9"/>
      <c r="G102" s="9"/>
      <c r="H102" s="9"/>
      <c r="I102" s="9"/>
      <c r="J102" s="9"/>
      <c r="K102" s="9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9"/>
      <c r="W102" s="9"/>
      <c r="X102" s="9"/>
      <c r="Y102" s="9"/>
      <c r="Z102" s="9"/>
      <c r="AA102" s="9"/>
      <c r="AB102" s="9"/>
      <c r="AC102" s="9"/>
      <c r="AD102" s="9"/>
      <c r="AE102" s="9"/>
      <c r="AF102" s="9"/>
      <c r="AG102" s="9"/>
      <c r="AH102" s="9"/>
      <c r="AI102" s="9"/>
      <c r="AJ102" s="9"/>
      <c r="AK102" s="9"/>
      <c r="AL102" s="9"/>
      <c r="AM102" s="9"/>
      <c r="AN102" s="9"/>
      <c r="AO102" s="9"/>
      <c r="AP102" s="9"/>
      <c r="AQ102" s="9"/>
      <c r="AR102" s="9"/>
      <c r="AS102" s="9"/>
      <c r="AT102" s="9"/>
      <c r="AU102" s="9"/>
      <c r="AV102" s="9"/>
      <c r="AW102" s="9"/>
      <c r="AX102" s="9"/>
      <c r="AY102" s="9"/>
      <c r="AZ102" s="9"/>
      <c r="BA102" s="9"/>
      <c r="BB102" s="9"/>
      <c r="BC102" s="9"/>
      <c r="BD102" s="9"/>
      <c r="BE102" s="9"/>
      <c r="BF102" s="9"/>
      <c r="BG102" s="9"/>
      <c r="BH102" s="9"/>
      <c r="BI102" s="9"/>
      <c r="BJ102" s="9"/>
      <c r="BK102" s="9"/>
      <c r="BL102" s="9"/>
      <c r="BM102" s="9"/>
      <c r="BN102" s="9">
        <v>136001.60000000001</v>
      </c>
      <c r="BO102" s="9">
        <v>119646.2</v>
      </c>
      <c r="BP102" s="9">
        <v>51963.8</v>
      </c>
      <c r="BQ102" s="9">
        <v>18373.3</v>
      </c>
      <c r="BR102" s="9">
        <v>9791.7999999999993</v>
      </c>
      <c r="BS102" s="9">
        <v>3229.9</v>
      </c>
      <c r="BT102" s="9">
        <v>19290.599999999999</v>
      </c>
      <c r="BU102" s="9">
        <v>15899.9</v>
      </c>
      <c r="BV102" s="9">
        <v>16681.3</v>
      </c>
      <c r="BW102" s="9">
        <v>142005.79999999999</v>
      </c>
      <c r="BX102" s="9">
        <v>10373</v>
      </c>
      <c r="BY102" s="9">
        <v>41252.400000000001</v>
      </c>
      <c r="BZ102" s="9">
        <v>46115.6</v>
      </c>
      <c r="CA102" s="9">
        <v>2428.9</v>
      </c>
      <c r="CB102" s="9">
        <v>0</v>
      </c>
      <c r="CC102" s="9">
        <v>0</v>
      </c>
      <c r="CD102" s="9">
        <v>0</v>
      </c>
      <c r="CE102" s="9">
        <v>24766.5</v>
      </c>
      <c r="CF102" s="9">
        <v>620609.77043580171</v>
      </c>
      <c r="CG102" s="9">
        <v>2516226.1468342398</v>
      </c>
      <c r="CH102" s="9"/>
      <c r="CI102" s="9"/>
      <c r="CJ102" s="9">
        <v>18.399999999999999</v>
      </c>
      <c r="CK102" s="9">
        <v>17.100000000000001</v>
      </c>
      <c r="CL102" s="9">
        <v>9.75</v>
      </c>
      <c r="CM102" s="9">
        <v>52.630150693300003</v>
      </c>
      <c r="CN102" s="9">
        <v>26.071154322000002</v>
      </c>
      <c r="CO102" s="9">
        <v>1.2499815806000001</v>
      </c>
      <c r="CP102" s="9">
        <v>6.3834028579000002</v>
      </c>
      <c r="CQ102" s="9">
        <v>4.8130864711000001</v>
      </c>
      <c r="CR102" s="9">
        <v>2.5669082321999999</v>
      </c>
      <c r="CS102" s="9">
        <v>0.99233161339999998</v>
      </c>
      <c r="CT102" s="9">
        <v>4.3398939431999999</v>
      </c>
      <c r="CU102" s="9">
        <v>0.8139642238</v>
      </c>
      <c r="CV102" s="9">
        <v>1.2354408566999999</v>
      </c>
      <c r="CW102" s="9">
        <v>2.4630626821999999</v>
      </c>
      <c r="CX102" s="9">
        <v>0.50477231219999996</v>
      </c>
      <c r="CY102" s="9">
        <v>1.1961515978999999</v>
      </c>
      <c r="CZ102" s="9">
        <v>220</v>
      </c>
      <c r="DA102" s="9">
        <v>159</v>
      </c>
      <c r="DB102" s="9">
        <v>13</v>
      </c>
      <c r="DC102" s="9">
        <v>84</v>
      </c>
      <c r="DD102" s="9">
        <v>7</v>
      </c>
      <c r="DE102" s="9">
        <v>11</v>
      </c>
      <c r="DF102" s="9">
        <v>24</v>
      </c>
      <c r="DG102" s="9">
        <v>8</v>
      </c>
      <c r="DH102" s="9">
        <v>42</v>
      </c>
      <c r="DI102" s="9">
        <v>1</v>
      </c>
      <c r="DJ102" s="9">
        <v>4</v>
      </c>
      <c r="DK102" s="9">
        <v>36</v>
      </c>
      <c r="DL102" s="9">
        <v>0</v>
      </c>
      <c r="DM102" s="9">
        <v>19</v>
      </c>
      <c r="DN102" s="9">
        <v>0</v>
      </c>
      <c r="DO102" s="9">
        <v>283.13</v>
      </c>
      <c r="DP102" s="9">
        <v>77.930000000000007</v>
      </c>
      <c r="DQ102" s="9">
        <v>48.46</v>
      </c>
      <c r="DR102" s="9">
        <v>29.48</v>
      </c>
      <c r="DS102" s="9">
        <v>24.58</v>
      </c>
      <c r="DT102" s="9">
        <v>0.52</v>
      </c>
      <c r="DU102" s="9">
        <v>125.38</v>
      </c>
      <c r="DV102" s="9">
        <v>71.989999999999995</v>
      </c>
      <c r="DW102" s="9">
        <v>39.090000000000003</v>
      </c>
      <c r="DX102" s="9">
        <v>55.1</v>
      </c>
      <c r="DY102" s="9">
        <v>25.27</v>
      </c>
      <c r="DZ102" s="9">
        <v>10.98</v>
      </c>
      <c r="EA102" s="9"/>
      <c r="EB102" s="9"/>
      <c r="EC102" s="9"/>
      <c r="ED102" s="9"/>
      <c r="EE102" s="9"/>
      <c r="EF102" s="9"/>
      <c r="EG102" s="9"/>
      <c r="EH102" s="9"/>
      <c r="EI102" s="9"/>
      <c r="EJ102" s="9"/>
      <c r="EK102" s="9"/>
      <c r="EL102" s="9"/>
      <c r="EM102" s="9"/>
      <c r="EN102" s="9">
        <v>977.3</v>
      </c>
      <c r="EO102" s="9"/>
      <c r="EP102" s="9"/>
      <c r="EQ102" s="9"/>
      <c r="ER102" s="9"/>
      <c r="ES102" s="9"/>
      <c r="ET102" s="9"/>
      <c r="EU102">
        <v>1163.26</v>
      </c>
      <c r="EV102" s="9"/>
      <c r="EW102" s="9"/>
      <c r="EX102" s="9"/>
      <c r="EY102" s="9"/>
      <c r="EZ102" s="9"/>
      <c r="FA102" s="9"/>
      <c r="FB102" s="9">
        <v>143.0758928571</v>
      </c>
      <c r="FC102" s="9">
        <v>123.4945454545</v>
      </c>
      <c r="FD102" s="9">
        <v>8356.125</v>
      </c>
      <c r="FE102" s="9">
        <v>60.8</v>
      </c>
      <c r="FF102" s="9">
        <v>888.66250000000002</v>
      </c>
      <c r="FG102" s="9">
        <v>2487594.79</v>
      </c>
      <c r="FH102" s="9">
        <v>56855.99</v>
      </c>
      <c r="FI102" s="9">
        <v>69519.33</v>
      </c>
      <c r="FJ102" s="9">
        <v>1022715.51</v>
      </c>
      <c r="FK102" s="9">
        <v>10610.58</v>
      </c>
      <c r="FL102" s="9">
        <v>23465.759999999998</v>
      </c>
      <c r="FM102" s="9"/>
      <c r="FN102" s="9"/>
      <c r="FO102" s="9"/>
      <c r="FP102" s="9"/>
      <c r="FQ102" s="9"/>
      <c r="FR102" s="9"/>
      <c r="FS102" s="9"/>
      <c r="FT102" s="9">
        <v>1464546.41</v>
      </c>
      <c r="FU102" s="9">
        <v>46245.41</v>
      </c>
      <c r="FV102" s="9">
        <v>45720.68</v>
      </c>
      <c r="FW102" s="9"/>
      <c r="FX102" s="9"/>
      <c r="FY102" s="9"/>
      <c r="FZ102" s="9">
        <v>44104.27</v>
      </c>
      <c r="GA102" s="9">
        <v>2156377.2000000002</v>
      </c>
      <c r="GB102" s="9">
        <v>671524.92999999993</v>
      </c>
      <c r="GC102" s="9">
        <v>1484852.27</v>
      </c>
      <c r="GD102" s="9">
        <v>1490214.49</v>
      </c>
      <c r="GE102" s="9">
        <v>126542.81</v>
      </c>
      <c r="GF102" s="9">
        <v>1363671.68</v>
      </c>
      <c r="GG102" s="9">
        <v>666162.71000000008</v>
      </c>
      <c r="GH102" s="9">
        <v>544982.11999999988</v>
      </c>
      <c r="GI102" s="9">
        <v>121180.59</v>
      </c>
      <c r="GJ102" s="9">
        <v>356426.98</v>
      </c>
      <c r="GK102" s="9">
        <v>3774841.4</v>
      </c>
      <c r="GL102" s="9">
        <v>419970.06</v>
      </c>
      <c r="GM102">
        <v>1161.3699999999999</v>
      </c>
      <c r="GO102" s="6"/>
      <c r="GP102" s="6"/>
      <c r="GQ102" s="6"/>
    </row>
    <row r="103" spans="1:199" x14ac:dyDescent="0.2">
      <c r="A103" s="8">
        <v>2008</v>
      </c>
      <c r="B103" s="8" t="s">
        <v>331</v>
      </c>
      <c r="C103" s="8" t="s">
        <v>334</v>
      </c>
      <c r="D103" s="9">
        <v>1763565.7</v>
      </c>
      <c r="E103" s="9">
        <v>424677.1</v>
      </c>
      <c r="F103" s="9">
        <v>383823.8</v>
      </c>
      <c r="G103" s="9">
        <v>116654.39999999999</v>
      </c>
      <c r="H103" s="9">
        <v>30282.3</v>
      </c>
      <c r="I103" s="9">
        <v>23313.8</v>
      </c>
      <c r="J103" s="9">
        <v>74743.899999999994</v>
      </c>
      <c r="K103" s="9">
        <v>97885.6</v>
      </c>
      <c r="L103" s="9">
        <v>57268.6</v>
      </c>
      <c r="M103" s="9">
        <v>383820.6</v>
      </c>
      <c r="N103" s="9">
        <v>171095.5</v>
      </c>
      <c r="O103" s="9">
        <v>3610038.4710377809</v>
      </c>
      <c r="P103" s="9">
        <v>694603.29280534491</v>
      </c>
      <c r="Q103" s="9">
        <v>583204.33115058008</v>
      </c>
      <c r="R103" s="9">
        <v>326304.98639526393</v>
      </c>
      <c r="S103" s="9">
        <v>83966.186581506598</v>
      </c>
      <c r="T103" s="9">
        <v>97346.016882867203</v>
      </c>
      <c r="U103" s="9">
        <v>204400.70364329719</v>
      </c>
      <c r="V103" s="9">
        <v>163261.83031304061</v>
      </c>
      <c r="W103" s="9">
        <v>74801.118161736493</v>
      </c>
      <c r="X103" s="9">
        <v>1091576.7456218661</v>
      </c>
      <c r="Y103" s="9">
        <v>290573.25948227808</v>
      </c>
      <c r="Z103" s="9">
        <v>1828528.5</v>
      </c>
      <c r="AA103" s="9">
        <v>912982.9</v>
      </c>
      <c r="AB103" s="9">
        <v>246058.5</v>
      </c>
      <c r="AC103" s="9">
        <v>720510.5</v>
      </c>
      <c r="AD103" s="9">
        <v>146252.1</v>
      </c>
      <c r="AE103" s="9">
        <v>958962.9</v>
      </c>
      <c r="AF103" s="9">
        <v>1156238.3</v>
      </c>
      <c r="AG103" s="9">
        <v>3669380.4680192079</v>
      </c>
      <c r="AH103" s="9">
        <v>1824384.521111323</v>
      </c>
      <c r="AI103" s="9">
        <v>464845.28979888599</v>
      </c>
      <c r="AJ103" s="9">
        <v>1380440.6733841987</v>
      </c>
      <c r="AK103" s="9">
        <v>340749.89792461909</v>
      </c>
      <c r="AL103" s="9">
        <v>944885.19362532755</v>
      </c>
      <c r="AM103" s="9">
        <v>1285925.1078251461</v>
      </c>
      <c r="AN103" s="9">
        <v>905022</v>
      </c>
      <c r="AO103" s="9">
        <v>467683</v>
      </c>
      <c r="AP103" s="9">
        <v>437339</v>
      </c>
      <c r="AQ103" s="9">
        <v>81694</v>
      </c>
      <c r="AR103" s="9">
        <v>43435</v>
      </c>
      <c r="AS103" s="9">
        <v>38259</v>
      </c>
      <c r="AT103" s="9">
        <v>681086</v>
      </c>
      <c r="AU103" s="9">
        <v>285998</v>
      </c>
      <c r="AV103" s="9">
        <v>395088</v>
      </c>
      <c r="AW103" s="9">
        <v>281.8</v>
      </c>
      <c r="AX103" s="9">
        <v>156.19999999999999</v>
      </c>
      <c r="AY103" s="9">
        <v>320.3</v>
      </c>
      <c r="AZ103" s="9">
        <v>282.2</v>
      </c>
      <c r="BA103" s="9">
        <v>240.6</v>
      </c>
      <c r="BB103" s="9"/>
      <c r="BC103" s="9">
        <v>235</v>
      </c>
      <c r="BD103" s="9">
        <v>196.8</v>
      </c>
      <c r="BE103" s="9">
        <v>260.39999999999998</v>
      </c>
      <c r="BF103" s="9">
        <v>201.2</v>
      </c>
      <c r="BG103" s="9"/>
      <c r="BH103" s="9">
        <v>442.5</v>
      </c>
      <c r="BI103" s="9">
        <v>255.3</v>
      </c>
      <c r="BJ103" s="9">
        <v>331.9</v>
      </c>
      <c r="BK103" s="9">
        <v>303.2</v>
      </c>
      <c r="BL103" s="9"/>
      <c r="BM103" s="9">
        <v>228.2</v>
      </c>
      <c r="BN103" s="9">
        <v>212668.5</v>
      </c>
      <c r="BO103" s="9">
        <v>194093.4</v>
      </c>
      <c r="BP103" s="9">
        <v>79055.3</v>
      </c>
      <c r="BQ103" s="9">
        <v>13667.5</v>
      </c>
      <c r="BR103" s="9">
        <v>10466.799999999999</v>
      </c>
      <c r="BS103" s="9">
        <v>21880.1</v>
      </c>
      <c r="BT103" s="9">
        <v>34947.4</v>
      </c>
      <c r="BU103" s="9">
        <v>16486.5</v>
      </c>
      <c r="BV103" s="9">
        <v>18818.7</v>
      </c>
      <c r="BW103" s="9">
        <v>154596.70000000001</v>
      </c>
      <c r="BX103" s="9">
        <v>2185.4</v>
      </c>
      <c r="BY103" s="9">
        <v>45121.1</v>
      </c>
      <c r="BZ103" s="9">
        <v>57463.4</v>
      </c>
      <c r="CA103" s="9">
        <v>1516.7</v>
      </c>
      <c r="CB103" s="9">
        <v>0</v>
      </c>
      <c r="CC103" s="9">
        <v>0</v>
      </c>
      <c r="CD103" s="9">
        <v>0</v>
      </c>
      <c r="CE103" s="9">
        <v>68317.2</v>
      </c>
      <c r="CF103" s="9">
        <v>624894.14178461209</v>
      </c>
      <c r="CG103" s="9">
        <v>2564285.3513220712</v>
      </c>
      <c r="CH103" s="9"/>
      <c r="CI103" s="9"/>
      <c r="CJ103" s="9">
        <v>21.7</v>
      </c>
      <c r="CK103" s="9">
        <v>15</v>
      </c>
      <c r="CL103" s="9">
        <v>9.75</v>
      </c>
      <c r="CM103" s="9">
        <v>52.719125814199998</v>
      </c>
      <c r="CN103" s="9">
        <v>25.9451390756</v>
      </c>
      <c r="CO103" s="9">
        <v>1.2579179716</v>
      </c>
      <c r="CP103" s="9">
        <v>6.4371804725999997</v>
      </c>
      <c r="CQ103" s="9">
        <v>4.8777682656000003</v>
      </c>
      <c r="CR103" s="9">
        <v>2.5828024007999999</v>
      </c>
      <c r="CS103" s="9">
        <v>1.0010911611</v>
      </c>
      <c r="CT103" s="9">
        <v>4.3872726981000003</v>
      </c>
      <c r="CU103" s="9">
        <v>0.82310988919999994</v>
      </c>
      <c r="CV103" s="9">
        <v>1.2300031767999999</v>
      </c>
      <c r="CW103" s="9">
        <v>2.4630626821999999</v>
      </c>
      <c r="CX103" s="9">
        <v>0.51012703969999995</v>
      </c>
      <c r="CY103" s="9">
        <v>1.2036509809</v>
      </c>
      <c r="CZ103" s="9">
        <v>271</v>
      </c>
      <c r="DA103" s="9">
        <v>224</v>
      </c>
      <c r="DB103" s="9">
        <v>79</v>
      </c>
      <c r="DC103" s="9">
        <v>80</v>
      </c>
      <c r="DD103" s="9">
        <v>7</v>
      </c>
      <c r="DE103" s="9">
        <v>17</v>
      </c>
      <c r="DF103" s="9">
        <v>26</v>
      </c>
      <c r="DG103" s="9">
        <v>9</v>
      </c>
      <c r="DH103" s="9">
        <v>28</v>
      </c>
      <c r="DI103" s="9">
        <v>0</v>
      </c>
      <c r="DJ103" s="9">
        <v>1</v>
      </c>
      <c r="DK103" s="9">
        <v>25</v>
      </c>
      <c r="DL103" s="9">
        <v>0</v>
      </c>
      <c r="DM103" s="9">
        <v>19</v>
      </c>
      <c r="DN103" s="9">
        <v>0</v>
      </c>
      <c r="DO103" s="9">
        <v>316.27</v>
      </c>
      <c r="DP103" s="9">
        <v>76.53</v>
      </c>
      <c r="DQ103" s="9">
        <v>44.95</v>
      </c>
      <c r="DR103" s="9">
        <v>31.58</v>
      </c>
      <c r="DS103" s="9">
        <v>24.55</v>
      </c>
      <c r="DT103" s="9">
        <v>0.54</v>
      </c>
      <c r="DU103" s="9">
        <v>115.38</v>
      </c>
      <c r="DV103" s="9">
        <v>65.23</v>
      </c>
      <c r="DW103" s="9">
        <v>32.6</v>
      </c>
      <c r="DX103" s="9">
        <v>99.77</v>
      </c>
      <c r="DY103" s="9">
        <v>56.02</v>
      </c>
      <c r="DZ103" s="9">
        <v>13.42</v>
      </c>
      <c r="EA103" s="9">
        <v>-130.62700000000001</v>
      </c>
      <c r="EB103" s="9">
        <v>-149.31800000000001</v>
      </c>
      <c r="EC103" s="9">
        <v>-20.325399999999998</v>
      </c>
      <c r="ED103" s="9">
        <v>-28.252700000000001</v>
      </c>
      <c r="EE103" s="9">
        <v>67.26849</v>
      </c>
      <c r="EF103" s="9">
        <v>20.12321</v>
      </c>
      <c r="EG103" s="9">
        <v>-282.75200000000001</v>
      </c>
      <c r="EH103" s="9">
        <v>-268.80200000000002</v>
      </c>
      <c r="EI103" s="9">
        <v>-8.8953699999999998</v>
      </c>
      <c r="EJ103" s="9">
        <v>0</v>
      </c>
      <c r="EK103" s="9">
        <v>-5.0548000000000002</v>
      </c>
      <c r="EL103" s="9">
        <v>-161.447</v>
      </c>
      <c r="EM103" s="9">
        <v>10.80092</v>
      </c>
      <c r="EN103" s="9">
        <v>976.6</v>
      </c>
      <c r="EO103" s="9"/>
      <c r="EP103" s="9"/>
      <c r="EQ103" s="9"/>
      <c r="ER103" s="9"/>
      <c r="ES103" s="9"/>
      <c r="ET103" s="9"/>
      <c r="EU103">
        <v>1159.22</v>
      </c>
      <c r="EV103" s="9">
        <v>5174.37</v>
      </c>
      <c r="EW103" s="9">
        <v>1587.12</v>
      </c>
      <c r="EX103" s="9">
        <v>9.11</v>
      </c>
      <c r="EY103" s="9">
        <v>302.36</v>
      </c>
      <c r="EZ103" s="9">
        <v>791.84</v>
      </c>
      <c r="FA103" s="9">
        <v>2483.94</v>
      </c>
      <c r="FB103" s="9">
        <v>166.98979591840001</v>
      </c>
      <c r="FC103" s="9">
        <v>133.04857142860001</v>
      </c>
      <c r="FD103" s="9">
        <v>8292</v>
      </c>
      <c r="FE103" s="9">
        <v>60.8</v>
      </c>
      <c r="FF103" s="9">
        <v>889.48809523809996</v>
      </c>
      <c r="FG103" s="9">
        <v>2559432.96</v>
      </c>
      <c r="FH103" s="9">
        <v>54623.51</v>
      </c>
      <c r="FI103" s="9">
        <v>73058.429999999993</v>
      </c>
      <c r="FJ103" s="9">
        <v>1031501.55</v>
      </c>
      <c r="FK103" s="9">
        <v>11265.2</v>
      </c>
      <c r="FL103" s="9">
        <v>25850.37</v>
      </c>
      <c r="FM103" s="9"/>
      <c r="FN103" s="9"/>
      <c r="FO103" s="9"/>
      <c r="FP103" s="9"/>
      <c r="FQ103" s="9"/>
      <c r="FR103" s="9"/>
      <c r="FS103" s="9"/>
      <c r="FT103" s="9">
        <v>1527598.51</v>
      </c>
      <c r="FU103" s="9">
        <v>43358.32</v>
      </c>
      <c r="FV103" s="9">
        <v>46875.16</v>
      </c>
      <c r="FW103" s="9"/>
      <c r="FX103" s="9"/>
      <c r="FY103" s="9"/>
      <c r="FZ103" s="9">
        <v>38081.120000000003</v>
      </c>
      <c r="GA103" s="9">
        <v>2190148.41</v>
      </c>
      <c r="GB103" s="9">
        <v>695781.53</v>
      </c>
      <c r="GC103" s="9">
        <v>1494366.88</v>
      </c>
      <c r="GD103" s="9">
        <v>1489273.78</v>
      </c>
      <c r="GE103" s="9">
        <v>127123.95</v>
      </c>
      <c r="GF103" s="9">
        <v>1362149.83</v>
      </c>
      <c r="GG103" s="9">
        <v>700874.63</v>
      </c>
      <c r="GH103" s="9">
        <v>568657.58000000007</v>
      </c>
      <c r="GI103" s="9">
        <v>132217.04999999999</v>
      </c>
      <c r="GJ103" s="9">
        <v>411332.99</v>
      </c>
      <c r="GK103" s="9">
        <v>3849376.72</v>
      </c>
      <c r="GL103" s="9">
        <v>426620.73</v>
      </c>
      <c r="GM103">
        <v>1158.1199999999999</v>
      </c>
      <c r="GO103" s="6"/>
      <c r="GP103" s="6"/>
      <c r="GQ103" s="6"/>
    </row>
    <row r="104" spans="1:199" x14ac:dyDescent="0.2">
      <c r="A104" s="8">
        <v>2008</v>
      </c>
      <c r="B104" s="8" t="s">
        <v>335</v>
      </c>
      <c r="C104" s="8" t="s">
        <v>336</v>
      </c>
      <c r="D104" s="9"/>
      <c r="E104" s="9"/>
      <c r="F104" s="9"/>
      <c r="G104" s="9"/>
      <c r="H104" s="9"/>
      <c r="I104" s="9"/>
      <c r="J104" s="9"/>
      <c r="K104" s="9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9"/>
      <c r="W104" s="9"/>
      <c r="X104" s="9"/>
      <c r="Y104" s="9"/>
      <c r="Z104" s="9"/>
      <c r="AA104" s="9"/>
      <c r="AB104" s="9"/>
      <c r="AC104" s="9"/>
      <c r="AD104" s="9"/>
      <c r="AE104" s="9"/>
      <c r="AF104" s="9"/>
      <c r="AG104" s="9"/>
      <c r="AH104" s="9"/>
      <c r="AI104" s="9"/>
      <c r="AJ104" s="9"/>
      <c r="AK104" s="9"/>
      <c r="AL104" s="9"/>
      <c r="AM104" s="9"/>
      <c r="AN104" s="9"/>
      <c r="AO104" s="9"/>
      <c r="AP104" s="9"/>
      <c r="AQ104" s="9"/>
      <c r="AR104" s="9"/>
      <c r="AS104" s="9"/>
      <c r="AT104" s="9"/>
      <c r="AU104" s="9"/>
      <c r="AV104" s="9"/>
      <c r="AW104" s="9"/>
      <c r="AX104" s="9"/>
      <c r="AY104" s="9"/>
      <c r="AZ104" s="9"/>
      <c r="BA104" s="9"/>
      <c r="BB104" s="9"/>
      <c r="BC104" s="9"/>
      <c r="BD104" s="9"/>
      <c r="BE104" s="9"/>
      <c r="BF104" s="9"/>
      <c r="BG104" s="9"/>
      <c r="BH104" s="9"/>
      <c r="BI104" s="9"/>
      <c r="BJ104" s="9"/>
      <c r="BK104" s="9"/>
      <c r="BL104" s="9"/>
      <c r="BM104" s="9"/>
      <c r="BN104" s="9">
        <v>218492.2</v>
      </c>
      <c r="BO104" s="9">
        <v>185381.9</v>
      </c>
      <c r="BP104" s="9">
        <v>88868.4</v>
      </c>
      <c r="BQ104" s="9">
        <v>29652.6</v>
      </c>
      <c r="BR104" s="9">
        <v>8774.1</v>
      </c>
      <c r="BS104" s="9">
        <v>14480.1</v>
      </c>
      <c r="BT104" s="9">
        <v>36411.800000000003</v>
      </c>
      <c r="BU104" s="9">
        <v>11915.2</v>
      </c>
      <c r="BV104" s="9">
        <v>32948.9</v>
      </c>
      <c r="BW104" s="9">
        <v>130459.5</v>
      </c>
      <c r="BX104" s="9">
        <v>11510.9</v>
      </c>
      <c r="BY104" s="9">
        <v>51664.7</v>
      </c>
      <c r="BZ104" s="9">
        <v>35451.1</v>
      </c>
      <c r="CA104" s="9">
        <v>449.3</v>
      </c>
      <c r="CB104" s="9">
        <v>0</v>
      </c>
      <c r="CC104" s="9">
        <v>0</v>
      </c>
      <c r="CD104" s="9">
        <v>0</v>
      </c>
      <c r="CE104" s="9">
        <v>47431.9</v>
      </c>
      <c r="CF104" s="9">
        <v>624047.57165939012</v>
      </c>
      <c r="CG104" s="9">
        <v>2595183.2576660719</v>
      </c>
      <c r="CH104" s="9"/>
      <c r="CI104" s="9"/>
      <c r="CJ104" s="9">
        <v>21.8</v>
      </c>
      <c r="CK104" s="9">
        <v>14.4</v>
      </c>
      <c r="CL104" s="9">
        <v>9.75</v>
      </c>
      <c r="CM104" s="9">
        <v>52.683673340200002</v>
      </c>
      <c r="CN104" s="9">
        <v>25.525088254100002</v>
      </c>
      <c r="CO104" s="9">
        <v>1.2698225581</v>
      </c>
      <c r="CP104" s="9">
        <v>6.5017136102000004</v>
      </c>
      <c r="CQ104" s="9">
        <v>5.1022521405000001</v>
      </c>
      <c r="CR104" s="9">
        <v>2.5947230273000002</v>
      </c>
      <c r="CS104" s="9">
        <v>1.0048452529</v>
      </c>
      <c r="CT104" s="9">
        <v>4.4693958730999999</v>
      </c>
      <c r="CU104" s="9">
        <v>0.79973763310000001</v>
      </c>
      <c r="CV104" s="9">
        <v>1.2278281048999999</v>
      </c>
      <c r="CW104" s="9">
        <v>2.4630626821999999</v>
      </c>
      <c r="CX104" s="9">
        <v>0.51405383979999997</v>
      </c>
      <c r="CY104" s="9">
        <v>1.2111503640000001</v>
      </c>
      <c r="CZ104" s="9">
        <v>198</v>
      </c>
      <c r="DA104" s="9">
        <v>151</v>
      </c>
      <c r="DB104" s="9">
        <v>14</v>
      </c>
      <c r="DC104" s="9">
        <v>74</v>
      </c>
      <c r="DD104" s="9">
        <v>12</v>
      </c>
      <c r="DE104" s="9">
        <v>10</v>
      </c>
      <c r="DF104" s="9">
        <v>21</v>
      </c>
      <c r="DG104" s="9">
        <v>11</v>
      </c>
      <c r="DH104" s="9">
        <v>27</v>
      </c>
      <c r="DI104" s="9">
        <v>1</v>
      </c>
      <c r="DJ104" s="9">
        <v>2</v>
      </c>
      <c r="DK104" s="9">
        <v>22</v>
      </c>
      <c r="DL104" s="9">
        <v>0</v>
      </c>
      <c r="DM104" s="9">
        <v>19</v>
      </c>
      <c r="DN104" s="9">
        <v>0</v>
      </c>
      <c r="DO104" s="9">
        <v>345.85</v>
      </c>
      <c r="DP104" s="9">
        <v>71.930000000000007</v>
      </c>
      <c r="DQ104" s="9">
        <v>41.08</v>
      </c>
      <c r="DR104" s="9">
        <v>30.85</v>
      </c>
      <c r="DS104" s="9">
        <v>28.53</v>
      </c>
      <c r="DT104" s="9">
        <v>1.2</v>
      </c>
      <c r="DU104" s="9">
        <v>131.61000000000001</v>
      </c>
      <c r="DV104" s="9">
        <v>79.91</v>
      </c>
      <c r="DW104" s="9">
        <v>32.450000000000003</v>
      </c>
      <c r="DX104" s="9">
        <v>113.69</v>
      </c>
      <c r="DY104" s="9">
        <v>62.12</v>
      </c>
      <c r="DZ104" s="9">
        <v>15.75</v>
      </c>
      <c r="EA104" s="9"/>
      <c r="EB104" s="9"/>
      <c r="EC104" s="9"/>
      <c r="ED104" s="9"/>
      <c r="EE104" s="9"/>
      <c r="EF104" s="9"/>
      <c r="EG104" s="9"/>
      <c r="EH104" s="9"/>
      <c r="EI104" s="9"/>
      <c r="EJ104" s="9"/>
      <c r="EK104" s="9"/>
      <c r="EL104" s="9"/>
      <c r="EM104" s="9"/>
      <c r="EN104" s="9">
        <v>1025.9000000000001</v>
      </c>
      <c r="EO104" s="9"/>
      <c r="EP104" s="9"/>
      <c r="EQ104" s="9"/>
      <c r="ER104" s="9"/>
      <c r="ES104" s="9"/>
      <c r="ET104" s="9"/>
      <c r="EU104">
        <v>1156.77</v>
      </c>
      <c r="EV104" s="9"/>
      <c r="EW104" s="9"/>
      <c r="EX104" s="9"/>
      <c r="EY104" s="9"/>
      <c r="EZ104" s="9"/>
      <c r="FA104" s="9"/>
      <c r="FB104" s="9">
        <v>195.18633540370001</v>
      </c>
      <c r="FC104" s="9">
        <v>133.89913043480001</v>
      </c>
      <c r="FD104" s="9">
        <v>8407.0217391303995</v>
      </c>
      <c r="FE104" s="9">
        <v>60.8</v>
      </c>
      <c r="FF104" s="9">
        <v>939.77173913039996</v>
      </c>
      <c r="FG104" s="9">
        <v>2593526.89</v>
      </c>
      <c r="FH104" s="9">
        <v>50253.81</v>
      </c>
      <c r="FI104" s="9">
        <v>74503.259999999995</v>
      </c>
      <c r="FJ104" s="9">
        <v>1042917.5</v>
      </c>
      <c r="FK104" s="9">
        <v>12499.32</v>
      </c>
      <c r="FL104" s="9">
        <v>27823.37</v>
      </c>
      <c r="FM104" s="9"/>
      <c r="FN104" s="9"/>
      <c r="FO104" s="9"/>
      <c r="FP104" s="9"/>
      <c r="FQ104" s="9"/>
      <c r="FR104" s="9"/>
      <c r="FS104" s="9"/>
      <c r="FT104" s="9">
        <v>1550276.5</v>
      </c>
      <c r="FU104" s="9">
        <v>37754.5</v>
      </c>
      <c r="FV104" s="9">
        <v>46346.99</v>
      </c>
      <c r="FW104" s="9"/>
      <c r="FX104" s="9"/>
      <c r="FY104" s="9"/>
      <c r="FZ104" s="9">
        <v>39690</v>
      </c>
      <c r="GA104" s="9">
        <v>2225456.14</v>
      </c>
      <c r="GB104" s="9">
        <v>716736.04</v>
      </c>
      <c r="GC104" s="9">
        <v>1508720.1</v>
      </c>
      <c r="GD104" s="9">
        <v>1503198.56</v>
      </c>
      <c r="GE104" s="9">
        <v>135729.73000000001</v>
      </c>
      <c r="GF104" s="9">
        <v>1367468.83</v>
      </c>
      <c r="GG104" s="9">
        <v>722257.58000000007</v>
      </c>
      <c r="GH104" s="9">
        <v>581006.31000000006</v>
      </c>
      <c r="GI104" s="9">
        <v>141251.26999999999</v>
      </c>
      <c r="GJ104" s="9">
        <v>427935.47</v>
      </c>
      <c r="GK104" s="9">
        <v>3929563.03</v>
      </c>
      <c r="GL104" s="9">
        <v>444801.08</v>
      </c>
      <c r="GM104">
        <v>1155.3499999999999</v>
      </c>
      <c r="GO104" s="6"/>
      <c r="GP104" s="6"/>
      <c r="GQ104" s="6"/>
    </row>
    <row r="105" spans="1:199" x14ac:dyDescent="0.2">
      <c r="A105" s="8">
        <v>2008</v>
      </c>
      <c r="B105" s="8" t="s">
        <v>335</v>
      </c>
      <c r="C105" s="8" t="s">
        <v>337</v>
      </c>
      <c r="D105" s="9"/>
      <c r="E105" s="9"/>
      <c r="F105" s="9"/>
      <c r="G105" s="9"/>
      <c r="H105" s="9"/>
      <c r="I105" s="9"/>
      <c r="J105" s="9"/>
      <c r="K105" s="9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9"/>
      <c r="W105" s="9"/>
      <c r="X105" s="9"/>
      <c r="Y105" s="9"/>
      <c r="Z105" s="9"/>
      <c r="AA105" s="9"/>
      <c r="AB105" s="9"/>
      <c r="AC105" s="9"/>
      <c r="AD105" s="9"/>
      <c r="AE105" s="9"/>
      <c r="AF105" s="9"/>
      <c r="AG105" s="9"/>
      <c r="AH105" s="9"/>
      <c r="AI105" s="9"/>
      <c r="AJ105" s="9"/>
      <c r="AK105" s="9"/>
      <c r="AL105" s="9"/>
      <c r="AM105" s="9"/>
      <c r="AN105" s="9"/>
      <c r="AO105" s="9"/>
      <c r="AP105" s="9"/>
      <c r="AQ105" s="9"/>
      <c r="AR105" s="9"/>
      <c r="AS105" s="9"/>
      <c r="AT105" s="9"/>
      <c r="AU105" s="9"/>
      <c r="AV105" s="9"/>
      <c r="AW105" s="9"/>
      <c r="AX105" s="9"/>
      <c r="AY105" s="9"/>
      <c r="AZ105" s="9"/>
      <c r="BA105" s="9"/>
      <c r="BB105" s="9"/>
      <c r="BC105" s="9"/>
      <c r="BD105" s="9"/>
      <c r="BE105" s="9"/>
      <c r="BF105" s="9"/>
      <c r="BG105" s="9"/>
      <c r="BH105" s="9"/>
      <c r="BI105" s="9"/>
      <c r="BJ105" s="9"/>
      <c r="BK105" s="9"/>
      <c r="BL105" s="9"/>
      <c r="BM105" s="9"/>
      <c r="BN105" s="9">
        <v>153373.5</v>
      </c>
      <c r="BO105" s="9">
        <v>141644.70000000001</v>
      </c>
      <c r="BP105" s="9">
        <v>56541.599999999999</v>
      </c>
      <c r="BQ105" s="9">
        <v>9555.5</v>
      </c>
      <c r="BR105" s="9">
        <v>6065.7</v>
      </c>
      <c r="BS105" s="9">
        <v>16197.4</v>
      </c>
      <c r="BT105" s="9">
        <v>18096.8</v>
      </c>
      <c r="BU105" s="9">
        <v>17260.900000000001</v>
      </c>
      <c r="BV105" s="9">
        <v>11280.8</v>
      </c>
      <c r="BW105" s="9">
        <v>119745.60000000001</v>
      </c>
      <c r="BX105" s="9">
        <v>17736.900000000001</v>
      </c>
      <c r="BY105" s="9">
        <v>15240.1</v>
      </c>
      <c r="BZ105" s="9">
        <v>33683.1</v>
      </c>
      <c r="CA105" s="9">
        <v>1954.4</v>
      </c>
      <c r="CB105" s="9">
        <v>0</v>
      </c>
      <c r="CC105" s="9">
        <v>0</v>
      </c>
      <c r="CD105" s="9">
        <v>0</v>
      </c>
      <c r="CE105" s="9">
        <v>36501.800000000003</v>
      </c>
      <c r="CF105" s="9">
        <v>642216.86934327008</v>
      </c>
      <c r="CG105" s="9">
        <v>2576445.9942397471</v>
      </c>
      <c r="CH105" s="9"/>
      <c r="CI105" s="9"/>
      <c r="CJ105" s="9">
        <v>21.8</v>
      </c>
      <c r="CK105" s="9">
        <v>15.2</v>
      </c>
      <c r="CL105" s="9">
        <v>9.75</v>
      </c>
      <c r="CM105" s="9">
        <v>54.638377256699997</v>
      </c>
      <c r="CN105" s="9">
        <v>24.993023880199999</v>
      </c>
      <c r="CO105" s="9">
        <v>1.2847032912</v>
      </c>
      <c r="CP105" s="9">
        <v>6.6146466008999996</v>
      </c>
      <c r="CQ105" s="9">
        <v>5.3039071468000003</v>
      </c>
      <c r="CR105" s="9">
        <v>2.6443923043000002</v>
      </c>
      <c r="CS105" s="9">
        <v>1.0192359384</v>
      </c>
      <c r="CT105" s="9">
        <v>5.5148870631999998</v>
      </c>
      <c r="CU105" s="9">
        <v>0.80075381820000002</v>
      </c>
      <c r="CV105" s="9">
        <v>1.2408785364999999</v>
      </c>
      <c r="CW105" s="9">
        <v>3.4441290920999998</v>
      </c>
      <c r="CX105" s="9">
        <v>0.55260787779999998</v>
      </c>
      <c r="CY105" s="9">
        <v>1.2252117071999999</v>
      </c>
      <c r="CZ105" s="9">
        <v>213</v>
      </c>
      <c r="DA105" s="9">
        <v>179</v>
      </c>
      <c r="DB105" s="9">
        <v>19</v>
      </c>
      <c r="DC105" s="9">
        <v>84</v>
      </c>
      <c r="DD105" s="9">
        <v>14</v>
      </c>
      <c r="DE105" s="9">
        <v>13</v>
      </c>
      <c r="DF105" s="9">
        <v>22</v>
      </c>
      <c r="DG105" s="9">
        <v>12</v>
      </c>
      <c r="DH105" s="9">
        <v>19</v>
      </c>
      <c r="DI105" s="9">
        <v>1</v>
      </c>
      <c r="DJ105" s="9">
        <v>2</v>
      </c>
      <c r="DK105" s="9">
        <v>14</v>
      </c>
      <c r="DL105" s="9">
        <v>0</v>
      </c>
      <c r="DM105" s="9">
        <v>14</v>
      </c>
      <c r="DN105" s="9">
        <v>0</v>
      </c>
      <c r="DO105" s="9">
        <v>286.12</v>
      </c>
      <c r="DP105" s="9">
        <v>67.53</v>
      </c>
      <c r="DQ105" s="9">
        <v>39.75</v>
      </c>
      <c r="DR105" s="9">
        <v>27.78</v>
      </c>
      <c r="DS105" s="9">
        <v>22.31</v>
      </c>
      <c r="DT105" s="9">
        <v>0.92</v>
      </c>
      <c r="DU105" s="9">
        <v>117.26</v>
      </c>
      <c r="DV105" s="9">
        <v>71.91</v>
      </c>
      <c r="DW105" s="9">
        <v>29.23</v>
      </c>
      <c r="DX105" s="9">
        <v>78.790000000000006</v>
      </c>
      <c r="DY105" s="9">
        <v>41.75</v>
      </c>
      <c r="DZ105" s="9">
        <v>16.399999999999999</v>
      </c>
      <c r="EA105" s="9"/>
      <c r="EB105" s="9"/>
      <c r="EC105" s="9"/>
      <c r="ED105" s="9"/>
      <c r="EE105" s="9"/>
      <c r="EF105" s="9"/>
      <c r="EG105" s="9"/>
      <c r="EH105" s="9"/>
      <c r="EI105" s="9"/>
      <c r="EJ105" s="9"/>
      <c r="EK105" s="9"/>
      <c r="EL105" s="9"/>
      <c r="EM105" s="9"/>
      <c r="EN105" s="9">
        <v>931.2</v>
      </c>
      <c r="EO105" s="9"/>
      <c r="EP105" s="9"/>
      <c r="EQ105" s="9"/>
      <c r="ER105" s="9"/>
      <c r="ES105" s="9"/>
      <c r="ET105" s="9"/>
      <c r="EU105">
        <v>1152.9100000000001</v>
      </c>
      <c r="EV105" s="9"/>
      <c r="EW105" s="9"/>
      <c r="EX105" s="9"/>
      <c r="EY105" s="9"/>
      <c r="EZ105" s="9"/>
      <c r="FA105" s="9"/>
      <c r="FB105" s="9">
        <v>173.30357142860001</v>
      </c>
      <c r="FC105" s="9">
        <v>113.8504761905</v>
      </c>
      <c r="FD105" s="9">
        <v>7633.8</v>
      </c>
      <c r="FE105" s="9">
        <v>60.8</v>
      </c>
      <c r="FF105" s="9">
        <v>839.02499999999998</v>
      </c>
      <c r="FG105" s="9">
        <v>2685275.81</v>
      </c>
      <c r="FH105" s="9">
        <v>51888.93</v>
      </c>
      <c r="FI105" s="9">
        <v>74273.69</v>
      </c>
      <c r="FJ105" s="9">
        <v>1086846.19</v>
      </c>
      <c r="FK105" s="9">
        <v>12819.96</v>
      </c>
      <c r="FL105" s="9">
        <v>28866.799999999999</v>
      </c>
      <c r="FM105" s="9"/>
      <c r="FN105" s="9"/>
      <c r="FO105" s="9"/>
      <c r="FP105" s="9"/>
      <c r="FQ105" s="9"/>
      <c r="FR105" s="9"/>
      <c r="FS105" s="9"/>
      <c r="FT105" s="9">
        <v>1598096.72</v>
      </c>
      <c r="FU105" s="9">
        <v>39068.980000000003</v>
      </c>
      <c r="FV105" s="9">
        <v>45073.98</v>
      </c>
      <c r="FW105" s="9"/>
      <c r="FX105" s="9"/>
      <c r="FY105" s="9"/>
      <c r="FZ105" s="9">
        <v>35513.1</v>
      </c>
      <c r="GA105" s="9">
        <v>2167649.54</v>
      </c>
      <c r="GB105" s="9">
        <v>685272.76</v>
      </c>
      <c r="GC105" s="9">
        <v>1482376.78</v>
      </c>
      <c r="GD105" s="9">
        <v>1475600.81</v>
      </c>
      <c r="GE105" s="9">
        <v>135426.29</v>
      </c>
      <c r="GF105" s="9">
        <v>1340174.52</v>
      </c>
      <c r="GG105" s="9">
        <v>692048.73</v>
      </c>
      <c r="GH105" s="9">
        <v>549846.47</v>
      </c>
      <c r="GI105" s="9">
        <v>142202.26</v>
      </c>
      <c r="GJ105" s="9">
        <v>386750.68</v>
      </c>
      <c r="GK105" s="9">
        <v>3924941.26</v>
      </c>
      <c r="GL105" s="9">
        <v>448806.53</v>
      </c>
      <c r="GM105">
        <v>1150.9100000000001</v>
      </c>
      <c r="GO105" s="6"/>
      <c r="GP105" s="6"/>
      <c r="GQ105" s="6"/>
    </row>
    <row r="106" spans="1:199" x14ac:dyDescent="0.2">
      <c r="A106" s="8">
        <v>2008</v>
      </c>
      <c r="B106" s="8" t="s">
        <v>335</v>
      </c>
      <c r="C106" s="8" t="s">
        <v>338</v>
      </c>
      <c r="D106" s="9">
        <v>1794679.7</v>
      </c>
      <c r="E106" s="9">
        <v>400251.5</v>
      </c>
      <c r="F106" s="9">
        <v>382608.8</v>
      </c>
      <c r="G106" s="9">
        <v>123376.2</v>
      </c>
      <c r="H106" s="9">
        <v>29309.3</v>
      </c>
      <c r="I106" s="9">
        <v>24905.7</v>
      </c>
      <c r="J106" s="9">
        <v>127691.6</v>
      </c>
      <c r="K106" s="9">
        <v>124681.4</v>
      </c>
      <c r="L106" s="9">
        <v>60472</v>
      </c>
      <c r="M106" s="9">
        <v>352549.5</v>
      </c>
      <c r="N106" s="9">
        <v>168833.8</v>
      </c>
      <c r="O106" s="9">
        <v>3673729.1727722674</v>
      </c>
      <c r="P106" s="9">
        <v>651432.55870960047</v>
      </c>
      <c r="Q106" s="9">
        <v>578498.57343049766</v>
      </c>
      <c r="R106" s="9">
        <v>343409.63342358259</v>
      </c>
      <c r="S106" s="9">
        <v>80868.523949704206</v>
      </c>
      <c r="T106" s="9">
        <v>103481.4177428737</v>
      </c>
      <c r="U106" s="9">
        <v>347478.11625924992</v>
      </c>
      <c r="V106" s="9">
        <v>206931.22176093829</v>
      </c>
      <c r="W106" s="9">
        <v>78596.707587177094</v>
      </c>
      <c r="X106" s="9">
        <v>997710.62254630961</v>
      </c>
      <c r="Y106" s="9">
        <v>285321.79736233328</v>
      </c>
      <c r="Z106" s="9">
        <v>1719333.8</v>
      </c>
      <c r="AA106" s="9">
        <v>988663.2</v>
      </c>
      <c r="AB106" s="9">
        <v>198418.2</v>
      </c>
      <c r="AC106" s="9">
        <v>700242.4</v>
      </c>
      <c r="AD106" s="9">
        <v>142138</v>
      </c>
      <c r="AE106" s="9">
        <v>986401.1</v>
      </c>
      <c r="AF106" s="9">
        <v>1296529.2</v>
      </c>
      <c r="AG106" s="9">
        <v>3450255.1443552799</v>
      </c>
      <c r="AH106" s="9">
        <v>1918375.024478256</v>
      </c>
      <c r="AI106" s="9">
        <v>363984.57132064737</v>
      </c>
      <c r="AJ106" s="9">
        <v>1302738.48681443</v>
      </c>
      <c r="AK106" s="9">
        <v>321569.78181176598</v>
      </c>
      <c r="AL106" s="9">
        <v>943761.36140228237</v>
      </c>
      <c r="AM106" s="9">
        <v>1400174.0814721007</v>
      </c>
      <c r="AN106" s="9">
        <v>981217</v>
      </c>
      <c r="AO106" s="9">
        <v>512222</v>
      </c>
      <c r="AP106" s="9">
        <v>468995</v>
      </c>
      <c r="AQ106" s="9">
        <v>85518</v>
      </c>
      <c r="AR106" s="9">
        <v>41942</v>
      </c>
      <c r="AS106" s="9">
        <v>43576</v>
      </c>
      <c r="AT106" s="9">
        <v>668746</v>
      </c>
      <c r="AU106" s="9">
        <v>277901</v>
      </c>
      <c r="AV106" s="9">
        <v>390845</v>
      </c>
      <c r="AW106" s="9">
        <v>273.7</v>
      </c>
      <c r="AX106" s="9">
        <v>166.8</v>
      </c>
      <c r="AY106" s="9">
        <v>345</v>
      </c>
      <c r="AZ106" s="9">
        <v>279.60000000000002</v>
      </c>
      <c r="BA106" s="9">
        <v>229.2</v>
      </c>
      <c r="BB106" s="9"/>
      <c r="BC106" s="9">
        <v>226.7</v>
      </c>
      <c r="BD106" s="9">
        <v>196.2</v>
      </c>
      <c r="BE106" s="9">
        <v>262.39999999999998</v>
      </c>
      <c r="BF106" s="9">
        <v>202.6</v>
      </c>
      <c r="BG106" s="9"/>
      <c r="BH106" s="9">
        <v>502.3</v>
      </c>
      <c r="BI106" s="9">
        <v>252.6</v>
      </c>
      <c r="BJ106" s="9">
        <v>252.5</v>
      </c>
      <c r="BK106" s="9">
        <v>299.5</v>
      </c>
      <c r="BL106" s="9"/>
      <c r="BM106" s="9">
        <v>217.3</v>
      </c>
      <c r="BN106" s="9">
        <v>213997.9</v>
      </c>
      <c r="BO106" s="9">
        <v>180583.4</v>
      </c>
      <c r="BP106" s="9">
        <v>75008.399999999994</v>
      </c>
      <c r="BQ106" s="9">
        <v>18098.7</v>
      </c>
      <c r="BR106" s="9">
        <v>11110</v>
      </c>
      <c r="BS106" s="9">
        <v>23710.400000000001</v>
      </c>
      <c r="BT106" s="9">
        <v>32517.9</v>
      </c>
      <c r="BU106" s="9">
        <v>13002.2</v>
      </c>
      <c r="BV106" s="9">
        <v>26301.9</v>
      </c>
      <c r="BW106" s="9">
        <v>137176.9</v>
      </c>
      <c r="BX106" s="9">
        <v>36252.5</v>
      </c>
      <c r="BY106" s="9">
        <v>39203.5</v>
      </c>
      <c r="BZ106" s="9">
        <v>48069.9</v>
      </c>
      <c r="CA106" s="9">
        <v>1104.3</v>
      </c>
      <c r="CB106" s="9">
        <v>0</v>
      </c>
      <c r="CC106" s="9">
        <v>0</v>
      </c>
      <c r="CD106" s="9">
        <v>0</v>
      </c>
      <c r="CE106" s="9">
        <v>47301.2</v>
      </c>
      <c r="CF106" s="9">
        <v>603473.33583385008</v>
      </c>
      <c r="CG106" s="9">
        <v>2522345.7460351628</v>
      </c>
      <c r="CH106" s="9"/>
      <c r="CI106" s="9"/>
      <c r="CJ106" s="9">
        <v>21.5</v>
      </c>
      <c r="CK106" s="9">
        <v>15.7</v>
      </c>
      <c r="CL106" s="9">
        <v>10.25</v>
      </c>
      <c r="CM106" s="9">
        <v>54.903528803299999</v>
      </c>
      <c r="CN106" s="9">
        <v>24.474961200300001</v>
      </c>
      <c r="CO106" s="9">
        <v>1.2926396821999999</v>
      </c>
      <c r="CP106" s="9">
        <v>6.7222018302000004</v>
      </c>
      <c r="CQ106" s="9">
        <v>5.7528748966999999</v>
      </c>
      <c r="CR106" s="9">
        <v>2.7059822077</v>
      </c>
      <c r="CS106" s="9">
        <v>1.0436375354</v>
      </c>
      <c r="CT106" s="9">
        <v>5.6033274056</v>
      </c>
      <c r="CU106" s="9">
        <v>0.80075381820000002</v>
      </c>
      <c r="CV106" s="9">
        <v>1.2528414321000001</v>
      </c>
      <c r="CW106" s="9">
        <v>3.4441290920999998</v>
      </c>
      <c r="CX106" s="9">
        <v>0.5615324236</v>
      </c>
      <c r="CY106" s="9">
        <v>1.2486472793000001</v>
      </c>
      <c r="CZ106" s="9">
        <v>277</v>
      </c>
      <c r="DA106" s="9">
        <v>236</v>
      </c>
      <c r="DB106" s="9">
        <v>77</v>
      </c>
      <c r="DC106" s="9">
        <v>77</v>
      </c>
      <c r="DD106" s="9">
        <v>14</v>
      </c>
      <c r="DE106" s="9">
        <v>15</v>
      </c>
      <c r="DF106" s="9">
        <v>21</v>
      </c>
      <c r="DG106" s="9">
        <v>11</v>
      </c>
      <c r="DH106" s="9">
        <v>24</v>
      </c>
      <c r="DI106" s="9">
        <v>5</v>
      </c>
      <c r="DJ106" s="9">
        <v>3</v>
      </c>
      <c r="DK106" s="9">
        <v>14</v>
      </c>
      <c r="DL106" s="9">
        <v>0</v>
      </c>
      <c r="DM106" s="9">
        <v>17</v>
      </c>
      <c r="DN106" s="9">
        <v>0</v>
      </c>
      <c r="DO106" s="9">
        <v>320.91000000000003</v>
      </c>
      <c r="DP106" s="9">
        <v>73.290000000000006</v>
      </c>
      <c r="DQ106" s="9">
        <v>39.08</v>
      </c>
      <c r="DR106" s="9">
        <v>34.21</v>
      </c>
      <c r="DS106" s="9">
        <v>20.43</v>
      </c>
      <c r="DT106" s="9">
        <v>0.71</v>
      </c>
      <c r="DU106" s="9">
        <v>112.6</v>
      </c>
      <c r="DV106" s="9">
        <v>65.2</v>
      </c>
      <c r="DW106" s="9">
        <v>32.090000000000003</v>
      </c>
      <c r="DX106" s="9">
        <v>114.56</v>
      </c>
      <c r="DY106" s="9">
        <v>66.08</v>
      </c>
      <c r="DZ106" s="9">
        <v>18.079999999999998</v>
      </c>
      <c r="EA106" s="9">
        <v>-220.255</v>
      </c>
      <c r="EB106" s="9">
        <v>-251.02600000000001</v>
      </c>
      <c r="EC106" s="9">
        <v>-16.890899999999998</v>
      </c>
      <c r="ED106" s="9">
        <v>-32.550199999999997</v>
      </c>
      <c r="EE106" s="9">
        <v>80.212220000000002</v>
      </c>
      <c r="EF106" s="9">
        <v>22.579820000000002</v>
      </c>
      <c r="EG106" s="9">
        <v>-337.70800000000003</v>
      </c>
      <c r="EH106" s="9">
        <v>-225.761</v>
      </c>
      <c r="EI106" s="9">
        <v>-10.077500000000001</v>
      </c>
      <c r="EJ106" s="9">
        <v>0</v>
      </c>
      <c r="EK106" s="9">
        <v>-101.87</v>
      </c>
      <c r="EL106" s="9">
        <v>-241.27500000000001</v>
      </c>
      <c r="EM106" s="9">
        <v>-101.24299999999999</v>
      </c>
      <c r="EN106" s="9">
        <v>881.1</v>
      </c>
      <c r="EO106" s="9"/>
      <c r="EP106" s="9"/>
      <c r="EQ106" s="9"/>
      <c r="ER106" s="9"/>
      <c r="ES106" s="9"/>
      <c r="ET106" s="9"/>
      <c r="EU106">
        <v>1148.24</v>
      </c>
      <c r="EV106" s="9">
        <v>5201.0600000000004</v>
      </c>
      <c r="EW106" s="9">
        <v>1562.47</v>
      </c>
      <c r="EX106" s="9">
        <v>7.3</v>
      </c>
      <c r="EY106" s="9">
        <v>351.57</v>
      </c>
      <c r="EZ106" s="9">
        <v>791.84</v>
      </c>
      <c r="FA106" s="9">
        <v>2487.89</v>
      </c>
      <c r="FB106" s="9">
        <v>164.49837662339999</v>
      </c>
      <c r="FC106" s="9">
        <v>99.064545454500006</v>
      </c>
      <c r="FD106" s="9">
        <v>6975.1136363635997</v>
      </c>
      <c r="FE106" s="9">
        <v>60.8</v>
      </c>
      <c r="FF106" s="9">
        <v>829.93181818180005</v>
      </c>
      <c r="FG106" s="9">
        <v>2716858.59</v>
      </c>
      <c r="FH106" s="9">
        <v>54807.61</v>
      </c>
      <c r="FI106" s="9">
        <v>75143.45</v>
      </c>
      <c r="FJ106" s="9">
        <v>1090062.8400000001</v>
      </c>
      <c r="FK106" s="9">
        <v>12634.86</v>
      </c>
      <c r="FL106" s="9">
        <v>29524.73</v>
      </c>
      <c r="FM106" s="9"/>
      <c r="FN106" s="9"/>
      <c r="FO106" s="9"/>
      <c r="FP106" s="9"/>
      <c r="FQ106" s="9"/>
      <c r="FR106" s="9"/>
      <c r="FS106" s="9"/>
      <c r="FT106" s="9">
        <v>1626765.74</v>
      </c>
      <c r="FU106" s="9">
        <v>42172.75</v>
      </c>
      <c r="FV106" s="9">
        <v>45588.72</v>
      </c>
      <c r="FW106" s="9"/>
      <c r="FX106" s="9"/>
      <c r="FY106" s="9"/>
      <c r="FZ106" s="9">
        <v>35880.5</v>
      </c>
      <c r="GA106" s="9">
        <v>2149680.48</v>
      </c>
      <c r="GB106" s="9">
        <v>662767.59</v>
      </c>
      <c r="GC106" s="9">
        <v>1486912.89</v>
      </c>
      <c r="GD106" s="9">
        <v>1462809.74</v>
      </c>
      <c r="GE106" s="9">
        <v>132305.04</v>
      </c>
      <c r="GF106" s="9">
        <v>1330504.7</v>
      </c>
      <c r="GG106" s="9">
        <v>686870.74</v>
      </c>
      <c r="GH106" s="9">
        <v>530462.54999999993</v>
      </c>
      <c r="GI106" s="9">
        <v>156408.19</v>
      </c>
      <c r="GJ106" s="9">
        <v>426602.41</v>
      </c>
      <c r="GK106" s="9">
        <v>3961661.83</v>
      </c>
      <c r="GL106" s="9">
        <v>479801.3</v>
      </c>
      <c r="GM106">
        <v>1146.0999999999999</v>
      </c>
      <c r="GO106" s="6"/>
      <c r="GP106" s="6"/>
      <c r="GQ106" s="6"/>
    </row>
    <row r="107" spans="1:199" x14ac:dyDescent="0.2">
      <c r="A107" s="8">
        <v>2008</v>
      </c>
      <c r="B107" s="8" t="s">
        <v>339</v>
      </c>
      <c r="C107" s="8" t="s">
        <v>340</v>
      </c>
      <c r="D107" s="9"/>
      <c r="E107" s="9"/>
      <c r="F107" s="9"/>
      <c r="G107" s="9"/>
      <c r="H107" s="9"/>
      <c r="I107" s="9"/>
      <c r="J107" s="9"/>
      <c r="K107" s="9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9"/>
      <c r="W107" s="9"/>
      <c r="X107" s="9"/>
      <c r="Y107" s="9"/>
      <c r="Z107" s="9"/>
      <c r="AA107" s="9"/>
      <c r="AB107" s="9"/>
      <c r="AC107" s="9"/>
      <c r="AD107" s="9"/>
      <c r="AE107" s="9"/>
      <c r="AF107" s="9"/>
      <c r="AG107" s="9"/>
      <c r="AH107" s="9"/>
      <c r="AI107" s="9"/>
      <c r="AJ107" s="9"/>
      <c r="AK107" s="9"/>
      <c r="AL107" s="9"/>
      <c r="AM107" s="9"/>
      <c r="AN107" s="9"/>
      <c r="AO107" s="9"/>
      <c r="AP107" s="9"/>
      <c r="AQ107" s="9"/>
      <c r="AR107" s="9"/>
      <c r="AS107" s="9"/>
      <c r="AT107" s="9"/>
      <c r="AU107" s="9"/>
      <c r="AV107" s="9"/>
      <c r="AW107" s="9"/>
      <c r="AX107" s="9"/>
      <c r="AY107" s="9"/>
      <c r="AZ107" s="9"/>
      <c r="BA107" s="9"/>
      <c r="BB107" s="9"/>
      <c r="BC107" s="9"/>
      <c r="BD107" s="9"/>
      <c r="BE107" s="9"/>
      <c r="BF107" s="9"/>
      <c r="BG107" s="9"/>
      <c r="BH107" s="9"/>
      <c r="BI107" s="9"/>
      <c r="BJ107" s="9"/>
      <c r="BK107" s="9"/>
      <c r="BL107" s="9"/>
      <c r="BM107" s="9"/>
      <c r="BN107" s="9">
        <v>155812.29999999999</v>
      </c>
      <c r="BO107" s="9">
        <v>148674.70000000001</v>
      </c>
      <c r="BP107" s="9">
        <v>52912.1</v>
      </c>
      <c r="BQ107" s="9">
        <v>29052.7</v>
      </c>
      <c r="BR107" s="9">
        <v>11580.3</v>
      </c>
      <c r="BS107" s="9">
        <v>20949.599999999999</v>
      </c>
      <c r="BT107" s="9">
        <v>33440.9</v>
      </c>
      <c r="BU107" s="9">
        <v>16448.900000000001</v>
      </c>
      <c r="BV107" s="9">
        <v>6466.2</v>
      </c>
      <c r="BW107" s="9">
        <v>166123</v>
      </c>
      <c r="BX107" s="9">
        <v>2500.8000000000002</v>
      </c>
      <c r="BY107" s="9">
        <v>53120</v>
      </c>
      <c r="BZ107" s="9">
        <v>50504.800000000003</v>
      </c>
      <c r="CA107" s="9">
        <v>2012.8</v>
      </c>
      <c r="CB107" s="9">
        <v>0</v>
      </c>
      <c r="CC107" s="9">
        <v>0</v>
      </c>
      <c r="CD107" s="9">
        <v>0</v>
      </c>
      <c r="CE107" s="9">
        <v>54856.2</v>
      </c>
      <c r="CF107" s="9">
        <v>561252.60112264007</v>
      </c>
      <c r="CG107" s="9">
        <v>2355076.7669357941</v>
      </c>
      <c r="CH107" s="9"/>
      <c r="CI107" s="9"/>
      <c r="CJ107" s="9">
        <v>21</v>
      </c>
      <c r="CK107" s="9">
        <v>16.7</v>
      </c>
      <c r="CL107" s="9">
        <v>10.25</v>
      </c>
      <c r="CM107" s="9">
        <v>54.301212490399998</v>
      </c>
      <c r="CN107" s="9">
        <v>23.676864639400002</v>
      </c>
      <c r="CO107" s="9">
        <v>1.2956158287999999</v>
      </c>
      <c r="CP107" s="9">
        <v>6.8405125823999997</v>
      </c>
      <c r="CQ107" s="9">
        <v>5.8213615026000003</v>
      </c>
      <c r="CR107" s="9">
        <v>2.7576382556999999</v>
      </c>
      <c r="CS107" s="9">
        <v>1.0448888994000001</v>
      </c>
      <c r="CT107" s="9">
        <v>5.5180456469000001</v>
      </c>
      <c r="CU107" s="9">
        <v>0.79872144810000001</v>
      </c>
      <c r="CV107" s="9">
        <v>1.2691544716000001</v>
      </c>
      <c r="CW107" s="9">
        <v>3.4441290920999998</v>
      </c>
      <c r="CX107" s="9">
        <v>0.57438376960000004</v>
      </c>
      <c r="CY107" s="9">
        <v>1.2598963539000001</v>
      </c>
      <c r="CZ107" s="9">
        <v>190</v>
      </c>
      <c r="DA107" s="9">
        <v>150</v>
      </c>
      <c r="DB107" s="9">
        <v>13</v>
      </c>
      <c r="DC107" s="9">
        <v>70</v>
      </c>
      <c r="DD107" s="9">
        <v>12</v>
      </c>
      <c r="DE107" s="9">
        <v>6</v>
      </c>
      <c r="DF107" s="9">
        <v>21</v>
      </c>
      <c r="DG107" s="9">
        <v>9</v>
      </c>
      <c r="DH107" s="9">
        <v>29</v>
      </c>
      <c r="DI107" s="9">
        <v>6</v>
      </c>
      <c r="DJ107" s="9">
        <v>5</v>
      </c>
      <c r="DK107" s="9">
        <v>16</v>
      </c>
      <c r="DL107" s="9">
        <v>0</v>
      </c>
      <c r="DM107" s="9">
        <v>11</v>
      </c>
      <c r="DN107" s="9">
        <v>0</v>
      </c>
      <c r="DO107" s="9">
        <v>273.19</v>
      </c>
      <c r="DP107" s="9">
        <v>80.58</v>
      </c>
      <c r="DQ107" s="9">
        <v>44.73</v>
      </c>
      <c r="DR107" s="9">
        <v>35.85</v>
      </c>
      <c r="DS107" s="9">
        <v>21.84</v>
      </c>
      <c r="DT107" s="9">
        <v>0.22</v>
      </c>
      <c r="DU107" s="9">
        <v>96.56</v>
      </c>
      <c r="DV107" s="9">
        <v>61.41</v>
      </c>
      <c r="DW107" s="9">
        <v>24.89</v>
      </c>
      <c r="DX107" s="9">
        <v>74.180000000000007</v>
      </c>
      <c r="DY107" s="9">
        <v>38.840000000000003</v>
      </c>
      <c r="DZ107" s="9">
        <v>13.9</v>
      </c>
      <c r="EA107" s="9"/>
      <c r="EB107" s="9"/>
      <c r="EC107" s="9"/>
      <c r="ED107" s="9"/>
      <c r="EE107" s="9"/>
      <c r="EF107" s="9"/>
      <c r="EG107" s="9"/>
      <c r="EH107" s="9"/>
      <c r="EI107" s="9"/>
      <c r="EJ107" s="9"/>
      <c r="EK107" s="9"/>
      <c r="EL107" s="9"/>
      <c r="EM107" s="9"/>
      <c r="EN107" s="9">
        <v>755.7</v>
      </c>
      <c r="EO107" s="9"/>
      <c r="EP107" s="9"/>
      <c r="EQ107" s="9"/>
      <c r="ER107" s="9"/>
      <c r="ES107" s="9"/>
      <c r="ET107" s="9"/>
      <c r="EU107">
        <v>1144.58</v>
      </c>
      <c r="EV107" s="9"/>
      <c r="EW107" s="9"/>
      <c r="EX107" s="9"/>
      <c r="EY107" s="9"/>
      <c r="EZ107" s="9"/>
      <c r="FA107" s="9"/>
      <c r="FB107" s="9">
        <v>119.3664596273</v>
      </c>
      <c r="FC107" s="9">
        <v>72.842608695699994</v>
      </c>
      <c r="FD107" s="9">
        <v>4894.8913043477996</v>
      </c>
      <c r="FE107" s="9">
        <v>60.8</v>
      </c>
      <c r="FF107" s="9">
        <v>806.61956521740001</v>
      </c>
      <c r="FG107" s="9">
        <v>2691283.62</v>
      </c>
      <c r="FH107" s="9">
        <v>58949.72</v>
      </c>
      <c r="FI107" s="9">
        <v>83251.19</v>
      </c>
      <c r="FJ107" s="9">
        <v>1070006.23</v>
      </c>
      <c r="FK107" s="9">
        <v>14336.79</v>
      </c>
      <c r="FL107" s="9">
        <v>30839.38</v>
      </c>
      <c r="FM107" s="9"/>
      <c r="FN107" s="9"/>
      <c r="FO107" s="9"/>
      <c r="FP107" s="9"/>
      <c r="FQ107" s="9"/>
      <c r="FR107" s="9"/>
      <c r="FS107" s="9"/>
      <c r="FT107" s="9">
        <v>1621247.39</v>
      </c>
      <c r="FU107" s="9">
        <v>44612.92</v>
      </c>
      <c r="FV107" s="9">
        <v>52381.82</v>
      </c>
      <c r="FW107" s="9"/>
      <c r="FX107" s="9"/>
      <c r="FY107" s="9"/>
      <c r="FZ107" s="9">
        <v>36620.14</v>
      </c>
      <c r="GA107" s="9">
        <v>2009761.86</v>
      </c>
      <c r="GB107" s="9">
        <v>615196.40999999992</v>
      </c>
      <c r="GC107" s="9">
        <v>1394565.45</v>
      </c>
      <c r="GD107" s="9">
        <v>1361771.65</v>
      </c>
      <c r="GE107" s="9">
        <v>114756.18</v>
      </c>
      <c r="GF107" s="9">
        <v>1247015.47</v>
      </c>
      <c r="GG107" s="9">
        <v>647990.21000000008</v>
      </c>
      <c r="GH107" s="9">
        <v>500440.23</v>
      </c>
      <c r="GI107" s="9">
        <v>147549.98000000001</v>
      </c>
      <c r="GJ107" s="9">
        <v>435834.16</v>
      </c>
      <c r="GK107" s="9">
        <v>3856916.44</v>
      </c>
      <c r="GL107" s="9">
        <v>485379.97</v>
      </c>
      <c r="GM107">
        <v>1144.3699999999999</v>
      </c>
      <c r="GO107" s="6"/>
      <c r="GP107" s="6"/>
      <c r="GQ107" s="6"/>
    </row>
    <row r="108" spans="1:199" x14ac:dyDescent="0.2">
      <c r="A108" s="8">
        <v>2008</v>
      </c>
      <c r="B108" s="8" t="s">
        <v>339</v>
      </c>
      <c r="C108" s="8" t="s">
        <v>341</v>
      </c>
      <c r="D108" s="9"/>
      <c r="E108" s="9"/>
      <c r="F108" s="9"/>
      <c r="G108" s="9"/>
      <c r="H108" s="9"/>
      <c r="I108" s="9"/>
      <c r="J108" s="9"/>
      <c r="K108" s="9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9"/>
      <c r="W108" s="9"/>
      <c r="X108" s="9"/>
      <c r="Y108" s="9"/>
      <c r="Z108" s="9"/>
      <c r="AA108" s="9"/>
      <c r="AB108" s="9"/>
      <c r="AC108" s="9"/>
      <c r="AD108" s="9"/>
      <c r="AE108" s="9"/>
      <c r="AF108" s="9"/>
      <c r="AG108" s="9"/>
      <c r="AH108" s="9"/>
      <c r="AI108" s="9"/>
      <c r="AJ108" s="9"/>
      <c r="AK108" s="9"/>
      <c r="AL108" s="9"/>
      <c r="AM108" s="9"/>
      <c r="AN108" s="9"/>
      <c r="AO108" s="9"/>
      <c r="AP108" s="9"/>
      <c r="AQ108" s="9"/>
      <c r="AR108" s="9"/>
      <c r="AS108" s="9"/>
      <c r="AT108" s="9"/>
      <c r="AU108" s="9"/>
      <c r="AV108" s="9"/>
      <c r="AW108" s="9"/>
      <c r="AX108" s="9"/>
      <c r="AY108" s="9"/>
      <c r="AZ108" s="9"/>
      <c r="BA108" s="9"/>
      <c r="BB108" s="9"/>
      <c r="BC108" s="9"/>
      <c r="BD108" s="9"/>
      <c r="BE108" s="9"/>
      <c r="BF108" s="9"/>
      <c r="BG108" s="9"/>
      <c r="BH108" s="9"/>
      <c r="BI108" s="9"/>
      <c r="BJ108" s="9"/>
      <c r="BK108" s="9"/>
      <c r="BL108" s="9"/>
      <c r="BM108" s="9"/>
      <c r="BN108" s="9">
        <v>139007</v>
      </c>
      <c r="BO108" s="9">
        <v>123649</v>
      </c>
      <c r="BP108" s="9">
        <v>38503.9</v>
      </c>
      <c r="BQ108" s="9">
        <v>16590.900000000001</v>
      </c>
      <c r="BR108" s="9">
        <v>9518</v>
      </c>
      <c r="BS108" s="9">
        <v>17642.2</v>
      </c>
      <c r="BT108" s="9">
        <v>30964.5</v>
      </c>
      <c r="BU108" s="9">
        <v>15729</v>
      </c>
      <c r="BV108" s="9">
        <v>14969.3</v>
      </c>
      <c r="BW108" s="9">
        <v>129497.5</v>
      </c>
      <c r="BX108" s="9">
        <v>-5568.6</v>
      </c>
      <c r="BY108" s="9">
        <v>43967.1</v>
      </c>
      <c r="BZ108" s="9">
        <v>47547.5</v>
      </c>
      <c r="CA108" s="9">
        <v>2401.5</v>
      </c>
      <c r="CB108" s="9">
        <v>0</v>
      </c>
      <c r="CC108" s="9">
        <v>0</v>
      </c>
      <c r="CD108" s="9">
        <v>0</v>
      </c>
      <c r="CE108" s="9">
        <v>107272.5</v>
      </c>
      <c r="CF108" s="9">
        <v>548309.30212723743</v>
      </c>
      <c r="CG108" s="9">
        <v>2239113.9520866349</v>
      </c>
      <c r="CH108" s="9"/>
      <c r="CI108" s="9"/>
      <c r="CJ108" s="9">
        <v>18.5</v>
      </c>
      <c r="CK108" s="9">
        <v>16</v>
      </c>
      <c r="CL108" s="9">
        <v>9.75</v>
      </c>
      <c r="CM108" s="9">
        <v>53.761162836799997</v>
      </c>
      <c r="CN108" s="9">
        <v>23.1027951833</v>
      </c>
      <c r="CO108" s="9">
        <v>1.2876794378</v>
      </c>
      <c r="CP108" s="9">
        <v>7.0394897566000001</v>
      </c>
      <c r="CQ108" s="9">
        <v>5.7148267823000003</v>
      </c>
      <c r="CR108" s="9">
        <v>2.7635985689</v>
      </c>
      <c r="CS108" s="9">
        <v>1.0448888994000001</v>
      </c>
      <c r="CT108" s="9">
        <v>5.4390810555</v>
      </c>
      <c r="CU108" s="9">
        <v>0.79872144810000001</v>
      </c>
      <c r="CV108" s="9">
        <v>1.2854675111</v>
      </c>
      <c r="CW108" s="9">
        <v>3.4441290920999998</v>
      </c>
      <c r="CX108" s="9">
        <v>0.57402678780000005</v>
      </c>
      <c r="CY108" s="9">
        <v>1.2664583140000001</v>
      </c>
      <c r="CZ108" s="9">
        <v>165</v>
      </c>
      <c r="DA108" s="9">
        <v>128</v>
      </c>
      <c r="DB108" s="9">
        <v>35</v>
      </c>
      <c r="DC108" s="9">
        <v>50</v>
      </c>
      <c r="DD108" s="9">
        <v>8</v>
      </c>
      <c r="DE108" s="9">
        <v>4</v>
      </c>
      <c r="DF108" s="9">
        <v>16</v>
      </c>
      <c r="DG108" s="9">
        <v>7</v>
      </c>
      <c r="DH108" s="9">
        <v>23</v>
      </c>
      <c r="DI108" s="9">
        <v>6</v>
      </c>
      <c r="DJ108" s="9">
        <v>4</v>
      </c>
      <c r="DK108" s="9">
        <v>13</v>
      </c>
      <c r="DL108" s="9">
        <v>0</v>
      </c>
      <c r="DM108" s="9">
        <v>13</v>
      </c>
      <c r="DN108" s="9">
        <v>0</v>
      </c>
      <c r="DO108" s="9">
        <v>269.56</v>
      </c>
      <c r="DP108" s="9">
        <v>82.56</v>
      </c>
      <c r="DQ108" s="9">
        <v>46.56</v>
      </c>
      <c r="DR108" s="9">
        <v>36</v>
      </c>
      <c r="DS108" s="9">
        <v>25.62</v>
      </c>
      <c r="DT108" s="9">
        <v>0.83</v>
      </c>
      <c r="DU108" s="9">
        <v>93.15</v>
      </c>
      <c r="DV108" s="9">
        <v>63.4</v>
      </c>
      <c r="DW108" s="9">
        <v>14.93</v>
      </c>
      <c r="DX108" s="9">
        <v>67.92</v>
      </c>
      <c r="DY108" s="9">
        <v>39.85</v>
      </c>
      <c r="DZ108" s="9">
        <v>16.93</v>
      </c>
      <c r="EA108" s="9"/>
      <c r="EB108" s="9"/>
      <c r="EC108" s="9"/>
      <c r="ED108" s="9"/>
      <c r="EE108" s="9"/>
      <c r="EF108" s="9"/>
      <c r="EG108" s="9"/>
      <c r="EH108" s="9"/>
      <c r="EI108" s="9"/>
      <c r="EJ108" s="9"/>
      <c r="EK108" s="9"/>
      <c r="EL108" s="9"/>
      <c r="EM108" s="9"/>
      <c r="EN108" s="9">
        <v>626.29999999999995</v>
      </c>
      <c r="EO108" s="9"/>
      <c r="EP108" s="9"/>
      <c r="EQ108" s="9"/>
      <c r="ER108" s="9"/>
      <c r="ES108" s="9"/>
      <c r="ET108" s="9"/>
      <c r="EU108">
        <v>1155.8499999999999</v>
      </c>
      <c r="EV108" s="9"/>
      <c r="EW108" s="9"/>
      <c r="EX108" s="9"/>
      <c r="EY108" s="9"/>
      <c r="EZ108" s="9"/>
      <c r="FA108" s="9"/>
      <c r="FB108" s="9">
        <v>101.38232142859999</v>
      </c>
      <c r="FC108" s="9">
        <v>53.241500000000002</v>
      </c>
      <c r="FD108" s="9">
        <v>3729.1875</v>
      </c>
      <c r="FE108" s="9">
        <v>60.8</v>
      </c>
      <c r="FF108" s="9">
        <v>760.86249999999995</v>
      </c>
      <c r="FG108" s="9">
        <v>2668119.2599999998</v>
      </c>
      <c r="FH108" s="9">
        <v>55026.86</v>
      </c>
      <c r="FI108" s="9">
        <v>87104.19</v>
      </c>
      <c r="FJ108" s="9">
        <v>1051091.3799999999</v>
      </c>
      <c r="FK108" s="9">
        <v>19804.12</v>
      </c>
      <c r="FL108" s="9">
        <v>32876.199999999997</v>
      </c>
      <c r="FM108" s="9"/>
      <c r="FN108" s="9"/>
      <c r="FO108" s="9"/>
      <c r="FP108" s="9"/>
      <c r="FQ108" s="9"/>
      <c r="FR108" s="9"/>
      <c r="FS108" s="9"/>
      <c r="FT108" s="9">
        <v>1616997.87</v>
      </c>
      <c r="FU108" s="9">
        <v>35222.74</v>
      </c>
      <c r="FV108" s="9">
        <v>54197.98</v>
      </c>
      <c r="FW108" s="9"/>
      <c r="FX108" s="9"/>
      <c r="FY108" s="9"/>
      <c r="FZ108" s="9">
        <v>37457.589999999997</v>
      </c>
      <c r="GA108" s="9">
        <v>1905084.68</v>
      </c>
      <c r="GB108" s="9">
        <v>554493.65</v>
      </c>
      <c r="GC108" s="9">
        <v>1350591.03</v>
      </c>
      <c r="GD108" s="9">
        <v>1309221.94</v>
      </c>
      <c r="GE108" s="9">
        <v>108841.11</v>
      </c>
      <c r="GF108" s="9">
        <v>1200380.83</v>
      </c>
      <c r="GG108" s="9">
        <v>595862.73999999987</v>
      </c>
      <c r="GH108" s="9">
        <v>445652.54</v>
      </c>
      <c r="GI108" s="9">
        <v>150210.20000000001</v>
      </c>
      <c r="GJ108" s="9">
        <v>411337.05</v>
      </c>
      <c r="GK108" s="9">
        <v>3837666.81</v>
      </c>
      <c r="GL108" s="9">
        <v>492638.91</v>
      </c>
      <c r="GM108">
        <v>1170.6400000000001</v>
      </c>
      <c r="GO108" s="6"/>
      <c r="GP108" s="6"/>
      <c r="GQ108" s="6"/>
    </row>
    <row r="109" spans="1:199" x14ac:dyDescent="0.2">
      <c r="A109" s="8">
        <v>2008</v>
      </c>
      <c r="B109" s="8" t="s">
        <v>339</v>
      </c>
      <c r="C109" s="8" t="s">
        <v>342</v>
      </c>
      <c r="D109" s="9">
        <v>1823437.7</v>
      </c>
      <c r="E109" s="9">
        <v>374383.7</v>
      </c>
      <c r="F109" s="9">
        <v>253908.4</v>
      </c>
      <c r="G109" s="9">
        <v>117384.7</v>
      </c>
      <c r="H109" s="9">
        <v>47982.400000000001</v>
      </c>
      <c r="I109" s="9">
        <v>68072.100000000006</v>
      </c>
      <c r="J109" s="9">
        <v>188978.5</v>
      </c>
      <c r="K109" s="9">
        <v>122284.4</v>
      </c>
      <c r="L109" s="9">
        <v>53934</v>
      </c>
      <c r="M109" s="9">
        <v>397907.9</v>
      </c>
      <c r="N109" s="9">
        <v>198601.60000000001</v>
      </c>
      <c r="O109" s="9">
        <v>3732597.116478648</v>
      </c>
      <c r="P109" s="9">
        <v>570851.44480796496</v>
      </c>
      <c r="Q109" s="9">
        <v>359661.61190462229</v>
      </c>
      <c r="R109" s="9">
        <v>306099.24494089722</v>
      </c>
      <c r="S109" s="9">
        <v>124029.706695175</v>
      </c>
      <c r="T109" s="9">
        <v>264973.50226789131</v>
      </c>
      <c r="U109" s="9">
        <v>481778.2690694292</v>
      </c>
      <c r="V109" s="9">
        <v>190136.3219510566</v>
      </c>
      <c r="W109" s="9">
        <v>65672.315959864107</v>
      </c>
      <c r="X109" s="9">
        <v>1054961.800791472</v>
      </c>
      <c r="Y109" s="9">
        <v>314432.8980902746</v>
      </c>
      <c r="Z109" s="9">
        <v>1921040.8</v>
      </c>
      <c r="AA109" s="9">
        <v>977430</v>
      </c>
      <c r="AB109" s="9">
        <v>314373.2</v>
      </c>
      <c r="AC109" s="9">
        <v>783718.6</v>
      </c>
      <c r="AD109" s="9">
        <v>159082.6</v>
      </c>
      <c r="AE109" s="9">
        <v>797134.4</v>
      </c>
      <c r="AF109" s="9">
        <v>1110698.1000000001</v>
      </c>
      <c r="AG109" s="9">
        <v>3855028.5597342313</v>
      </c>
      <c r="AH109" s="9">
        <v>1896884.534032315</v>
      </c>
      <c r="AI109" s="9">
        <v>576789.13878355466</v>
      </c>
      <c r="AJ109" s="9">
        <v>1458273.830599878</v>
      </c>
      <c r="AK109" s="9">
        <v>359962.94770616328</v>
      </c>
      <c r="AL109" s="9">
        <v>762799.29822401342</v>
      </c>
      <c r="AM109" s="9">
        <v>1199681.189611692</v>
      </c>
      <c r="AN109" s="9">
        <v>904354</v>
      </c>
      <c r="AO109" s="9">
        <v>470002</v>
      </c>
      <c r="AP109" s="9">
        <v>434352</v>
      </c>
      <c r="AQ109" s="9">
        <v>104922</v>
      </c>
      <c r="AR109" s="9">
        <v>52196</v>
      </c>
      <c r="AS109" s="9">
        <v>52726</v>
      </c>
      <c r="AT109" s="9">
        <v>642403</v>
      </c>
      <c r="AU109" s="9">
        <v>266575</v>
      </c>
      <c r="AV109" s="9">
        <v>375828</v>
      </c>
      <c r="AW109" s="9">
        <v>291.10000000000002</v>
      </c>
      <c r="AX109" s="9">
        <v>173.3</v>
      </c>
      <c r="AY109" s="9">
        <v>351.8</v>
      </c>
      <c r="AZ109" s="9">
        <v>294.39999999999998</v>
      </c>
      <c r="BA109" s="9">
        <v>262.5</v>
      </c>
      <c r="BB109" s="9"/>
      <c r="BC109" s="9">
        <v>243.5</v>
      </c>
      <c r="BD109" s="9">
        <v>203.8</v>
      </c>
      <c r="BE109" s="9">
        <v>277.89999999999998</v>
      </c>
      <c r="BF109" s="9">
        <v>227.9</v>
      </c>
      <c r="BG109" s="9"/>
      <c r="BH109" s="9">
        <v>579.79999999999995</v>
      </c>
      <c r="BI109" s="9">
        <v>266.39999999999998</v>
      </c>
      <c r="BJ109" s="9">
        <v>284.3</v>
      </c>
      <c r="BK109" s="9">
        <v>303.39999999999998</v>
      </c>
      <c r="BL109" s="9"/>
      <c r="BM109" s="9">
        <v>223.1</v>
      </c>
      <c r="BN109" s="9">
        <v>256458.9</v>
      </c>
      <c r="BO109" s="9">
        <v>203929.60000000001</v>
      </c>
      <c r="BP109" s="9">
        <v>60564</v>
      </c>
      <c r="BQ109" s="9">
        <v>16627.3</v>
      </c>
      <c r="BR109" s="9">
        <v>18857.5</v>
      </c>
      <c r="BS109" s="9">
        <v>37699.9</v>
      </c>
      <c r="BT109" s="9">
        <v>59969.599999999999</v>
      </c>
      <c r="BU109" s="9">
        <v>21677.3</v>
      </c>
      <c r="BV109" s="9">
        <v>45525.2</v>
      </c>
      <c r="BW109" s="9">
        <v>239986.4</v>
      </c>
      <c r="BX109" s="9">
        <v>-30908.400000000001</v>
      </c>
      <c r="BY109" s="9">
        <v>101908.6</v>
      </c>
      <c r="BZ109" s="9">
        <v>58456.5</v>
      </c>
      <c r="CA109" s="9">
        <v>1791.9</v>
      </c>
      <c r="CB109" s="9">
        <v>0</v>
      </c>
      <c r="CC109" s="9">
        <v>0</v>
      </c>
      <c r="CD109" s="9">
        <v>0</v>
      </c>
      <c r="CE109" s="9">
        <v>180841.8</v>
      </c>
      <c r="CF109" s="9">
        <v>647335.29743000469</v>
      </c>
      <c r="CG109" s="9">
        <v>2267415.2589321872</v>
      </c>
      <c r="CH109" s="9"/>
      <c r="CI109" s="9"/>
      <c r="CJ109" s="9">
        <v>20.399999999999999</v>
      </c>
      <c r="CK109" s="9">
        <v>16.8</v>
      </c>
      <c r="CL109" s="9">
        <v>9.75</v>
      </c>
      <c r="CM109" s="9">
        <v>53.773298583100001</v>
      </c>
      <c r="CN109" s="9">
        <v>23.256813817899999</v>
      </c>
      <c r="CO109" s="9">
        <v>1.3005760732</v>
      </c>
      <c r="CP109" s="9">
        <v>7.0825118483000002</v>
      </c>
      <c r="CQ109" s="9">
        <v>5.7642893309999996</v>
      </c>
      <c r="CR109" s="9">
        <v>2.7695588821000001</v>
      </c>
      <c r="CS109" s="9">
        <v>1.0492686732000001</v>
      </c>
      <c r="CT109" s="9">
        <v>5.1706014446999999</v>
      </c>
      <c r="CU109" s="9">
        <v>0.79872144810000001</v>
      </c>
      <c r="CV109" s="9">
        <v>1.2963428707</v>
      </c>
      <c r="CW109" s="9">
        <v>3.4441290920999998</v>
      </c>
      <c r="CX109" s="9">
        <v>0.57402678780000005</v>
      </c>
      <c r="CY109" s="9">
        <v>1.2664583140000001</v>
      </c>
      <c r="CZ109" s="9">
        <v>215</v>
      </c>
      <c r="DA109" s="9">
        <v>191</v>
      </c>
      <c r="DB109" s="9">
        <v>122</v>
      </c>
      <c r="DC109" s="9">
        <v>35</v>
      </c>
      <c r="DD109" s="9">
        <v>3</v>
      </c>
      <c r="DE109" s="9">
        <v>5</v>
      </c>
      <c r="DF109" s="9">
        <v>11</v>
      </c>
      <c r="DG109" s="9">
        <v>4</v>
      </c>
      <c r="DH109" s="9">
        <v>17</v>
      </c>
      <c r="DI109" s="9">
        <v>2</v>
      </c>
      <c r="DJ109" s="9">
        <v>3</v>
      </c>
      <c r="DK109" s="9">
        <v>10</v>
      </c>
      <c r="DL109" s="9">
        <v>0</v>
      </c>
      <c r="DM109" s="9">
        <v>7</v>
      </c>
      <c r="DN109" s="9">
        <v>0</v>
      </c>
      <c r="DO109" s="9">
        <v>264.43</v>
      </c>
      <c r="DP109" s="9">
        <v>73.19</v>
      </c>
      <c r="DQ109" s="9">
        <v>44</v>
      </c>
      <c r="DR109" s="9">
        <v>29.19</v>
      </c>
      <c r="DS109" s="9">
        <v>52.08</v>
      </c>
      <c r="DT109" s="9">
        <v>0.95</v>
      </c>
      <c r="DU109" s="9">
        <v>87.95</v>
      </c>
      <c r="DV109" s="9">
        <v>49.03</v>
      </c>
      <c r="DW109" s="9">
        <v>13.28</v>
      </c>
      <c r="DX109" s="9">
        <v>51.2</v>
      </c>
      <c r="DY109" s="9">
        <v>22.97</v>
      </c>
      <c r="DZ109" s="9">
        <v>20.66</v>
      </c>
      <c r="EA109" s="9">
        <v>-276.59399999999999</v>
      </c>
      <c r="EB109" s="9">
        <v>-228.87100000000001</v>
      </c>
      <c r="EC109" s="9">
        <v>-36.396700000000003</v>
      </c>
      <c r="ED109" s="9">
        <v>-45.512</v>
      </c>
      <c r="EE109" s="9">
        <v>34.185890000000001</v>
      </c>
      <c r="EF109" s="9">
        <v>22.720690000000001</v>
      </c>
      <c r="EG109" s="9">
        <v>-284.92</v>
      </c>
      <c r="EH109" s="9">
        <v>-156.845</v>
      </c>
      <c r="EI109" s="9">
        <v>31.696670000000001</v>
      </c>
      <c r="EJ109" s="9">
        <v>0</v>
      </c>
      <c r="EK109" s="9">
        <v>-159.77199999999999</v>
      </c>
      <c r="EL109" s="9">
        <v>-223.9</v>
      </c>
      <c r="EM109" s="9">
        <v>-192.85400000000001</v>
      </c>
      <c r="EN109" s="9">
        <v>657.4</v>
      </c>
      <c r="EO109" s="9"/>
      <c r="EP109" s="9"/>
      <c r="EQ109" s="9"/>
      <c r="ER109" s="9"/>
      <c r="ES109" s="9"/>
      <c r="ET109" s="9"/>
      <c r="EU109">
        <v>1228.97</v>
      </c>
      <c r="EV109" s="9">
        <v>5250.4</v>
      </c>
      <c r="EW109" s="9">
        <v>1602.18</v>
      </c>
      <c r="EX109" s="9">
        <v>5.76</v>
      </c>
      <c r="EY109" s="9">
        <v>355.14</v>
      </c>
      <c r="EZ109" s="9">
        <v>797.6</v>
      </c>
      <c r="FA109" s="9">
        <v>2489.73</v>
      </c>
      <c r="FB109" s="9">
        <v>82.608673469400003</v>
      </c>
      <c r="FC109" s="9">
        <v>41.2530434783</v>
      </c>
      <c r="FD109" s="9">
        <v>3105.0952380951999</v>
      </c>
      <c r="FE109" s="9">
        <v>69.982608695699994</v>
      </c>
      <c r="FF109" s="9">
        <v>816.09210526319998</v>
      </c>
      <c r="FG109" s="9">
        <v>2635551.56</v>
      </c>
      <c r="FH109" s="9">
        <v>93323.15</v>
      </c>
      <c r="FI109" s="9">
        <v>188667.18</v>
      </c>
      <c r="FJ109" s="9">
        <v>1013694.14</v>
      </c>
      <c r="FK109" s="9">
        <v>17278.099999999999</v>
      </c>
      <c r="FL109" s="9">
        <v>41378.400000000001</v>
      </c>
      <c r="FM109" s="9"/>
      <c r="FN109" s="9"/>
      <c r="FO109" s="9"/>
      <c r="FP109" s="9"/>
      <c r="FQ109" s="9"/>
      <c r="FR109" s="9"/>
      <c r="FS109" s="9"/>
      <c r="FT109" s="9">
        <v>1621804.04</v>
      </c>
      <c r="FU109" s="9">
        <v>76045.05</v>
      </c>
      <c r="FV109" s="9">
        <v>147235.4</v>
      </c>
      <c r="FW109" s="9"/>
      <c r="FX109" s="9"/>
      <c r="FY109" s="9"/>
      <c r="FZ109" s="9">
        <v>41976.58</v>
      </c>
      <c r="GA109" s="9">
        <v>1867146.02</v>
      </c>
      <c r="GB109" s="9">
        <v>587516.84000000008</v>
      </c>
      <c r="GC109" s="9">
        <v>1279629.18</v>
      </c>
      <c r="GD109" s="9">
        <v>1296919.9099999999</v>
      </c>
      <c r="GE109" s="9">
        <v>105878.02</v>
      </c>
      <c r="GF109" s="9">
        <v>1191041.8899999999</v>
      </c>
      <c r="GG109" s="9">
        <v>570226.11</v>
      </c>
      <c r="GH109" s="9">
        <v>481638.82000000012</v>
      </c>
      <c r="GI109" s="9">
        <v>88587.29</v>
      </c>
      <c r="GJ109" s="9">
        <v>533656.90999999992</v>
      </c>
      <c r="GK109" s="9">
        <v>3650001.85</v>
      </c>
      <c r="GL109" s="9">
        <v>340566.37</v>
      </c>
      <c r="GM109">
        <v>1267.51</v>
      </c>
      <c r="GO109" s="6"/>
      <c r="GP109" s="6"/>
      <c r="GQ109" s="6"/>
    </row>
    <row r="110" spans="1:199" x14ac:dyDescent="0.2">
      <c r="A110" s="8">
        <v>2009</v>
      </c>
      <c r="B110" s="8" t="s">
        <v>343</v>
      </c>
      <c r="C110" s="8" t="s">
        <v>344</v>
      </c>
      <c r="D110" s="9"/>
      <c r="E110" s="9"/>
      <c r="F110" s="9"/>
      <c r="G110" s="9"/>
      <c r="H110" s="9"/>
      <c r="I110" s="9"/>
      <c r="J110" s="9"/>
      <c r="K110" s="9"/>
      <c r="L110" s="9"/>
      <c r="M110" s="9"/>
      <c r="N110" s="9"/>
      <c r="O110" s="9"/>
      <c r="P110" s="9"/>
      <c r="Q110" s="9"/>
      <c r="R110" s="9"/>
      <c r="S110" s="9"/>
      <c r="T110" s="9"/>
      <c r="U110" s="9"/>
      <c r="V110" s="9"/>
      <c r="W110" s="9"/>
      <c r="X110" s="9"/>
      <c r="Y110" s="9"/>
      <c r="Z110" s="9"/>
      <c r="AA110" s="9"/>
      <c r="AB110" s="9"/>
      <c r="AC110" s="9"/>
      <c r="AD110" s="9"/>
      <c r="AE110" s="9"/>
      <c r="AF110" s="9"/>
      <c r="AG110" s="9"/>
      <c r="AH110" s="9"/>
      <c r="AI110" s="9"/>
      <c r="AJ110" s="9"/>
      <c r="AK110" s="9"/>
      <c r="AL110" s="9"/>
      <c r="AM110" s="9"/>
      <c r="AN110" s="9"/>
      <c r="AO110" s="9"/>
      <c r="AP110" s="9"/>
      <c r="AQ110" s="9"/>
      <c r="AR110" s="9"/>
      <c r="AS110" s="9"/>
      <c r="AT110" s="9"/>
      <c r="AU110" s="9"/>
      <c r="AV110" s="9"/>
      <c r="AW110" s="9"/>
      <c r="AX110" s="9"/>
      <c r="AY110" s="9"/>
      <c r="AZ110" s="9"/>
      <c r="BA110" s="9"/>
      <c r="BB110" s="9"/>
      <c r="BC110" s="9"/>
      <c r="BD110" s="9"/>
      <c r="BE110" s="9"/>
      <c r="BF110" s="9"/>
      <c r="BG110" s="9"/>
      <c r="BH110" s="9"/>
      <c r="BI110" s="9"/>
      <c r="BJ110" s="9"/>
      <c r="BK110" s="9"/>
      <c r="BL110" s="9"/>
      <c r="BM110" s="9"/>
      <c r="BN110" s="9">
        <v>83778.899999999994</v>
      </c>
      <c r="BO110" s="9">
        <v>76253.2</v>
      </c>
      <c r="BP110" s="9">
        <v>16100.7</v>
      </c>
      <c r="BQ110" s="9">
        <v>9270</v>
      </c>
      <c r="BR110" s="9">
        <v>6753</v>
      </c>
      <c r="BS110" s="9">
        <v>12290.4</v>
      </c>
      <c r="BT110" s="9">
        <v>23866.3</v>
      </c>
      <c r="BU110" s="9">
        <v>9259.4</v>
      </c>
      <c r="BV110" s="9">
        <v>7434.2</v>
      </c>
      <c r="BW110" s="9">
        <v>102417.2</v>
      </c>
      <c r="BX110" s="9">
        <v>588.5</v>
      </c>
      <c r="BY110" s="9">
        <v>17296.8</v>
      </c>
      <c r="BZ110" s="9">
        <v>38756.699999999997</v>
      </c>
      <c r="CA110" s="9">
        <v>577.5</v>
      </c>
      <c r="CB110" s="9">
        <v>1523</v>
      </c>
      <c r="CC110" s="9">
        <v>44263.199999999997</v>
      </c>
      <c r="CD110" s="9">
        <v>0</v>
      </c>
      <c r="CE110" s="9">
        <v>9482.2999999999993</v>
      </c>
      <c r="CF110" s="9">
        <v>535268.17789044091</v>
      </c>
      <c r="CG110" s="9">
        <v>2199368.0338124586</v>
      </c>
      <c r="CH110" s="9"/>
      <c r="CI110" s="9"/>
      <c r="CJ110" s="9">
        <v>21.2</v>
      </c>
      <c r="CK110" s="9">
        <v>17.5</v>
      </c>
      <c r="CL110" s="9">
        <v>9.75</v>
      </c>
      <c r="CM110" s="9">
        <v>54.235426660400002</v>
      </c>
      <c r="CN110" s="9">
        <v>23.662862945400001</v>
      </c>
      <c r="CO110" s="9">
        <v>1.3948207160999999</v>
      </c>
      <c r="CP110" s="9">
        <v>7.1255339400000004</v>
      </c>
      <c r="CQ110" s="9">
        <v>5.7224364050999998</v>
      </c>
      <c r="CR110" s="9">
        <v>2.7874398218000001</v>
      </c>
      <c r="CS110" s="9">
        <v>1.0517714010999999</v>
      </c>
      <c r="CT110" s="9">
        <v>5.0726853513999997</v>
      </c>
      <c r="CU110" s="9">
        <v>0.79872144810000001</v>
      </c>
      <c r="CV110" s="9">
        <v>1.3104808383</v>
      </c>
      <c r="CW110" s="9">
        <v>3.4441290920999998</v>
      </c>
      <c r="CX110" s="9">
        <v>0.57652566059999999</v>
      </c>
      <c r="CY110" s="9">
        <v>1.2880190403</v>
      </c>
      <c r="CZ110" s="9">
        <v>145</v>
      </c>
      <c r="DA110" s="9">
        <v>124</v>
      </c>
      <c r="DB110" s="9">
        <v>79</v>
      </c>
      <c r="DC110" s="9">
        <v>28</v>
      </c>
      <c r="DD110" s="9">
        <v>3</v>
      </c>
      <c r="DE110" s="9">
        <v>3</v>
      </c>
      <c r="DF110" s="9">
        <v>0</v>
      </c>
      <c r="DG110" s="9">
        <v>2</v>
      </c>
      <c r="DH110" s="9">
        <v>12</v>
      </c>
      <c r="DI110" s="9">
        <v>0</v>
      </c>
      <c r="DJ110" s="9">
        <v>3</v>
      </c>
      <c r="DK110" s="9">
        <v>8</v>
      </c>
      <c r="DL110" s="9">
        <v>1</v>
      </c>
      <c r="DM110" s="9">
        <v>8</v>
      </c>
      <c r="DN110" s="9">
        <v>0</v>
      </c>
      <c r="DO110" s="9">
        <v>125.35</v>
      </c>
      <c r="DP110" s="9">
        <v>43.61</v>
      </c>
      <c r="DQ110" s="9">
        <v>26.68</v>
      </c>
      <c r="DR110" s="9">
        <v>16.93</v>
      </c>
      <c r="DS110" s="9">
        <v>11.54</v>
      </c>
      <c r="DT110" s="9">
        <v>0.01</v>
      </c>
      <c r="DU110" s="9">
        <v>50.35</v>
      </c>
      <c r="DV110" s="9">
        <v>37.03</v>
      </c>
      <c r="DW110" s="9">
        <v>5.87</v>
      </c>
      <c r="DX110" s="9">
        <v>19.62</v>
      </c>
      <c r="DY110" s="9">
        <v>11.24</v>
      </c>
      <c r="DZ110" s="9">
        <v>3.96</v>
      </c>
      <c r="EA110" s="9">
        <v>28.718260000000001</v>
      </c>
      <c r="EB110" s="9">
        <v>49.340760000000003</v>
      </c>
      <c r="EC110" s="9">
        <v>-15.7662</v>
      </c>
      <c r="ED110" s="9">
        <v>-15.420400000000001</v>
      </c>
      <c r="EE110" s="9">
        <v>10.56404</v>
      </c>
      <c r="EF110" s="9">
        <v>11.95064</v>
      </c>
      <c r="EG110" s="9">
        <v>27.338539999999998</v>
      </c>
      <c r="EH110" s="9">
        <v>-12.3528</v>
      </c>
      <c r="EI110" s="9">
        <v>-6.0508899999999999</v>
      </c>
      <c r="EJ110" s="9">
        <v>0</v>
      </c>
      <c r="EK110" s="9">
        <v>45.742220000000003</v>
      </c>
      <c r="EL110" s="9">
        <v>-9.2919300000000007</v>
      </c>
      <c r="EM110" s="9">
        <v>4.038443</v>
      </c>
      <c r="EN110" s="9">
        <v>552.29999999999995</v>
      </c>
      <c r="EO110" s="9"/>
      <c r="EP110" s="9"/>
      <c r="EQ110" s="9"/>
      <c r="ER110" s="9"/>
      <c r="ES110" s="9"/>
      <c r="ET110" s="9"/>
      <c r="EU110">
        <v>1333.41</v>
      </c>
      <c r="EV110" s="9"/>
      <c r="EW110" s="9"/>
      <c r="EX110" s="9"/>
      <c r="EY110" s="9"/>
      <c r="EZ110" s="9"/>
      <c r="FA110" s="9"/>
      <c r="FB110" s="9">
        <v>85.561734693899993</v>
      </c>
      <c r="FC110" s="9">
        <v>44.719090909099997</v>
      </c>
      <c r="FD110" s="9">
        <v>3260.3571428570999</v>
      </c>
      <c r="FE110" s="9">
        <v>72.509090909099996</v>
      </c>
      <c r="FF110" s="9">
        <v>858.69047619050002</v>
      </c>
      <c r="FG110" s="9">
        <v>2671994.2999999998</v>
      </c>
      <c r="FH110" s="9">
        <v>124743.48</v>
      </c>
      <c r="FI110" s="9">
        <v>196211.36</v>
      </c>
      <c r="FJ110" s="9">
        <v>995905.06</v>
      </c>
      <c r="FK110" s="9">
        <v>24737.83</v>
      </c>
      <c r="FL110" s="9">
        <v>45696.13</v>
      </c>
      <c r="FM110" s="9"/>
      <c r="FN110" s="9"/>
      <c r="FO110" s="9"/>
      <c r="FP110" s="9"/>
      <c r="FQ110" s="9"/>
      <c r="FR110" s="9"/>
      <c r="FS110" s="9"/>
      <c r="FT110" s="9">
        <v>1676059.24</v>
      </c>
      <c r="FU110" s="9">
        <v>100005.65</v>
      </c>
      <c r="FV110" s="9">
        <v>150485.23000000001</v>
      </c>
      <c r="FW110" s="9"/>
      <c r="FX110" s="9"/>
      <c r="FY110" s="9"/>
      <c r="FZ110" s="9">
        <v>43951.81</v>
      </c>
      <c r="GA110" s="9">
        <v>1849498.46</v>
      </c>
      <c r="GB110" s="9">
        <v>527588.82000000007</v>
      </c>
      <c r="GC110" s="9">
        <v>1321909.6399999999</v>
      </c>
      <c r="GD110" s="9">
        <v>1336030.76</v>
      </c>
      <c r="GE110" s="9">
        <v>109709.04</v>
      </c>
      <c r="GF110" s="9">
        <v>1226321.72</v>
      </c>
      <c r="GG110" s="9">
        <v>513467.7</v>
      </c>
      <c r="GH110" s="9">
        <v>417879.78</v>
      </c>
      <c r="GI110" s="9">
        <v>95587.92</v>
      </c>
      <c r="GJ110" s="9">
        <v>518068.17</v>
      </c>
      <c r="GK110" s="9">
        <v>3697722.83</v>
      </c>
      <c r="GL110" s="9">
        <v>346476.35</v>
      </c>
      <c r="GM110">
        <v>1381.66</v>
      </c>
      <c r="GO110" s="6"/>
      <c r="GP110" s="6"/>
      <c r="GQ110" s="6"/>
    </row>
    <row r="111" spans="1:199" x14ac:dyDescent="0.2">
      <c r="A111" s="8">
        <v>2009</v>
      </c>
      <c r="B111" s="8" t="s">
        <v>343</v>
      </c>
      <c r="C111" s="8" t="s">
        <v>345</v>
      </c>
      <c r="D111" s="9"/>
      <c r="E111" s="9"/>
      <c r="F111" s="9"/>
      <c r="G111" s="9"/>
      <c r="H111" s="9"/>
      <c r="I111" s="9"/>
      <c r="J111" s="9"/>
      <c r="K111" s="9"/>
      <c r="L111" s="9"/>
      <c r="M111" s="9"/>
      <c r="N111" s="9"/>
      <c r="O111" s="9"/>
      <c r="P111" s="9"/>
      <c r="Q111" s="9"/>
      <c r="R111" s="9"/>
      <c r="S111" s="9"/>
      <c r="T111" s="9"/>
      <c r="U111" s="9"/>
      <c r="V111" s="9"/>
      <c r="W111" s="9"/>
      <c r="X111" s="9"/>
      <c r="Y111" s="9"/>
      <c r="Z111" s="9"/>
      <c r="AA111" s="9"/>
      <c r="AB111" s="9"/>
      <c r="AC111" s="9"/>
      <c r="AD111" s="9"/>
      <c r="AE111" s="9"/>
      <c r="AF111" s="9"/>
      <c r="AG111" s="9"/>
      <c r="AH111" s="9"/>
      <c r="AI111" s="9"/>
      <c r="AJ111" s="9"/>
      <c r="AK111" s="9"/>
      <c r="AL111" s="9"/>
      <c r="AM111" s="9"/>
      <c r="AN111" s="9"/>
      <c r="AO111" s="9"/>
      <c r="AP111" s="9"/>
      <c r="AQ111" s="9"/>
      <c r="AR111" s="9"/>
      <c r="AS111" s="9"/>
      <c r="AT111" s="9"/>
      <c r="AU111" s="9"/>
      <c r="AV111" s="9"/>
      <c r="AW111" s="9"/>
      <c r="AX111" s="9"/>
      <c r="AY111" s="9"/>
      <c r="AZ111" s="9"/>
      <c r="BA111" s="9"/>
      <c r="BB111" s="9"/>
      <c r="BC111" s="9"/>
      <c r="BD111" s="9"/>
      <c r="BE111" s="9"/>
      <c r="BF111" s="9"/>
      <c r="BG111" s="9"/>
      <c r="BH111" s="9"/>
      <c r="BI111" s="9"/>
      <c r="BJ111" s="9"/>
      <c r="BK111" s="9"/>
      <c r="BL111" s="9"/>
      <c r="BM111" s="9"/>
      <c r="BN111" s="9">
        <v>93307.8</v>
      </c>
      <c r="BO111" s="9">
        <v>84089.7</v>
      </c>
      <c r="BP111" s="9">
        <v>27111.599999999999</v>
      </c>
      <c r="BQ111" s="9">
        <v>18010.7</v>
      </c>
      <c r="BR111" s="9">
        <v>9015</v>
      </c>
      <c r="BS111" s="9">
        <v>15691.4</v>
      </c>
      <c r="BT111" s="9">
        <v>17786.8</v>
      </c>
      <c r="BU111" s="9">
        <v>9476</v>
      </c>
      <c r="BV111" s="9">
        <v>9034.4</v>
      </c>
      <c r="BW111" s="9">
        <v>164943.4</v>
      </c>
      <c r="BX111" s="9">
        <v>4000.4</v>
      </c>
      <c r="BY111" s="9">
        <v>33361.800000000003</v>
      </c>
      <c r="BZ111" s="9">
        <v>52034.5</v>
      </c>
      <c r="CA111" s="9">
        <v>2615.3000000000002</v>
      </c>
      <c r="CB111" s="9">
        <v>1341.7</v>
      </c>
      <c r="CC111" s="9">
        <v>75590.100000000006</v>
      </c>
      <c r="CD111" s="9">
        <v>0</v>
      </c>
      <c r="CE111" s="9">
        <v>7895.8</v>
      </c>
      <c r="CF111" s="9">
        <v>549886.58852519002</v>
      </c>
      <c r="CG111" s="9">
        <v>2312990.6205076021</v>
      </c>
      <c r="CH111" s="9"/>
      <c r="CI111" s="9"/>
      <c r="CJ111" s="9">
        <v>21.6</v>
      </c>
      <c r="CK111" s="9">
        <v>17</v>
      </c>
      <c r="CL111" s="9">
        <v>9.75</v>
      </c>
      <c r="CM111" s="9">
        <v>54.545074962999998</v>
      </c>
      <c r="CN111" s="9">
        <v>24.084641981699999</v>
      </c>
      <c r="CO111" s="9">
        <v>1.4318481884000001</v>
      </c>
      <c r="CP111" s="9">
        <v>7.1460063829999996</v>
      </c>
      <c r="CQ111" s="9">
        <v>5.6511143377000002</v>
      </c>
      <c r="CR111" s="9">
        <v>2.7941409476999999</v>
      </c>
      <c r="CS111" s="9">
        <v>1.0718794636</v>
      </c>
      <c r="CT111" s="9">
        <v>4.9314305858000003</v>
      </c>
      <c r="CU111" s="9">
        <v>0.79762529640000002</v>
      </c>
      <c r="CV111" s="9">
        <v>1.3196081359</v>
      </c>
      <c r="CW111" s="9">
        <v>3.4410980503999999</v>
      </c>
      <c r="CX111" s="9">
        <v>0.5747484195</v>
      </c>
      <c r="CY111" s="9">
        <v>1.3009331727</v>
      </c>
      <c r="CZ111" s="9">
        <v>61</v>
      </c>
      <c r="DA111" s="9">
        <v>47</v>
      </c>
      <c r="DB111" s="9">
        <v>9</v>
      </c>
      <c r="DC111" s="9">
        <v>26</v>
      </c>
      <c r="DD111" s="9">
        <v>4</v>
      </c>
      <c r="DE111" s="9">
        <v>1</v>
      </c>
      <c r="DF111" s="9">
        <v>1</v>
      </c>
      <c r="DG111" s="9">
        <v>2</v>
      </c>
      <c r="DH111" s="9">
        <v>10</v>
      </c>
      <c r="DI111" s="9">
        <v>2</v>
      </c>
      <c r="DJ111" s="9">
        <v>3</v>
      </c>
      <c r="DK111" s="9">
        <v>4</v>
      </c>
      <c r="DL111" s="9">
        <v>0</v>
      </c>
      <c r="DM111" s="9">
        <v>5</v>
      </c>
      <c r="DN111" s="9">
        <v>0</v>
      </c>
      <c r="DO111" s="9">
        <v>91.02</v>
      </c>
      <c r="DP111" s="9">
        <v>31.78</v>
      </c>
      <c r="DQ111" s="9">
        <v>20.95</v>
      </c>
      <c r="DR111" s="9">
        <v>10.84</v>
      </c>
      <c r="DS111" s="9">
        <v>6.61</v>
      </c>
      <c r="DT111" s="9">
        <v>0.76</v>
      </c>
      <c r="DU111" s="9">
        <v>30.25</v>
      </c>
      <c r="DV111" s="9">
        <v>23.65</v>
      </c>
      <c r="DW111" s="9">
        <v>4.2</v>
      </c>
      <c r="DX111" s="9">
        <v>22.31</v>
      </c>
      <c r="DY111" s="9">
        <v>13.03</v>
      </c>
      <c r="DZ111" s="9">
        <v>4.93</v>
      </c>
      <c r="EA111" s="9">
        <v>-14.623699999999999</v>
      </c>
      <c r="EB111" s="9">
        <v>-12.0227</v>
      </c>
      <c r="EC111" s="9">
        <v>-8.6672499999999992</v>
      </c>
      <c r="ED111" s="9">
        <v>-7.2170800000000002</v>
      </c>
      <c r="EE111" s="9">
        <v>13.28332</v>
      </c>
      <c r="EF111" s="9">
        <v>13.34962</v>
      </c>
      <c r="EG111" s="9">
        <v>-14.3682</v>
      </c>
      <c r="EH111" s="9">
        <v>-41.885199999999998</v>
      </c>
      <c r="EI111" s="9">
        <v>1.76847</v>
      </c>
      <c r="EJ111" s="9">
        <v>0</v>
      </c>
      <c r="EK111" s="9">
        <v>25.7485</v>
      </c>
      <c r="EL111" s="9">
        <v>-38.877200000000002</v>
      </c>
      <c r="EM111" s="9">
        <v>-25.783100000000001</v>
      </c>
      <c r="EN111" s="9">
        <v>525.9</v>
      </c>
      <c r="EO111" s="9"/>
      <c r="EP111" s="9"/>
      <c r="EQ111" s="9"/>
      <c r="ER111" s="9"/>
      <c r="ES111" s="9"/>
      <c r="ET111" s="9"/>
      <c r="EU111">
        <v>1436.96</v>
      </c>
      <c r="EV111" s="9"/>
      <c r="EW111" s="9"/>
      <c r="EX111" s="9"/>
      <c r="EY111" s="9"/>
      <c r="EZ111" s="9"/>
      <c r="FA111" s="9"/>
      <c r="FB111" s="9">
        <v>80.822678571400004</v>
      </c>
      <c r="FC111" s="9">
        <v>43.2425</v>
      </c>
      <c r="FD111" s="9">
        <v>3328.4124999999999</v>
      </c>
      <c r="FE111" s="9">
        <v>75.59</v>
      </c>
      <c r="FF111" s="9">
        <v>943.16250000000002</v>
      </c>
      <c r="FG111" s="9">
        <v>2685301.55</v>
      </c>
      <c r="FH111" s="9">
        <v>142584.99</v>
      </c>
      <c r="FI111" s="9">
        <v>198617.23</v>
      </c>
      <c r="FJ111" s="9">
        <v>989544.22</v>
      </c>
      <c r="FK111" s="9">
        <v>29677.83</v>
      </c>
      <c r="FL111" s="9">
        <v>50625.37</v>
      </c>
      <c r="FM111" s="9"/>
      <c r="FN111" s="9"/>
      <c r="FO111" s="9"/>
      <c r="FP111" s="9"/>
      <c r="FQ111" s="9"/>
      <c r="FR111" s="9"/>
      <c r="FS111" s="9"/>
      <c r="FT111" s="9">
        <v>1695719.66</v>
      </c>
      <c r="FU111" s="9">
        <v>112907.17</v>
      </c>
      <c r="FV111" s="9">
        <v>147954.20000000001</v>
      </c>
      <c r="FW111" s="9"/>
      <c r="FX111" s="9"/>
      <c r="FY111" s="9"/>
      <c r="FZ111" s="9">
        <v>46731.98</v>
      </c>
      <c r="GA111" s="9">
        <v>1940479.16</v>
      </c>
      <c r="GB111" s="9">
        <v>547088.99</v>
      </c>
      <c r="GC111" s="9">
        <v>1393390.17</v>
      </c>
      <c r="GD111" s="9">
        <v>1397979.18</v>
      </c>
      <c r="GE111" s="9">
        <v>114561.28</v>
      </c>
      <c r="GF111" s="9">
        <v>1283417.8999999999</v>
      </c>
      <c r="GG111" s="9">
        <v>542499.98</v>
      </c>
      <c r="GH111" s="9">
        <v>432527.71</v>
      </c>
      <c r="GI111" s="9">
        <v>109972.27</v>
      </c>
      <c r="GJ111" s="9">
        <v>541742.07000000007</v>
      </c>
      <c r="GK111" s="9">
        <v>3858651.91</v>
      </c>
      <c r="GL111" s="9">
        <v>354227.95</v>
      </c>
      <c r="GM111">
        <v>1470.17</v>
      </c>
      <c r="GO111" s="6"/>
      <c r="GP111" s="6"/>
      <c r="GQ111" s="6"/>
    </row>
    <row r="112" spans="1:199" x14ac:dyDescent="0.2">
      <c r="A112" s="8">
        <v>2009</v>
      </c>
      <c r="B112" s="8" t="s">
        <v>343</v>
      </c>
      <c r="C112" s="8" t="s">
        <v>346</v>
      </c>
      <c r="D112" s="9">
        <v>1101956.6000000001</v>
      </c>
      <c r="E112" s="9">
        <v>67439.8</v>
      </c>
      <c r="F112" s="9">
        <v>185453.5</v>
      </c>
      <c r="G112" s="9">
        <v>70203.5</v>
      </c>
      <c r="H112" s="9">
        <v>53641.2</v>
      </c>
      <c r="I112" s="9">
        <v>5472.7</v>
      </c>
      <c r="J112" s="9">
        <v>78311.100000000006</v>
      </c>
      <c r="K112" s="9">
        <v>83373.3</v>
      </c>
      <c r="L112" s="9">
        <v>47997.5</v>
      </c>
      <c r="M112" s="9">
        <v>403097.4</v>
      </c>
      <c r="N112" s="9">
        <v>106966.5</v>
      </c>
      <c r="O112" s="9">
        <v>2215251.284015792</v>
      </c>
      <c r="P112" s="9">
        <v>114893.06698677719</v>
      </c>
      <c r="Q112" s="9">
        <v>288351.64285043831</v>
      </c>
      <c r="R112" s="9">
        <v>169860.37159697729</v>
      </c>
      <c r="S112" s="9">
        <v>117756.8050348453</v>
      </c>
      <c r="T112" s="9">
        <v>20041.900206568698</v>
      </c>
      <c r="U112" s="9">
        <v>193623.7418523925</v>
      </c>
      <c r="V112" s="9">
        <v>108873.5170113098</v>
      </c>
      <c r="W112" s="9">
        <v>65028.110228501297</v>
      </c>
      <c r="X112" s="9">
        <v>977623.78505195782</v>
      </c>
      <c r="Y112" s="9">
        <v>159198.3431960239</v>
      </c>
      <c r="Z112" s="9">
        <v>1174745.3999999999</v>
      </c>
      <c r="AA112" s="9">
        <v>1011308.4</v>
      </c>
      <c r="AB112" s="9">
        <v>218547.20000000001</v>
      </c>
      <c r="AC112" s="9">
        <v>71502.8</v>
      </c>
      <c r="AD112" s="9">
        <v>13568.6</v>
      </c>
      <c r="AE112" s="9">
        <v>553508.80000000005</v>
      </c>
      <c r="AF112" s="9">
        <v>693690.4</v>
      </c>
      <c r="AG112" s="9">
        <v>2352827.4348084722</v>
      </c>
      <c r="AH112" s="9">
        <v>1946428.3260054211</v>
      </c>
      <c r="AI112" s="9">
        <v>413387.2867690663</v>
      </c>
      <c r="AJ112" s="9">
        <v>123727.9836996003</v>
      </c>
      <c r="AK112" s="9">
        <v>30487.888702724798</v>
      </c>
      <c r="AL112" s="9">
        <v>720102.07661290455</v>
      </c>
      <c r="AM112" s="9">
        <v>881306.12698124605</v>
      </c>
      <c r="AN112" s="9">
        <v>904438</v>
      </c>
      <c r="AO112" s="9">
        <v>474415</v>
      </c>
      <c r="AP112" s="9">
        <v>430023</v>
      </c>
      <c r="AQ112" s="9">
        <v>115916</v>
      </c>
      <c r="AR112" s="9">
        <v>61782</v>
      </c>
      <c r="AS112" s="9">
        <v>54134</v>
      </c>
      <c r="AT112" s="9">
        <v>691099</v>
      </c>
      <c r="AU112" s="9">
        <v>294250</v>
      </c>
      <c r="AV112" s="9">
        <v>396849</v>
      </c>
      <c r="AW112" s="9">
        <v>288</v>
      </c>
      <c r="AX112" s="9">
        <v>159.80000000000001</v>
      </c>
      <c r="AY112" s="9">
        <v>341.7</v>
      </c>
      <c r="AZ112" s="9">
        <v>260.60000000000002</v>
      </c>
      <c r="BA112" s="9">
        <v>288.60000000000002</v>
      </c>
      <c r="BB112" s="9"/>
      <c r="BC112" s="9">
        <v>215.6</v>
      </c>
      <c r="BD112" s="9">
        <v>206.4</v>
      </c>
      <c r="BE112" s="9">
        <v>271.60000000000002</v>
      </c>
      <c r="BF112" s="9">
        <v>222.8</v>
      </c>
      <c r="BG112" s="9"/>
      <c r="BH112" s="9">
        <v>587.29999999999995</v>
      </c>
      <c r="BI112" s="9">
        <v>261.7</v>
      </c>
      <c r="BJ112" s="9">
        <v>279.39999999999998</v>
      </c>
      <c r="BK112" s="9">
        <v>301.3</v>
      </c>
      <c r="BL112" s="9"/>
      <c r="BM112" s="9">
        <v>247.3</v>
      </c>
      <c r="BN112" s="9">
        <v>156840.1</v>
      </c>
      <c r="BO112" s="9">
        <v>116877.1</v>
      </c>
      <c r="BP112" s="9">
        <v>31325.4</v>
      </c>
      <c r="BQ112" s="9">
        <v>13376.2</v>
      </c>
      <c r="BR112" s="9">
        <v>12552.3</v>
      </c>
      <c r="BS112" s="9">
        <v>32207.3</v>
      </c>
      <c r="BT112" s="9">
        <v>18173.5</v>
      </c>
      <c r="BU112" s="9">
        <v>11246.1</v>
      </c>
      <c r="BV112" s="9">
        <v>39776.6</v>
      </c>
      <c r="BW112" s="9">
        <v>138870.6</v>
      </c>
      <c r="BX112" s="9">
        <v>2312.6999999999998</v>
      </c>
      <c r="BY112" s="9">
        <v>33401.5</v>
      </c>
      <c r="BZ112" s="9">
        <v>46831.3</v>
      </c>
      <c r="CA112" s="9">
        <v>2033.8</v>
      </c>
      <c r="CB112" s="9">
        <v>4883.2</v>
      </c>
      <c r="CC112" s="9">
        <v>51720.9</v>
      </c>
      <c r="CD112" s="9">
        <v>0</v>
      </c>
      <c r="CE112" s="9">
        <v>10341.5</v>
      </c>
      <c r="CF112" s="9">
        <v>511386.83759860788</v>
      </c>
      <c r="CG112" s="9">
        <v>2350936.443127248</v>
      </c>
      <c r="CH112" s="9"/>
      <c r="CI112" s="9"/>
      <c r="CJ112" s="9">
        <v>20.399999999999999</v>
      </c>
      <c r="CK112" s="9">
        <v>19.399999999999999</v>
      </c>
      <c r="CL112" s="9">
        <v>14</v>
      </c>
      <c r="CM112" s="9">
        <v>55.522815817199998</v>
      </c>
      <c r="CN112" s="9">
        <v>24.811001857499999</v>
      </c>
      <c r="CO112" s="9">
        <v>1.4682323328</v>
      </c>
      <c r="CP112" s="9">
        <v>7.1954448390000003</v>
      </c>
      <c r="CQ112" s="9">
        <v>5.6120968733999996</v>
      </c>
      <c r="CR112" s="9">
        <v>2.8291620145</v>
      </c>
      <c r="CS112" s="9">
        <v>1.0736702702000001</v>
      </c>
      <c r="CT112" s="9">
        <v>5.0568924330999998</v>
      </c>
      <c r="CU112" s="9">
        <v>0.797705263</v>
      </c>
      <c r="CV112" s="9">
        <v>1.3224437338999999</v>
      </c>
      <c r="CW112" s="9">
        <v>3.4441290920999998</v>
      </c>
      <c r="CX112" s="9">
        <v>0.58652115199999999</v>
      </c>
      <c r="CY112" s="9">
        <v>1.3255159556</v>
      </c>
      <c r="CZ112" s="9">
        <v>92</v>
      </c>
      <c r="DA112" s="9">
        <v>74</v>
      </c>
      <c r="DB112" s="9">
        <v>11</v>
      </c>
      <c r="DC112" s="9">
        <v>27</v>
      </c>
      <c r="DD112" s="9">
        <v>5</v>
      </c>
      <c r="DE112" s="9">
        <v>4</v>
      </c>
      <c r="DF112" s="9">
        <v>19</v>
      </c>
      <c r="DG112" s="9">
        <v>3</v>
      </c>
      <c r="DH112" s="9">
        <v>13</v>
      </c>
      <c r="DI112" s="9">
        <v>4</v>
      </c>
      <c r="DJ112" s="9">
        <v>3</v>
      </c>
      <c r="DK112" s="9">
        <v>4</v>
      </c>
      <c r="DL112" s="9">
        <v>0</v>
      </c>
      <c r="DM112" s="9">
        <v>4</v>
      </c>
      <c r="DN112" s="9">
        <v>0</v>
      </c>
      <c r="DO112" s="9">
        <v>183.96</v>
      </c>
      <c r="DP112" s="9">
        <v>42.58</v>
      </c>
      <c r="DQ112" s="9">
        <v>32.07</v>
      </c>
      <c r="DR112" s="9">
        <v>10.52</v>
      </c>
      <c r="DS112" s="9">
        <v>11.27</v>
      </c>
      <c r="DT112" s="9">
        <v>0.6</v>
      </c>
      <c r="DU112" s="9">
        <v>95.3</v>
      </c>
      <c r="DV112" s="9">
        <v>80.13</v>
      </c>
      <c r="DW112" s="9">
        <v>6.49</v>
      </c>
      <c r="DX112" s="9">
        <v>34.799999999999997</v>
      </c>
      <c r="DY112" s="9">
        <v>16.48</v>
      </c>
      <c r="DZ112" s="9">
        <v>10.9</v>
      </c>
      <c r="EA112" s="9">
        <v>-105.708</v>
      </c>
      <c r="EB112" s="9">
        <v>-87.9208</v>
      </c>
      <c r="EC112" s="9">
        <v>-21.552299999999999</v>
      </c>
      <c r="ED112" s="9">
        <v>-7.9513600000000002</v>
      </c>
      <c r="EE112" s="9">
        <v>11.716699999999999</v>
      </c>
      <c r="EF112" s="9">
        <v>12.98678</v>
      </c>
      <c r="EG112" s="9">
        <v>15.69209</v>
      </c>
      <c r="EH112" s="9">
        <v>-47.7913</v>
      </c>
      <c r="EI112" s="9">
        <v>46.037889999999997</v>
      </c>
      <c r="EJ112" s="9">
        <v>0</v>
      </c>
      <c r="EK112" s="9">
        <v>17.445509999999999</v>
      </c>
      <c r="EL112" s="9">
        <v>104.5498</v>
      </c>
      <c r="EM112" s="9">
        <v>-3.8633199999999999</v>
      </c>
      <c r="EN112" s="9">
        <v>521.4</v>
      </c>
      <c r="EO112" s="9"/>
      <c r="EP112" s="9"/>
      <c r="EQ112" s="9"/>
      <c r="ER112" s="9"/>
      <c r="ES112" s="9"/>
      <c r="ET112" s="9"/>
      <c r="EU112">
        <v>1562.95</v>
      </c>
      <c r="EV112" s="9">
        <v>5120.01</v>
      </c>
      <c r="EW112" s="9">
        <v>1526.9</v>
      </c>
      <c r="EX112" s="9">
        <v>3.54</v>
      </c>
      <c r="EY112" s="9">
        <v>343.33</v>
      </c>
      <c r="EZ112" s="9">
        <v>735.51</v>
      </c>
      <c r="FA112" s="9">
        <v>2510.7199999999998</v>
      </c>
      <c r="FB112" s="9">
        <v>65.452110389599994</v>
      </c>
      <c r="FC112" s="9">
        <v>46.839090909100001</v>
      </c>
      <c r="FD112" s="9">
        <v>3770.875</v>
      </c>
      <c r="FE112" s="9">
        <v>64.072727272700007</v>
      </c>
      <c r="FF112" s="9">
        <v>924.27272727269997</v>
      </c>
      <c r="FG112" s="9">
        <v>2671726.59</v>
      </c>
      <c r="FH112" s="9">
        <v>132172.95000000001</v>
      </c>
      <c r="FI112" s="9">
        <v>265684.93</v>
      </c>
      <c r="FJ112" s="9">
        <v>963525.96</v>
      </c>
      <c r="FK112" s="9">
        <v>29742.82</v>
      </c>
      <c r="FL112" s="9">
        <v>58024.53</v>
      </c>
      <c r="FM112" s="9"/>
      <c r="FN112" s="9"/>
      <c r="FO112" s="9"/>
      <c r="FP112" s="9"/>
      <c r="FQ112" s="9"/>
      <c r="FR112" s="9"/>
      <c r="FS112" s="9"/>
      <c r="FT112" s="9">
        <v>1708162.85</v>
      </c>
      <c r="FU112" s="9">
        <v>102430.13</v>
      </c>
      <c r="FV112" s="9">
        <v>207622.62</v>
      </c>
      <c r="FW112" s="9"/>
      <c r="FX112" s="9"/>
      <c r="FY112" s="9"/>
      <c r="FZ112" s="9">
        <v>42042.34</v>
      </c>
      <c r="GA112" s="9">
        <v>2011941.37</v>
      </c>
      <c r="GB112" s="9">
        <v>576888.17000000004</v>
      </c>
      <c r="GC112" s="9">
        <v>1435053.2</v>
      </c>
      <c r="GD112" s="9">
        <v>1428013.4</v>
      </c>
      <c r="GE112" s="9">
        <v>116490.65</v>
      </c>
      <c r="GF112" s="9">
        <v>1311522.75</v>
      </c>
      <c r="GG112" s="9">
        <v>583927.97</v>
      </c>
      <c r="GH112" s="9">
        <v>460397.52</v>
      </c>
      <c r="GI112" s="9">
        <v>123530.45</v>
      </c>
      <c r="GJ112" s="9">
        <v>531615.07000000007</v>
      </c>
      <c r="GK112" s="9">
        <v>3903944.06</v>
      </c>
      <c r="GL112" s="9">
        <v>359061.83</v>
      </c>
      <c r="GM112">
        <v>1524.07</v>
      </c>
      <c r="GO112" s="6"/>
      <c r="GP112" s="6"/>
      <c r="GQ112" s="6"/>
    </row>
    <row r="113" spans="1:199" x14ac:dyDescent="0.2">
      <c r="A113" s="8">
        <v>2009</v>
      </c>
      <c r="B113" s="8" t="s">
        <v>347</v>
      </c>
      <c r="C113" s="8" t="s">
        <v>348</v>
      </c>
      <c r="D113" s="9"/>
      <c r="E113" s="9"/>
      <c r="F113" s="9"/>
      <c r="G113" s="9"/>
      <c r="H113" s="9"/>
      <c r="I113" s="9"/>
      <c r="J113" s="9"/>
      <c r="K113" s="9"/>
      <c r="L113" s="9"/>
      <c r="M113" s="9"/>
      <c r="N113" s="9"/>
      <c r="O113" s="9"/>
      <c r="P113" s="9"/>
      <c r="Q113" s="9"/>
      <c r="R113" s="9"/>
      <c r="S113" s="9"/>
      <c r="T113" s="9"/>
      <c r="U113" s="9"/>
      <c r="V113" s="9"/>
      <c r="W113" s="9"/>
      <c r="X113" s="9"/>
      <c r="Y113" s="9"/>
      <c r="Z113" s="9"/>
      <c r="AA113" s="9"/>
      <c r="AB113" s="9"/>
      <c r="AC113" s="9"/>
      <c r="AD113" s="9"/>
      <c r="AE113" s="9"/>
      <c r="AF113" s="9"/>
      <c r="AG113" s="9"/>
      <c r="AH113" s="9"/>
      <c r="AI113" s="9"/>
      <c r="AJ113" s="9"/>
      <c r="AK113" s="9"/>
      <c r="AL113" s="9"/>
      <c r="AM113" s="9"/>
      <c r="AN113" s="9"/>
      <c r="AO113" s="9"/>
      <c r="AP113" s="9"/>
      <c r="AQ113" s="9"/>
      <c r="AR113" s="9"/>
      <c r="AS113" s="9"/>
      <c r="AT113" s="9"/>
      <c r="AU113" s="9"/>
      <c r="AV113" s="9"/>
      <c r="AW113" s="9"/>
      <c r="AX113" s="9"/>
      <c r="AY113" s="9"/>
      <c r="AZ113" s="9"/>
      <c r="BA113" s="9"/>
      <c r="BB113" s="9"/>
      <c r="BC113" s="9"/>
      <c r="BD113" s="9"/>
      <c r="BE113" s="9"/>
      <c r="BF113" s="9"/>
      <c r="BG113" s="9"/>
      <c r="BH113" s="9"/>
      <c r="BI113" s="9"/>
      <c r="BJ113" s="9"/>
      <c r="BK113" s="9"/>
      <c r="BL113" s="9"/>
      <c r="BM113" s="9"/>
      <c r="BN113" s="9">
        <v>135542.39999999999</v>
      </c>
      <c r="BO113" s="9">
        <v>108252.7</v>
      </c>
      <c r="BP113" s="9">
        <v>27959.8</v>
      </c>
      <c r="BQ113" s="9">
        <v>14652.2</v>
      </c>
      <c r="BR113" s="9">
        <v>9073.9</v>
      </c>
      <c r="BS113" s="9">
        <v>8845.2999999999993</v>
      </c>
      <c r="BT113" s="9">
        <v>23651.3</v>
      </c>
      <c r="BU113" s="9">
        <v>14490.7</v>
      </c>
      <c r="BV113" s="9">
        <v>27057.8</v>
      </c>
      <c r="BW113" s="9">
        <v>137358.9</v>
      </c>
      <c r="BX113" s="9">
        <v>9140.7000000000007</v>
      </c>
      <c r="BY113" s="9">
        <v>30949.9</v>
      </c>
      <c r="BZ113" s="9">
        <v>45448.9</v>
      </c>
      <c r="CA113" s="9">
        <v>3216.9</v>
      </c>
      <c r="CB113" s="9">
        <v>2054.5</v>
      </c>
      <c r="CC113" s="9">
        <v>55688.7</v>
      </c>
      <c r="CD113" s="9">
        <v>0</v>
      </c>
      <c r="CE113" s="9">
        <v>25630.1</v>
      </c>
      <c r="CF113" s="9">
        <v>517897.87100330828</v>
      </c>
      <c r="CG113" s="9">
        <v>2340691.1296400079</v>
      </c>
      <c r="CH113" s="9"/>
      <c r="CI113" s="9"/>
      <c r="CJ113" s="9">
        <v>19.45</v>
      </c>
      <c r="CK113" s="9">
        <v>19.87</v>
      </c>
      <c r="CL113" s="9">
        <v>14</v>
      </c>
      <c r="CM113" s="9">
        <v>56.774818185000001</v>
      </c>
      <c r="CN113" s="9">
        <v>25.903133993400001</v>
      </c>
      <c r="CO113" s="9">
        <v>1.524109146</v>
      </c>
      <c r="CP113" s="9">
        <v>7.2438446921999997</v>
      </c>
      <c r="CQ113" s="9">
        <v>5.5245862102999999</v>
      </c>
      <c r="CR113" s="9">
        <v>2.8808180624999999</v>
      </c>
      <c r="CS113" s="9">
        <v>1.081178454</v>
      </c>
      <c r="CT113" s="9">
        <v>5.0790025187000003</v>
      </c>
      <c r="CU113" s="9">
        <v>0.82920699949999999</v>
      </c>
      <c r="CV113" s="9">
        <v>1.3267938777999999</v>
      </c>
      <c r="CW113" s="9">
        <v>3.4441290920999998</v>
      </c>
      <c r="CX113" s="9">
        <v>0.59187587949999998</v>
      </c>
      <c r="CY113" s="9">
        <v>1.3461392590000001</v>
      </c>
      <c r="CZ113" s="9">
        <v>124</v>
      </c>
      <c r="DA113" s="9">
        <v>102</v>
      </c>
      <c r="DB113" s="9">
        <v>17</v>
      </c>
      <c r="DC113" s="9">
        <v>33</v>
      </c>
      <c r="DD113" s="9">
        <v>7</v>
      </c>
      <c r="DE113" s="9">
        <v>6</v>
      </c>
      <c r="DF113" s="9">
        <v>26</v>
      </c>
      <c r="DG113" s="9">
        <v>7</v>
      </c>
      <c r="DH113" s="9">
        <v>17</v>
      </c>
      <c r="DI113" s="9">
        <v>1</v>
      </c>
      <c r="DJ113" s="9">
        <v>4</v>
      </c>
      <c r="DK113" s="9">
        <v>10</v>
      </c>
      <c r="DL113" s="9">
        <v>1</v>
      </c>
      <c r="DM113" s="9">
        <v>4</v>
      </c>
      <c r="DN113" s="9">
        <v>0</v>
      </c>
      <c r="DO113" s="9">
        <v>147.52000000000001</v>
      </c>
      <c r="DP113" s="9">
        <v>37.24</v>
      </c>
      <c r="DQ113" s="9">
        <v>26.12</v>
      </c>
      <c r="DR113" s="9">
        <v>11.13</v>
      </c>
      <c r="DS113" s="9">
        <v>13.09</v>
      </c>
      <c r="DT113" s="9">
        <v>0.54</v>
      </c>
      <c r="DU113" s="9">
        <v>68.63</v>
      </c>
      <c r="DV113" s="9">
        <v>48.96</v>
      </c>
      <c r="DW113" s="9">
        <v>9.7799999999999994</v>
      </c>
      <c r="DX113" s="9">
        <v>28.45</v>
      </c>
      <c r="DY113" s="9">
        <v>14.37</v>
      </c>
      <c r="DZ113" s="9">
        <v>7.12</v>
      </c>
      <c r="EA113" s="9">
        <v>-14.677099999999999</v>
      </c>
      <c r="EB113" s="9">
        <v>-16.9316</v>
      </c>
      <c r="EC113" s="9">
        <v>-6.7034799999999999</v>
      </c>
      <c r="ED113" s="9">
        <v>-7.2879100000000001</v>
      </c>
      <c r="EE113" s="9">
        <v>16.245920000000002</v>
      </c>
      <c r="EF113" s="9">
        <v>15.11989</v>
      </c>
      <c r="EG113" s="9">
        <v>32.209139999999998</v>
      </c>
      <c r="EH113" s="9">
        <v>8.8620260000000002</v>
      </c>
      <c r="EI113" s="9">
        <v>0.63468999999999998</v>
      </c>
      <c r="EJ113" s="9">
        <v>0</v>
      </c>
      <c r="EK113" s="9">
        <v>22.712420000000002</v>
      </c>
      <c r="EL113" s="9">
        <v>47.30556</v>
      </c>
      <c r="EM113" s="9">
        <v>15.539239999999999</v>
      </c>
      <c r="EN113" s="9">
        <v>630.6</v>
      </c>
      <c r="EO113" s="9"/>
      <c r="EP113" s="9"/>
      <c r="EQ113" s="9"/>
      <c r="ER113" s="9"/>
      <c r="ES113" s="9"/>
      <c r="ET113" s="9"/>
      <c r="EU113">
        <v>1430.72</v>
      </c>
      <c r="EV113" s="9"/>
      <c r="EW113" s="9"/>
      <c r="EX113" s="9"/>
      <c r="EY113" s="9"/>
      <c r="EZ113" s="9"/>
      <c r="FA113" s="9"/>
      <c r="FB113" s="9">
        <v>66.270535714299996</v>
      </c>
      <c r="FC113" s="9">
        <v>50.983181818200002</v>
      </c>
      <c r="FD113" s="9">
        <v>4436.9250000000002</v>
      </c>
      <c r="FE113" s="9">
        <v>59.781818181799999</v>
      </c>
      <c r="FF113" s="9">
        <v>890.2</v>
      </c>
      <c r="FG113" s="9">
        <v>2580239.4</v>
      </c>
      <c r="FH113" s="9">
        <v>154235.38</v>
      </c>
      <c r="FI113" s="9">
        <v>273913.02</v>
      </c>
      <c r="FJ113" s="9">
        <v>930567.35</v>
      </c>
      <c r="FK113" s="9">
        <v>30608.959999999999</v>
      </c>
      <c r="FL113" s="9">
        <v>60361.72</v>
      </c>
      <c r="FM113" s="9"/>
      <c r="FN113" s="9"/>
      <c r="FO113" s="9"/>
      <c r="FP113" s="9"/>
      <c r="FQ113" s="9"/>
      <c r="FR113" s="9"/>
      <c r="FS113" s="9"/>
      <c r="FT113" s="9">
        <v>1649634.35</v>
      </c>
      <c r="FU113" s="9">
        <v>123626.42</v>
      </c>
      <c r="FV113" s="9">
        <v>213513.61</v>
      </c>
      <c r="FW113" s="9"/>
      <c r="FX113" s="9"/>
      <c r="FY113" s="9"/>
      <c r="FZ113" s="9">
        <v>38291.72</v>
      </c>
      <c r="GA113" s="9">
        <v>1984265.82</v>
      </c>
      <c r="GB113" s="9">
        <v>554793.13</v>
      </c>
      <c r="GC113" s="9">
        <v>1429472.69</v>
      </c>
      <c r="GD113" s="9">
        <v>1422786.53</v>
      </c>
      <c r="GE113" s="9">
        <v>115071</v>
      </c>
      <c r="GF113" s="9">
        <v>1307715.53</v>
      </c>
      <c r="GG113" s="9">
        <v>561479.29</v>
      </c>
      <c r="GH113" s="9">
        <v>439722.13</v>
      </c>
      <c r="GI113" s="9">
        <v>121757.16</v>
      </c>
      <c r="GJ113" s="9">
        <v>489974.6</v>
      </c>
      <c r="GK113" s="9">
        <v>3758096.41</v>
      </c>
      <c r="GL113" s="9">
        <v>352584.91</v>
      </c>
      <c r="GM113">
        <v>1423.86</v>
      </c>
      <c r="GO113" s="6"/>
      <c r="GP113" s="6"/>
      <c r="GQ113" s="6"/>
    </row>
    <row r="114" spans="1:199" x14ac:dyDescent="0.2">
      <c r="A114" s="8">
        <v>2009</v>
      </c>
      <c r="B114" s="8" t="s">
        <v>347</v>
      </c>
      <c r="C114" s="8" t="s">
        <v>349</v>
      </c>
      <c r="D114" s="9"/>
      <c r="E114" s="9"/>
      <c r="F114" s="9"/>
      <c r="G114" s="9"/>
      <c r="H114" s="9"/>
      <c r="I114" s="9"/>
      <c r="J114" s="9"/>
      <c r="K114" s="9"/>
      <c r="L114" s="9"/>
      <c r="M114" s="9"/>
      <c r="N114" s="9"/>
      <c r="O114" s="9"/>
      <c r="P114" s="9"/>
      <c r="Q114" s="9"/>
      <c r="R114" s="9"/>
      <c r="S114" s="9"/>
      <c r="T114" s="9"/>
      <c r="U114" s="9"/>
      <c r="V114" s="9"/>
      <c r="W114" s="9"/>
      <c r="X114" s="9"/>
      <c r="Y114" s="9"/>
      <c r="Z114" s="9"/>
      <c r="AA114" s="9"/>
      <c r="AB114" s="9"/>
      <c r="AC114" s="9"/>
      <c r="AD114" s="9"/>
      <c r="AE114" s="9"/>
      <c r="AF114" s="9"/>
      <c r="AG114" s="9"/>
      <c r="AH114" s="9"/>
      <c r="AI114" s="9"/>
      <c r="AJ114" s="9"/>
      <c r="AK114" s="9"/>
      <c r="AL114" s="9"/>
      <c r="AM114" s="9"/>
      <c r="AN114" s="9"/>
      <c r="AO114" s="9"/>
      <c r="AP114" s="9"/>
      <c r="AQ114" s="9"/>
      <c r="AR114" s="9"/>
      <c r="AS114" s="9"/>
      <c r="AT114" s="9"/>
      <c r="AU114" s="9"/>
      <c r="AV114" s="9"/>
      <c r="AW114" s="9"/>
      <c r="AX114" s="9"/>
      <c r="AY114" s="9"/>
      <c r="AZ114" s="9"/>
      <c r="BA114" s="9"/>
      <c r="BB114" s="9"/>
      <c r="BC114" s="9"/>
      <c r="BD114" s="9"/>
      <c r="BE114" s="9"/>
      <c r="BF114" s="9"/>
      <c r="BG114" s="9"/>
      <c r="BH114" s="9"/>
      <c r="BI114" s="9"/>
      <c r="BJ114" s="9"/>
      <c r="BK114" s="9"/>
      <c r="BL114" s="9"/>
      <c r="BM114" s="9"/>
      <c r="BN114" s="9">
        <v>163647.4</v>
      </c>
      <c r="BO114" s="9">
        <v>115076.2</v>
      </c>
      <c r="BP114" s="9">
        <v>27170.6</v>
      </c>
      <c r="BQ114" s="9">
        <v>10066.200000000001</v>
      </c>
      <c r="BR114" s="9">
        <v>8152.6</v>
      </c>
      <c r="BS114" s="9">
        <v>20532.7</v>
      </c>
      <c r="BT114" s="9">
        <v>29185.8</v>
      </c>
      <c r="BU114" s="9">
        <v>15607.8</v>
      </c>
      <c r="BV114" s="9">
        <v>48318.6</v>
      </c>
      <c r="BW114" s="9">
        <v>158774.39999999999</v>
      </c>
      <c r="BX114" s="9">
        <v>29269</v>
      </c>
      <c r="BY114" s="9">
        <v>31407.7</v>
      </c>
      <c r="BZ114" s="9">
        <v>47643.9</v>
      </c>
      <c r="CA114" s="9">
        <v>2915.5</v>
      </c>
      <c r="CB114" s="9">
        <v>2312.9</v>
      </c>
      <c r="CC114" s="9">
        <v>74494.2</v>
      </c>
      <c r="CD114" s="9">
        <v>0</v>
      </c>
      <c r="CE114" s="9">
        <v>23868.799999999999</v>
      </c>
      <c r="CF114" s="9">
        <v>559144.49014182994</v>
      </c>
      <c r="CG114" s="9">
        <v>2403511.3454962801</v>
      </c>
      <c r="CH114" s="9"/>
      <c r="CI114" s="9"/>
      <c r="CJ114" s="9">
        <v>23.3</v>
      </c>
      <c r="CK114" s="9">
        <v>17.600000000000001</v>
      </c>
      <c r="CL114" s="9">
        <v>12.75</v>
      </c>
      <c r="CM114" s="9">
        <v>56.816171362600002</v>
      </c>
      <c r="CN114" s="9">
        <v>26.043150933900002</v>
      </c>
      <c r="CO114" s="9">
        <v>1.5297393629</v>
      </c>
      <c r="CP114" s="9">
        <v>7.2653557381000002</v>
      </c>
      <c r="CQ114" s="9">
        <v>5.5131717760000001</v>
      </c>
      <c r="CR114" s="9">
        <v>2.8887651468</v>
      </c>
      <c r="CS114" s="9">
        <v>1.1174680084999999</v>
      </c>
      <c r="CT114" s="9">
        <v>4.8831703320999997</v>
      </c>
      <c r="CU114" s="9">
        <v>0.82819081449999998</v>
      </c>
      <c r="CV114" s="9">
        <v>1.3365817014000001</v>
      </c>
      <c r="CW114" s="9">
        <v>3.4441290920999998</v>
      </c>
      <c r="CX114" s="9">
        <v>0.59687362509999997</v>
      </c>
      <c r="CY114" s="9">
        <v>1.3695748311</v>
      </c>
      <c r="CZ114" s="9">
        <v>148</v>
      </c>
      <c r="DA114" s="9">
        <v>123</v>
      </c>
      <c r="DB114" s="9">
        <v>26</v>
      </c>
      <c r="DC114" s="9">
        <v>37</v>
      </c>
      <c r="DD114" s="9">
        <v>7</v>
      </c>
      <c r="DE114" s="9">
        <v>11</v>
      </c>
      <c r="DF114" s="9">
        <v>27</v>
      </c>
      <c r="DG114" s="9">
        <v>8</v>
      </c>
      <c r="DH114" s="9">
        <v>20</v>
      </c>
      <c r="DI114" s="9">
        <v>1</v>
      </c>
      <c r="DJ114" s="9">
        <v>1</v>
      </c>
      <c r="DK114" s="9">
        <v>17</v>
      </c>
      <c r="DL114" s="9">
        <v>0</v>
      </c>
      <c r="DM114" s="9">
        <v>5</v>
      </c>
      <c r="DN114" s="9">
        <v>0</v>
      </c>
      <c r="DO114" s="9">
        <v>157.02000000000001</v>
      </c>
      <c r="DP114" s="9">
        <v>42.91</v>
      </c>
      <c r="DQ114" s="9">
        <v>29.52</v>
      </c>
      <c r="DR114" s="9">
        <v>13.39</v>
      </c>
      <c r="DS114" s="9">
        <v>14.22</v>
      </c>
      <c r="DT114" s="9">
        <v>0.82</v>
      </c>
      <c r="DU114" s="9">
        <v>60.19</v>
      </c>
      <c r="DV114" s="9">
        <v>41.35</v>
      </c>
      <c r="DW114" s="9">
        <v>14.03</v>
      </c>
      <c r="DX114" s="9">
        <v>39.6</v>
      </c>
      <c r="DY114" s="9">
        <v>21.87</v>
      </c>
      <c r="DZ114" s="9">
        <v>8.31</v>
      </c>
      <c r="EA114" s="9">
        <v>-29.634</v>
      </c>
      <c r="EB114" s="9">
        <v>-3.9247200000000002</v>
      </c>
      <c r="EC114" s="9">
        <v>-25.835100000000001</v>
      </c>
      <c r="ED114" s="9">
        <v>-13.6448</v>
      </c>
      <c r="EE114" s="9">
        <v>13.77061</v>
      </c>
      <c r="EF114" s="9">
        <v>14.83568</v>
      </c>
      <c r="EG114" s="9">
        <v>-52.770499999999998</v>
      </c>
      <c r="EH114" s="9">
        <v>-0.68700000000000006</v>
      </c>
      <c r="EI114" s="9">
        <v>-71.7226</v>
      </c>
      <c r="EJ114" s="9">
        <v>0</v>
      </c>
      <c r="EK114" s="9">
        <v>19.639140000000001</v>
      </c>
      <c r="EL114" s="9">
        <v>-2.6952099999999999</v>
      </c>
      <c r="EM114" s="9">
        <v>35.276949999999999</v>
      </c>
      <c r="EN114" s="9">
        <v>648.6</v>
      </c>
      <c r="EO114" s="9"/>
      <c r="EP114" s="9"/>
      <c r="EQ114" s="9"/>
      <c r="ER114" s="9"/>
      <c r="ES114" s="9"/>
      <c r="ET114" s="9"/>
      <c r="EU114">
        <v>1423.94</v>
      </c>
      <c r="EV114" s="9"/>
      <c r="EW114" s="9"/>
      <c r="EX114" s="9"/>
      <c r="EY114" s="9"/>
      <c r="EZ114" s="9"/>
      <c r="FA114" s="9"/>
      <c r="FB114" s="9">
        <v>67.015037594000006</v>
      </c>
      <c r="FC114" s="9">
        <v>57.941428571400003</v>
      </c>
      <c r="FD114" s="9">
        <v>4591.4605263158001</v>
      </c>
      <c r="FE114" s="9">
        <v>62.6904761905</v>
      </c>
      <c r="FF114" s="9">
        <v>928.64473684209997</v>
      </c>
      <c r="FG114" s="9">
        <v>2534906.9700000002</v>
      </c>
      <c r="FH114" s="9">
        <v>164724.35999999999</v>
      </c>
      <c r="FI114" s="9">
        <v>294435.96999999997</v>
      </c>
      <c r="FJ114" s="9">
        <v>894662.22000000009</v>
      </c>
      <c r="FK114" s="9">
        <v>32859.449999999997</v>
      </c>
      <c r="FL114" s="9">
        <v>64608.42</v>
      </c>
      <c r="FM114" s="9"/>
      <c r="FN114" s="9"/>
      <c r="FO114" s="9"/>
      <c r="FP114" s="9"/>
      <c r="FQ114" s="9"/>
      <c r="FR114" s="9"/>
      <c r="FS114" s="9"/>
      <c r="FT114" s="9">
        <v>1640207.09</v>
      </c>
      <c r="FU114" s="9">
        <v>131864.91</v>
      </c>
      <c r="FV114" s="9">
        <v>229789.89</v>
      </c>
      <c r="FW114" s="9"/>
      <c r="FX114" s="9"/>
      <c r="FY114" s="9"/>
      <c r="FZ114" s="9">
        <v>38596.86</v>
      </c>
      <c r="GA114" s="9">
        <v>2029014.48</v>
      </c>
      <c r="GB114" s="9">
        <v>576812.75</v>
      </c>
      <c r="GC114" s="9">
        <v>1452201.73</v>
      </c>
      <c r="GD114" s="9">
        <v>1452881.37</v>
      </c>
      <c r="GE114" s="9">
        <v>106491.92</v>
      </c>
      <c r="GF114" s="9">
        <v>1346389.45</v>
      </c>
      <c r="GG114" s="9">
        <v>576133.11</v>
      </c>
      <c r="GH114" s="9">
        <v>470320.83</v>
      </c>
      <c r="GI114" s="9">
        <v>105812.28</v>
      </c>
      <c r="GJ114" s="9">
        <v>499576.64</v>
      </c>
      <c r="GK114" s="9">
        <v>3755782.45</v>
      </c>
      <c r="GL114" s="9">
        <v>315904.27</v>
      </c>
      <c r="GM114">
        <v>1428.37</v>
      </c>
      <c r="GO114" s="6"/>
      <c r="GP114" s="6"/>
      <c r="GQ114" s="6"/>
    </row>
    <row r="115" spans="1:199" x14ac:dyDescent="0.2">
      <c r="A115" s="8">
        <v>2009</v>
      </c>
      <c r="B115" s="8" t="s">
        <v>347</v>
      </c>
      <c r="C115" s="8" t="s">
        <v>350</v>
      </c>
      <c r="D115" s="9">
        <v>1708257.8</v>
      </c>
      <c r="E115" s="9">
        <v>403224</v>
      </c>
      <c r="F115" s="9">
        <v>299852.2</v>
      </c>
      <c r="G115" s="9">
        <v>104104.5</v>
      </c>
      <c r="H115" s="9">
        <v>43140.1</v>
      </c>
      <c r="I115" s="9">
        <v>13248.6</v>
      </c>
      <c r="J115" s="9">
        <v>71860.600000000006</v>
      </c>
      <c r="K115" s="9">
        <v>118191.3</v>
      </c>
      <c r="L115" s="9">
        <v>52805.599999999999</v>
      </c>
      <c r="M115" s="9">
        <v>439888.4</v>
      </c>
      <c r="N115" s="9">
        <v>161942.6</v>
      </c>
      <c r="O115" s="9">
        <v>3434091.9459804432</v>
      </c>
      <c r="P115" s="9">
        <v>723697.28962382069</v>
      </c>
      <c r="Q115" s="9">
        <v>491165.27974895173</v>
      </c>
      <c r="R115" s="9">
        <v>265360.2279155507</v>
      </c>
      <c r="S115" s="9">
        <v>99770.396935238299</v>
      </c>
      <c r="T115" s="9">
        <v>51114.046665979302</v>
      </c>
      <c r="U115" s="9">
        <v>187179.87242719191</v>
      </c>
      <c r="V115" s="9">
        <v>162597.4737725915</v>
      </c>
      <c r="W115" s="9">
        <v>75369.480369750803</v>
      </c>
      <c r="X115" s="9">
        <v>1123924.9063841619</v>
      </c>
      <c r="Y115" s="9">
        <v>253912.972137206</v>
      </c>
      <c r="Z115" s="9">
        <v>1643946.1</v>
      </c>
      <c r="AA115" s="9">
        <v>923826.9</v>
      </c>
      <c r="AB115" s="9">
        <v>249707.6</v>
      </c>
      <c r="AC115" s="9">
        <v>492700.3</v>
      </c>
      <c r="AD115" s="9">
        <v>93494.3</v>
      </c>
      <c r="AE115" s="9">
        <v>786623.4</v>
      </c>
      <c r="AF115" s="9">
        <v>902406.5</v>
      </c>
      <c r="AG115" s="9">
        <v>3292561.5077329879</v>
      </c>
      <c r="AH115" s="9">
        <v>1835260.703065739</v>
      </c>
      <c r="AI115" s="9">
        <v>487523.98872154072</v>
      </c>
      <c r="AJ115" s="9">
        <v>879994.73447247886</v>
      </c>
      <c r="AK115" s="9">
        <v>216835.2100259561</v>
      </c>
      <c r="AL115" s="9">
        <v>1056303.58752515</v>
      </c>
      <c r="AM115" s="9">
        <v>1183356.716077876</v>
      </c>
      <c r="AN115" s="9">
        <v>945425</v>
      </c>
      <c r="AO115" s="9">
        <v>492204</v>
      </c>
      <c r="AP115" s="9">
        <v>453221</v>
      </c>
      <c r="AQ115" s="9">
        <v>110443</v>
      </c>
      <c r="AR115" s="9">
        <v>53718</v>
      </c>
      <c r="AS115" s="9">
        <v>56725</v>
      </c>
      <c r="AT115" s="9">
        <v>631834</v>
      </c>
      <c r="AU115" s="9">
        <v>253451</v>
      </c>
      <c r="AV115" s="9">
        <v>378383</v>
      </c>
      <c r="AW115" s="9">
        <v>309.2</v>
      </c>
      <c r="AX115" s="9">
        <v>166.6</v>
      </c>
      <c r="AY115" s="9">
        <v>484.6</v>
      </c>
      <c r="AZ115" s="9">
        <v>270.39999999999998</v>
      </c>
      <c r="BA115" s="9">
        <v>296.10000000000002</v>
      </c>
      <c r="BB115" s="9"/>
      <c r="BC115" s="9">
        <v>213.3</v>
      </c>
      <c r="BD115" s="9">
        <v>229.8</v>
      </c>
      <c r="BE115" s="9">
        <v>307.8</v>
      </c>
      <c r="BF115" s="9">
        <v>240.9</v>
      </c>
      <c r="BG115" s="9"/>
      <c r="BH115" s="9">
        <v>591</v>
      </c>
      <c r="BI115" s="9">
        <v>275.3</v>
      </c>
      <c r="BJ115" s="9">
        <v>351.2</v>
      </c>
      <c r="BK115" s="9">
        <v>301.89999999999998</v>
      </c>
      <c r="BL115" s="9"/>
      <c r="BM115" s="9">
        <v>269.39999999999998</v>
      </c>
      <c r="BN115" s="9">
        <v>193201.8</v>
      </c>
      <c r="BO115" s="9">
        <v>145469</v>
      </c>
      <c r="BP115" s="9">
        <v>34654.300000000003</v>
      </c>
      <c r="BQ115" s="9">
        <v>8940.2999999999993</v>
      </c>
      <c r="BR115" s="9">
        <v>13132.6</v>
      </c>
      <c r="BS115" s="9">
        <v>28242.7</v>
      </c>
      <c r="BT115" s="9">
        <v>31005.7</v>
      </c>
      <c r="BU115" s="9">
        <v>18863.599999999999</v>
      </c>
      <c r="BV115" s="9">
        <v>47263.5</v>
      </c>
      <c r="BW115" s="9">
        <v>157962.5</v>
      </c>
      <c r="BX115" s="9">
        <v>72083.399999999994</v>
      </c>
      <c r="BY115" s="9">
        <v>32110</v>
      </c>
      <c r="BZ115" s="9">
        <v>71559</v>
      </c>
      <c r="CA115" s="9">
        <v>2448.4</v>
      </c>
      <c r="CB115" s="9">
        <v>2407.1999999999998</v>
      </c>
      <c r="CC115" s="9">
        <v>49438</v>
      </c>
      <c r="CD115" s="9">
        <v>0</v>
      </c>
      <c r="CE115" s="9">
        <v>32643.599999999999</v>
      </c>
      <c r="CF115" s="9">
        <v>544382.06301740999</v>
      </c>
      <c r="CG115" s="9">
        <v>2438367.8967239461</v>
      </c>
      <c r="CH115" s="9"/>
      <c r="CI115" s="9"/>
      <c r="CJ115" s="9">
        <v>23.5</v>
      </c>
      <c r="CK115" s="9">
        <v>16.3</v>
      </c>
      <c r="CL115" s="9">
        <v>11.5</v>
      </c>
      <c r="CM115" s="9">
        <v>56.032020041700001</v>
      </c>
      <c r="CN115" s="9">
        <v>25.0630323504</v>
      </c>
      <c r="CO115" s="9">
        <v>1.5386678028</v>
      </c>
      <c r="CP115" s="9">
        <v>7.2922445454</v>
      </c>
      <c r="CQ115" s="9">
        <v>5.5512198903999996</v>
      </c>
      <c r="CR115" s="9">
        <v>2.920553484</v>
      </c>
      <c r="CS115" s="9">
        <v>1.1193450545000001</v>
      </c>
      <c r="CT115" s="9">
        <v>4.9021218339999999</v>
      </c>
      <c r="CU115" s="9">
        <v>0.84343359019999997</v>
      </c>
      <c r="CV115" s="9">
        <v>1.3528947409000001</v>
      </c>
      <c r="CW115" s="9">
        <v>3.4441290920999998</v>
      </c>
      <c r="CX115" s="9">
        <v>0.61793555330000005</v>
      </c>
      <c r="CY115" s="9">
        <v>1.3789490599000001</v>
      </c>
      <c r="CZ115" s="9">
        <v>164</v>
      </c>
      <c r="DA115" s="9">
        <v>111</v>
      </c>
      <c r="DB115" s="9">
        <v>0</v>
      </c>
      <c r="DC115" s="9">
        <v>39</v>
      </c>
      <c r="DD115" s="9">
        <v>6</v>
      </c>
      <c r="DE115" s="9">
        <v>15</v>
      </c>
      <c r="DF115" s="9">
        <v>36</v>
      </c>
      <c r="DG115" s="9">
        <v>8</v>
      </c>
      <c r="DH115" s="9">
        <v>46</v>
      </c>
      <c r="DI115" s="9">
        <v>1</v>
      </c>
      <c r="DJ115" s="9">
        <v>2</v>
      </c>
      <c r="DK115" s="9">
        <v>40</v>
      </c>
      <c r="DL115" s="9">
        <v>0</v>
      </c>
      <c r="DM115" s="9">
        <v>7</v>
      </c>
      <c r="DN115" s="9">
        <v>0</v>
      </c>
      <c r="DO115" s="9">
        <v>202.92</v>
      </c>
      <c r="DP115" s="9">
        <v>53.74</v>
      </c>
      <c r="DQ115" s="9">
        <v>38</v>
      </c>
      <c r="DR115" s="9">
        <v>15.74</v>
      </c>
      <c r="DS115" s="9">
        <v>19.64</v>
      </c>
      <c r="DT115" s="9">
        <v>0.51</v>
      </c>
      <c r="DU115" s="9">
        <v>85.42</v>
      </c>
      <c r="DV115" s="9">
        <v>51.76</v>
      </c>
      <c r="DW115" s="9">
        <v>16.97</v>
      </c>
      <c r="DX115" s="9">
        <v>44.07</v>
      </c>
      <c r="DY115" s="9">
        <v>25.85</v>
      </c>
      <c r="DZ115" s="9">
        <v>8.7899999999999991</v>
      </c>
      <c r="EA115" s="9">
        <v>-16.629799999999999</v>
      </c>
      <c r="EB115" s="9">
        <v>-23.587499999999999</v>
      </c>
      <c r="EC115" s="9">
        <v>-4.0864799999999999</v>
      </c>
      <c r="ED115" s="9">
        <v>-3.0861900000000002</v>
      </c>
      <c r="EE115" s="9">
        <v>14.13043</v>
      </c>
      <c r="EF115" s="9">
        <v>14.556179999999999</v>
      </c>
      <c r="EG115" s="9">
        <v>-58.027799999999999</v>
      </c>
      <c r="EH115" s="9">
        <v>-18.5505</v>
      </c>
      <c r="EI115" s="9">
        <v>-53.263800000000003</v>
      </c>
      <c r="EJ115" s="9">
        <v>0</v>
      </c>
      <c r="EK115" s="9">
        <v>13.786440000000001</v>
      </c>
      <c r="EL115" s="9">
        <v>26.06287</v>
      </c>
      <c r="EM115" s="9">
        <v>82.017060000000001</v>
      </c>
      <c r="EN115" s="9">
        <v>783.3</v>
      </c>
      <c r="EO115" s="9"/>
      <c r="EP115" s="9"/>
      <c r="EQ115" s="9"/>
      <c r="ER115" s="9"/>
      <c r="ES115" s="9"/>
      <c r="ET115" s="9"/>
      <c r="EU115">
        <v>1428.56</v>
      </c>
      <c r="EV115" s="9">
        <v>5422.8</v>
      </c>
      <c r="EW115" s="9">
        <v>1642.25</v>
      </c>
      <c r="EX115" s="9">
        <v>189.99</v>
      </c>
      <c r="EY115" s="9">
        <v>319.60000000000002</v>
      </c>
      <c r="EZ115" s="9">
        <v>749.78</v>
      </c>
      <c r="FA115" s="9">
        <v>2521.17</v>
      </c>
      <c r="FB115" s="9">
        <v>75.813311688300004</v>
      </c>
      <c r="FC115" s="9">
        <v>68.616818181799999</v>
      </c>
      <c r="FD115" s="9">
        <v>5015.4318181817998</v>
      </c>
      <c r="FE115" s="9">
        <v>71.659090909100001</v>
      </c>
      <c r="FF115" s="9">
        <v>945.67045454549998</v>
      </c>
      <c r="FG115" s="9">
        <v>2558929.7400000002</v>
      </c>
      <c r="FH115" s="9">
        <v>152115.42000000001</v>
      </c>
      <c r="FI115" s="9">
        <v>297964.51</v>
      </c>
      <c r="FJ115" s="9">
        <v>875248.74000000011</v>
      </c>
      <c r="FK115" s="9">
        <v>26761.39</v>
      </c>
      <c r="FL115" s="9">
        <v>65575.27</v>
      </c>
      <c r="FM115" s="9"/>
      <c r="FN115" s="9"/>
      <c r="FO115" s="9"/>
      <c r="FP115" s="9"/>
      <c r="FQ115" s="9"/>
      <c r="FR115" s="9"/>
      <c r="FS115" s="9"/>
      <c r="FT115" s="9">
        <v>1683644.25</v>
      </c>
      <c r="FU115" s="9">
        <v>125354.02</v>
      </c>
      <c r="FV115" s="9">
        <v>232352.49</v>
      </c>
      <c r="FW115" s="9"/>
      <c r="FX115" s="9"/>
      <c r="FY115" s="9"/>
      <c r="FZ115" s="9">
        <v>38796.870000000003</v>
      </c>
      <c r="GA115" s="9">
        <v>2087644.3</v>
      </c>
      <c r="GB115" s="9">
        <v>594585.65</v>
      </c>
      <c r="GC115" s="9">
        <v>1493058.65</v>
      </c>
      <c r="GD115" s="9">
        <v>1517361.9</v>
      </c>
      <c r="GE115" s="9">
        <v>118224.54</v>
      </c>
      <c r="GF115" s="9">
        <v>1399137.36</v>
      </c>
      <c r="GG115" s="9">
        <v>570282.4</v>
      </c>
      <c r="GH115" s="9">
        <v>476361.11</v>
      </c>
      <c r="GI115" s="9">
        <v>93921.29</v>
      </c>
      <c r="GJ115" s="9">
        <v>613157.98</v>
      </c>
      <c r="GK115" s="9">
        <v>3920811.64</v>
      </c>
      <c r="GL115" s="9">
        <v>323391.92</v>
      </c>
      <c r="GM115">
        <v>1435.49</v>
      </c>
      <c r="GO115" s="6"/>
      <c r="GP115" s="6"/>
      <c r="GQ115" s="6"/>
    </row>
    <row r="116" spans="1:199" x14ac:dyDescent="0.2">
      <c r="A116" s="8">
        <v>2009</v>
      </c>
      <c r="B116" s="8" t="s">
        <v>351</v>
      </c>
      <c r="C116" s="8" t="s">
        <v>352</v>
      </c>
      <c r="D116" s="9"/>
      <c r="E116" s="9"/>
      <c r="F116" s="9"/>
      <c r="G116" s="9"/>
      <c r="H116" s="9"/>
      <c r="I116" s="9"/>
      <c r="J116" s="9"/>
      <c r="K116" s="9"/>
      <c r="L116" s="9"/>
      <c r="M116" s="9"/>
      <c r="N116" s="9"/>
      <c r="O116" s="9"/>
      <c r="P116" s="9"/>
      <c r="Q116" s="9"/>
      <c r="R116" s="9"/>
      <c r="S116" s="9"/>
      <c r="T116" s="9"/>
      <c r="U116" s="9"/>
      <c r="V116" s="9"/>
      <c r="W116" s="9"/>
      <c r="X116" s="9"/>
      <c r="Y116" s="9"/>
      <c r="Z116" s="9"/>
      <c r="AA116" s="9"/>
      <c r="AB116" s="9"/>
      <c r="AC116" s="9"/>
      <c r="AD116" s="9"/>
      <c r="AE116" s="9"/>
      <c r="AF116" s="9"/>
      <c r="AG116" s="9"/>
      <c r="AH116" s="9"/>
      <c r="AI116" s="9"/>
      <c r="AJ116" s="9"/>
      <c r="AK116" s="9"/>
      <c r="AL116" s="9"/>
      <c r="AM116" s="9"/>
      <c r="AN116" s="9"/>
      <c r="AO116" s="9"/>
      <c r="AP116" s="9"/>
      <c r="AQ116" s="9"/>
      <c r="AR116" s="9"/>
      <c r="AS116" s="9"/>
      <c r="AT116" s="9"/>
      <c r="AU116" s="9"/>
      <c r="AV116" s="9"/>
      <c r="AW116" s="9"/>
      <c r="AX116" s="9"/>
      <c r="AY116" s="9"/>
      <c r="AZ116" s="9"/>
      <c r="BA116" s="9"/>
      <c r="BB116" s="9"/>
      <c r="BC116" s="9"/>
      <c r="BD116" s="9"/>
      <c r="BE116" s="9"/>
      <c r="BF116" s="9"/>
      <c r="BG116" s="9"/>
      <c r="BH116" s="9"/>
      <c r="BI116" s="9"/>
      <c r="BJ116" s="9"/>
      <c r="BK116" s="9"/>
      <c r="BL116" s="9"/>
      <c r="BM116" s="9"/>
      <c r="BN116" s="9">
        <v>163827.4</v>
      </c>
      <c r="BO116" s="9">
        <v>136995.6</v>
      </c>
      <c r="BP116" s="9">
        <v>43779.7</v>
      </c>
      <c r="BQ116" s="9">
        <v>18521.599999999999</v>
      </c>
      <c r="BR116" s="9">
        <v>10229.700000000001</v>
      </c>
      <c r="BS116" s="9">
        <v>17861.099999999999</v>
      </c>
      <c r="BT116" s="9">
        <v>31230.7</v>
      </c>
      <c r="BU116" s="9">
        <v>14284</v>
      </c>
      <c r="BV116" s="9">
        <v>13712.6</v>
      </c>
      <c r="BW116" s="9">
        <v>125550.2</v>
      </c>
      <c r="BX116" s="9">
        <v>2839.7</v>
      </c>
      <c r="BY116" s="9">
        <v>25713.8</v>
      </c>
      <c r="BZ116" s="9">
        <v>34868.300000000003</v>
      </c>
      <c r="CA116" s="9">
        <v>393.6</v>
      </c>
      <c r="CB116" s="9">
        <v>2059.8000000000002</v>
      </c>
      <c r="CC116" s="9">
        <v>62514.7</v>
      </c>
      <c r="CD116" s="9">
        <v>0</v>
      </c>
      <c r="CE116" s="9">
        <v>55763</v>
      </c>
      <c r="CF116" s="9">
        <v>521831.83746044798</v>
      </c>
      <c r="CG116" s="9">
        <v>2509088.7804056439</v>
      </c>
      <c r="CH116" s="9"/>
      <c r="CI116" s="9"/>
      <c r="CJ116" s="9">
        <v>23.3943713916</v>
      </c>
      <c r="CK116" s="9">
        <v>17.639636861100001</v>
      </c>
      <c r="CL116" s="9">
        <v>11.5</v>
      </c>
      <c r="CM116" s="9">
        <v>55.280895024599999</v>
      </c>
      <c r="CN116" s="9">
        <v>24.0129052966</v>
      </c>
      <c r="CO116" s="9">
        <v>1.5466041937999999</v>
      </c>
      <c r="CP116" s="9">
        <v>7.3352666371000002</v>
      </c>
      <c r="CQ116" s="9">
        <v>5.5702439475999999</v>
      </c>
      <c r="CR116" s="9">
        <v>2.9344608816000002</v>
      </c>
      <c r="CS116" s="9">
        <v>1.1249761922999999</v>
      </c>
      <c r="CT116" s="9">
        <v>5.1042711880000002</v>
      </c>
      <c r="CU116" s="9">
        <v>0.84140122009999996</v>
      </c>
      <c r="CV116" s="9">
        <v>1.3518072050000001</v>
      </c>
      <c r="CW116" s="9">
        <v>3.4441290920999998</v>
      </c>
      <c r="CX116" s="9">
        <v>0.61900649880000003</v>
      </c>
      <c r="CY116" s="9">
        <v>1.3958226718</v>
      </c>
      <c r="CZ116" s="9">
        <v>165</v>
      </c>
      <c r="DA116" s="9">
        <v>125</v>
      </c>
      <c r="DB116" s="9">
        <v>0</v>
      </c>
      <c r="DC116" s="9">
        <v>39</v>
      </c>
      <c r="DD116" s="9">
        <v>6</v>
      </c>
      <c r="DE116" s="9">
        <v>18</v>
      </c>
      <c r="DF116" s="9">
        <v>44</v>
      </c>
      <c r="DG116" s="9">
        <v>12</v>
      </c>
      <c r="DH116" s="9">
        <v>31</v>
      </c>
      <c r="DI116" s="9">
        <v>1</v>
      </c>
      <c r="DJ116" s="9">
        <v>1</v>
      </c>
      <c r="DK116" s="9">
        <v>28</v>
      </c>
      <c r="DL116" s="9">
        <v>0</v>
      </c>
      <c r="DM116" s="9">
        <v>8</v>
      </c>
      <c r="DN116" s="9">
        <v>0</v>
      </c>
      <c r="DO116" s="9">
        <v>194.46</v>
      </c>
      <c r="DP116" s="9">
        <v>48.32</v>
      </c>
      <c r="DQ116" s="9">
        <v>31.16</v>
      </c>
      <c r="DR116" s="9">
        <v>17.16</v>
      </c>
      <c r="DS116" s="9">
        <v>16.43</v>
      </c>
      <c r="DT116" s="9">
        <v>0.66</v>
      </c>
      <c r="DU116" s="9">
        <v>78.53</v>
      </c>
      <c r="DV116" s="9">
        <v>42.52</v>
      </c>
      <c r="DW116" s="9">
        <v>20.39</v>
      </c>
      <c r="DX116" s="9">
        <v>51.17</v>
      </c>
      <c r="DY116" s="9">
        <v>28.41</v>
      </c>
      <c r="DZ116" s="9">
        <v>11.89</v>
      </c>
      <c r="EA116" s="9">
        <v>-33.637599999999999</v>
      </c>
      <c r="EB116" s="9">
        <v>-29.127600000000001</v>
      </c>
      <c r="EC116" s="9">
        <v>-1.74604</v>
      </c>
      <c r="ED116" s="9">
        <v>-21.805</v>
      </c>
      <c r="EE116" s="9">
        <v>19.041070000000001</v>
      </c>
      <c r="EF116" s="9">
        <v>14.66014</v>
      </c>
      <c r="EG116" s="9">
        <v>-86.395300000000006</v>
      </c>
      <c r="EH116" s="9">
        <v>-52.160200000000003</v>
      </c>
      <c r="EI116" s="9">
        <v>-6.6275199999999996</v>
      </c>
      <c r="EJ116" s="9">
        <v>0</v>
      </c>
      <c r="EK116" s="9">
        <v>-27.607600000000001</v>
      </c>
      <c r="EL116" s="9">
        <v>-57.7712</v>
      </c>
      <c r="EM116" s="9">
        <v>9.6466069999999995</v>
      </c>
      <c r="EN116" s="9">
        <v>818.6</v>
      </c>
      <c r="EO116" s="9"/>
      <c r="EP116" s="9"/>
      <c r="EQ116" s="9"/>
      <c r="ER116" s="9"/>
      <c r="ES116" s="9"/>
      <c r="ET116" s="9"/>
      <c r="EU116">
        <v>1455.62</v>
      </c>
      <c r="EV116" s="9"/>
      <c r="EW116" s="9"/>
      <c r="EX116" s="9"/>
      <c r="EY116" s="9"/>
      <c r="EZ116" s="9"/>
      <c r="FA116" s="9"/>
      <c r="FB116" s="9">
        <v>77.620341614899999</v>
      </c>
      <c r="FC116" s="9">
        <v>64.91</v>
      </c>
      <c r="FD116" s="9">
        <v>5228.4130434783001</v>
      </c>
      <c r="FE116" s="9">
        <v>83.952173912999996</v>
      </c>
      <c r="FF116" s="9">
        <v>934.22826086960004</v>
      </c>
      <c r="FG116" s="9">
        <v>2580778.52</v>
      </c>
      <c r="FH116" s="9">
        <v>143381.38</v>
      </c>
      <c r="FI116" s="9">
        <v>352907.89</v>
      </c>
      <c r="FJ116" s="9">
        <v>880152.37000000011</v>
      </c>
      <c r="FK116" s="9">
        <v>27868.29</v>
      </c>
      <c r="FL116" s="9">
        <v>68194.55</v>
      </c>
      <c r="FM116" s="9"/>
      <c r="FN116" s="9"/>
      <c r="FO116" s="9"/>
      <c r="FP116" s="9"/>
      <c r="FQ116" s="9"/>
      <c r="FR116" s="9"/>
      <c r="FS116" s="9"/>
      <c r="FT116" s="9">
        <v>1700589.42</v>
      </c>
      <c r="FU116" s="9">
        <v>115513.09</v>
      </c>
      <c r="FV116" s="9">
        <v>284676.59999999998</v>
      </c>
      <c r="FW116" s="9"/>
      <c r="FX116" s="9"/>
      <c r="FY116" s="9"/>
      <c r="FZ116" s="9">
        <v>39088.46</v>
      </c>
      <c r="GA116" s="9">
        <v>2166954.0299999998</v>
      </c>
      <c r="GB116" s="9">
        <v>624711.53</v>
      </c>
      <c r="GC116" s="9">
        <v>1542242.5</v>
      </c>
      <c r="GD116" s="9">
        <v>1566379.3</v>
      </c>
      <c r="GE116" s="9">
        <v>119975.31</v>
      </c>
      <c r="GF116" s="9">
        <v>1446403.99</v>
      </c>
      <c r="GG116" s="9">
        <v>600574.73</v>
      </c>
      <c r="GH116" s="9">
        <v>504736.22</v>
      </c>
      <c r="GI116" s="9">
        <v>95838.51</v>
      </c>
      <c r="GJ116" s="9">
        <v>628475.46</v>
      </c>
      <c r="GK116" s="9">
        <v>3952094.92</v>
      </c>
      <c r="GL116" s="9">
        <v>270869.28999999998</v>
      </c>
      <c r="GM116">
        <v>1455.3</v>
      </c>
      <c r="GO116" s="6"/>
      <c r="GP116" s="6"/>
      <c r="GQ116" s="6"/>
    </row>
    <row r="117" spans="1:199" x14ac:dyDescent="0.2">
      <c r="A117" s="8">
        <v>2009</v>
      </c>
      <c r="B117" s="8" t="s">
        <v>351</v>
      </c>
      <c r="C117" s="8" t="s">
        <v>353</v>
      </c>
      <c r="D117" s="9"/>
      <c r="E117" s="9"/>
      <c r="F117" s="9"/>
      <c r="G117" s="9"/>
      <c r="H117" s="9"/>
      <c r="I117" s="9"/>
      <c r="J117" s="9"/>
      <c r="K117" s="9"/>
      <c r="L117" s="9"/>
      <c r="M117" s="9"/>
      <c r="N117" s="9"/>
      <c r="O117" s="9"/>
      <c r="P117" s="9"/>
      <c r="Q117" s="9"/>
      <c r="R117" s="9"/>
      <c r="S117" s="9"/>
      <c r="T117" s="9"/>
      <c r="U117" s="9"/>
      <c r="V117" s="9"/>
      <c r="W117" s="9"/>
      <c r="X117" s="9"/>
      <c r="Y117" s="9"/>
      <c r="Z117" s="9"/>
      <c r="AA117" s="9"/>
      <c r="AB117" s="9"/>
      <c r="AC117" s="9"/>
      <c r="AD117" s="9"/>
      <c r="AE117" s="9"/>
      <c r="AF117" s="9"/>
      <c r="AG117" s="9"/>
      <c r="AH117" s="9"/>
      <c r="AI117" s="9"/>
      <c r="AJ117" s="9"/>
      <c r="AK117" s="9"/>
      <c r="AL117" s="9"/>
      <c r="AM117" s="9"/>
      <c r="AN117" s="9"/>
      <c r="AO117" s="9"/>
      <c r="AP117" s="9"/>
      <c r="AQ117" s="9"/>
      <c r="AR117" s="9"/>
      <c r="AS117" s="9"/>
      <c r="AT117" s="9"/>
      <c r="AU117" s="9"/>
      <c r="AV117" s="9"/>
      <c r="AW117" s="9"/>
      <c r="AX117" s="9"/>
      <c r="AY117" s="9"/>
      <c r="AZ117" s="9"/>
      <c r="BA117" s="9"/>
      <c r="BB117" s="9"/>
      <c r="BC117" s="9"/>
      <c r="BD117" s="9"/>
      <c r="BE117" s="9"/>
      <c r="BF117" s="9"/>
      <c r="BG117" s="9"/>
      <c r="BH117" s="9"/>
      <c r="BI117" s="9"/>
      <c r="BJ117" s="9"/>
      <c r="BK117" s="9"/>
      <c r="BL117" s="9"/>
      <c r="BM117" s="9"/>
      <c r="BN117" s="9">
        <v>147711</v>
      </c>
      <c r="BO117" s="9">
        <v>133547.9</v>
      </c>
      <c r="BP117" s="9">
        <v>48903.7</v>
      </c>
      <c r="BQ117" s="9">
        <v>24725.5</v>
      </c>
      <c r="BR117" s="9">
        <v>8071.4</v>
      </c>
      <c r="BS117" s="9">
        <v>20770.400000000001</v>
      </c>
      <c r="BT117" s="9">
        <v>32145.8</v>
      </c>
      <c r="BU117" s="9">
        <v>10300</v>
      </c>
      <c r="BV117" s="9">
        <v>13961.2</v>
      </c>
      <c r="BW117" s="9">
        <v>135926.39999999999</v>
      </c>
      <c r="BX117" s="9">
        <v>14912.9</v>
      </c>
      <c r="BY117" s="9">
        <v>26909.599999999999</v>
      </c>
      <c r="BZ117" s="9">
        <v>40125.699999999997</v>
      </c>
      <c r="CA117" s="9">
        <v>2913.7</v>
      </c>
      <c r="CB117" s="9">
        <v>1863</v>
      </c>
      <c r="CC117" s="9">
        <v>64114.3</v>
      </c>
      <c r="CD117" s="9">
        <v>0</v>
      </c>
      <c r="CE117" s="9">
        <v>49783.9</v>
      </c>
      <c r="CF117" s="9">
        <v>597140.07197765796</v>
      </c>
      <c r="CG117" s="9">
        <v>2563470.6112568011</v>
      </c>
      <c r="CH117" s="9"/>
      <c r="CI117" s="9"/>
      <c r="CJ117" s="9">
        <v>23.7</v>
      </c>
      <c r="CK117" s="9">
        <v>15.9</v>
      </c>
      <c r="CL117" s="9">
        <v>11.5</v>
      </c>
      <c r="CM117" s="9">
        <v>54.966325120400001</v>
      </c>
      <c r="CN117" s="9">
        <v>23.088793489299999</v>
      </c>
      <c r="CO117" s="9">
        <v>1.5565246825000001</v>
      </c>
      <c r="CP117" s="9">
        <v>7.4266885819999997</v>
      </c>
      <c r="CQ117" s="9">
        <v>5.5892680048000001</v>
      </c>
      <c r="CR117" s="9">
        <v>2.9662492187999998</v>
      </c>
      <c r="CS117" s="9">
        <v>1.1281046021000001</v>
      </c>
      <c r="CT117" s="9">
        <v>5.1895529467000001</v>
      </c>
      <c r="CU117" s="9">
        <v>0.84140122009999996</v>
      </c>
      <c r="CV117" s="9">
        <v>1.3583324208000001</v>
      </c>
      <c r="CW117" s="9">
        <v>3.7862736397000001</v>
      </c>
      <c r="CX117" s="9">
        <v>0.62900199010000002</v>
      </c>
      <c r="CY117" s="9">
        <v>1.4061343234999999</v>
      </c>
      <c r="CZ117" s="9">
        <v>173</v>
      </c>
      <c r="DA117" s="9">
        <v>134</v>
      </c>
      <c r="DB117" s="9">
        <v>17</v>
      </c>
      <c r="DC117" s="9">
        <v>44</v>
      </c>
      <c r="DD117" s="9">
        <v>7</v>
      </c>
      <c r="DE117" s="9">
        <v>10</v>
      </c>
      <c r="DF117" s="9">
        <v>34</v>
      </c>
      <c r="DG117" s="9">
        <v>12</v>
      </c>
      <c r="DH117" s="9">
        <v>30</v>
      </c>
      <c r="DI117" s="9">
        <v>3</v>
      </c>
      <c r="DJ117" s="9">
        <v>1</v>
      </c>
      <c r="DK117" s="9">
        <v>24</v>
      </c>
      <c r="DL117" s="9">
        <v>0</v>
      </c>
      <c r="DM117" s="9">
        <v>10</v>
      </c>
      <c r="DN117" s="9">
        <v>0</v>
      </c>
      <c r="DO117" s="9">
        <v>181.33</v>
      </c>
      <c r="DP117" s="9">
        <v>46.55</v>
      </c>
      <c r="DQ117" s="9">
        <v>28.61</v>
      </c>
      <c r="DR117" s="9">
        <v>17.95</v>
      </c>
      <c r="DS117" s="9">
        <v>12.22</v>
      </c>
      <c r="DT117" s="9">
        <v>0.64</v>
      </c>
      <c r="DU117" s="9">
        <v>73.08</v>
      </c>
      <c r="DV117" s="9">
        <v>29.43</v>
      </c>
      <c r="DW117" s="9">
        <v>22.6</v>
      </c>
      <c r="DX117" s="9">
        <v>49.47</v>
      </c>
      <c r="DY117" s="9">
        <v>25.19</v>
      </c>
      <c r="DZ117" s="9">
        <v>12.43</v>
      </c>
      <c r="EA117" s="9">
        <v>-8.5747900000000001</v>
      </c>
      <c r="EB117" s="9">
        <v>-19.1236</v>
      </c>
      <c r="EC117" s="9">
        <v>7.1116320000000002</v>
      </c>
      <c r="ED117" s="9">
        <v>-15.3932</v>
      </c>
      <c r="EE117" s="9">
        <v>18.830359999999999</v>
      </c>
      <c r="EF117" s="9">
        <v>14.181330000000001</v>
      </c>
      <c r="EG117" s="9">
        <v>-162.15299999999999</v>
      </c>
      <c r="EH117" s="9">
        <v>-52.982100000000003</v>
      </c>
      <c r="EI117" s="9">
        <v>-0.70552000000000004</v>
      </c>
      <c r="EJ117" s="9">
        <v>0</v>
      </c>
      <c r="EK117" s="9">
        <v>-108.465</v>
      </c>
      <c r="EL117" s="9">
        <v>-27.295200000000001</v>
      </c>
      <c r="EM117" s="9">
        <v>140.464</v>
      </c>
      <c r="EN117" s="9">
        <v>962.6</v>
      </c>
      <c r="EO117" s="9"/>
      <c r="EP117" s="9"/>
      <c r="EQ117" s="9"/>
      <c r="ER117" s="9"/>
      <c r="ES117" s="9"/>
      <c r="ET117" s="9"/>
      <c r="EU117">
        <v>1446.33</v>
      </c>
      <c r="EV117" s="9"/>
      <c r="EW117" s="9"/>
      <c r="EX117" s="9"/>
      <c r="EY117" s="9"/>
      <c r="EZ117" s="9"/>
      <c r="FA117" s="9"/>
      <c r="FB117" s="9">
        <v>77.882142857100007</v>
      </c>
      <c r="FC117" s="9">
        <v>72.504761904800006</v>
      </c>
      <c r="FD117" s="9">
        <v>6176.875</v>
      </c>
      <c r="FE117" s="9">
        <v>97.666666666699996</v>
      </c>
      <c r="FF117" s="9">
        <v>949.375</v>
      </c>
      <c r="FG117" s="9">
        <v>2588829.0699999998</v>
      </c>
      <c r="FH117" s="9">
        <v>173480.59</v>
      </c>
      <c r="FI117" s="9">
        <v>355097.85</v>
      </c>
      <c r="FJ117" s="9">
        <v>911531.92999999982</v>
      </c>
      <c r="FK117" s="9">
        <v>35975.68</v>
      </c>
      <c r="FL117" s="9">
        <v>70235.69</v>
      </c>
      <c r="FM117" s="9"/>
      <c r="FN117" s="9"/>
      <c r="FO117" s="9"/>
      <c r="FP117" s="9"/>
      <c r="FQ117" s="9"/>
      <c r="FR117" s="9"/>
      <c r="FS117" s="9"/>
      <c r="FT117" s="9">
        <v>1677261.42</v>
      </c>
      <c r="FU117" s="9">
        <v>137504.9</v>
      </c>
      <c r="FV117" s="9">
        <v>284826.46000000002</v>
      </c>
      <c r="FW117" s="9"/>
      <c r="FX117" s="9"/>
      <c r="FY117" s="9"/>
      <c r="FZ117" s="9">
        <v>38097.589999999997</v>
      </c>
      <c r="GA117" s="9">
        <v>2196785.1</v>
      </c>
      <c r="GB117" s="9">
        <v>646699.53</v>
      </c>
      <c r="GC117" s="9">
        <v>1550085.57</v>
      </c>
      <c r="GD117" s="9">
        <v>1585629.27</v>
      </c>
      <c r="GE117" s="9">
        <v>121935.59</v>
      </c>
      <c r="GF117" s="9">
        <v>1463693.68</v>
      </c>
      <c r="GG117" s="9">
        <v>611155.83000000007</v>
      </c>
      <c r="GH117" s="9">
        <v>524763.94000000006</v>
      </c>
      <c r="GI117" s="9">
        <v>86391.89</v>
      </c>
      <c r="GJ117" s="9">
        <v>609652.29</v>
      </c>
      <c r="GK117" s="9">
        <v>3985299.49</v>
      </c>
      <c r="GL117" s="9">
        <v>284666.71000000002</v>
      </c>
      <c r="GM117">
        <v>1429.05</v>
      </c>
      <c r="GO117" s="6"/>
      <c r="GP117" s="6"/>
      <c r="GQ117" s="6"/>
    </row>
    <row r="118" spans="1:199" x14ac:dyDescent="0.2">
      <c r="A118" s="8">
        <v>2009</v>
      </c>
      <c r="B118" s="8" t="s">
        <v>351</v>
      </c>
      <c r="C118" s="8" t="s">
        <v>354</v>
      </c>
      <c r="D118" s="9">
        <v>1747017.6</v>
      </c>
      <c r="E118" s="9">
        <v>383669.9</v>
      </c>
      <c r="F118" s="9">
        <v>325675.7</v>
      </c>
      <c r="G118" s="9">
        <v>95339.5</v>
      </c>
      <c r="H118" s="9">
        <v>36263.9</v>
      </c>
      <c r="I118" s="9">
        <v>24370.9</v>
      </c>
      <c r="J118" s="9">
        <v>113413.8</v>
      </c>
      <c r="K118" s="9">
        <v>178819.20000000001</v>
      </c>
      <c r="L118" s="9">
        <v>49526.1</v>
      </c>
      <c r="M118" s="9">
        <v>382651.1</v>
      </c>
      <c r="N118" s="9">
        <v>157287.6</v>
      </c>
      <c r="O118" s="9">
        <v>3512010.3474113112</v>
      </c>
      <c r="P118" s="9">
        <v>695059.2401062157</v>
      </c>
      <c r="Q118" s="9">
        <v>538467.25033058773</v>
      </c>
      <c r="R118" s="9">
        <v>245297.2721334582</v>
      </c>
      <c r="S118" s="9">
        <v>84654.213816449803</v>
      </c>
      <c r="T118" s="9">
        <v>94906.370367205804</v>
      </c>
      <c r="U118" s="9">
        <v>298186.32985828392</v>
      </c>
      <c r="V118" s="9">
        <v>248310.99582794751</v>
      </c>
      <c r="W118" s="9">
        <v>71351.513441168907</v>
      </c>
      <c r="X118" s="9">
        <v>986850.28661769384</v>
      </c>
      <c r="Y118" s="9">
        <v>248926.8749122998</v>
      </c>
      <c r="Z118" s="9">
        <v>1684283.7</v>
      </c>
      <c r="AA118" s="9">
        <v>939319.6</v>
      </c>
      <c r="AB118" s="9">
        <v>190322.6</v>
      </c>
      <c r="AC118" s="9">
        <v>552740.30000000005</v>
      </c>
      <c r="AD118" s="9">
        <v>104887.5</v>
      </c>
      <c r="AE118" s="9">
        <v>952736.2</v>
      </c>
      <c r="AF118" s="9">
        <v>1055722.5</v>
      </c>
      <c r="AG118" s="9">
        <v>3373351.2788053658</v>
      </c>
      <c r="AH118" s="9">
        <v>1871743.5098539719</v>
      </c>
      <c r="AI118" s="9">
        <v>372718.0122613592</v>
      </c>
      <c r="AJ118" s="9">
        <v>990248.43910620001</v>
      </c>
      <c r="AK118" s="9">
        <v>244002.4541876688</v>
      </c>
      <c r="AL118" s="9">
        <v>1283276.8214025849</v>
      </c>
      <c r="AM118" s="9">
        <v>1388637.958006419</v>
      </c>
      <c r="AN118" s="9">
        <v>1035141</v>
      </c>
      <c r="AO118" s="9">
        <v>535852</v>
      </c>
      <c r="AP118" s="9">
        <v>499289</v>
      </c>
      <c r="AQ118" s="9">
        <v>120371</v>
      </c>
      <c r="AR118" s="9">
        <v>58125</v>
      </c>
      <c r="AS118" s="9">
        <v>62246</v>
      </c>
      <c r="AT118" s="9">
        <v>728072</v>
      </c>
      <c r="AU118" s="9">
        <v>304697</v>
      </c>
      <c r="AV118" s="9">
        <v>423375</v>
      </c>
      <c r="AW118" s="9">
        <v>296.5</v>
      </c>
      <c r="AX118" s="9">
        <v>174.6</v>
      </c>
      <c r="AY118" s="9">
        <v>392.2</v>
      </c>
      <c r="AZ118" s="9">
        <v>278.7</v>
      </c>
      <c r="BA118" s="9">
        <v>285.60000000000002</v>
      </c>
      <c r="BB118" s="9"/>
      <c r="BC118" s="9">
        <v>258.2</v>
      </c>
      <c r="BD118" s="9">
        <v>218.5</v>
      </c>
      <c r="BE118" s="9">
        <v>301</v>
      </c>
      <c r="BF118" s="9">
        <v>231.2</v>
      </c>
      <c r="BG118" s="9"/>
      <c r="BH118" s="9">
        <v>600.20000000000005</v>
      </c>
      <c r="BI118" s="9">
        <v>260.10000000000002</v>
      </c>
      <c r="BJ118" s="9">
        <v>262.7</v>
      </c>
      <c r="BK118" s="9">
        <v>297.8</v>
      </c>
      <c r="BL118" s="9"/>
      <c r="BM118" s="9">
        <v>268.10000000000002</v>
      </c>
      <c r="BN118" s="9">
        <v>193556.8</v>
      </c>
      <c r="BO118" s="9">
        <v>154362.70000000001</v>
      </c>
      <c r="BP118" s="9">
        <v>43970.7</v>
      </c>
      <c r="BQ118" s="9">
        <v>5902.3</v>
      </c>
      <c r="BR118" s="9">
        <v>11641.7</v>
      </c>
      <c r="BS118" s="9">
        <v>24300</v>
      </c>
      <c r="BT118" s="9">
        <v>29398</v>
      </c>
      <c r="BU118" s="9">
        <v>12172.8</v>
      </c>
      <c r="BV118" s="9">
        <v>38924.9</v>
      </c>
      <c r="BW118" s="9">
        <v>138542</v>
      </c>
      <c r="BX118" s="9">
        <v>4139.8999999999996</v>
      </c>
      <c r="BY118" s="9">
        <v>30315.9</v>
      </c>
      <c r="BZ118" s="9">
        <v>46999.6</v>
      </c>
      <c r="CA118" s="9">
        <v>3524.3</v>
      </c>
      <c r="CB118" s="9">
        <v>1139</v>
      </c>
      <c r="CC118" s="9">
        <v>56563.3</v>
      </c>
      <c r="CD118" s="9">
        <v>0</v>
      </c>
      <c r="CE118" s="9">
        <v>48879.6</v>
      </c>
      <c r="CF118" s="9">
        <v>622707.27903982811</v>
      </c>
      <c r="CG118" s="9">
        <v>2652385.1535334471</v>
      </c>
      <c r="CH118" s="9"/>
      <c r="CI118" s="9"/>
      <c r="CJ118" s="9">
        <v>22.1582668858</v>
      </c>
      <c r="CK118" s="9">
        <v>14.791277467</v>
      </c>
      <c r="CL118" s="9">
        <v>10</v>
      </c>
      <c r="CM118" s="9">
        <v>54.916305303500003</v>
      </c>
      <c r="CN118" s="9">
        <v>22.654740973700001</v>
      </c>
      <c r="CO118" s="9">
        <v>1.5614849269</v>
      </c>
      <c r="CP118" s="9">
        <v>7.5396215726999998</v>
      </c>
      <c r="CQ118" s="9">
        <v>5.7528748966999999</v>
      </c>
      <c r="CR118" s="9">
        <v>2.9861169296000001</v>
      </c>
      <c r="CS118" s="9">
        <v>1.1268532382000001</v>
      </c>
      <c r="CT118" s="9">
        <v>5.2464074524999997</v>
      </c>
      <c r="CU118" s="9">
        <v>0.83936885000000006</v>
      </c>
      <c r="CV118" s="9">
        <v>1.3518072050000001</v>
      </c>
      <c r="CW118" s="9">
        <v>3.7862736397000001</v>
      </c>
      <c r="CX118" s="9">
        <v>0.63649860859999996</v>
      </c>
      <c r="CY118" s="9">
        <v>1.4342570100000001</v>
      </c>
      <c r="CZ118" s="9">
        <v>205</v>
      </c>
      <c r="DA118" s="9">
        <v>180</v>
      </c>
      <c r="DB118" s="9">
        <v>68</v>
      </c>
      <c r="DC118" s="9">
        <v>49</v>
      </c>
      <c r="DD118" s="9">
        <v>7</v>
      </c>
      <c r="DE118" s="9">
        <v>10</v>
      </c>
      <c r="DF118" s="9">
        <v>26</v>
      </c>
      <c r="DG118" s="9">
        <v>13</v>
      </c>
      <c r="DH118" s="9">
        <v>17</v>
      </c>
      <c r="DI118" s="9">
        <v>5</v>
      </c>
      <c r="DJ118" s="9">
        <v>3</v>
      </c>
      <c r="DK118" s="9">
        <v>8</v>
      </c>
      <c r="DL118" s="9">
        <v>0</v>
      </c>
      <c r="DM118" s="9">
        <v>8</v>
      </c>
      <c r="DN118" s="9">
        <v>0</v>
      </c>
      <c r="DO118" s="9">
        <v>218.01</v>
      </c>
      <c r="DP118" s="9">
        <v>48.71</v>
      </c>
      <c r="DQ118" s="9">
        <v>29.02</v>
      </c>
      <c r="DR118" s="9">
        <v>19.690000000000001</v>
      </c>
      <c r="DS118" s="9">
        <v>15.8</v>
      </c>
      <c r="DT118" s="9">
        <v>0.22</v>
      </c>
      <c r="DU118" s="9">
        <v>101.42</v>
      </c>
      <c r="DV118" s="9">
        <v>57.65</v>
      </c>
      <c r="DW118" s="9">
        <v>22.43</v>
      </c>
      <c r="DX118" s="9">
        <v>51.49</v>
      </c>
      <c r="DY118" s="9">
        <v>24.59</v>
      </c>
      <c r="DZ118" s="9">
        <v>17.39</v>
      </c>
      <c r="EA118" s="9">
        <v>-23.23</v>
      </c>
      <c r="EB118" s="9">
        <v>-24.038699999999999</v>
      </c>
      <c r="EC118" s="9">
        <v>-4.7418899999999997</v>
      </c>
      <c r="ED118" s="9">
        <v>-13.0869</v>
      </c>
      <c r="EE118" s="9">
        <v>18.63748</v>
      </c>
      <c r="EF118" s="9">
        <v>13.82348</v>
      </c>
      <c r="EG118" s="9">
        <v>-33.958500000000001</v>
      </c>
      <c r="EH118" s="9">
        <v>-65.845500000000001</v>
      </c>
      <c r="EI118" s="9">
        <v>78.537859999999995</v>
      </c>
      <c r="EJ118" s="9">
        <v>0</v>
      </c>
      <c r="EK118" s="9">
        <v>-46.6509</v>
      </c>
      <c r="EL118" s="9">
        <v>45.890650000000001</v>
      </c>
      <c r="EM118" s="9">
        <v>70.44265</v>
      </c>
      <c r="EN118" s="9">
        <v>1062.5999999999999</v>
      </c>
      <c r="EO118" s="9"/>
      <c r="EP118" s="9"/>
      <c r="EQ118" s="9"/>
      <c r="ER118" s="9"/>
      <c r="ES118" s="9"/>
      <c r="ET118" s="9"/>
      <c r="EU118">
        <v>1418.47</v>
      </c>
      <c r="EV118" s="9">
        <v>5663.65</v>
      </c>
      <c r="EW118" s="9">
        <v>1882.46</v>
      </c>
      <c r="EX118" s="9">
        <v>214.91</v>
      </c>
      <c r="EY118" s="9">
        <v>295.89</v>
      </c>
      <c r="EZ118" s="9">
        <v>746.49</v>
      </c>
      <c r="FA118" s="9">
        <v>2523.9</v>
      </c>
      <c r="FB118" s="9">
        <v>73.149350649400006</v>
      </c>
      <c r="FC118" s="9">
        <v>67.687272727299998</v>
      </c>
      <c r="FD118" s="9">
        <v>6195.75</v>
      </c>
      <c r="FE118" s="9">
        <v>80.713636363600003</v>
      </c>
      <c r="FF118" s="9">
        <v>996.59090909090003</v>
      </c>
      <c r="FG118" s="9">
        <v>2630934.67</v>
      </c>
      <c r="FH118" s="9">
        <v>198226.4</v>
      </c>
      <c r="FI118" s="9">
        <v>397697.38</v>
      </c>
      <c r="FJ118" s="9">
        <v>924277.41</v>
      </c>
      <c r="FK118" s="9">
        <v>34947.160000000003</v>
      </c>
      <c r="FL118" s="9">
        <v>69243.009999999995</v>
      </c>
      <c r="FM118" s="9"/>
      <c r="FN118" s="9"/>
      <c r="FO118" s="9"/>
      <c r="FP118" s="9"/>
      <c r="FQ118" s="9"/>
      <c r="FR118" s="9"/>
      <c r="FS118" s="9"/>
      <c r="FT118" s="9">
        <v>1706621.66</v>
      </c>
      <c r="FU118" s="9">
        <v>163279.24</v>
      </c>
      <c r="FV118" s="9">
        <v>328418.77</v>
      </c>
      <c r="FW118" s="9"/>
      <c r="FX118" s="9"/>
      <c r="FY118" s="9"/>
      <c r="FZ118" s="9">
        <v>35789.699999999997</v>
      </c>
      <c r="GA118" s="9">
        <v>2300506.81</v>
      </c>
      <c r="GB118" s="9">
        <v>708241.21</v>
      </c>
      <c r="GC118" s="9">
        <v>1592265.6</v>
      </c>
      <c r="GD118" s="9">
        <v>1624351.13</v>
      </c>
      <c r="GE118" s="9">
        <v>120591.81</v>
      </c>
      <c r="GF118" s="9">
        <v>1503759.32</v>
      </c>
      <c r="GG118" s="9">
        <v>676155.68</v>
      </c>
      <c r="GH118" s="9">
        <v>587649.4</v>
      </c>
      <c r="GI118" s="9">
        <v>88506.28</v>
      </c>
      <c r="GJ118" s="9">
        <v>601502.39</v>
      </c>
      <c r="GK118" s="9">
        <v>4020960.44</v>
      </c>
      <c r="GL118" s="9">
        <v>249819.45</v>
      </c>
      <c r="GM118">
        <v>1426.01</v>
      </c>
      <c r="GO118" s="6"/>
      <c r="GP118" s="6"/>
      <c r="GQ118" s="6"/>
    </row>
    <row r="119" spans="1:199" x14ac:dyDescent="0.2">
      <c r="A119" s="8">
        <v>2009</v>
      </c>
      <c r="B119" s="8" t="s">
        <v>355</v>
      </c>
      <c r="C119" s="8" t="s">
        <v>356</v>
      </c>
      <c r="D119" s="9"/>
      <c r="E119" s="9"/>
      <c r="F119" s="9"/>
      <c r="G119" s="9"/>
      <c r="H119" s="9"/>
      <c r="I119" s="9"/>
      <c r="J119" s="9"/>
      <c r="K119" s="9"/>
      <c r="L119" s="9"/>
      <c r="M119" s="9"/>
      <c r="N119" s="9"/>
      <c r="O119" s="9"/>
      <c r="P119" s="9"/>
      <c r="Q119" s="9"/>
      <c r="R119" s="9"/>
      <c r="S119" s="9"/>
      <c r="T119" s="9"/>
      <c r="U119" s="9"/>
      <c r="V119" s="9"/>
      <c r="W119" s="9"/>
      <c r="X119" s="9"/>
      <c r="Y119" s="9"/>
      <c r="Z119" s="9"/>
      <c r="AA119" s="9"/>
      <c r="AB119" s="9"/>
      <c r="AC119" s="9"/>
      <c r="AD119" s="9"/>
      <c r="AE119" s="9"/>
      <c r="AF119" s="9"/>
      <c r="AG119" s="9"/>
      <c r="AH119" s="9"/>
      <c r="AI119" s="9"/>
      <c r="AJ119" s="9"/>
      <c r="AK119" s="9"/>
      <c r="AL119" s="9"/>
      <c r="AM119" s="9"/>
      <c r="AN119" s="9"/>
      <c r="AO119" s="9"/>
      <c r="AP119" s="9"/>
      <c r="AQ119" s="9"/>
      <c r="AR119" s="9"/>
      <c r="AS119" s="9"/>
      <c r="AT119" s="9"/>
      <c r="AU119" s="9"/>
      <c r="AV119" s="9"/>
      <c r="AW119" s="9"/>
      <c r="AX119" s="9"/>
      <c r="AY119" s="9"/>
      <c r="AZ119" s="9"/>
      <c r="BA119" s="9"/>
      <c r="BB119" s="9"/>
      <c r="BC119" s="9"/>
      <c r="BD119" s="9"/>
      <c r="BE119" s="9"/>
      <c r="BF119" s="9"/>
      <c r="BG119" s="9"/>
      <c r="BH119" s="9"/>
      <c r="BI119" s="9"/>
      <c r="BJ119" s="9"/>
      <c r="BK119" s="9"/>
      <c r="BL119" s="9"/>
      <c r="BM119" s="9"/>
      <c r="BN119" s="9">
        <v>188176.5</v>
      </c>
      <c r="BO119" s="9">
        <v>176632.2</v>
      </c>
      <c r="BP119" s="9">
        <v>78361.899999999994</v>
      </c>
      <c r="BQ119" s="9">
        <v>35318.400000000001</v>
      </c>
      <c r="BR119" s="9">
        <v>10966.4</v>
      </c>
      <c r="BS119" s="9">
        <v>20734.2</v>
      </c>
      <c r="BT119" s="9">
        <v>30295.8</v>
      </c>
      <c r="BU119" s="9">
        <v>13282.4</v>
      </c>
      <c r="BV119" s="9">
        <v>11253.7</v>
      </c>
      <c r="BW119" s="9">
        <v>141155.29999999999</v>
      </c>
      <c r="BX119" s="9">
        <v>5349.1</v>
      </c>
      <c r="BY119" s="9">
        <v>18058.8</v>
      </c>
      <c r="BZ119" s="9">
        <v>46927.3</v>
      </c>
      <c r="CA119" s="9">
        <v>2228.4</v>
      </c>
      <c r="CB119" s="9">
        <v>2432</v>
      </c>
      <c r="CC119" s="9">
        <v>71508.7</v>
      </c>
      <c r="CD119" s="9">
        <v>0</v>
      </c>
      <c r="CE119" s="9">
        <v>45221.8</v>
      </c>
      <c r="CF119" s="9">
        <v>608778.24329635804</v>
      </c>
      <c r="CG119" s="9">
        <v>2669937.0564018278</v>
      </c>
      <c r="CH119" s="9"/>
      <c r="CI119" s="9"/>
      <c r="CJ119" s="9">
        <v>21.927293435700001</v>
      </c>
      <c r="CK119" s="9">
        <v>15.849071927200001</v>
      </c>
      <c r="CL119" s="9">
        <v>10</v>
      </c>
      <c r="CM119" s="9">
        <v>54.765575855199998</v>
      </c>
      <c r="CN119" s="9">
        <v>22.4027104808</v>
      </c>
      <c r="CO119" s="9">
        <v>1.5624769757999999</v>
      </c>
      <c r="CP119" s="9">
        <v>7.6310435176000002</v>
      </c>
      <c r="CQ119" s="9">
        <v>5.7414604623000001</v>
      </c>
      <c r="CR119" s="9">
        <v>2.9980375560999999</v>
      </c>
      <c r="CS119" s="9">
        <v>1.1368641498000001</v>
      </c>
      <c r="CT119" s="9">
        <v>5.2400902852</v>
      </c>
      <c r="CU119" s="9">
        <v>0.83936885000000006</v>
      </c>
      <c r="CV119" s="9">
        <v>1.3518072050000001</v>
      </c>
      <c r="CW119" s="9">
        <v>3.7862736397000001</v>
      </c>
      <c r="CX119" s="9">
        <v>0.63649860859999996</v>
      </c>
      <c r="CY119" s="9">
        <v>1.4389441244000001</v>
      </c>
      <c r="CZ119" s="9">
        <v>201</v>
      </c>
      <c r="DA119" s="9">
        <v>173</v>
      </c>
      <c r="DB119" s="9">
        <v>42</v>
      </c>
      <c r="DC119" s="9">
        <v>59</v>
      </c>
      <c r="DD119" s="9">
        <v>9</v>
      </c>
      <c r="DE119" s="9">
        <v>12</v>
      </c>
      <c r="DF119" s="9">
        <v>25</v>
      </c>
      <c r="DG119" s="9">
        <v>15</v>
      </c>
      <c r="DH119" s="9">
        <v>20</v>
      </c>
      <c r="DI119" s="9">
        <v>9</v>
      </c>
      <c r="DJ119" s="9">
        <v>3</v>
      </c>
      <c r="DK119" s="9">
        <v>7</v>
      </c>
      <c r="DL119" s="9">
        <v>0</v>
      </c>
      <c r="DM119" s="9">
        <v>9</v>
      </c>
      <c r="DN119" s="9">
        <v>0</v>
      </c>
      <c r="DO119" s="9">
        <v>218.39</v>
      </c>
      <c r="DP119" s="9">
        <v>57.87</v>
      </c>
      <c r="DQ119" s="9">
        <v>38.369999999999997</v>
      </c>
      <c r="DR119" s="9">
        <v>19.5</v>
      </c>
      <c r="DS119" s="9">
        <v>16.190000000000001</v>
      </c>
      <c r="DT119" s="9">
        <v>0.48</v>
      </c>
      <c r="DU119" s="9">
        <v>81.88</v>
      </c>
      <c r="DV119" s="9">
        <v>48.97</v>
      </c>
      <c r="DW119" s="9">
        <v>16.57</v>
      </c>
      <c r="DX119" s="9">
        <v>56.26</v>
      </c>
      <c r="DY119" s="9">
        <v>20.75</v>
      </c>
      <c r="DZ119" s="9">
        <v>16.23</v>
      </c>
      <c r="EA119" s="9">
        <v>-53.922400000000003</v>
      </c>
      <c r="EB119" s="9">
        <v>-20.382300000000001</v>
      </c>
      <c r="EC119" s="9">
        <v>-19.2422</v>
      </c>
      <c r="ED119" s="9">
        <v>-30.028500000000001</v>
      </c>
      <c r="EE119" s="9">
        <v>15.73063</v>
      </c>
      <c r="EF119" s="9">
        <v>11.63758</v>
      </c>
      <c r="EG119" s="9">
        <v>-198.51599999999999</v>
      </c>
      <c r="EH119" s="9">
        <v>-169.65700000000001</v>
      </c>
      <c r="EI119" s="9">
        <v>-0.64071</v>
      </c>
      <c r="EJ119" s="9">
        <v>0</v>
      </c>
      <c r="EK119" s="9">
        <v>-28.2178</v>
      </c>
      <c r="EL119" s="9">
        <v>27.972809999999999</v>
      </c>
      <c r="EM119" s="9">
        <v>184.2039</v>
      </c>
      <c r="EN119" s="9">
        <v>1262.8</v>
      </c>
      <c r="EO119" s="9"/>
      <c r="EP119" s="9"/>
      <c r="EQ119" s="9"/>
      <c r="ER119" s="9"/>
      <c r="ES119" s="9"/>
      <c r="ET119" s="9"/>
      <c r="EU119">
        <v>1438.6</v>
      </c>
      <c r="EV119" s="9"/>
      <c r="EW119" s="9"/>
      <c r="EX119" s="9"/>
      <c r="EY119" s="9"/>
      <c r="EZ119" s="9"/>
      <c r="FA119" s="9"/>
      <c r="FB119" s="9">
        <v>75.703733766200003</v>
      </c>
      <c r="FC119" s="9">
        <v>73.194090909099998</v>
      </c>
      <c r="FD119" s="9">
        <v>6305.9886363635997</v>
      </c>
      <c r="FE119" s="9">
        <v>86.786363636399997</v>
      </c>
      <c r="FF119" s="9">
        <v>1043.1590909091001</v>
      </c>
      <c r="FG119" s="9">
        <v>2617986.27</v>
      </c>
      <c r="FH119" s="9">
        <v>200873.37</v>
      </c>
      <c r="FI119" s="9">
        <v>406110.41</v>
      </c>
      <c r="FJ119" s="9">
        <v>928245.79</v>
      </c>
      <c r="FK119" s="9">
        <v>31444.560000000001</v>
      </c>
      <c r="FL119" s="9">
        <v>74241.77</v>
      </c>
      <c r="FM119" s="9"/>
      <c r="FN119" s="9"/>
      <c r="FO119" s="9"/>
      <c r="FP119" s="9"/>
      <c r="FQ119" s="9"/>
      <c r="FR119" s="9"/>
      <c r="FS119" s="9"/>
      <c r="FT119" s="9">
        <v>1689700.6</v>
      </c>
      <c r="FU119" s="9">
        <v>169428.82</v>
      </c>
      <c r="FV119" s="9">
        <v>331828.73</v>
      </c>
      <c r="FW119" s="9"/>
      <c r="FX119" s="9"/>
      <c r="FY119" s="9"/>
      <c r="FZ119" s="9">
        <v>37863.26</v>
      </c>
      <c r="GA119" s="9">
        <v>2326678.16</v>
      </c>
      <c r="GB119" s="9">
        <v>694635.33000000007</v>
      </c>
      <c r="GC119" s="9">
        <v>1632042.83</v>
      </c>
      <c r="GD119" s="9">
        <v>1639986.06</v>
      </c>
      <c r="GE119" s="9">
        <v>111569.45</v>
      </c>
      <c r="GF119" s="9">
        <v>1528416.61</v>
      </c>
      <c r="GG119" s="9">
        <v>686692.1</v>
      </c>
      <c r="GH119" s="9">
        <v>583065.88000000012</v>
      </c>
      <c r="GI119" s="9">
        <v>103626.22</v>
      </c>
      <c r="GJ119" s="9">
        <v>609770.92000000004</v>
      </c>
      <c r="GK119" s="9">
        <v>4048911.77</v>
      </c>
      <c r="GL119" s="9">
        <v>243822.28</v>
      </c>
      <c r="GM119">
        <v>1423.84</v>
      </c>
      <c r="GO119" s="6"/>
      <c r="GP119" s="6"/>
      <c r="GQ119" s="6"/>
    </row>
    <row r="120" spans="1:199" x14ac:dyDescent="0.2">
      <c r="A120" s="8">
        <v>2009</v>
      </c>
      <c r="B120" s="8" t="s">
        <v>355</v>
      </c>
      <c r="C120" s="8" t="s">
        <v>357</v>
      </c>
      <c r="D120" s="9"/>
      <c r="E120" s="9"/>
      <c r="F120" s="9"/>
      <c r="G120" s="9"/>
      <c r="H120" s="9"/>
      <c r="I120" s="9"/>
      <c r="J120" s="9"/>
      <c r="K120" s="9"/>
      <c r="L120" s="9"/>
      <c r="M120" s="9"/>
      <c r="N120" s="9"/>
      <c r="O120" s="9"/>
      <c r="P120" s="9"/>
      <c r="Q120" s="9"/>
      <c r="R120" s="9"/>
      <c r="S120" s="9"/>
      <c r="T120" s="9"/>
      <c r="U120" s="9"/>
      <c r="V120" s="9"/>
      <c r="W120" s="9"/>
      <c r="X120" s="9"/>
      <c r="Y120" s="9"/>
      <c r="Z120" s="9"/>
      <c r="AA120" s="9"/>
      <c r="AB120" s="9"/>
      <c r="AC120" s="9"/>
      <c r="AD120" s="9"/>
      <c r="AE120" s="9"/>
      <c r="AF120" s="9"/>
      <c r="AG120" s="9"/>
      <c r="AH120" s="9"/>
      <c r="AI120" s="9"/>
      <c r="AJ120" s="9"/>
      <c r="AK120" s="9"/>
      <c r="AL120" s="9"/>
      <c r="AM120" s="9"/>
      <c r="AN120" s="9"/>
      <c r="AO120" s="9"/>
      <c r="AP120" s="9"/>
      <c r="AQ120" s="9"/>
      <c r="AR120" s="9"/>
      <c r="AS120" s="9"/>
      <c r="AT120" s="9"/>
      <c r="AU120" s="9"/>
      <c r="AV120" s="9"/>
      <c r="AW120" s="9"/>
      <c r="AX120" s="9"/>
      <c r="AY120" s="9"/>
      <c r="AZ120" s="9"/>
      <c r="BA120" s="9"/>
      <c r="BB120" s="9"/>
      <c r="BC120" s="9"/>
      <c r="BD120" s="9"/>
      <c r="BE120" s="9"/>
      <c r="BF120" s="9"/>
      <c r="BG120" s="9"/>
      <c r="BH120" s="9"/>
      <c r="BI120" s="9"/>
      <c r="BJ120" s="9"/>
      <c r="BK120" s="9"/>
      <c r="BL120" s="9"/>
      <c r="BM120" s="9"/>
      <c r="BN120" s="9">
        <v>181728.4</v>
      </c>
      <c r="BO120" s="9">
        <v>156183.29999999999</v>
      </c>
      <c r="BP120" s="9">
        <v>66339.8</v>
      </c>
      <c r="BQ120" s="9">
        <v>24347.9</v>
      </c>
      <c r="BR120" s="9">
        <v>10316.6</v>
      </c>
      <c r="BS120" s="9">
        <v>22117</v>
      </c>
      <c r="BT120" s="9">
        <v>21578.799999999999</v>
      </c>
      <c r="BU120" s="9">
        <v>16121.8</v>
      </c>
      <c r="BV120" s="9">
        <v>19317.3</v>
      </c>
      <c r="BW120" s="9">
        <v>169061.6</v>
      </c>
      <c r="BX120" s="9">
        <v>2125</v>
      </c>
      <c r="BY120" s="9">
        <v>42626</v>
      </c>
      <c r="BZ120" s="9">
        <v>47297.5</v>
      </c>
      <c r="CA120" s="9">
        <v>3125</v>
      </c>
      <c r="CB120" s="9">
        <v>3234.7</v>
      </c>
      <c r="CC120" s="9">
        <v>72778.600000000006</v>
      </c>
      <c r="CD120" s="9">
        <v>0</v>
      </c>
      <c r="CE120" s="9">
        <v>36426.199999999997</v>
      </c>
      <c r="CF120" s="9">
        <v>600593.41045031301</v>
      </c>
      <c r="CG120" s="9">
        <v>2714140.0549744829</v>
      </c>
      <c r="CH120" s="9"/>
      <c r="CI120" s="9"/>
      <c r="CJ120" s="9">
        <v>18.55</v>
      </c>
      <c r="CK120" s="9">
        <v>16.399999999999999</v>
      </c>
      <c r="CL120" s="9">
        <v>10</v>
      </c>
      <c r="CM120" s="9">
        <v>55.662378971999999</v>
      </c>
      <c r="CN120" s="9">
        <v>23.060790101199999</v>
      </c>
      <c r="CO120" s="9">
        <v>1.560492878</v>
      </c>
      <c r="CP120" s="9">
        <v>7.7869986000999996</v>
      </c>
      <c r="CQ120" s="9">
        <v>5.7833133881999998</v>
      </c>
      <c r="CR120" s="9">
        <v>3.0139317246999999</v>
      </c>
      <c r="CS120" s="9">
        <v>1.1500034713</v>
      </c>
      <c r="CT120" s="9">
        <v>5.2400902852</v>
      </c>
      <c r="CU120" s="9">
        <v>0.83733647990000004</v>
      </c>
      <c r="CV120" s="9">
        <v>1.3528947409000001</v>
      </c>
      <c r="CW120" s="9">
        <v>3.7862736397000001</v>
      </c>
      <c r="CX120" s="9">
        <v>0.63792653590000004</v>
      </c>
      <c r="CY120" s="9">
        <v>1.4417563929999999</v>
      </c>
      <c r="CZ120" s="9">
        <v>182</v>
      </c>
      <c r="DA120" s="9">
        <v>156</v>
      </c>
      <c r="DB120" s="9">
        <v>18</v>
      </c>
      <c r="DC120" s="9">
        <v>57</v>
      </c>
      <c r="DD120" s="9">
        <v>9</v>
      </c>
      <c r="DE120" s="9">
        <v>15</v>
      </c>
      <c r="DF120" s="9">
        <v>27</v>
      </c>
      <c r="DG120" s="9">
        <v>17</v>
      </c>
      <c r="DH120" s="9">
        <v>15</v>
      </c>
      <c r="DI120" s="9">
        <v>7</v>
      </c>
      <c r="DJ120" s="9">
        <v>1</v>
      </c>
      <c r="DK120" s="9">
        <v>5</v>
      </c>
      <c r="DL120" s="9">
        <v>1</v>
      </c>
      <c r="DM120" s="9">
        <v>10</v>
      </c>
      <c r="DN120" s="9">
        <v>0</v>
      </c>
      <c r="DO120" s="9">
        <v>213.08</v>
      </c>
      <c r="DP120" s="9">
        <v>58.42</v>
      </c>
      <c r="DQ120" s="9">
        <v>40.07</v>
      </c>
      <c r="DR120" s="9">
        <v>18.350000000000001</v>
      </c>
      <c r="DS120" s="9">
        <v>18.66</v>
      </c>
      <c r="DT120" s="9">
        <v>0.7</v>
      </c>
      <c r="DU120" s="9">
        <v>62.33</v>
      </c>
      <c r="DV120" s="9">
        <v>36.380000000000003</v>
      </c>
      <c r="DW120" s="9">
        <v>10.18</v>
      </c>
      <c r="DX120" s="9">
        <v>73.12</v>
      </c>
      <c r="DY120" s="9">
        <v>41.71</v>
      </c>
      <c r="DZ120" s="9">
        <v>12.78</v>
      </c>
      <c r="EA120" s="9">
        <v>-44.2301</v>
      </c>
      <c r="EB120" s="9">
        <v>-8.9683299999999999</v>
      </c>
      <c r="EC120" s="9">
        <v>-21.9575</v>
      </c>
      <c r="ED120" s="9">
        <v>-30.445</v>
      </c>
      <c r="EE120" s="9">
        <v>17.140740000000001</v>
      </c>
      <c r="EF120" s="9">
        <v>11.640409999999999</v>
      </c>
      <c r="EG120" s="9">
        <v>-88.217200000000005</v>
      </c>
      <c r="EH120" s="9">
        <v>-60.788899999999998</v>
      </c>
      <c r="EI120" s="9">
        <v>-0.88668000000000002</v>
      </c>
      <c r="EJ120" s="9">
        <v>0</v>
      </c>
      <c r="EK120" s="9">
        <v>-26.541499999999999</v>
      </c>
      <c r="EL120" s="9">
        <v>-57.188499999999998</v>
      </c>
      <c r="EM120" s="9">
        <v>-1.5610200000000001</v>
      </c>
      <c r="EN120" s="9">
        <v>1295.4000000000001</v>
      </c>
      <c r="EO120" s="9"/>
      <c r="EP120" s="9"/>
      <c r="EQ120" s="9"/>
      <c r="ER120" s="9"/>
      <c r="ES120" s="9"/>
      <c r="ET120" s="9"/>
      <c r="EU120">
        <v>1431.46</v>
      </c>
      <c r="EV120" s="9"/>
      <c r="EW120" s="9"/>
      <c r="EX120" s="9"/>
      <c r="EY120" s="9"/>
      <c r="EZ120" s="9"/>
      <c r="FA120" s="9"/>
      <c r="FB120" s="9">
        <v>82.265306122400006</v>
      </c>
      <c r="FC120" s="9">
        <v>77.0366666667</v>
      </c>
      <c r="FD120" s="9">
        <v>6682.4404761904998</v>
      </c>
      <c r="FE120" s="9">
        <v>99.257142857100007</v>
      </c>
      <c r="FF120" s="9">
        <v>1127.0357142856999</v>
      </c>
      <c r="FG120" s="9">
        <v>2632031.12</v>
      </c>
      <c r="FH120" s="9">
        <v>166456.51</v>
      </c>
      <c r="FI120" s="9">
        <v>456065.93</v>
      </c>
      <c r="FJ120" s="9">
        <v>901729.81999999983</v>
      </c>
      <c r="FK120" s="9">
        <v>29681.42</v>
      </c>
      <c r="FL120" s="9">
        <v>78802.73</v>
      </c>
      <c r="FM120" s="9"/>
      <c r="FN120" s="9"/>
      <c r="FO120" s="9"/>
      <c r="FP120" s="9"/>
      <c r="FQ120" s="9"/>
      <c r="FR120" s="9"/>
      <c r="FS120" s="9"/>
      <c r="FT120" s="9">
        <v>1730270.78</v>
      </c>
      <c r="FU120" s="9">
        <v>136775.09</v>
      </c>
      <c r="FV120" s="9">
        <v>377232.68</v>
      </c>
      <c r="FW120" s="9"/>
      <c r="FX120" s="9"/>
      <c r="FY120" s="9"/>
      <c r="FZ120" s="9">
        <v>38413.46</v>
      </c>
      <c r="GA120" s="9">
        <v>2367544.54</v>
      </c>
      <c r="GB120" s="9">
        <v>703899.66999999993</v>
      </c>
      <c r="GC120" s="9">
        <v>1663644.87</v>
      </c>
      <c r="GD120" s="9">
        <v>1668208.62</v>
      </c>
      <c r="GE120" s="9">
        <v>121785.33</v>
      </c>
      <c r="GF120" s="9">
        <v>1546423.29</v>
      </c>
      <c r="GG120" s="9">
        <v>699335.92</v>
      </c>
      <c r="GH120" s="9">
        <v>582114.34000000008</v>
      </c>
      <c r="GI120" s="9">
        <v>117221.58</v>
      </c>
      <c r="GJ120" s="9">
        <v>599416.15</v>
      </c>
      <c r="GK120" s="9">
        <v>4289699.21</v>
      </c>
      <c r="GL120" s="9">
        <v>196248.5</v>
      </c>
      <c r="GM120">
        <v>1446.41</v>
      </c>
      <c r="GO120" s="6"/>
      <c r="GP120" s="6"/>
      <c r="GQ120" s="6"/>
    </row>
    <row r="121" spans="1:199" x14ac:dyDescent="0.2">
      <c r="A121" s="8">
        <v>2009</v>
      </c>
      <c r="B121" s="8" t="s">
        <v>355</v>
      </c>
      <c r="C121" s="8" t="s">
        <v>358</v>
      </c>
      <c r="D121" s="9">
        <v>2033405.2</v>
      </c>
      <c r="E121" s="9">
        <v>323046.59999999998</v>
      </c>
      <c r="F121" s="9">
        <v>474918.3</v>
      </c>
      <c r="G121" s="9">
        <v>155353.1</v>
      </c>
      <c r="H121" s="9">
        <v>50734.5</v>
      </c>
      <c r="I121" s="9">
        <v>43146.5</v>
      </c>
      <c r="J121" s="9">
        <v>169060.7</v>
      </c>
      <c r="K121" s="9">
        <v>166361.70000000001</v>
      </c>
      <c r="L121" s="9">
        <v>65174.8</v>
      </c>
      <c r="M121" s="9">
        <v>420037.8</v>
      </c>
      <c r="N121" s="9">
        <v>165571.1</v>
      </c>
      <c r="O121" s="9">
        <v>4087732.2030871161</v>
      </c>
      <c r="P121" s="9">
        <v>573505.38109545084</v>
      </c>
      <c r="Q121" s="9">
        <v>769486.62268180004</v>
      </c>
      <c r="R121" s="9">
        <v>391694.97739993292</v>
      </c>
      <c r="S121" s="9">
        <v>116060.83406597729</v>
      </c>
      <c r="T121" s="9">
        <v>164656.01445751739</v>
      </c>
      <c r="U121" s="9">
        <v>435584.8044445191</v>
      </c>
      <c r="V121" s="9">
        <v>226382.77747789121</v>
      </c>
      <c r="W121" s="9">
        <v>92014.653833365694</v>
      </c>
      <c r="X121" s="9">
        <v>1061560.8924909099</v>
      </c>
      <c r="Y121" s="9">
        <v>256785.2451397515</v>
      </c>
      <c r="Z121" s="9">
        <v>2065428.1</v>
      </c>
      <c r="AA121" s="9">
        <v>976810.7</v>
      </c>
      <c r="AB121" s="9">
        <v>271628.59999999998</v>
      </c>
      <c r="AC121" s="9">
        <v>787025.4</v>
      </c>
      <c r="AD121" s="9">
        <v>149345.1</v>
      </c>
      <c r="AE121" s="9">
        <v>1020772.1</v>
      </c>
      <c r="AF121" s="9">
        <v>1140153.7</v>
      </c>
      <c r="AG121" s="9">
        <v>4136722.645012558</v>
      </c>
      <c r="AH121" s="9">
        <v>1958620.6782083311</v>
      </c>
      <c r="AI121" s="9">
        <v>535269.49074656738</v>
      </c>
      <c r="AJ121" s="9">
        <v>1418792.097931193</v>
      </c>
      <c r="AK121" s="9">
        <v>349597.57707238168</v>
      </c>
      <c r="AL121" s="9">
        <v>1383513.6556345641</v>
      </c>
      <c r="AM121" s="9">
        <v>1509070.854580478</v>
      </c>
      <c r="AN121" s="9">
        <v>977432</v>
      </c>
      <c r="AO121" s="9">
        <v>516531</v>
      </c>
      <c r="AP121" s="9">
        <v>460901</v>
      </c>
      <c r="AQ121" s="9">
        <v>142861</v>
      </c>
      <c r="AR121" s="9">
        <v>79553</v>
      </c>
      <c r="AS121" s="9">
        <v>63308</v>
      </c>
      <c r="AT121" s="9">
        <v>703164</v>
      </c>
      <c r="AU121" s="9">
        <v>290049</v>
      </c>
      <c r="AV121" s="9">
        <v>413115</v>
      </c>
      <c r="AW121" s="9">
        <v>308.10000000000002</v>
      </c>
      <c r="AX121" s="9">
        <v>197.4</v>
      </c>
      <c r="AY121" s="9">
        <v>402.9</v>
      </c>
      <c r="AZ121" s="9">
        <v>277.7</v>
      </c>
      <c r="BA121" s="9">
        <v>313.7</v>
      </c>
      <c r="BB121" s="9"/>
      <c r="BC121" s="9">
        <v>252</v>
      </c>
      <c r="BD121" s="9">
        <v>202.7</v>
      </c>
      <c r="BE121" s="9">
        <v>297.89999999999998</v>
      </c>
      <c r="BF121" s="9">
        <v>264</v>
      </c>
      <c r="BG121" s="9"/>
      <c r="BH121" s="9">
        <v>621.1</v>
      </c>
      <c r="BI121" s="9">
        <v>261.60000000000002</v>
      </c>
      <c r="BJ121" s="9">
        <v>296.2</v>
      </c>
      <c r="BK121" s="9">
        <v>292.8</v>
      </c>
      <c r="BL121" s="9"/>
      <c r="BM121" s="9">
        <v>275</v>
      </c>
      <c r="BN121" s="9">
        <v>292677.09999999998</v>
      </c>
      <c r="BO121" s="9">
        <v>216810</v>
      </c>
      <c r="BP121" s="9">
        <v>74492.399999999994</v>
      </c>
      <c r="BQ121" s="9">
        <v>22271.9</v>
      </c>
      <c r="BR121" s="9">
        <v>18335.400000000001</v>
      </c>
      <c r="BS121" s="9">
        <v>39970.9</v>
      </c>
      <c r="BT121" s="9">
        <v>37637.9</v>
      </c>
      <c r="BU121" s="9">
        <v>21638.7</v>
      </c>
      <c r="BV121" s="9">
        <v>76014.899999999994</v>
      </c>
      <c r="BW121" s="9">
        <v>217595.1</v>
      </c>
      <c r="BX121" s="9">
        <v>-58853.7</v>
      </c>
      <c r="BY121" s="9">
        <v>72079.600000000006</v>
      </c>
      <c r="BZ121" s="9">
        <v>57419.7</v>
      </c>
      <c r="CA121" s="9">
        <v>3629.2</v>
      </c>
      <c r="CB121" s="9">
        <v>10548.5</v>
      </c>
      <c r="CC121" s="9">
        <v>73918</v>
      </c>
      <c r="CD121" s="9">
        <v>0</v>
      </c>
      <c r="CE121" s="9">
        <v>114627.9</v>
      </c>
      <c r="CF121" s="9">
        <v>651247.04175338999</v>
      </c>
      <c r="CG121" s="9">
        <v>2879429.72568146</v>
      </c>
      <c r="CH121" s="9"/>
      <c r="CI121" s="9"/>
      <c r="CJ121" s="9">
        <v>20.823628432500001</v>
      </c>
      <c r="CK121" s="9">
        <v>16.508022717700001</v>
      </c>
      <c r="CL121" s="9">
        <v>10</v>
      </c>
      <c r="CM121" s="9">
        <v>56.063638944499999</v>
      </c>
      <c r="CN121" s="9">
        <v>23.3688273703</v>
      </c>
      <c r="CO121" s="9">
        <v>1.5634690246</v>
      </c>
      <c r="CP121" s="9">
        <v>7.8515317377000002</v>
      </c>
      <c r="CQ121" s="9">
        <v>5.8023374454000001</v>
      </c>
      <c r="CR121" s="9">
        <v>3.0238655800999998</v>
      </c>
      <c r="CS121" s="9">
        <v>1.1512548352</v>
      </c>
      <c r="CT121" s="9">
        <v>5.2400902852</v>
      </c>
      <c r="CU121" s="9">
        <v>0.83733647990000004</v>
      </c>
      <c r="CV121" s="9">
        <v>1.3561573488000001</v>
      </c>
      <c r="CW121" s="9">
        <v>3.7862736397000001</v>
      </c>
      <c r="CX121" s="9">
        <v>0.63792653590000004</v>
      </c>
      <c r="CY121" s="9">
        <v>1.4445686617</v>
      </c>
      <c r="CZ121" s="9">
        <v>223</v>
      </c>
      <c r="DA121" s="9">
        <v>195</v>
      </c>
      <c r="DB121" s="9">
        <v>21</v>
      </c>
      <c r="DC121" s="9">
        <v>64</v>
      </c>
      <c r="DD121" s="9">
        <v>20</v>
      </c>
      <c r="DE121" s="9">
        <v>18</v>
      </c>
      <c r="DF121" s="9">
        <v>41</v>
      </c>
      <c r="DG121" s="9">
        <v>17</v>
      </c>
      <c r="DH121" s="9">
        <v>18</v>
      </c>
      <c r="DI121" s="9">
        <v>4</v>
      </c>
      <c r="DJ121" s="9">
        <v>3</v>
      </c>
      <c r="DK121" s="9">
        <v>9</v>
      </c>
      <c r="DL121" s="9">
        <v>0</v>
      </c>
      <c r="DM121" s="9">
        <v>10</v>
      </c>
      <c r="DN121" s="9">
        <v>0</v>
      </c>
      <c r="DO121" s="9">
        <v>204.61</v>
      </c>
      <c r="DP121" s="9">
        <v>60.34</v>
      </c>
      <c r="DQ121" s="9">
        <v>39.950000000000003</v>
      </c>
      <c r="DR121" s="9">
        <v>20.39</v>
      </c>
      <c r="DS121" s="9">
        <v>24.47</v>
      </c>
      <c r="DT121" s="9">
        <v>0.44</v>
      </c>
      <c r="DU121" s="9">
        <v>62.1</v>
      </c>
      <c r="DV121" s="9">
        <v>34.42</v>
      </c>
      <c r="DW121" s="9">
        <v>13.02</v>
      </c>
      <c r="DX121" s="9">
        <v>57.56</v>
      </c>
      <c r="DY121" s="9">
        <v>30.41</v>
      </c>
      <c r="DZ121" s="9">
        <v>15.7</v>
      </c>
      <c r="EA121" s="9">
        <v>-25.6342</v>
      </c>
      <c r="EB121" s="9">
        <v>18.491520000000001</v>
      </c>
      <c r="EC121" s="9">
        <v>-30.623699999999999</v>
      </c>
      <c r="ED121" s="9">
        <v>-30.066600000000001</v>
      </c>
      <c r="EE121" s="9">
        <v>16.564609999999998</v>
      </c>
      <c r="EF121" s="9">
        <v>11.75572</v>
      </c>
      <c r="EG121" s="9">
        <v>10.83324</v>
      </c>
      <c r="EH121" s="9">
        <v>-55.9649</v>
      </c>
      <c r="EI121" s="9">
        <v>95.015469999999993</v>
      </c>
      <c r="EJ121" s="9">
        <v>0</v>
      </c>
      <c r="EK121" s="9">
        <v>-28.217400000000001</v>
      </c>
      <c r="EL121" s="9">
        <v>69.818520000000007</v>
      </c>
      <c r="EM121" s="9">
        <v>45.106769999999997</v>
      </c>
      <c r="EN121" s="9">
        <v>1327.4</v>
      </c>
      <c r="EO121" s="9"/>
      <c r="EP121" s="9"/>
      <c r="EQ121" s="9"/>
      <c r="ER121" s="9"/>
      <c r="ES121" s="9"/>
      <c r="ET121" s="9"/>
      <c r="EU121">
        <v>1446.52</v>
      </c>
      <c r="EV121" s="9">
        <v>5822.59</v>
      </c>
      <c r="EW121" s="9">
        <v>1879.62</v>
      </c>
      <c r="EX121" s="9">
        <v>239.35</v>
      </c>
      <c r="EY121" s="9">
        <v>321.47000000000003</v>
      </c>
      <c r="EZ121" s="9">
        <v>756.85</v>
      </c>
      <c r="FA121" s="9">
        <v>2625.31</v>
      </c>
      <c r="FB121" s="9">
        <v>86.359693877599994</v>
      </c>
      <c r="FC121" s="9">
        <v>74.7</v>
      </c>
      <c r="FD121" s="9">
        <v>6976.9761904761999</v>
      </c>
      <c r="FE121" s="9">
        <v>105.24782608700001</v>
      </c>
      <c r="FF121" s="9">
        <v>1134.7236842105001</v>
      </c>
      <c r="FG121" s="9">
        <v>2655000.61</v>
      </c>
      <c r="FH121" s="9">
        <v>121739.5</v>
      </c>
      <c r="FI121" s="9">
        <v>462001.71</v>
      </c>
      <c r="FJ121" s="9">
        <v>904892.42</v>
      </c>
      <c r="FK121" s="9">
        <v>23531.9</v>
      </c>
      <c r="FL121" s="9">
        <v>80870.13</v>
      </c>
      <c r="FM121" s="9"/>
      <c r="FN121" s="9"/>
      <c r="FO121" s="9"/>
      <c r="FP121" s="9"/>
      <c r="FQ121" s="9"/>
      <c r="FR121" s="9"/>
      <c r="FS121" s="9"/>
      <c r="FT121" s="9">
        <v>1750073.64</v>
      </c>
      <c r="FU121" s="9">
        <v>98207.6</v>
      </c>
      <c r="FV121" s="9">
        <v>381097.03</v>
      </c>
      <c r="FW121" s="9"/>
      <c r="FX121" s="9"/>
      <c r="FY121" s="9"/>
      <c r="FZ121" s="9">
        <v>38434.07</v>
      </c>
      <c r="GA121" s="9">
        <v>2520393.67</v>
      </c>
      <c r="GB121" s="9">
        <v>726079.14</v>
      </c>
      <c r="GC121" s="9">
        <v>1794314.53</v>
      </c>
      <c r="GD121" s="9">
        <v>1763434.55</v>
      </c>
      <c r="GE121" s="9">
        <v>112761.41</v>
      </c>
      <c r="GF121" s="9">
        <v>1650673.14</v>
      </c>
      <c r="GG121" s="9">
        <v>756959.11999999988</v>
      </c>
      <c r="GH121" s="9">
        <v>613317.73</v>
      </c>
      <c r="GI121" s="9">
        <v>143641.39000000001</v>
      </c>
      <c r="GJ121" s="9">
        <v>558395.87</v>
      </c>
      <c r="GK121" s="9">
        <v>4421769.38</v>
      </c>
      <c r="GL121" s="9">
        <v>230212.08</v>
      </c>
      <c r="GM121">
        <v>1442.84</v>
      </c>
      <c r="GO121" s="6"/>
      <c r="GP121" s="6"/>
      <c r="GQ121" s="6"/>
    </row>
    <row r="122" spans="1:199" x14ac:dyDescent="0.2">
      <c r="A122" s="8">
        <v>2010</v>
      </c>
      <c r="B122" s="8" t="s">
        <v>359</v>
      </c>
      <c r="C122" s="8" t="s">
        <v>360</v>
      </c>
      <c r="D122" s="9"/>
      <c r="E122" s="9"/>
      <c r="F122" s="9"/>
      <c r="G122" s="9"/>
      <c r="H122" s="9"/>
      <c r="I122" s="9"/>
      <c r="J122" s="9"/>
      <c r="K122" s="9"/>
      <c r="L122" s="9"/>
      <c r="M122" s="9"/>
      <c r="N122" s="9"/>
      <c r="O122" s="9"/>
      <c r="P122" s="9"/>
      <c r="Q122" s="9"/>
      <c r="R122" s="9"/>
      <c r="S122" s="9"/>
      <c r="T122" s="9"/>
      <c r="U122" s="9"/>
      <c r="V122" s="9"/>
      <c r="W122" s="9"/>
      <c r="X122" s="9"/>
      <c r="Y122" s="9"/>
      <c r="Z122" s="9"/>
      <c r="AA122" s="9"/>
      <c r="AB122" s="9"/>
      <c r="AC122" s="9"/>
      <c r="AD122" s="9"/>
      <c r="AE122" s="9"/>
      <c r="AF122" s="9"/>
      <c r="AG122" s="9"/>
      <c r="AH122" s="9"/>
      <c r="AI122" s="9"/>
      <c r="AJ122" s="9"/>
      <c r="AK122" s="9"/>
      <c r="AL122" s="9"/>
      <c r="AM122" s="9"/>
      <c r="AN122" s="9"/>
      <c r="AO122" s="9"/>
      <c r="AP122" s="9"/>
      <c r="AQ122" s="9"/>
      <c r="AR122" s="9"/>
      <c r="AS122" s="9"/>
      <c r="AT122" s="9"/>
      <c r="AU122" s="9"/>
      <c r="AV122" s="9"/>
      <c r="AW122" s="9"/>
      <c r="AX122" s="9"/>
      <c r="AY122" s="9"/>
      <c r="AZ122" s="9"/>
      <c r="BA122" s="9"/>
      <c r="BB122" s="9"/>
      <c r="BC122" s="9"/>
      <c r="BD122" s="9"/>
      <c r="BE122" s="9"/>
      <c r="BF122" s="9"/>
      <c r="BG122" s="9"/>
      <c r="BH122" s="9"/>
      <c r="BI122" s="9"/>
      <c r="BJ122" s="9"/>
      <c r="BK122" s="9"/>
      <c r="BL122" s="9"/>
      <c r="BM122" s="9"/>
      <c r="BN122" s="9">
        <v>154677.29999999999</v>
      </c>
      <c r="BO122" s="9">
        <v>125651.1</v>
      </c>
      <c r="BP122" s="9">
        <v>42355.4</v>
      </c>
      <c r="BQ122" s="9">
        <v>8949.6</v>
      </c>
      <c r="BR122" s="9">
        <v>7078.8</v>
      </c>
      <c r="BS122" s="9">
        <v>20483.3</v>
      </c>
      <c r="BT122" s="9">
        <v>26240</v>
      </c>
      <c r="BU122" s="9">
        <v>10877.3</v>
      </c>
      <c r="BV122" s="9">
        <v>14301.6</v>
      </c>
      <c r="BW122" s="9">
        <v>207655.7</v>
      </c>
      <c r="BX122" s="9">
        <v>2053.5</v>
      </c>
      <c r="BY122" s="9">
        <v>22469.8</v>
      </c>
      <c r="BZ122" s="9">
        <v>44277.1</v>
      </c>
      <c r="CA122" s="9">
        <v>1934.9</v>
      </c>
      <c r="CB122" s="9">
        <v>9223.1</v>
      </c>
      <c r="CC122" s="9">
        <v>129750.8</v>
      </c>
      <c r="CD122" s="9">
        <v>0</v>
      </c>
      <c r="CE122" s="9">
        <v>10425.9</v>
      </c>
      <c r="CF122" s="9">
        <v>629700.95040509803</v>
      </c>
      <c r="CG122" s="9">
        <v>2870392.7884991509</v>
      </c>
      <c r="CH122" s="9"/>
      <c r="CI122" s="9"/>
      <c r="CJ122" s="9">
        <v>22.2499011797</v>
      </c>
      <c r="CK122" s="9">
        <v>15.3820337959</v>
      </c>
      <c r="CL122" s="9">
        <v>10</v>
      </c>
      <c r="CM122" s="9">
        <v>57.340571823700003</v>
      </c>
      <c r="CN122" s="9">
        <v>24.4438484241</v>
      </c>
      <c r="CO122" s="9">
        <v>1.5667743747</v>
      </c>
      <c r="CP122" s="9">
        <v>7.9239187210999997</v>
      </c>
      <c r="CQ122" s="9">
        <v>5.8949265805</v>
      </c>
      <c r="CR122" s="9">
        <v>3.0347692917</v>
      </c>
      <c r="CS122" s="9">
        <v>1.1476093808000001</v>
      </c>
      <c r="CT122" s="9">
        <v>5.2404857007999999</v>
      </c>
      <c r="CU122" s="9">
        <v>0.83937560919999998</v>
      </c>
      <c r="CV122" s="9">
        <v>1.3584478456</v>
      </c>
      <c r="CW122" s="9">
        <v>3.7871576329000001</v>
      </c>
      <c r="CX122" s="9">
        <v>0.65942574990000002</v>
      </c>
      <c r="CY122" s="9">
        <v>1.4438325123</v>
      </c>
      <c r="CZ122" s="9">
        <v>169</v>
      </c>
      <c r="DA122" s="9">
        <v>150</v>
      </c>
      <c r="DB122" s="9">
        <v>11</v>
      </c>
      <c r="DC122" s="9">
        <v>59</v>
      </c>
      <c r="DD122" s="9">
        <v>13</v>
      </c>
      <c r="DE122" s="9">
        <v>15</v>
      </c>
      <c r="DF122" s="9">
        <v>30</v>
      </c>
      <c r="DG122" s="9">
        <v>14</v>
      </c>
      <c r="DH122" s="9">
        <v>15</v>
      </c>
      <c r="DI122" s="9">
        <v>3</v>
      </c>
      <c r="DJ122" s="9">
        <v>6</v>
      </c>
      <c r="DK122" s="9">
        <v>4</v>
      </c>
      <c r="DL122" s="9">
        <v>0</v>
      </c>
      <c r="DM122" s="9">
        <v>4</v>
      </c>
      <c r="DN122" s="9">
        <v>0</v>
      </c>
      <c r="DO122" s="9">
        <v>133.72999999999999</v>
      </c>
      <c r="DP122" s="9">
        <v>42.33</v>
      </c>
      <c r="DQ122" s="9">
        <v>27.93</v>
      </c>
      <c r="DR122" s="9">
        <v>14.4</v>
      </c>
      <c r="DS122" s="9">
        <v>15.47</v>
      </c>
      <c r="DT122" s="9">
        <v>0.55000000000000004</v>
      </c>
      <c r="DU122" s="9">
        <v>50.13</v>
      </c>
      <c r="DV122" s="9">
        <v>33.78</v>
      </c>
      <c r="DW122" s="9">
        <v>7.77</v>
      </c>
      <c r="DX122" s="9">
        <v>25.79</v>
      </c>
      <c r="DY122" s="9">
        <v>12.95</v>
      </c>
      <c r="DZ122" s="9">
        <v>6.67</v>
      </c>
      <c r="EA122" s="9">
        <v>-9.4068500000000004</v>
      </c>
      <c r="EB122" s="9">
        <v>36.926760000000002</v>
      </c>
      <c r="EC122" s="9">
        <v>-28.116199999999999</v>
      </c>
      <c r="ED122" s="9">
        <v>-31.951799999999999</v>
      </c>
      <c r="EE122" s="9">
        <v>13.73441</v>
      </c>
      <c r="EF122" s="9">
        <v>8.3531519999999997</v>
      </c>
      <c r="EG122" s="9">
        <v>3.0944940000000001</v>
      </c>
      <c r="EH122" s="9">
        <v>-59.422499999999999</v>
      </c>
      <c r="EI122" s="9">
        <v>39.409109999999998</v>
      </c>
      <c r="EJ122" s="9">
        <v>0</v>
      </c>
      <c r="EK122" s="9">
        <v>23.10793</v>
      </c>
      <c r="EL122" s="9">
        <v>-17.168800000000001</v>
      </c>
      <c r="EM122" s="9">
        <v>-21.317</v>
      </c>
      <c r="EN122" s="9">
        <v>1302.5</v>
      </c>
      <c r="EO122" s="9"/>
      <c r="EP122" s="9"/>
      <c r="EQ122" s="9"/>
      <c r="ER122" s="9"/>
      <c r="ES122" s="9"/>
      <c r="ET122" s="9"/>
      <c r="EU122">
        <v>1455.09</v>
      </c>
      <c r="EV122" s="9"/>
      <c r="EW122" s="9"/>
      <c r="EX122" s="9"/>
      <c r="EY122" s="9"/>
      <c r="EZ122" s="9"/>
      <c r="FA122" s="9"/>
      <c r="FB122" s="9">
        <v>100.14375</v>
      </c>
      <c r="FC122" s="9">
        <v>76.4123809524</v>
      </c>
      <c r="FD122" s="9">
        <v>7367.375</v>
      </c>
      <c r="FE122" s="9">
        <v>125.91428571429999</v>
      </c>
      <c r="FF122" s="9">
        <v>1117.9625000000001</v>
      </c>
      <c r="FG122" s="9">
        <v>2674444.5</v>
      </c>
      <c r="FH122" s="9">
        <v>122464.72</v>
      </c>
      <c r="FI122" s="9">
        <v>458186.6</v>
      </c>
      <c r="FJ122" s="9">
        <v>920916.87</v>
      </c>
      <c r="FK122" s="9">
        <v>26997.23</v>
      </c>
      <c r="FL122" s="9">
        <v>82576.429999999993</v>
      </c>
      <c r="FM122" s="9"/>
      <c r="FN122" s="9"/>
      <c r="FO122" s="9"/>
      <c r="FP122" s="9"/>
      <c r="FQ122" s="9"/>
      <c r="FR122" s="9"/>
      <c r="FS122" s="9"/>
      <c r="FT122" s="9">
        <v>1753482.13</v>
      </c>
      <c r="FU122" s="9">
        <v>95467.49</v>
      </c>
      <c r="FV122" s="9">
        <v>375564.66</v>
      </c>
      <c r="FW122" s="9"/>
      <c r="FX122" s="9"/>
      <c r="FY122" s="9"/>
      <c r="FZ122" s="9">
        <v>38746.230000000003</v>
      </c>
      <c r="GA122" s="9">
        <v>2537998.34</v>
      </c>
      <c r="GB122" s="9">
        <v>752976.70000000007</v>
      </c>
      <c r="GC122" s="9">
        <v>1785021.64</v>
      </c>
      <c r="GD122" s="9">
        <v>1774498.61</v>
      </c>
      <c r="GE122" s="9">
        <v>111302.21</v>
      </c>
      <c r="GF122" s="9">
        <v>1663196.4</v>
      </c>
      <c r="GG122" s="9">
        <v>763499.73</v>
      </c>
      <c r="GH122" s="9">
        <v>641674.49000000011</v>
      </c>
      <c r="GI122" s="9">
        <v>121825.24</v>
      </c>
      <c r="GJ122" s="9">
        <v>518790.01</v>
      </c>
      <c r="GK122" s="9">
        <v>4338748.84</v>
      </c>
      <c r="GL122" s="9">
        <v>219361.42</v>
      </c>
      <c r="GM122">
        <v>1455.7</v>
      </c>
      <c r="GO122" s="6"/>
      <c r="GP122" s="6"/>
      <c r="GQ122" s="6"/>
    </row>
    <row r="123" spans="1:199" x14ac:dyDescent="0.2">
      <c r="A123" s="8">
        <v>2010</v>
      </c>
      <c r="B123" s="8" t="s">
        <v>359</v>
      </c>
      <c r="C123" s="8" t="s">
        <v>361</v>
      </c>
      <c r="D123" s="9"/>
      <c r="E123" s="9"/>
      <c r="F123" s="9"/>
      <c r="G123" s="9"/>
      <c r="H123" s="9"/>
      <c r="I123" s="9"/>
      <c r="J123" s="9"/>
      <c r="K123" s="9"/>
      <c r="L123" s="9"/>
      <c r="M123" s="9"/>
      <c r="N123" s="9"/>
      <c r="O123" s="9"/>
      <c r="P123" s="9"/>
      <c r="Q123" s="9"/>
      <c r="R123" s="9"/>
      <c r="S123" s="9"/>
      <c r="T123" s="9"/>
      <c r="U123" s="9"/>
      <c r="V123" s="9"/>
      <c r="W123" s="9"/>
      <c r="X123" s="9"/>
      <c r="Y123" s="9"/>
      <c r="Z123" s="9"/>
      <c r="AA123" s="9"/>
      <c r="AB123" s="9"/>
      <c r="AC123" s="9"/>
      <c r="AD123" s="9"/>
      <c r="AE123" s="9"/>
      <c r="AF123" s="9"/>
      <c r="AG123" s="9"/>
      <c r="AH123" s="9"/>
      <c r="AI123" s="9"/>
      <c r="AJ123" s="9"/>
      <c r="AK123" s="9"/>
      <c r="AL123" s="9"/>
      <c r="AM123" s="9"/>
      <c r="AN123" s="9"/>
      <c r="AO123" s="9"/>
      <c r="AP123" s="9"/>
      <c r="AQ123" s="9"/>
      <c r="AR123" s="9"/>
      <c r="AS123" s="9"/>
      <c r="AT123" s="9"/>
      <c r="AU123" s="9"/>
      <c r="AV123" s="9"/>
      <c r="AW123" s="9"/>
      <c r="AX123" s="9"/>
      <c r="AY123" s="9"/>
      <c r="AZ123" s="9"/>
      <c r="BA123" s="9"/>
      <c r="BB123" s="9"/>
      <c r="BC123" s="9"/>
      <c r="BD123" s="9"/>
      <c r="BE123" s="9"/>
      <c r="BF123" s="9"/>
      <c r="BG123" s="9"/>
      <c r="BH123" s="9"/>
      <c r="BI123" s="9"/>
      <c r="BJ123" s="9"/>
      <c r="BK123" s="9"/>
      <c r="BL123" s="9"/>
      <c r="BM123" s="9"/>
      <c r="BN123" s="9">
        <v>171986.7</v>
      </c>
      <c r="BO123" s="9">
        <v>154633.60000000001</v>
      </c>
      <c r="BP123" s="9">
        <v>73883.5</v>
      </c>
      <c r="BQ123" s="9">
        <v>51859.9</v>
      </c>
      <c r="BR123" s="9">
        <v>11145.5</v>
      </c>
      <c r="BS123" s="9">
        <v>15441.3</v>
      </c>
      <c r="BT123" s="9">
        <v>29808.799999999999</v>
      </c>
      <c r="BU123" s="9">
        <v>15974.4</v>
      </c>
      <c r="BV123" s="9">
        <v>17207.3</v>
      </c>
      <c r="BW123" s="9">
        <v>140744.79999999999</v>
      </c>
      <c r="BX123" s="9">
        <v>4005.6</v>
      </c>
      <c r="BY123" s="9">
        <v>30823.9</v>
      </c>
      <c r="BZ123" s="9">
        <v>47850.6</v>
      </c>
      <c r="CA123" s="9">
        <v>3750</v>
      </c>
      <c r="CB123" s="9">
        <v>9068.9</v>
      </c>
      <c r="CC123" s="9">
        <v>49251.3</v>
      </c>
      <c r="CD123" s="9">
        <v>0</v>
      </c>
      <c r="CE123" s="9">
        <v>13171.4</v>
      </c>
      <c r="CF123" s="9">
        <v>627897.46645263187</v>
      </c>
      <c r="CG123" s="9">
        <v>2981256.8949659029</v>
      </c>
      <c r="CH123" s="9"/>
      <c r="CI123" s="9"/>
      <c r="CJ123" s="9">
        <v>21.413441236699999</v>
      </c>
      <c r="CK123" s="9">
        <v>14.9408210683</v>
      </c>
      <c r="CL123" s="9">
        <v>10</v>
      </c>
      <c r="CM123" s="9">
        <v>59.076819697799998</v>
      </c>
      <c r="CN123" s="9">
        <v>25.962093515999999</v>
      </c>
      <c r="CO123" s="9">
        <v>1.5707890245</v>
      </c>
      <c r="CP123" s="9">
        <v>8.0452191608000003</v>
      </c>
      <c r="CQ123" s="9">
        <v>5.8884927710000001</v>
      </c>
      <c r="CR123" s="9">
        <v>3.0673315761</v>
      </c>
      <c r="CS123" s="9">
        <v>1.1487525297000001</v>
      </c>
      <c r="CT123" s="9">
        <v>5.1932093545000004</v>
      </c>
      <c r="CU123" s="9">
        <v>0.91015065959999997</v>
      </c>
      <c r="CV123" s="9">
        <v>1.3664687811</v>
      </c>
      <c r="CW123" s="9">
        <v>3.7871576329000001</v>
      </c>
      <c r="CX123" s="9">
        <v>0.6782519333</v>
      </c>
      <c r="CY123" s="9">
        <v>1.4589027584000001</v>
      </c>
      <c r="CZ123" s="9">
        <v>140</v>
      </c>
      <c r="DA123" s="9">
        <v>127</v>
      </c>
      <c r="DB123" s="9">
        <v>8</v>
      </c>
      <c r="DC123" s="9">
        <v>59</v>
      </c>
      <c r="DD123" s="9">
        <v>10</v>
      </c>
      <c r="DE123" s="9">
        <v>14</v>
      </c>
      <c r="DF123" s="9">
        <v>16</v>
      </c>
      <c r="DG123" s="9">
        <v>11</v>
      </c>
      <c r="DH123" s="9">
        <v>10</v>
      </c>
      <c r="DI123" s="9">
        <v>2</v>
      </c>
      <c r="DJ123" s="9">
        <v>3</v>
      </c>
      <c r="DK123" s="9">
        <v>3</v>
      </c>
      <c r="DL123" s="9">
        <v>0</v>
      </c>
      <c r="DM123" s="9">
        <v>3</v>
      </c>
      <c r="DN123" s="9">
        <v>0</v>
      </c>
      <c r="DO123" s="9">
        <v>162.97</v>
      </c>
      <c r="DP123" s="9">
        <v>40.270000000000003</v>
      </c>
      <c r="DQ123" s="9">
        <v>25.22</v>
      </c>
      <c r="DR123" s="9">
        <v>15.05</v>
      </c>
      <c r="DS123" s="9">
        <v>13.53</v>
      </c>
      <c r="DT123" s="9">
        <v>1.07</v>
      </c>
      <c r="DU123" s="9">
        <v>57.5</v>
      </c>
      <c r="DV123" s="9">
        <v>44.29</v>
      </c>
      <c r="DW123" s="9">
        <v>7.45</v>
      </c>
      <c r="DX123" s="9">
        <v>51.45</v>
      </c>
      <c r="DY123" s="9">
        <v>30.08</v>
      </c>
      <c r="DZ123" s="9">
        <v>10.01</v>
      </c>
      <c r="EA123" s="9">
        <v>-34.0229</v>
      </c>
      <c r="EB123" s="9">
        <v>-10.731999999999999</v>
      </c>
      <c r="EC123" s="9">
        <v>-16.367599999999999</v>
      </c>
      <c r="ED123" s="9">
        <v>-19.046800000000001</v>
      </c>
      <c r="EE123" s="9">
        <v>12.12337</v>
      </c>
      <c r="EF123" s="9">
        <v>8.3485340000000008</v>
      </c>
      <c r="EG123" s="9">
        <v>-26.967500000000001</v>
      </c>
      <c r="EH123" s="9">
        <v>-62.874099999999999</v>
      </c>
      <c r="EI123" s="9">
        <v>0.37957800000000003</v>
      </c>
      <c r="EJ123" s="9">
        <v>0</v>
      </c>
      <c r="EK123" s="9">
        <v>35.527050000000003</v>
      </c>
      <c r="EL123" s="9">
        <v>-26.919599999999999</v>
      </c>
      <c r="EM123" s="9">
        <v>-25.6265</v>
      </c>
      <c r="EN123" s="9">
        <v>1270.9000000000001</v>
      </c>
      <c r="EO123" s="9"/>
      <c r="EP123" s="9"/>
      <c r="EQ123" s="9"/>
      <c r="ER123" s="9"/>
      <c r="ES123" s="9"/>
      <c r="ET123" s="9"/>
      <c r="EU123">
        <v>1446.08</v>
      </c>
      <c r="EV123" s="9"/>
      <c r="EW123" s="9"/>
      <c r="EX123" s="9"/>
      <c r="EY123" s="9"/>
      <c r="EZ123" s="9"/>
      <c r="FA123" s="9"/>
      <c r="FB123" s="9">
        <v>98.158928571399997</v>
      </c>
      <c r="FC123" s="9">
        <v>74.311999999999998</v>
      </c>
      <c r="FD123" s="9">
        <v>6867.6750000000002</v>
      </c>
      <c r="FE123" s="9">
        <v>127.61499999999999</v>
      </c>
      <c r="FF123" s="9">
        <v>1095.4124999999999</v>
      </c>
      <c r="FG123" s="9">
        <v>2682019.85</v>
      </c>
      <c r="FH123" s="9">
        <v>142782.91</v>
      </c>
      <c r="FI123" s="9">
        <v>442514.48</v>
      </c>
      <c r="FJ123" s="9">
        <v>919923.7</v>
      </c>
      <c r="FK123" s="9">
        <v>44443.8</v>
      </c>
      <c r="FL123" s="9">
        <v>82083.67</v>
      </c>
      <c r="FM123" s="9"/>
      <c r="FN123" s="9"/>
      <c r="FO123" s="9"/>
      <c r="FP123" s="9"/>
      <c r="FQ123" s="9"/>
      <c r="FR123" s="9"/>
      <c r="FS123" s="9"/>
      <c r="FT123" s="9">
        <v>1762046.4</v>
      </c>
      <c r="FU123" s="9">
        <v>98339.1</v>
      </c>
      <c r="FV123" s="9">
        <v>360381.07</v>
      </c>
      <c r="FW123" s="9"/>
      <c r="FX123" s="9"/>
      <c r="FY123" s="9"/>
      <c r="FZ123" s="9">
        <v>40659.96</v>
      </c>
      <c r="GA123" s="9">
        <v>2626305.79</v>
      </c>
      <c r="GB123" s="9">
        <v>754585.76</v>
      </c>
      <c r="GC123" s="9">
        <v>1871720.03</v>
      </c>
      <c r="GD123" s="9">
        <v>1871229.14</v>
      </c>
      <c r="GE123" s="9">
        <v>117564.49</v>
      </c>
      <c r="GF123" s="9">
        <v>1753664.65</v>
      </c>
      <c r="GG123" s="9">
        <v>755076.65</v>
      </c>
      <c r="GH123" s="9">
        <v>637021.27</v>
      </c>
      <c r="GI123" s="9">
        <v>118055.38</v>
      </c>
      <c r="GJ123" s="9">
        <v>531705.07999999996</v>
      </c>
      <c r="GK123" s="9">
        <v>4499643.07</v>
      </c>
      <c r="GL123" s="9">
        <v>252683.05</v>
      </c>
      <c r="GM123">
        <v>1449.82</v>
      </c>
      <c r="GO123" s="6"/>
      <c r="GP123" s="6"/>
      <c r="GQ123" s="6"/>
    </row>
    <row r="124" spans="1:199" x14ac:dyDescent="0.2">
      <c r="A124" s="8">
        <v>2010</v>
      </c>
      <c r="B124" s="8" t="s">
        <v>359</v>
      </c>
      <c r="C124" s="8" t="s">
        <v>362</v>
      </c>
      <c r="D124" s="9">
        <v>1674571.54</v>
      </c>
      <c r="E124" s="9">
        <v>47800.75</v>
      </c>
      <c r="F124" s="9">
        <v>395477.2</v>
      </c>
      <c r="G124" s="9">
        <v>120048.1</v>
      </c>
      <c r="H124" s="9">
        <v>59488.5</v>
      </c>
      <c r="I124" s="9">
        <v>5816.01</v>
      </c>
      <c r="J124" s="9">
        <v>204388.17</v>
      </c>
      <c r="K124" s="9">
        <v>122199.13</v>
      </c>
      <c r="L124" s="9">
        <v>61223.88</v>
      </c>
      <c r="M124" s="9">
        <v>503792.82</v>
      </c>
      <c r="N124" s="9">
        <v>154336.98000000001</v>
      </c>
      <c r="O124" s="9">
        <v>2418750.2839004952</v>
      </c>
      <c r="P124" s="9">
        <v>72224.7656414331</v>
      </c>
      <c r="Q124" s="9">
        <v>402802.06247722049</v>
      </c>
      <c r="R124" s="9">
        <v>203690.2629759621</v>
      </c>
      <c r="S124" s="9">
        <v>111496.9300617259</v>
      </c>
      <c r="T124" s="9">
        <v>8837.7871289110008</v>
      </c>
      <c r="U124" s="9">
        <v>262598.73433666269</v>
      </c>
      <c r="V124" s="9">
        <v>142344.25577568941</v>
      </c>
      <c r="W124" s="9">
        <v>76908.696624080694</v>
      </c>
      <c r="X124" s="9">
        <v>934204.616304136</v>
      </c>
      <c r="Y124" s="9">
        <v>203642.17257467381</v>
      </c>
      <c r="Z124" s="9">
        <v>1711157.4</v>
      </c>
      <c r="AA124" s="9">
        <v>1280815.7</v>
      </c>
      <c r="AB124" s="9">
        <v>262455.09999999998</v>
      </c>
      <c r="AC124" s="9">
        <v>328910.2</v>
      </c>
      <c r="AD124" s="9">
        <v>80877.8</v>
      </c>
      <c r="AE124" s="9">
        <v>817700.4</v>
      </c>
      <c r="AF124" s="9">
        <v>1059601.8</v>
      </c>
      <c r="AG124" s="9">
        <v>2456356.5591072771</v>
      </c>
      <c r="AH124" s="9">
        <v>1828792.069418303</v>
      </c>
      <c r="AI124" s="9">
        <v>397504.82521194778</v>
      </c>
      <c r="AJ124" s="9">
        <v>400567.40395680058</v>
      </c>
      <c r="AK124" s="9">
        <v>127814.4530239173</v>
      </c>
      <c r="AL124" s="9">
        <v>772663.14075651811</v>
      </c>
      <c r="AM124" s="9">
        <v>1070985.33326021</v>
      </c>
      <c r="AN124" s="9">
        <v>975889</v>
      </c>
      <c r="AO124" s="9">
        <v>506335</v>
      </c>
      <c r="AP124" s="9">
        <v>469554</v>
      </c>
      <c r="AQ124" s="9">
        <v>135122</v>
      </c>
      <c r="AR124" s="9">
        <v>76333</v>
      </c>
      <c r="AS124" s="9">
        <v>58789</v>
      </c>
      <c r="AT124" s="9">
        <v>707407</v>
      </c>
      <c r="AU124" s="9">
        <v>287139</v>
      </c>
      <c r="AV124" s="9">
        <v>420268</v>
      </c>
      <c r="AW124" s="9">
        <v>314.39999999999998</v>
      </c>
      <c r="AX124" s="9">
        <v>180.3</v>
      </c>
      <c r="AY124" s="9">
        <v>494.5</v>
      </c>
      <c r="AZ124" s="9">
        <v>295.10000000000002</v>
      </c>
      <c r="BA124" s="9">
        <v>317.39999999999998</v>
      </c>
      <c r="BB124" s="9"/>
      <c r="BC124" s="9">
        <v>208.4</v>
      </c>
      <c r="BD124" s="9">
        <v>232.2</v>
      </c>
      <c r="BE124" s="9">
        <v>352.3</v>
      </c>
      <c r="BF124" s="9">
        <v>233.8</v>
      </c>
      <c r="BG124" s="9"/>
      <c r="BH124" s="9">
        <v>657.3</v>
      </c>
      <c r="BI124" s="9">
        <v>262.3</v>
      </c>
      <c r="BJ124" s="9">
        <v>270.3</v>
      </c>
      <c r="BK124" s="9">
        <v>294.60000000000002</v>
      </c>
      <c r="BL124" s="9"/>
      <c r="BM124" s="9">
        <v>247</v>
      </c>
      <c r="BN124" s="9">
        <v>228173.4</v>
      </c>
      <c r="BO124" s="9">
        <v>199999.5</v>
      </c>
      <c r="BP124" s="9">
        <v>71193.100000000006</v>
      </c>
      <c r="BQ124" s="9">
        <v>19667.099999999999</v>
      </c>
      <c r="BR124" s="9">
        <v>13559.8</v>
      </c>
      <c r="BS124" s="9">
        <v>28660.400000000001</v>
      </c>
      <c r="BT124" s="9">
        <v>44809.2</v>
      </c>
      <c r="BU124" s="9">
        <v>17011.2</v>
      </c>
      <c r="BV124" s="9">
        <v>27870.2</v>
      </c>
      <c r="BW124" s="9">
        <v>164156.29999999999</v>
      </c>
      <c r="BX124" s="9">
        <v>104067.6</v>
      </c>
      <c r="BY124" s="9">
        <v>47720.5</v>
      </c>
      <c r="BZ124" s="9">
        <v>49628.3</v>
      </c>
      <c r="CA124" s="9">
        <v>2145.6999999999998</v>
      </c>
      <c r="CB124" s="9">
        <v>11608.2</v>
      </c>
      <c r="CC124" s="9">
        <v>53053.8</v>
      </c>
      <c r="CD124" s="9">
        <v>0</v>
      </c>
      <c r="CE124" s="9">
        <v>17758</v>
      </c>
      <c r="CF124" s="9">
        <v>693003.01357504993</v>
      </c>
      <c r="CG124" s="9">
        <v>2973911.5735159731</v>
      </c>
      <c r="CH124" s="9"/>
      <c r="CI124" s="9"/>
      <c r="CJ124" s="9">
        <v>20.0480134546</v>
      </c>
      <c r="CK124" s="9">
        <v>14.9343314054</v>
      </c>
      <c r="CL124" s="9">
        <v>10</v>
      </c>
      <c r="CM124" s="9">
        <v>60.237277098</v>
      </c>
      <c r="CN124" s="9">
        <v>27.0571203525</v>
      </c>
      <c r="CO124" s="9">
        <v>1.5671183343999999</v>
      </c>
      <c r="CP124" s="9">
        <v>8.0523382304000002</v>
      </c>
      <c r="CQ124" s="9">
        <v>5.8271242998000004</v>
      </c>
      <c r="CR124" s="9">
        <v>3.0789465842000001</v>
      </c>
      <c r="CS124" s="9">
        <v>1.1531641244999999</v>
      </c>
      <c r="CT124" s="9">
        <v>5.2387469202999997</v>
      </c>
      <c r="CU124" s="9">
        <v>0.95305235119999998</v>
      </c>
      <c r="CV124" s="9">
        <v>1.3702597405000001</v>
      </c>
      <c r="CW124" s="9">
        <v>3.7871576329000001</v>
      </c>
      <c r="CX124" s="9">
        <v>0.68114672639999996</v>
      </c>
      <c r="CY124" s="9">
        <v>1.4711018008000001</v>
      </c>
      <c r="CZ124" s="9">
        <v>184</v>
      </c>
      <c r="DA124" s="9">
        <v>167</v>
      </c>
      <c r="DB124" s="9">
        <v>10</v>
      </c>
      <c r="DC124" s="9">
        <v>64</v>
      </c>
      <c r="DD124" s="9">
        <v>13</v>
      </c>
      <c r="DE124" s="9">
        <v>10</v>
      </c>
      <c r="DF124" s="9">
        <v>48</v>
      </c>
      <c r="DG124" s="9">
        <v>15</v>
      </c>
      <c r="DH124" s="9">
        <v>12</v>
      </c>
      <c r="DI124" s="9">
        <v>2</v>
      </c>
      <c r="DJ124" s="9">
        <v>5</v>
      </c>
      <c r="DK124" s="9">
        <v>2</v>
      </c>
      <c r="DL124" s="9">
        <v>0</v>
      </c>
      <c r="DM124" s="9">
        <v>5</v>
      </c>
      <c r="DN124" s="9">
        <v>0</v>
      </c>
      <c r="DO124" s="9">
        <v>272.25</v>
      </c>
      <c r="DP124" s="9">
        <v>54.92</v>
      </c>
      <c r="DQ124" s="9">
        <v>29.68</v>
      </c>
      <c r="DR124" s="9">
        <v>25.23</v>
      </c>
      <c r="DS124" s="9">
        <v>19.739999999999998</v>
      </c>
      <c r="DT124" s="9">
        <v>0.28000000000000003</v>
      </c>
      <c r="DU124" s="9">
        <v>122.71</v>
      </c>
      <c r="DV124" s="9">
        <v>98.96</v>
      </c>
      <c r="DW124" s="9">
        <v>16.72</v>
      </c>
      <c r="DX124" s="9">
        <v>55.44</v>
      </c>
      <c r="DY124" s="9">
        <v>24.08</v>
      </c>
      <c r="DZ124" s="9">
        <v>17.84</v>
      </c>
      <c r="EA124" s="9">
        <v>-100.961</v>
      </c>
      <c r="EB124" s="9">
        <v>-83.815600000000003</v>
      </c>
      <c r="EC124" s="9">
        <v>-21.1022</v>
      </c>
      <c r="ED124" s="9">
        <v>-15.4762</v>
      </c>
      <c r="EE124" s="9">
        <v>19.433330000000002</v>
      </c>
      <c r="EF124" s="9">
        <v>8.6411569999999998</v>
      </c>
      <c r="EG124" s="9">
        <v>-107.55200000000001</v>
      </c>
      <c r="EH124" s="9">
        <v>-71.884900000000002</v>
      </c>
      <c r="EI124" s="9">
        <v>36.816330000000001</v>
      </c>
      <c r="EJ124" s="9">
        <v>0</v>
      </c>
      <c r="EK124" s="9">
        <v>-72.483400000000003</v>
      </c>
      <c r="EL124" s="9">
        <v>-4.6373699999999998</v>
      </c>
      <c r="EM124" s="9">
        <v>10.595079999999999</v>
      </c>
      <c r="EN124" s="9">
        <v>1304.8</v>
      </c>
      <c r="EO124" s="9"/>
      <c r="EP124" s="9"/>
      <c r="EQ124" s="9"/>
      <c r="ER124" s="9"/>
      <c r="ES124" s="9"/>
      <c r="ET124" s="9"/>
      <c r="EU124">
        <v>1412.82</v>
      </c>
      <c r="EV124" s="9">
        <v>5808.74</v>
      </c>
      <c r="EW124" s="9">
        <v>1823.16</v>
      </c>
      <c r="EX124" s="9">
        <v>257.85000000000002</v>
      </c>
      <c r="EY124" s="9">
        <v>351.1</v>
      </c>
      <c r="EZ124" s="9">
        <v>746.95</v>
      </c>
      <c r="FA124" s="9">
        <v>2629.68</v>
      </c>
      <c r="FB124" s="9">
        <v>100.099378882</v>
      </c>
      <c r="FC124" s="9">
        <v>79.274782608699994</v>
      </c>
      <c r="FD124" s="9">
        <v>7466.9347826086996</v>
      </c>
      <c r="FE124" s="9">
        <v>139.76956521739999</v>
      </c>
      <c r="FF124" s="9">
        <v>1113.3369565216999</v>
      </c>
      <c r="FG124" s="9">
        <v>2734817.09</v>
      </c>
      <c r="FH124" s="9">
        <v>148882.26</v>
      </c>
      <c r="FI124" s="9">
        <v>429701.32</v>
      </c>
      <c r="FJ124" s="9">
        <v>930304.08</v>
      </c>
      <c r="FK124" s="9">
        <v>64312.2</v>
      </c>
      <c r="FL124" s="9">
        <v>80719.94</v>
      </c>
      <c r="FM124" s="9"/>
      <c r="FN124" s="9"/>
      <c r="FO124" s="9"/>
      <c r="FP124" s="9"/>
      <c r="FQ124" s="9"/>
      <c r="FR124" s="9"/>
      <c r="FS124" s="9"/>
      <c r="FT124" s="9">
        <v>1804464.84</v>
      </c>
      <c r="FU124" s="9">
        <v>84570.06</v>
      </c>
      <c r="FV124" s="9">
        <v>348933.19</v>
      </c>
      <c r="FW124" s="9"/>
      <c r="FX124" s="9"/>
      <c r="FY124" s="9"/>
      <c r="FZ124" s="9">
        <v>38353.67</v>
      </c>
      <c r="GA124" s="9">
        <v>2586999.17</v>
      </c>
      <c r="GB124" s="9">
        <v>745213.05</v>
      </c>
      <c r="GC124" s="9">
        <v>1841786.12</v>
      </c>
      <c r="GD124" s="9">
        <v>1861251.23</v>
      </c>
      <c r="GE124" s="9">
        <v>116951.14</v>
      </c>
      <c r="GF124" s="9">
        <v>1744300.09</v>
      </c>
      <c r="GG124" s="9">
        <v>725747.94</v>
      </c>
      <c r="GH124" s="9">
        <v>628261.90999999992</v>
      </c>
      <c r="GI124" s="9">
        <v>97486.03</v>
      </c>
      <c r="GJ124" s="9">
        <v>592042.56000000006</v>
      </c>
      <c r="GK124" s="9">
        <v>4481593.2300000004</v>
      </c>
      <c r="GL124" s="9">
        <v>251779.16</v>
      </c>
      <c r="GM124">
        <v>1367.1</v>
      </c>
      <c r="GO124" s="6"/>
      <c r="GP124" s="6"/>
      <c r="GQ124" s="6"/>
    </row>
    <row r="125" spans="1:199" x14ac:dyDescent="0.2">
      <c r="A125" s="8">
        <v>2010</v>
      </c>
      <c r="B125" s="8" t="s">
        <v>363</v>
      </c>
      <c r="C125" s="8" t="s">
        <v>364</v>
      </c>
      <c r="D125" s="9"/>
      <c r="E125" s="9"/>
      <c r="F125" s="9"/>
      <c r="G125" s="9"/>
      <c r="H125" s="9"/>
      <c r="I125" s="9"/>
      <c r="J125" s="9"/>
      <c r="K125" s="9"/>
      <c r="L125" s="9"/>
      <c r="M125" s="9"/>
      <c r="N125" s="9"/>
      <c r="O125" s="9"/>
      <c r="P125" s="9"/>
      <c r="Q125" s="9"/>
      <c r="R125" s="9"/>
      <c r="S125" s="9"/>
      <c r="T125" s="9"/>
      <c r="U125" s="9"/>
      <c r="V125" s="9"/>
      <c r="W125" s="9"/>
      <c r="X125" s="9"/>
      <c r="Y125" s="9"/>
      <c r="Z125" s="9"/>
      <c r="AA125" s="9"/>
      <c r="AB125" s="9"/>
      <c r="AC125" s="9"/>
      <c r="AD125" s="9"/>
      <c r="AE125" s="9"/>
      <c r="AF125" s="9"/>
      <c r="AG125" s="9"/>
      <c r="AH125" s="9"/>
      <c r="AI125" s="9"/>
      <c r="AJ125" s="9"/>
      <c r="AK125" s="9"/>
      <c r="AL125" s="9"/>
      <c r="AM125" s="9"/>
      <c r="AN125" s="9"/>
      <c r="AO125" s="9"/>
      <c r="AP125" s="9"/>
      <c r="AQ125" s="9"/>
      <c r="AR125" s="9"/>
      <c r="AS125" s="9"/>
      <c r="AT125" s="9"/>
      <c r="AU125" s="9"/>
      <c r="AV125" s="9"/>
      <c r="AW125" s="9"/>
      <c r="AX125" s="9"/>
      <c r="AY125" s="9"/>
      <c r="AZ125" s="9"/>
      <c r="BA125" s="9"/>
      <c r="BB125" s="9"/>
      <c r="BC125" s="9"/>
      <c r="BD125" s="9"/>
      <c r="BE125" s="9"/>
      <c r="BF125" s="9"/>
      <c r="BG125" s="9"/>
      <c r="BH125" s="9"/>
      <c r="BI125" s="9"/>
      <c r="BJ125" s="9"/>
      <c r="BK125" s="9"/>
      <c r="BL125" s="9"/>
      <c r="BM125" s="9"/>
      <c r="BN125" s="9">
        <v>226115.8</v>
      </c>
      <c r="BO125" s="9">
        <v>187546.2</v>
      </c>
      <c r="BP125" s="9">
        <v>69829.2</v>
      </c>
      <c r="BQ125" s="9">
        <v>44974.400000000001</v>
      </c>
      <c r="BR125" s="9">
        <v>11824.4</v>
      </c>
      <c r="BS125" s="9">
        <v>24916.2</v>
      </c>
      <c r="BT125" s="9">
        <v>39297.800000000003</v>
      </c>
      <c r="BU125" s="9">
        <v>15554.7</v>
      </c>
      <c r="BV125" s="9">
        <v>26483.200000000001</v>
      </c>
      <c r="BW125" s="9">
        <v>250434</v>
      </c>
      <c r="BX125" s="9">
        <v>4882.8999999999996</v>
      </c>
      <c r="BY125" s="9">
        <v>38963.300000000003</v>
      </c>
      <c r="BZ125" s="9">
        <v>52715.6</v>
      </c>
      <c r="CA125" s="9">
        <v>3797.4</v>
      </c>
      <c r="CB125" s="9">
        <v>2967</v>
      </c>
      <c r="CC125" s="9">
        <v>151990.6</v>
      </c>
      <c r="CD125" s="9">
        <v>0</v>
      </c>
      <c r="CE125" s="9">
        <v>51755.1</v>
      </c>
      <c r="CF125" s="9">
        <v>754299.91017847264</v>
      </c>
      <c r="CG125" s="9">
        <v>3162435.1435934179</v>
      </c>
      <c r="CH125" s="9"/>
      <c r="CI125" s="9"/>
      <c r="CJ125" s="9">
        <v>20.470090962099999</v>
      </c>
      <c r="CK125" s="9">
        <v>15.573054084300001</v>
      </c>
      <c r="CL125" s="9">
        <v>10</v>
      </c>
      <c r="CM125" s="9">
        <v>61.479741387600001</v>
      </c>
      <c r="CN125" s="9">
        <v>28.2237118647</v>
      </c>
      <c r="CO125" s="9">
        <v>1.5723303118</v>
      </c>
      <c r="CP125" s="9">
        <v>8.1055902191999998</v>
      </c>
      <c r="CQ125" s="9">
        <v>5.8060997008999999</v>
      </c>
      <c r="CR125" s="9">
        <v>3.1063474736000001</v>
      </c>
      <c r="CS125" s="9">
        <v>1.1514825619</v>
      </c>
      <c r="CT125" s="9">
        <v>5.2371720211000001</v>
      </c>
      <c r="CU125" s="9">
        <v>0.95445405699999997</v>
      </c>
      <c r="CV125" s="9">
        <v>1.373211409</v>
      </c>
      <c r="CW125" s="9">
        <v>3.7871576329000001</v>
      </c>
      <c r="CX125" s="9">
        <v>0.68298005230000003</v>
      </c>
      <c r="CY125" s="9">
        <v>1.4792040833</v>
      </c>
      <c r="CZ125" s="9">
        <v>234</v>
      </c>
      <c r="DA125" s="9">
        <v>196</v>
      </c>
      <c r="DB125" s="9">
        <v>13</v>
      </c>
      <c r="DC125" s="9">
        <v>64</v>
      </c>
      <c r="DD125" s="9">
        <v>16</v>
      </c>
      <c r="DE125" s="9">
        <v>14</v>
      </c>
      <c r="DF125" s="9">
        <v>62</v>
      </c>
      <c r="DG125" s="9">
        <v>15</v>
      </c>
      <c r="DH125" s="9">
        <v>32</v>
      </c>
      <c r="DI125" s="9">
        <v>3</v>
      </c>
      <c r="DJ125" s="9">
        <v>5</v>
      </c>
      <c r="DK125" s="9">
        <v>23</v>
      </c>
      <c r="DL125" s="9">
        <v>0</v>
      </c>
      <c r="DM125" s="9">
        <v>6</v>
      </c>
      <c r="DN125" s="9">
        <v>0</v>
      </c>
      <c r="DO125" s="9">
        <v>212.39</v>
      </c>
      <c r="DP125" s="9">
        <v>58.78</v>
      </c>
      <c r="DQ125" s="9">
        <v>36.46</v>
      </c>
      <c r="DR125" s="9">
        <v>22.31</v>
      </c>
      <c r="DS125" s="9">
        <v>18.100000000000001</v>
      </c>
      <c r="DT125" s="9">
        <v>2.0499999999999998</v>
      </c>
      <c r="DU125" s="9">
        <v>86.98</v>
      </c>
      <c r="DV125" s="9">
        <v>61.07</v>
      </c>
      <c r="DW125" s="9">
        <v>19.2</v>
      </c>
      <c r="DX125" s="9">
        <v>44.54</v>
      </c>
      <c r="DY125" s="9">
        <v>28.33</v>
      </c>
      <c r="DZ125" s="9">
        <v>8.58</v>
      </c>
      <c r="EA125" s="9">
        <v>-68.531599999999997</v>
      </c>
      <c r="EB125" s="9">
        <v>-7.2709400000000004</v>
      </c>
      <c r="EC125" s="9">
        <v>-24.595700000000001</v>
      </c>
      <c r="ED125" s="9">
        <v>-52.406799999999997</v>
      </c>
      <c r="EE125" s="9">
        <v>15.74174</v>
      </c>
      <c r="EF125" s="9">
        <v>12.000970000000001</v>
      </c>
      <c r="EG125" s="9">
        <v>-134.435</v>
      </c>
      <c r="EH125" s="9">
        <v>-183.29599999999999</v>
      </c>
      <c r="EI125" s="9">
        <v>-0.15334999999999999</v>
      </c>
      <c r="EJ125" s="9">
        <v>0</v>
      </c>
      <c r="EK125" s="9">
        <v>49.014899999999997</v>
      </c>
      <c r="EL125" s="9">
        <v>24.619230000000002</v>
      </c>
      <c r="EM125" s="9">
        <v>102.5231</v>
      </c>
      <c r="EN125" s="9">
        <v>1407</v>
      </c>
      <c r="EO125" s="9"/>
      <c r="EP125" s="9"/>
      <c r="EQ125" s="9"/>
      <c r="ER125" s="9"/>
      <c r="ES125" s="9"/>
      <c r="ET125" s="9"/>
      <c r="EU125">
        <v>1382.64</v>
      </c>
      <c r="EV125" s="9"/>
      <c r="EW125" s="9"/>
      <c r="EX125" s="9"/>
      <c r="EY125" s="9"/>
      <c r="EZ125" s="9"/>
      <c r="FA125" s="9"/>
      <c r="FB125" s="9">
        <v>104.96250000000001</v>
      </c>
      <c r="FC125" s="9">
        <v>84.928636363600006</v>
      </c>
      <c r="FD125" s="9">
        <v>7729.8374999999996</v>
      </c>
      <c r="FE125" s="9">
        <v>172.46818181820001</v>
      </c>
      <c r="FF125" s="9">
        <v>1148.6875</v>
      </c>
      <c r="FG125" s="9">
        <v>2731140</v>
      </c>
      <c r="FH125" s="9">
        <v>134573.49</v>
      </c>
      <c r="FI125" s="9">
        <v>413868.36</v>
      </c>
      <c r="FJ125" s="9">
        <v>938488.58</v>
      </c>
      <c r="FK125" s="9">
        <v>50661.21</v>
      </c>
      <c r="FL125" s="9">
        <v>74243.100000000006</v>
      </c>
      <c r="FM125" s="9"/>
      <c r="FN125" s="9"/>
      <c r="FO125" s="9"/>
      <c r="FP125" s="9"/>
      <c r="FQ125" s="9"/>
      <c r="FR125" s="9"/>
      <c r="FS125" s="9"/>
      <c r="FT125" s="9">
        <v>1792633.35</v>
      </c>
      <c r="FU125" s="9">
        <v>83912.28</v>
      </c>
      <c r="FV125" s="9">
        <v>339607.18999999989</v>
      </c>
      <c r="FW125" s="9"/>
      <c r="FX125" s="9"/>
      <c r="FY125" s="9"/>
      <c r="FZ125" s="9">
        <v>38370.949999999997</v>
      </c>
      <c r="GA125" s="9">
        <v>2732351.48</v>
      </c>
      <c r="GB125" s="9">
        <v>840695.37999999989</v>
      </c>
      <c r="GC125" s="9">
        <v>1891656.1</v>
      </c>
      <c r="GD125" s="9">
        <v>1922733.62</v>
      </c>
      <c r="GE125" s="9">
        <v>133299.17000000001</v>
      </c>
      <c r="GF125" s="9">
        <v>1789434.45</v>
      </c>
      <c r="GG125" s="9">
        <v>809617.86</v>
      </c>
      <c r="GH125" s="9">
        <v>707396.21000000008</v>
      </c>
      <c r="GI125" s="9">
        <v>102221.65</v>
      </c>
      <c r="GJ125" s="9">
        <v>565969.30000000005</v>
      </c>
      <c r="GK125" s="9">
        <v>4601484.8099999996</v>
      </c>
      <c r="GL125" s="9">
        <v>255858.73</v>
      </c>
      <c r="GM125">
        <v>1372.46</v>
      </c>
      <c r="GO125" s="6"/>
      <c r="GP125" s="6"/>
      <c r="GQ125" s="6"/>
    </row>
    <row r="126" spans="1:199" x14ac:dyDescent="0.2">
      <c r="A126" s="8">
        <v>2010</v>
      </c>
      <c r="B126" s="8" t="s">
        <v>363</v>
      </c>
      <c r="C126" s="8" t="s">
        <v>365</v>
      </c>
      <c r="D126" s="9"/>
      <c r="E126" s="9"/>
      <c r="F126" s="9"/>
      <c r="G126" s="9"/>
      <c r="H126" s="9"/>
      <c r="I126" s="9"/>
      <c r="J126" s="9"/>
      <c r="K126" s="9"/>
      <c r="L126" s="9"/>
      <c r="M126" s="9"/>
      <c r="N126" s="9"/>
      <c r="O126" s="9"/>
      <c r="P126" s="9"/>
      <c r="Q126" s="9"/>
      <c r="R126" s="9"/>
      <c r="S126" s="9"/>
      <c r="T126" s="9"/>
      <c r="U126" s="9"/>
      <c r="V126" s="9"/>
      <c r="W126" s="9"/>
      <c r="X126" s="9"/>
      <c r="Y126" s="9"/>
      <c r="Z126" s="9"/>
      <c r="AA126" s="9"/>
      <c r="AB126" s="9"/>
      <c r="AC126" s="9"/>
      <c r="AD126" s="9"/>
      <c r="AE126" s="9"/>
      <c r="AF126" s="9"/>
      <c r="AG126" s="9"/>
      <c r="AH126" s="9"/>
      <c r="AI126" s="9"/>
      <c r="AJ126" s="9"/>
      <c r="AK126" s="9"/>
      <c r="AL126" s="9"/>
      <c r="AM126" s="9"/>
      <c r="AN126" s="9"/>
      <c r="AO126" s="9"/>
      <c r="AP126" s="9"/>
      <c r="AQ126" s="9"/>
      <c r="AR126" s="9"/>
      <c r="AS126" s="9"/>
      <c r="AT126" s="9"/>
      <c r="AU126" s="9"/>
      <c r="AV126" s="9"/>
      <c r="AW126" s="9"/>
      <c r="AX126" s="9"/>
      <c r="AY126" s="9"/>
      <c r="AZ126" s="9"/>
      <c r="BA126" s="9"/>
      <c r="BB126" s="9"/>
      <c r="BC126" s="9"/>
      <c r="BD126" s="9"/>
      <c r="BE126" s="9"/>
      <c r="BF126" s="9"/>
      <c r="BG126" s="9"/>
      <c r="BH126" s="9"/>
      <c r="BI126" s="9"/>
      <c r="BJ126" s="9"/>
      <c r="BK126" s="9"/>
      <c r="BL126" s="9"/>
      <c r="BM126" s="9"/>
      <c r="BN126" s="9">
        <v>221153.9</v>
      </c>
      <c r="BO126" s="9">
        <v>188346.6</v>
      </c>
      <c r="BP126" s="9">
        <v>45337</v>
      </c>
      <c r="BQ126" s="9">
        <v>14728.5</v>
      </c>
      <c r="BR126" s="9">
        <v>9893.6</v>
      </c>
      <c r="BS126" s="9">
        <v>22813.5</v>
      </c>
      <c r="BT126" s="9">
        <v>48796.5</v>
      </c>
      <c r="BU126" s="9">
        <v>19268.3</v>
      </c>
      <c r="BV126" s="9">
        <v>26700.7</v>
      </c>
      <c r="BW126" s="9">
        <v>149860.9</v>
      </c>
      <c r="BX126" s="9">
        <v>11010.9</v>
      </c>
      <c r="BY126" s="9">
        <v>37123.300000000003</v>
      </c>
      <c r="BZ126" s="9">
        <v>48382.8</v>
      </c>
      <c r="CA126" s="9">
        <v>2326.1999999999998</v>
      </c>
      <c r="CB126" s="9">
        <v>5402.7</v>
      </c>
      <c r="CC126" s="9">
        <v>56625.9</v>
      </c>
      <c r="CD126" s="9">
        <v>0</v>
      </c>
      <c r="CE126" s="9">
        <v>39884.699999999997</v>
      </c>
      <c r="CF126" s="9">
        <v>795658.05322029348</v>
      </c>
      <c r="CG126" s="9">
        <v>3251587.0207718769</v>
      </c>
      <c r="CH126" s="9"/>
      <c r="CI126" s="9"/>
      <c r="CJ126" s="9">
        <v>20.1702546667</v>
      </c>
      <c r="CK126" s="9">
        <v>14.488688781500001</v>
      </c>
      <c r="CL126" s="9">
        <v>11</v>
      </c>
      <c r="CM126" s="9">
        <v>63.420619461500003</v>
      </c>
      <c r="CN126" s="9">
        <v>30.0173265265</v>
      </c>
      <c r="CO126" s="9">
        <v>1.5815861885</v>
      </c>
      <c r="CP126" s="9">
        <v>8.1514685902000004</v>
      </c>
      <c r="CQ126" s="9">
        <v>5.8335668653999999</v>
      </c>
      <c r="CR126" s="9">
        <v>3.1110429596000002</v>
      </c>
      <c r="CS126" s="9">
        <v>1.1574517687000001</v>
      </c>
      <c r="CT126" s="9">
        <v>5.2828728456</v>
      </c>
      <c r="CU126" s="9">
        <v>0.95357369290000005</v>
      </c>
      <c r="CV126" s="9">
        <v>1.3762518672999999</v>
      </c>
      <c r="CW126" s="9">
        <v>3.7871576329000001</v>
      </c>
      <c r="CX126" s="9">
        <v>0.68993270179999999</v>
      </c>
      <c r="CY126" s="9">
        <v>1.4783878219</v>
      </c>
      <c r="CZ126" s="9">
        <v>269</v>
      </c>
      <c r="DA126" s="9">
        <v>214</v>
      </c>
      <c r="DB126" s="9">
        <v>19</v>
      </c>
      <c r="DC126" s="9">
        <v>70</v>
      </c>
      <c r="DD126" s="9">
        <v>15</v>
      </c>
      <c r="DE126" s="9">
        <v>12</v>
      </c>
      <c r="DF126" s="9">
        <v>72</v>
      </c>
      <c r="DG126" s="9">
        <v>13</v>
      </c>
      <c r="DH126" s="9">
        <v>44</v>
      </c>
      <c r="DI126" s="9">
        <v>3</v>
      </c>
      <c r="DJ126" s="9">
        <v>3</v>
      </c>
      <c r="DK126" s="9">
        <v>37</v>
      </c>
      <c r="DL126" s="9">
        <v>0</v>
      </c>
      <c r="DM126" s="9">
        <v>10</v>
      </c>
      <c r="DN126" s="9">
        <v>0</v>
      </c>
      <c r="DO126" s="9">
        <v>235.96</v>
      </c>
      <c r="DP126" s="9">
        <v>61.82</v>
      </c>
      <c r="DQ126" s="9">
        <v>36.840000000000003</v>
      </c>
      <c r="DR126" s="9">
        <v>24.98</v>
      </c>
      <c r="DS126" s="9">
        <v>30.25</v>
      </c>
      <c r="DT126" s="9">
        <v>0.83</v>
      </c>
      <c r="DU126" s="9">
        <v>103.87</v>
      </c>
      <c r="DV126" s="9">
        <v>73.209999999999994</v>
      </c>
      <c r="DW126" s="9">
        <v>21.4</v>
      </c>
      <c r="DX126" s="9">
        <v>39.89</v>
      </c>
      <c r="DY126" s="9">
        <v>21.33</v>
      </c>
      <c r="DZ126" s="9">
        <v>7.95</v>
      </c>
      <c r="EA126" s="9">
        <v>9.6209760000000006</v>
      </c>
      <c r="EB126" s="9">
        <v>41.401809999999998</v>
      </c>
      <c r="EC126" s="9">
        <v>-25.494700000000002</v>
      </c>
      <c r="ED126" s="9">
        <v>-15.4785</v>
      </c>
      <c r="EE126" s="9">
        <v>9.1924349999999997</v>
      </c>
      <c r="EF126" s="9">
        <v>8.7189530000000008</v>
      </c>
      <c r="EG126" s="9">
        <v>-44.069400000000002</v>
      </c>
      <c r="EH126" s="9">
        <v>-81.728099999999998</v>
      </c>
      <c r="EI126" s="9">
        <v>-1.1039699999999999</v>
      </c>
      <c r="EJ126" s="9">
        <v>0</v>
      </c>
      <c r="EK126" s="9">
        <v>38.76267</v>
      </c>
      <c r="EL126" s="9">
        <v>-76.187299999999993</v>
      </c>
      <c r="EM126" s="9">
        <v>-13.778</v>
      </c>
      <c r="EN126" s="9">
        <v>1384.5</v>
      </c>
      <c r="EO126" s="9"/>
      <c r="EP126" s="9"/>
      <c r="EQ126" s="9"/>
      <c r="ER126" s="9"/>
      <c r="ES126" s="9"/>
      <c r="ET126" s="9"/>
      <c r="EU126">
        <v>1387.24</v>
      </c>
      <c r="EV126" s="9"/>
      <c r="EW126" s="9"/>
      <c r="EX126" s="9"/>
      <c r="EY126" s="9"/>
      <c r="EZ126" s="9"/>
      <c r="FA126" s="9"/>
      <c r="FB126" s="9">
        <v>107.93515037589999</v>
      </c>
      <c r="FC126" s="9">
        <v>76.250952381000005</v>
      </c>
      <c r="FD126" s="9">
        <v>6843.1578947367998</v>
      </c>
      <c r="FE126" s="9">
        <v>161.34761904760001</v>
      </c>
      <c r="FF126" s="9">
        <v>1205.4342105262999</v>
      </c>
      <c r="FG126" s="9">
        <v>2819146.59</v>
      </c>
      <c r="FH126" s="9">
        <v>123840.64</v>
      </c>
      <c r="FI126" s="9">
        <v>411615.91</v>
      </c>
      <c r="FJ126" s="9">
        <v>968016.75</v>
      </c>
      <c r="FK126" s="9">
        <v>29183.03</v>
      </c>
      <c r="FL126" s="9">
        <v>70607.92</v>
      </c>
      <c r="FM126" s="9"/>
      <c r="FN126" s="9"/>
      <c r="FO126" s="9"/>
      <c r="FP126" s="9"/>
      <c r="FQ126" s="9"/>
      <c r="FR126" s="9"/>
      <c r="FS126" s="9"/>
      <c r="FT126" s="9">
        <v>1851118.9</v>
      </c>
      <c r="FU126" s="9">
        <v>94657.61</v>
      </c>
      <c r="FV126" s="9">
        <v>340997.05</v>
      </c>
      <c r="FW126" s="9"/>
      <c r="FX126" s="9"/>
      <c r="FY126" s="9"/>
      <c r="FZ126" s="9">
        <v>38689.65</v>
      </c>
      <c r="GA126" s="9">
        <v>2807111.69</v>
      </c>
      <c r="GB126" s="9">
        <v>874962.69</v>
      </c>
      <c r="GC126" s="9">
        <v>1932149</v>
      </c>
      <c r="GD126" s="9">
        <v>1977398.14</v>
      </c>
      <c r="GE126" s="9">
        <v>136058.09</v>
      </c>
      <c r="GF126" s="9">
        <v>1841340.05</v>
      </c>
      <c r="GG126" s="9">
        <v>829713.55</v>
      </c>
      <c r="GH126" s="9">
        <v>738904.60000000009</v>
      </c>
      <c r="GI126" s="9">
        <v>90808.95</v>
      </c>
      <c r="GJ126" s="9">
        <v>543762.12</v>
      </c>
      <c r="GK126" s="9">
        <v>4669159.1100000003</v>
      </c>
      <c r="GL126" s="9">
        <v>256184.67</v>
      </c>
      <c r="GM126">
        <v>1384.85</v>
      </c>
      <c r="GO126" s="6"/>
      <c r="GP126" s="6"/>
      <c r="GQ126" s="6"/>
    </row>
    <row r="127" spans="1:199" x14ac:dyDescent="0.2">
      <c r="A127" s="8">
        <v>2010</v>
      </c>
      <c r="B127" s="8" t="s">
        <v>363</v>
      </c>
      <c r="C127" s="8" t="s">
        <v>366</v>
      </c>
      <c r="D127" s="9">
        <v>2582693.25</v>
      </c>
      <c r="E127" s="9">
        <v>465219.86</v>
      </c>
      <c r="F127" s="9">
        <v>477263.84</v>
      </c>
      <c r="G127" s="9">
        <v>168553.19</v>
      </c>
      <c r="H127" s="9">
        <v>49247.67</v>
      </c>
      <c r="I127" s="9">
        <v>32929.14</v>
      </c>
      <c r="J127" s="9">
        <v>361421.78</v>
      </c>
      <c r="K127" s="9">
        <v>151606.54</v>
      </c>
      <c r="L127" s="9">
        <v>63437.75</v>
      </c>
      <c r="M127" s="9">
        <v>566067.91</v>
      </c>
      <c r="N127" s="9">
        <v>246945.57</v>
      </c>
      <c r="O127" s="9">
        <v>3730440.8216954358</v>
      </c>
      <c r="P127" s="9">
        <v>706127.77545607556</v>
      </c>
      <c r="Q127" s="9">
        <v>488317.60751389049</v>
      </c>
      <c r="R127" s="9">
        <v>287293.34922847681</v>
      </c>
      <c r="S127" s="9">
        <v>92723.367844673397</v>
      </c>
      <c r="T127" s="9">
        <v>50265.776824868801</v>
      </c>
      <c r="U127" s="9">
        <v>466471.17456919659</v>
      </c>
      <c r="V127" s="9">
        <v>177403.99127399811</v>
      </c>
      <c r="W127" s="9">
        <v>80052.701310208606</v>
      </c>
      <c r="X127" s="9">
        <v>1054465.0483063341</v>
      </c>
      <c r="Y127" s="9">
        <v>327320.02936771442</v>
      </c>
      <c r="Z127" s="9">
        <v>2596158.7999999998</v>
      </c>
      <c r="AA127" s="9">
        <v>1299649.7</v>
      </c>
      <c r="AB127" s="9">
        <v>309688</v>
      </c>
      <c r="AC127" s="9">
        <v>871598.9</v>
      </c>
      <c r="AD127" s="9">
        <v>216701.1</v>
      </c>
      <c r="AE127" s="9">
        <v>1273465.6000000001</v>
      </c>
      <c r="AF127" s="9">
        <v>1374944.7</v>
      </c>
      <c r="AG127" s="9">
        <v>3726770.9544803286</v>
      </c>
      <c r="AH127" s="9">
        <v>1952330.010502974</v>
      </c>
      <c r="AI127" s="9">
        <v>493470.27551134379</v>
      </c>
      <c r="AJ127" s="9">
        <v>1116771.107167653</v>
      </c>
      <c r="AK127" s="9">
        <v>360297.28073456732</v>
      </c>
      <c r="AL127" s="9">
        <v>1265996.295222854</v>
      </c>
      <c r="AM127" s="9">
        <v>1462094.014659062</v>
      </c>
      <c r="AN127" s="9">
        <v>1045690</v>
      </c>
      <c r="AO127" s="9">
        <v>547385</v>
      </c>
      <c r="AP127" s="9">
        <v>498305</v>
      </c>
      <c r="AQ127" s="9">
        <v>109388</v>
      </c>
      <c r="AR127" s="9">
        <v>59920</v>
      </c>
      <c r="AS127" s="9">
        <v>49468</v>
      </c>
      <c r="AT127" s="9">
        <v>703761</v>
      </c>
      <c r="AU127" s="9">
        <v>290093</v>
      </c>
      <c r="AV127" s="9">
        <v>413668</v>
      </c>
      <c r="AW127" s="9">
        <v>338.6</v>
      </c>
      <c r="AX127" s="9">
        <v>163.9</v>
      </c>
      <c r="AY127" s="9">
        <v>641.70000000000005</v>
      </c>
      <c r="AZ127" s="9">
        <v>322.2</v>
      </c>
      <c r="BA127" s="9">
        <v>325.89999999999998</v>
      </c>
      <c r="BB127" s="9"/>
      <c r="BC127" s="9">
        <v>242.5</v>
      </c>
      <c r="BD127" s="9">
        <v>225.6</v>
      </c>
      <c r="BE127" s="9">
        <v>349.1</v>
      </c>
      <c r="BF127" s="9">
        <v>262.8</v>
      </c>
      <c r="BG127" s="9"/>
      <c r="BH127" s="9">
        <v>689.1</v>
      </c>
      <c r="BI127" s="9">
        <v>262.8</v>
      </c>
      <c r="BJ127" s="9">
        <v>338.5</v>
      </c>
      <c r="BK127" s="9">
        <v>310.39999999999998</v>
      </c>
      <c r="BL127" s="9"/>
      <c r="BM127" s="9">
        <v>250.6</v>
      </c>
      <c r="BN127" s="9">
        <v>237524.8</v>
      </c>
      <c r="BO127" s="9">
        <v>217452.3</v>
      </c>
      <c r="BP127" s="9">
        <v>52387.8</v>
      </c>
      <c r="BQ127" s="9">
        <v>16835.2</v>
      </c>
      <c r="BR127" s="9">
        <v>13477.7</v>
      </c>
      <c r="BS127" s="9">
        <v>32914.199999999997</v>
      </c>
      <c r="BT127" s="9">
        <v>53849.8</v>
      </c>
      <c r="BU127" s="9">
        <v>28051.599999999999</v>
      </c>
      <c r="BV127" s="9">
        <v>19420</v>
      </c>
      <c r="BW127" s="9">
        <v>188125.7</v>
      </c>
      <c r="BX127" s="9">
        <v>7644.3</v>
      </c>
      <c r="BY127" s="9">
        <v>38342.800000000003</v>
      </c>
      <c r="BZ127" s="9">
        <v>70685.8</v>
      </c>
      <c r="CA127" s="9">
        <v>14442.6</v>
      </c>
      <c r="CB127" s="9">
        <v>3066.1</v>
      </c>
      <c r="CC127" s="9">
        <v>61588.4</v>
      </c>
      <c r="CD127" s="9">
        <v>0</v>
      </c>
      <c r="CE127" s="9">
        <v>39501.800000000003</v>
      </c>
      <c r="CF127" s="9">
        <v>839626.89760778146</v>
      </c>
      <c r="CG127" s="9">
        <v>3521839.272544696</v>
      </c>
      <c r="CH127" s="9"/>
      <c r="CI127" s="9"/>
      <c r="CJ127" s="9">
        <v>19.729701006199999</v>
      </c>
      <c r="CK127" s="9">
        <v>13.9912202943</v>
      </c>
      <c r="CL127" s="9">
        <v>11</v>
      </c>
      <c r="CM127" s="9">
        <v>62.443597795899997</v>
      </c>
      <c r="CN127" s="9">
        <v>28.805112750999999</v>
      </c>
      <c r="CO127" s="9">
        <v>1.5811438531999999</v>
      </c>
      <c r="CP127" s="9">
        <v>8.1463282648999993</v>
      </c>
      <c r="CQ127" s="9">
        <v>6.0305172398</v>
      </c>
      <c r="CR127" s="9">
        <v>3.1369720174000002</v>
      </c>
      <c r="CS127" s="9">
        <v>1.1627303513</v>
      </c>
      <c r="CT127" s="9">
        <v>5.2928911855000003</v>
      </c>
      <c r="CU127" s="9">
        <v>0.9601543132</v>
      </c>
      <c r="CV127" s="9">
        <v>1.3691667246000001</v>
      </c>
      <c r="CW127" s="9">
        <v>3.7871576329000001</v>
      </c>
      <c r="CX127" s="9">
        <v>0.69644311219999999</v>
      </c>
      <c r="CY127" s="9">
        <v>1.4749803498</v>
      </c>
      <c r="CZ127" s="9">
        <v>316</v>
      </c>
      <c r="DA127" s="9">
        <v>261</v>
      </c>
      <c r="DB127" s="9">
        <v>47</v>
      </c>
      <c r="DC127" s="9">
        <v>66</v>
      </c>
      <c r="DD127" s="9">
        <v>23</v>
      </c>
      <c r="DE127" s="9">
        <v>3</v>
      </c>
      <c r="DF127" s="9">
        <v>101</v>
      </c>
      <c r="DG127" s="9">
        <v>9</v>
      </c>
      <c r="DH127" s="9">
        <v>44</v>
      </c>
      <c r="DI127" s="9">
        <v>1</v>
      </c>
      <c r="DJ127" s="9">
        <v>2</v>
      </c>
      <c r="DK127" s="9">
        <v>41</v>
      </c>
      <c r="DL127" s="9">
        <v>0</v>
      </c>
      <c r="DM127" s="9">
        <v>11</v>
      </c>
      <c r="DN127" s="9">
        <v>0</v>
      </c>
      <c r="DO127" s="9">
        <v>307.44</v>
      </c>
      <c r="DP127" s="9">
        <v>78.67</v>
      </c>
      <c r="DQ127" s="9">
        <v>44.56</v>
      </c>
      <c r="DR127" s="9">
        <v>34.1</v>
      </c>
      <c r="DS127" s="9">
        <v>32.67</v>
      </c>
      <c r="DT127" s="9">
        <v>1.89</v>
      </c>
      <c r="DU127" s="9">
        <v>133.91999999999999</v>
      </c>
      <c r="DV127" s="9">
        <v>93.7</v>
      </c>
      <c r="DW127" s="9">
        <v>32.51</v>
      </c>
      <c r="DX127" s="9">
        <v>61.84</v>
      </c>
      <c r="DY127" s="9">
        <v>37.130000000000003</v>
      </c>
      <c r="DZ127" s="9">
        <v>9.5</v>
      </c>
      <c r="EA127" s="9">
        <v>-2.9277000000000002</v>
      </c>
      <c r="EB127" s="9">
        <v>23.082789999999999</v>
      </c>
      <c r="EC127" s="9">
        <v>-17.8186</v>
      </c>
      <c r="ED127" s="9">
        <v>-21.263300000000001</v>
      </c>
      <c r="EE127" s="9">
        <v>13.071400000000001</v>
      </c>
      <c r="EF127" s="9">
        <v>11.47254</v>
      </c>
      <c r="EG127" s="9">
        <v>12.40278</v>
      </c>
      <c r="EH127" s="9">
        <v>-161.441</v>
      </c>
      <c r="EI127" s="9">
        <v>78.502830000000003</v>
      </c>
      <c r="EJ127" s="9">
        <v>0</v>
      </c>
      <c r="EK127" s="9">
        <v>95.340549999999993</v>
      </c>
      <c r="EL127" s="9">
        <v>77.539479999999998</v>
      </c>
      <c r="EM127" s="9">
        <v>73.681550000000001</v>
      </c>
      <c r="EN127" s="9">
        <v>1421.5</v>
      </c>
      <c r="EO127" s="9"/>
      <c r="EP127" s="9"/>
      <c r="EQ127" s="9"/>
      <c r="ER127" s="9"/>
      <c r="ES127" s="9"/>
      <c r="ET127" s="9"/>
      <c r="EU127">
        <v>1380.33</v>
      </c>
      <c r="EV127" s="9">
        <v>5940.39</v>
      </c>
      <c r="EW127" s="9">
        <v>1752.58</v>
      </c>
      <c r="EX127" s="9">
        <v>260.64999999999998</v>
      </c>
      <c r="EY127" s="9">
        <v>374.44</v>
      </c>
      <c r="EZ127" s="9">
        <v>803.76</v>
      </c>
      <c r="FA127" s="9">
        <v>2748.96</v>
      </c>
      <c r="FB127" s="9">
        <v>104.4837662338</v>
      </c>
      <c r="FC127" s="9">
        <v>74.838181818199999</v>
      </c>
      <c r="FD127" s="9">
        <v>6501.5</v>
      </c>
      <c r="FE127" s="9">
        <v>143.63181818180001</v>
      </c>
      <c r="FF127" s="9">
        <v>1232.9204545453999</v>
      </c>
      <c r="FG127" s="9">
        <v>2849058.49</v>
      </c>
      <c r="FH127" s="9">
        <v>108995.12</v>
      </c>
      <c r="FI127" s="9">
        <v>399760.21</v>
      </c>
      <c r="FJ127" s="9">
        <v>1005358.22</v>
      </c>
      <c r="FK127" s="9">
        <v>23631.29</v>
      </c>
      <c r="FL127" s="9">
        <v>68502.61</v>
      </c>
      <c r="FM127" s="9"/>
      <c r="FN127" s="9"/>
      <c r="FO127" s="9"/>
      <c r="FP127" s="9"/>
      <c r="FQ127" s="9"/>
      <c r="FR127" s="9"/>
      <c r="FS127" s="9"/>
      <c r="FT127" s="9">
        <v>1843694.96</v>
      </c>
      <c r="FU127" s="9">
        <v>85363.839999999997</v>
      </c>
      <c r="FV127" s="9">
        <v>331252.28000000003</v>
      </c>
      <c r="FW127" s="9"/>
      <c r="FX127" s="9"/>
      <c r="FY127" s="9"/>
      <c r="FZ127" s="9">
        <v>36156.71</v>
      </c>
      <c r="GA127" s="9">
        <v>3088078.73</v>
      </c>
      <c r="GB127" s="9">
        <v>1093517.3899999999</v>
      </c>
      <c r="GC127" s="9">
        <v>1994561.34</v>
      </c>
      <c r="GD127" s="9">
        <v>2061128.08</v>
      </c>
      <c r="GE127" s="9">
        <v>156648.28</v>
      </c>
      <c r="GF127" s="9">
        <v>1904479.8</v>
      </c>
      <c r="GG127" s="9">
        <v>1026950.65</v>
      </c>
      <c r="GH127" s="9">
        <v>936869.11</v>
      </c>
      <c r="GI127" s="9">
        <v>90081.54</v>
      </c>
      <c r="GJ127" s="9">
        <v>488515.11</v>
      </c>
      <c r="GK127" s="9">
        <v>4938693.4800000004</v>
      </c>
      <c r="GL127" s="9">
        <v>284285.49</v>
      </c>
      <c r="GM127">
        <v>1368.65</v>
      </c>
      <c r="GO127" s="6"/>
      <c r="GP127" s="6"/>
      <c r="GQ127" s="6"/>
    </row>
    <row r="128" spans="1:199" x14ac:dyDescent="0.2">
      <c r="A128" s="8">
        <v>2010</v>
      </c>
      <c r="B128" s="8" t="s">
        <v>367</v>
      </c>
      <c r="C128" s="8" t="s">
        <v>368</v>
      </c>
      <c r="D128" s="9"/>
      <c r="E128" s="9"/>
      <c r="F128" s="9"/>
      <c r="G128" s="9"/>
      <c r="H128" s="9"/>
      <c r="I128" s="9"/>
      <c r="J128" s="9"/>
      <c r="K128" s="9"/>
      <c r="L128" s="9"/>
      <c r="M128" s="9"/>
      <c r="N128" s="9"/>
      <c r="O128" s="9"/>
      <c r="P128" s="9"/>
      <c r="Q128" s="9"/>
      <c r="R128" s="9"/>
      <c r="S128" s="9"/>
      <c r="T128" s="9"/>
      <c r="U128" s="9"/>
      <c r="V128" s="9"/>
      <c r="W128" s="9"/>
      <c r="X128" s="9"/>
      <c r="Y128" s="9"/>
      <c r="Z128" s="9"/>
      <c r="AA128" s="9"/>
      <c r="AB128" s="9"/>
      <c r="AC128" s="9"/>
      <c r="AD128" s="9"/>
      <c r="AE128" s="9"/>
      <c r="AF128" s="9"/>
      <c r="AG128" s="9"/>
      <c r="AH128" s="9"/>
      <c r="AI128" s="9"/>
      <c r="AJ128" s="9"/>
      <c r="AK128" s="9"/>
      <c r="AL128" s="9"/>
      <c r="AM128" s="9"/>
      <c r="AN128" s="9"/>
      <c r="AO128" s="9"/>
      <c r="AP128" s="9"/>
      <c r="AQ128" s="9"/>
      <c r="AR128" s="9"/>
      <c r="AS128" s="9"/>
      <c r="AT128" s="9"/>
      <c r="AU128" s="9"/>
      <c r="AV128" s="9"/>
      <c r="AW128" s="9"/>
      <c r="AX128" s="9"/>
      <c r="AY128" s="9"/>
      <c r="AZ128" s="9"/>
      <c r="BA128" s="9"/>
      <c r="BB128" s="9"/>
      <c r="BC128" s="9"/>
      <c r="BD128" s="9"/>
      <c r="BE128" s="9"/>
      <c r="BF128" s="9"/>
      <c r="BG128" s="9"/>
      <c r="BH128" s="9"/>
      <c r="BI128" s="9"/>
      <c r="BJ128" s="9"/>
      <c r="BK128" s="9"/>
      <c r="BL128" s="9"/>
      <c r="BM128" s="9"/>
      <c r="BN128" s="9">
        <v>244338.7</v>
      </c>
      <c r="BO128" s="9">
        <v>222580.6</v>
      </c>
      <c r="BP128" s="9">
        <v>86349.8</v>
      </c>
      <c r="BQ128" s="9">
        <v>52882.1</v>
      </c>
      <c r="BR128" s="9">
        <v>11425.7</v>
      </c>
      <c r="BS128" s="9">
        <v>21805</v>
      </c>
      <c r="BT128" s="9">
        <v>42103.8</v>
      </c>
      <c r="BU128" s="9">
        <v>27761.200000000001</v>
      </c>
      <c r="BV128" s="9">
        <v>21110.6</v>
      </c>
      <c r="BW128" s="9">
        <v>149821.9</v>
      </c>
      <c r="BX128" s="9">
        <v>14584.2</v>
      </c>
      <c r="BY128" s="9">
        <v>29928.9</v>
      </c>
      <c r="BZ128" s="9">
        <v>35880.400000000001</v>
      </c>
      <c r="CA128" s="9">
        <v>1757.2</v>
      </c>
      <c r="CB128" s="9">
        <v>4410.3</v>
      </c>
      <c r="CC128" s="9">
        <v>77845.100000000006</v>
      </c>
      <c r="CD128" s="9">
        <v>0</v>
      </c>
      <c r="CE128" s="9">
        <v>41829.699999999997</v>
      </c>
      <c r="CF128" s="9">
        <v>825886.79613658984</v>
      </c>
      <c r="CG128" s="9">
        <v>3540946.4963583071</v>
      </c>
      <c r="CH128" s="9"/>
      <c r="CI128" s="9"/>
      <c r="CJ128" s="9">
        <v>19.433144388199999</v>
      </c>
      <c r="CK128" s="9">
        <v>14.330068349799999</v>
      </c>
      <c r="CL128" s="9">
        <v>11</v>
      </c>
      <c r="CM128" s="9">
        <v>60.693869567100002</v>
      </c>
      <c r="CN128" s="9">
        <v>26.940845166100001</v>
      </c>
      <c r="CO128" s="9">
        <v>1.5858023079000001</v>
      </c>
      <c r="CP128" s="9">
        <v>8.2246159843999997</v>
      </c>
      <c r="CQ128" s="9">
        <v>6.0466531236999996</v>
      </c>
      <c r="CR128" s="9">
        <v>3.1477294037000001</v>
      </c>
      <c r="CS128" s="9">
        <v>1.1620347005</v>
      </c>
      <c r="CT128" s="9">
        <v>5.2868487126000003</v>
      </c>
      <c r="CU128" s="9">
        <v>0.95948068070000003</v>
      </c>
      <c r="CV128" s="9">
        <v>1.368427166</v>
      </c>
      <c r="CW128" s="9">
        <v>3.7871576329000001</v>
      </c>
      <c r="CX128" s="9">
        <v>0.7014822181</v>
      </c>
      <c r="CY128" s="9">
        <v>1.4827924706</v>
      </c>
      <c r="CZ128" s="9">
        <v>223</v>
      </c>
      <c r="DA128" s="9">
        <v>188</v>
      </c>
      <c r="DB128" s="9">
        <v>13</v>
      </c>
      <c r="DC128" s="9">
        <v>58</v>
      </c>
      <c r="DD128" s="9">
        <v>23</v>
      </c>
      <c r="DE128" s="9">
        <v>5</v>
      </c>
      <c r="DF128" s="9">
        <v>71</v>
      </c>
      <c r="DG128" s="9">
        <v>7</v>
      </c>
      <c r="DH128" s="9">
        <v>26</v>
      </c>
      <c r="DI128" s="9">
        <v>1</v>
      </c>
      <c r="DJ128" s="9">
        <v>3</v>
      </c>
      <c r="DK128" s="9">
        <v>20</v>
      </c>
      <c r="DL128" s="9">
        <v>0</v>
      </c>
      <c r="DM128" s="9">
        <v>9</v>
      </c>
      <c r="DN128" s="9">
        <v>0</v>
      </c>
      <c r="DO128" s="9">
        <v>307.16000000000003</v>
      </c>
      <c r="DP128" s="9">
        <v>74.22</v>
      </c>
      <c r="DQ128" s="9">
        <v>41.42</v>
      </c>
      <c r="DR128" s="9">
        <v>32.79</v>
      </c>
      <c r="DS128" s="9">
        <v>27.17</v>
      </c>
      <c r="DT128" s="9">
        <v>0.9</v>
      </c>
      <c r="DU128" s="9">
        <v>148.22</v>
      </c>
      <c r="DV128" s="9">
        <v>103</v>
      </c>
      <c r="DW128" s="9">
        <v>32.729999999999997</v>
      </c>
      <c r="DX128" s="9">
        <v>57.24</v>
      </c>
      <c r="DY128" s="9">
        <v>31.28</v>
      </c>
      <c r="DZ128" s="9">
        <v>11.49</v>
      </c>
      <c r="EA128" s="9">
        <v>-76.892099999999999</v>
      </c>
      <c r="EB128" s="9">
        <v>-72.584299999999999</v>
      </c>
      <c r="EC128" s="9">
        <v>2.3855780000000002</v>
      </c>
      <c r="ED128" s="9">
        <v>-27.847899999999999</v>
      </c>
      <c r="EE128" s="9">
        <v>21.15448</v>
      </c>
      <c r="EF128" s="9">
        <v>20.554410000000001</v>
      </c>
      <c r="EG128" s="9">
        <v>-48.679099999999998</v>
      </c>
      <c r="EH128" s="9">
        <v>-74.2072</v>
      </c>
      <c r="EI128" s="9">
        <v>-1.07813</v>
      </c>
      <c r="EJ128" s="9">
        <v>0</v>
      </c>
      <c r="EK128" s="9">
        <v>26.606300000000001</v>
      </c>
      <c r="EL128" s="9">
        <v>47.830919999999999</v>
      </c>
      <c r="EM128" s="9">
        <v>40.172289999999997</v>
      </c>
      <c r="EN128" s="9">
        <v>1475.6</v>
      </c>
      <c r="EO128" s="9"/>
      <c r="EP128" s="9"/>
      <c r="EQ128" s="9"/>
      <c r="ER128" s="9"/>
      <c r="ES128" s="9"/>
      <c r="ET128" s="9"/>
      <c r="EU128">
        <v>1365.63</v>
      </c>
      <c r="EV128" s="9"/>
      <c r="EW128" s="9"/>
      <c r="EX128" s="9"/>
      <c r="EY128" s="9"/>
      <c r="EZ128" s="9"/>
      <c r="FA128" s="9"/>
      <c r="FB128" s="9">
        <v>102.861525974</v>
      </c>
      <c r="FC128" s="9">
        <v>74.735454545500005</v>
      </c>
      <c r="FD128" s="9">
        <v>6750.5681818182002</v>
      </c>
      <c r="FE128" s="9">
        <v>126.36363636359999</v>
      </c>
      <c r="FF128" s="9">
        <v>1192.9659090908999</v>
      </c>
      <c r="FG128" s="9">
        <v>2938422.47</v>
      </c>
      <c r="FH128" s="9">
        <v>106853.65</v>
      </c>
      <c r="FI128" s="9">
        <v>411294.76</v>
      </c>
      <c r="FJ128" s="9">
        <v>1041603.21</v>
      </c>
      <c r="FK128" s="9">
        <v>26043.13</v>
      </c>
      <c r="FL128" s="9">
        <v>72784.52</v>
      </c>
      <c r="FM128" s="9"/>
      <c r="FN128" s="9"/>
      <c r="FO128" s="9"/>
      <c r="FP128" s="9"/>
      <c r="FQ128" s="9"/>
      <c r="FR128" s="9"/>
      <c r="FS128" s="9"/>
      <c r="FT128" s="9">
        <v>1896301.28</v>
      </c>
      <c r="FU128" s="9">
        <v>80810.52</v>
      </c>
      <c r="FV128" s="9">
        <v>337992.26</v>
      </c>
      <c r="FW128" s="9"/>
      <c r="FX128" s="9"/>
      <c r="FY128" s="9"/>
      <c r="FZ128" s="9">
        <v>35803.06</v>
      </c>
      <c r="GA128" s="9">
        <v>3112904.24</v>
      </c>
      <c r="GB128" s="9">
        <v>1034401.29</v>
      </c>
      <c r="GC128" s="9">
        <v>2078502.95</v>
      </c>
      <c r="GD128" s="9">
        <v>2135194.23</v>
      </c>
      <c r="GE128" s="9">
        <v>159433.04999999999</v>
      </c>
      <c r="GF128" s="9">
        <v>1975761.18</v>
      </c>
      <c r="GG128" s="9">
        <v>977710.01</v>
      </c>
      <c r="GH128" s="9">
        <v>874968.24</v>
      </c>
      <c r="GI128" s="9">
        <v>102741.77</v>
      </c>
      <c r="GJ128" s="9">
        <v>498664.06999999989</v>
      </c>
      <c r="GK128" s="9">
        <v>4943297.93</v>
      </c>
      <c r="GL128" s="9">
        <v>279042.69</v>
      </c>
      <c r="GM128">
        <v>1353.49</v>
      </c>
      <c r="GO128" s="6"/>
      <c r="GP128" s="6"/>
      <c r="GQ128" s="6"/>
    </row>
    <row r="129" spans="1:199" x14ac:dyDescent="0.2">
      <c r="A129" s="8">
        <v>2010</v>
      </c>
      <c r="B129" s="8" t="s">
        <v>367</v>
      </c>
      <c r="C129" s="8" t="s">
        <v>369</v>
      </c>
      <c r="D129" s="9"/>
      <c r="E129" s="9"/>
      <c r="F129" s="9"/>
      <c r="G129" s="9"/>
      <c r="H129" s="9"/>
      <c r="I129" s="9"/>
      <c r="J129" s="9"/>
      <c r="K129" s="9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9"/>
      <c r="W129" s="9"/>
      <c r="X129" s="9"/>
      <c r="Y129" s="9"/>
      <c r="Z129" s="9"/>
      <c r="AA129" s="9"/>
      <c r="AB129" s="9"/>
      <c r="AC129" s="9"/>
      <c r="AD129" s="9"/>
      <c r="AE129" s="9"/>
      <c r="AF129" s="9"/>
      <c r="AG129" s="9"/>
      <c r="AH129" s="9"/>
      <c r="AI129" s="9"/>
      <c r="AJ129" s="9"/>
      <c r="AK129" s="9"/>
      <c r="AL129" s="9"/>
      <c r="AM129" s="9"/>
      <c r="AN129" s="9"/>
      <c r="AO129" s="9"/>
      <c r="AP129" s="9"/>
      <c r="AQ129" s="9"/>
      <c r="AR129" s="9"/>
      <c r="AS129" s="9"/>
      <c r="AT129" s="9"/>
      <c r="AU129" s="9"/>
      <c r="AV129" s="9"/>
      <c r="AW129" s="9"/>
      <c r="AX129" s="9"/>
      <c r="AY129" s="9"/>
      <c r="AZ129" s="9"/>
      <c r="BA129" s="9"/>
      <c r="BB129" s="9"/>
      <c r="BC129" s="9"/>
      <c r="BD129" s="9"/>
      <c r="BE129" s="9"/>
      <c r="BF129" s="9"/>
      <c r="BG129" s="9"/>
      <c r="BH129" s="9"/>
      <c r="BI129" s="9"/>
      <c r="BJ129" s="9"/>
      <c r="BK129" s="9"/>
      <c r="BL129" s="9"/>
      <c r="BM129" s="9"/>
      <c r="BN129" s="9">
        <v>288661.59999999998</v>
      </c>
      <c r="BO129" s="9">
        <v>262120.8</v>
      </c>
      <c r="BP129" s="9">
        <v>106074.5</v>
      </c>
      <c r="BQ129" s="9">
        <v>19798.5</v>
      </c>
      <c r="BR129" s="9">
        <v>10810.2</v>
      </c>
      <c r="BS129" s="9">
        <v>25657.9</v>
      </c>
      <c r="BT129" s="9">
        <v>51482.8</v>
      </c>
      <c r="BU129" s="9">
        <v>31433.9</v>
      </c>
      <c r="BV129" s="9">
        <v>26023</v>
      </c>
      <c r="BW129" s="9">
        <v>127723</v>
      </c>
      <c r="BX129" s="9">
        <v>840.1</v>
      </c>
      <c r="BY129" s="9">
        <v>35711.599999999999</v>
      </c>
      <c r="BZ129" s="9">
        <v>42705.2</v>
      </c>
      <c r="CA129" s="9">
        <v>3248.7</v>
      </c>
      <c r="CB129" s="9">
        <v>1732.3</v>
      </c>
      <c r="CC129" s="9">
        <v>44325.3</v>
      </c>
      <c r="CD129" s="9">
        <v>0</v>
      </c>
      <c r="CE129" s="9">
        <v>63577.2</v>
      </c>
      <c r="CF129" s="9">
        <v>931464.346465318</v>
      </c>
      <c r="CG129" s="9">
        <v>3655609.276705551</v>
      </c>
      <c r="CH129" s="9"/>
      <c r="CI129" s="9"/>
      <c r="CJ129" s="9">
        <v>20.387951903800001</v>
      </c>
      <c r="CK129" s="9">
        <v>13.9779649015</v>
      </c>
      <c r="CL129" s="9">
        <v>11</v>
      </c>
      <c r="CM129" s="9">
        <v>61.130509846199999</v>
      </c>
      <c r="CN129" s="9">
        <v>26.447092225399999</v>
      </c>
      <c r="CO129" s="9">
        <v>1.5940724963999999</v>
      </c>
      <c r="CP129" s="9">
        <v>8.2592809187</v>
      </c>
      <c r="CQ129" s="9">
        <v>6.2299870630000003</v>
      </c>
      <c r="CR129" s="9">
        <v>3.1662690953000001</v>
      </c>
      <c r="CS129" s="9">
        <v>1.1646288439000001</v>
      </c>
      <c r="CT129" s="9">
        <v>5.2797220144999999</v>
      </c>
      <c r="CU129" s="9">
        <v>0.95953026789999996</v>
      </c>
      <c r="CV129" s="9">
        <v>1.3739055302000001</v>
      </c>
      <c r="CW129" s="9">
        <v>4.4636429100999999</v>
      </c>
      <c r="CX129" s="9">
        <v>0.70523211279999998</v>
      </c>
      <c r="CY129" s="9">
        <v>1.4871463679000001</v>
      </c>
      <c r="CZ129" s="9">
        <v>253</v>
      </c>
      <c r="DA129" s="9">
        <v>228</v>
      </c>
      <c r="DB129" s="9">
        <v>12</v>
      </c>
      <c r="DC129" s="9">
        <v>59</v>
      </c>
      <c r="DD129" s="9">
        <v>27</v>
      </c>
      <c r="DE129" s="9">
        <v>13</v>
      </c>
      <c r="DF129" s="9">
        <v>91</v>
      </c>
      <c r="DG129" s="9">
        <v>14</v>
      </c>
      <c r="DH129" s="9">
        <v>14</v>
      </c>
      <c r="DI129" s="9">
        <v>3</v>
      </c>
      <c r="DJ129" s="9">
        <v>3</v>
      </c>
      <c r="DK129" s="9">
        <v>7</v>
      </c>
      <c r="DL129" s="9">
        <v>0</v>
      </c>
      <c r="DM129" s="9">
        <v>11</v>
      </c>
      <c r="DN129" s="9">
        <v>0</v>
      </c>
      <c r="DO129" s="9">
        <v>293.91000000000003</v>
      </c>
      <c r="DP129" s="9">
        <v>72.53</v>
      </c>
      <c r="DQ129" s="9">
        <v>41.12</v>
      </c>
      <c r="DR129" s="9">
        <v>31.4</v>
      </c>
      <c r="DS129" s="9">
        <v>21.14</v>
      </c>
      <c r="DT129" s="9">
        <v>0</v>
      </c>
      <c r="DU129" s="9">
        <v>141.04</v>
      </c>
      <c r="DV129" s="9">
        <v>88.19</v>
      </c>
      <c r="DW129" s="9">
        <v>35.86</v>
      </c>
      <c r="DX129" s="9">
        <v>58.86</v>
      </c>
      <c r="DY129" s="9">
        <v>32.43</v>
      </c>
      <c r="DZ129" s="9">
        <v>10.4</v>
      </c>
      <c r="EA129" s="9">
        <v>-44.586300000000001</v>
      </c>
      <c r="EB129" s="9">
        <v>-30.346699999999998</v>
      </c>
      <c r="EC129" s="9">
        <v>-18.473700000000001</v>
      </c>
      <c r="ED129" s="9">
        <v>-21.2834</v>
      </c>
      <c r="EE129" s="9">
        <v>25.517489999999999</v>
      </c>
      <c r="EF129" s="9">
        <v>26.782</v>
      </c>
      <c r="EG129" s="9">
        <v>-143.56800000000001</v>
      </c>
      <c r="EH129" s="9">
        <v>-198.3</v>
      </c>
      <c r="EI129" s="9">
        <v>-2.0425399999999998</v>
      </c>
      <c r="EJ129" s="9">
        <v>0</v>
      </c>
      <c r="EK129" s="9">
        <v>56.775410000000001</v>
      </c>
      <c r="EL129" s="9">
        <v>-32.461799999999997</v>
      </c>
      <c r="EM129" s="9">
        <v>93.301550000000006</v>
      </c>
      <c r="EN129" s="9">
        <v>1608.6</v>
      </c>
      <c r="EO129" s="9"/>
      <c r="EP129" s="9"/>
      <c r="EQ129" s="9"/>
      <c r="ER129" s="9"/>
      <c r="ES129" s="9"/>
      <c r="ET129" s="9"/>
      <c r="EU129">
        <v>1325.13</v>
      </c>
      <c r="EV129" s="9"/>
      <c r="EW129" s="9"/>
      <c r="EX129" s="9"/>
      <c r="EY129" s="9"/>
      <c r="EZ129" s="9"/>
      <c r="FA129" s="9"/>
      <c r="FB129" s="9">
        <v>96.846938775500007</v>
      </c>
      <c r="FC129" s="9">
        <v>76.693181818200003</v>
      </c>
      <c r="FD129" s="9">
        <v>7302.6666666666997</v>
      </c>
      <c r="FE129" s="9">
        <v>145.3409090909</v>
      </c>
      <c r="FF129" s="9">
        <v>1215.8095238095</v>
      </c>
      <c r="FG129" s="9">
        <v>2986992.44</v>
      </c>
      <c r="FH129" s="9">
        <v>82408.800000000003</v>
      </c>
      <c r="FI129" s="9">
        <v>407075.35</v>
      </c>
      <c r="FJ129" s="9">
        <v>1142426.45</v>
      </c>
      <c r="FK129" s="9">
        <v>16162.15</v>
      </c>
      <c r="FL129" s="9">
        <v>75824.350000000006</v>
      </c>
      <c r="FM129" s="9"/>
      <c r="FN129" s="9"/>
      <c r="FO129" s="9"/>
      <c r="FP129" s="9"/>
      <c r="FQ129" s="9"/>
      <c r="FR129" s="9"/>
      <c r="FS129" s="9"/>
      <c r="FT129" s="9">
        <v>1844258.73</v>
      </c>
      <c r="FU129" s="9">
        <v>66246.649999999994</v>
      </c>
      <c r="FV129" s="9">
        <v>330943.74</v>
      </c>
      <c r="FW129" s="9"/>
      <c r="FX129" s="9"/>
      <c r="FY129" s="9"/>
      <c r="FZ129" s="9">
        <v>34212.339999999997</v>
      </c>
      <c r="GA129" s="9">
        <v>3219561.73</v>
      </c>
      <c r="GB129" s="9">
        <v>1130312.53</v>
      </c>
      <c r="GC129" s="9">
        <v>2089249.2</v>
      </c>
      <c r="GD129" s="9">
        <v>2131153.73</v>
      </c>
      <c r="GE129" s="9">
        <v>157299.13</v>
      </c>
      <c r="GF129" s="9">
        <v>1973854.6</v>
      </c>
      <c r="GG129" s="9">
        <v>1088408</v>
      </c>
      <c r="GH129" s="9">
        <v>973013.4</v>
      </c>
      <c r="GI129" s="9">
        <v>115394.6</v>
      </c>
      <c r="GJ129" s="9">
        <v>483430.06</v>
      </c>
      <c r="GK129" s="9">
        <v>5020957.83</v>
      </c>
      <c r="GL129" s="9">
        <v>279535.71999999997</v>
      </c>
      <c r="GM129">
        <v>1301.8</v>
      </c>
      <c r="GO129" s="6"/>
      <c r="GP129" s="6"/>
      <c r="GQ129" s="6"/>
    </row>
    <row r="130" spans="1:199" x14ac:dyDescent="0.2">
      <c r="A130" s="8">
        <v>2010</v>
      </c>
      <c r="B130" s="8" t="s">
        <v>367</v>
      </c>
      <c r="C130" s="8" t="s">
        <v>370</v>
      </c>
      <c r="D130" s="9">
        <v>2617758.1</v>
      </c>
      <c r="E130" s="9">
        <v>344088.77</v>
      </c>
      <c r="F130" s="9">
        <v>590197.92000000004</v>
      </c>
      <c r="G130" s="9">
        <v>173355.21</v>
      </c>
      <c r="H130" s="9">
        <v>39620.78</v>
      </c>
      <c r="I130" s="9">
        <v>61604.11</v>
      </c>
      <c r="J130" s="9">
        <v>323390.92</v>
      </c>
      <c r="K130" s="9">
        <v>218006.06</v>
      </c>
      <c r="L130" s="9">
        <v>64076.57</v>
      </c>
      <c r="M130" s="9">
        <v>517741.22</v>
      </c>
      <c r="N130" s="9">
        <v>285676.55</v>
      </c>
      <c r="O130" s="9">
        <v>3781088.4732687031</v>
      </c>
      <c r="P130" s="9">
        <v>535642.16633480054</v>
      </c>
      <c r="Q130" s="9">
        <v>619328.03284713684</v>
      </c>
      <c r="R130" s="9">
        <v>303043.31279244833</v>
      </c>
      <c r="S130" s="9">
        <v>76507.804774549702</v>
      </c>
      <c r="T130" s="9">
        <v>96445.264468088499</v>
      </c>
      <c r="U130" s="9">
        <v>428072.69191333652</v>
      </c>
      <c r="V130" s="9">
        <v>261633.42511277011</v>
      </c>
      <c r="W130" s="9">
        <v>82929.049339878693</v>
      </c>
      <c r="X130" s="9">
        <v>989135.08460462757</v>
      </c>
      <c r="Y130" s="9">
        <v>388351.64108106622</v>
      </c>
      <c r="Z130" s="9">
        <v>2622554</v>
      </c>
      <c r="AA130" s="9">
        <v>1495106.1</v>
      </c>
      <c r="AB130" s="9">
        <v>244037.9</v>
      </c>
      <c r="AC130" s="9">
        <v>1013989.4</v>
      </c>
      <c r="AD130" s="9">
        <v>211274.6</v>
      </c>
      <c r="AE130" s="9">
        <v>1194769</v>
      </c>
      <c r="AF130" s="9">
        <v>1536622.9</v>
      </c>
      <c r="AG130" s="9">
        <v>3764661.111545336</v>
      </c>
      <c r="AH130" s="9">
        <v>2202432.9505175608</v>
      </c>
      <c r="AI130" s="9">
        <v>381327.09312996751</v>
      </c>
      <c r="AJ130" s="9">
        <v>1274044.7254883221</v>
      </c>
      <c r="AK130" s="9">
        <v>344469.61519704427</v>
      </c>
      <c r="AL130" s="9">
        <v>1164750.554247807</v>
      </c>
      <c r="AM130" s="9">
        <v>1602363.8270353661</v>
      </c>
      <c r="AN130" s="9">
        <v>1089587</v>
      </c>
      <c r="AO130" s="9">
        <v>577450</v>
      </c>
      <c r="AP130" s="9">
        <v>512137</v>
      </c>
      <c r="AQ130" s="9">
        <v>103117</v>
      </c>
      <c r="AR130" s="9">
        <v>59526</v>
      </c>
      <c r="AS130" s="9">
        <v>43591</v>
      </c>
      <c r="AT130" s="9">
        <v>740078</v>
      </c>
      <c r="AU130" s="9">
        <v>306221</v>
      </c>
      <c r="AV130" s="9">
        <v>433857</v>
      </c>
      <c r="AW130" s="9">
        <v>333.4</v>
      </c>
      <c r="AX130" s="9">
        <v>174.7</v>
      </c>
      <c r="AY130" s="9">
        <v>568.9</v>
      </c>
      <c r="AZ130" s="9">
        <v>347.9</v>
      </c>
      <c r="BA130" s="9">
        <v>335.6</v>
      </c>
      <c r="BB130" s="9"/>
      <c r="BC130" s="9">
        <v>266.8</v>
      </c>
      <c r="BD130" s="9">
        <v>229</v>
      </c>
      <c r="BE130" s="9">
        <v>353.7</v>
      </c>
      <c r="BF130" s="9">
        <v>264.3</v>
      </c>
      <c r="BG130" s="9"/>
      <c r="BH130" s="9">
        <v>714.9</v>
      </c>
      <c r="BI130" s="9">
        <v>269</v>
      </c>
      <c r="BJ130" s="9">
        <v>262.10000000000002</v>
      </c>
      <c r="BK130" s="9">
        <v>303.2</v>
      </c>
      <c r="BL130" s="9"/>
      <c r="BM130" s="9">
        <v>250.2</v>
      </c>
      <c r="BN130" s="9">
        <v>285940.8</v>
      </c>
      <c r="BO130" s="9">
        <v>246897.2</v>
      </c>
      <c r="BP130" s="9">
        <v>81814.3</v>
      </c>
      <c r="BQ130" s="9">
        <v>25422.2</v>
      </c>
      <c r="BR130" s="9">
        <v>16154</v>
      </c>
      <c r="BS130" s="9">
        <v>29624.5</v>
      </c>
      <c r="BT130" s="9">
        <v>53827</v>
      </c>
      <c r="BU130" s="9">
        <v>30367.1</v>
      </c>
      <c r="BV130" s="9">
        <v>35272.6</v>
      </c>
      <c r="BW130" s="9">
        <v>145871.29999999999</v>
      </c>
      <c r="BX130" s="9">
        <v>72976.600000000006</v>
      </c>
      <c r="BY130" s="9">
        <v>42199.4</v>
      </c>
      <c r="BZ130" s="9">
        <v>49825.4</v>
      </c>
      <c r="CA130" s="9">
        <v>2091.9</v>
      </c>
      <c r="CB130" s="9">
        <v>4870.2</v>
      </c>
      <c r="CC130" s="9">
        <v>46884.4</v>
      </c>
      <c r="CD130" s="9">
        <v>0</v>
      </c>
      <c r="CE130" s="9">
        <v>53875.7</v>
      </c>
      <c r="CF130" s="9">
        <v>958807.48662639118</v>
      </c>
      <c r="CG130" s="9">
        <v>3850188.795119802</v>
      </c>
      <c r="CH130" s="9"/>
      <c r="CI130" s="9"/>
      <c r="CJ130" s="9">
        <v>19.412523750999998</v>
      </c>
      <c r="CK130" s="9">
        <v>14.0630272373</v>
      </c>
      <c r="CL130" s="9">
        <v>11</v>
      </c>
      <c r="CM130" s="9">
        <v>60.716912579400002</v>
      </c>
      <c r="CN130" s="9">
        <v>25.886169885800001</v>
      </c>
      <c r="CO130" s="9">
        <v>1.5942704735</v>
      </c>
      <c r="CP130" s="9">
        <v>8.3141011662000004</v>
      </c>
      <c r="CQ130" s="9">
        <v>6.2669362442000001</v>
      </c>
      <c r="CR130" s="9">
        <v>3.1749371879999999</v>
      </c>
      <c r="CS130" s="9">
        <v>1.1654696739999999</v>
      </c>
      <c r="CT130" s="9">
        <v>5.2783978781999998</v>
      </c>
      <c r="CU130" s="9">
        <v>0.95892924020000003</v>
      </c>
      <c r="CV130" s="9">
        <v>1.3777450296</v>
      </c>
      <c r="CW130" s="9">
        <v>4.5003057201000001</v>
      </c>
      <c r="CX130" s="9">
        <v>0.70536045020000004</v>
      </c>
      <c r="CY130" s="9">
        <v>1.4942896294000001</v>
      </c>
      <c r="CZ130" s="9">
        <v>227</v>
      </c>
      <c r="DA130" s="9">
        <v>203</v>
      </c>
      <c r="DB130" s="9">
        <v>12</v>
      </c>
      <c r="DC130" s="9">
        <v>63</v>
      </c>
      <c r="DD130" s="9">
        <v>28</v>
      </c>
      <c r="DE130" s="9">
        <v>8</v>
      </c>
      <c r="DF130" s="9">
        <v>66</v>
      </c>
      <c r="DG130" s="9">
        <v>15</v>
      </c>
      <c r="DH130" s="9">
        <v>14</v>
      </c>
      <c r="DI130" s="9">
        <v>4</v>
      </c>
      <c r="DJ130" s="9">
        <v>1</v>
      </c>
      <c r="DK130" s="9">
        <v>8</v>
      </c>
      <c r="DL130" s="9">
        <v>0</v>
      </c>
      <c r="DM130" s="9">
        <v>10</v>
      </c>
      <c r="DN130" s="9">
        <v>0</v>
      </c>
      <c r="DO130" s="9">
        <v>281.79000000000002</v>
      </c>
      <c r="DP130" s="9">
        <v>71.760000000000005</v>
      </c>
      <c r="DQ130" s="9">
        <v>39.18</v>
      </c>
      <c r="DR130" s="9">
        <v>32.58</v>
      </c>
      <c r="DS130" s="9">
        <v>22.6</v>
      </c>
      <c r="DT130" s="9">
        <v>1.65</v>
      </c>
      <c r="DU130" s="9">
        <v>129.02000000000001</v>
      </c>
      <c r="DV130" s="9">
        <v>87.2</v>
      </c>
      <c r="DW130" s="9">
        <v>33.369999999999997</v>
      </c>
      <c r="DX130" s="9">
        <v>58.32</v>
      </c>
      <c r="DY130" s="9">
        <v>38.700000000000003</v>
      </c>
      <c r="DZ130" s="9">
        <v>4.6500000000000004</v>
      </c>
      <c r="EA130" s="9">
        <v>-71.491699999999994</v>
      </c>
      <c r="EB130" s="9">
        <v>-40.944099999999999</v>
      </c>
      <c r="EC130" s="9">
        <v>-22.2257</v>
      </c>
      <c r="ED130" s="9">
        <v>-23.453600000000002</v>
      </c>
      <c r="EE130" s="9">
        <v>15.13171</v>
      </c>
      <c r="EF130" s="9">
        <v>10.4977</v>
      </c>
      <c r="EG130" s="9">
        <v>-89.571399999999997</v>
      </c>
      <c r="EH130" s="9">
        <v>-168.45400000000001</v>
      </c>
      <c r="EI130" s="9">
        <v>-5.07029</v>
      </c>
      <c r="EJ130" s="9">
        <v>0</v>
      </c>
      <c r="EK130" s="9">
        <v>83.953050000000005</v>
      </c>
      <c r="EL130" s="9">
        <v>4.2868750000000002</v>
      </c>
      <c r="EM130" s="9">
        <v>32.864249999999998</v>
      </c>
      <c r="EN130" s="9">
        <v>1659.1</v>
      </c>
      <c r="EO130" s="9"/>
      <c r="EP130" s="9"/>
      <c r="EQ130" s="9"/>
      <c r="ER130" s="9"/>
      <c r="ES130" s="9"/>
      <c r="ET130" s="9"/>
      <c r="EU130">
        <v>1324.81</v>
      </c>
      <c r="EV130" s="9">
        <v>6003.57</v>
      </c>
      <c r="EW130" s="9">
        <v>1764.74</v>
      </c>
      <c r="EX130" s="9">
        <v>264.91000000000003</v>
      </c>
      <c r="EY130" s="9">
        <v>325.86</v>
      </c>
      <c r="EZ130" s="9">
        <v>802.9</v>
      </c>
      <c r="FA130" s="9">
        <v>2845.16</v>
      </c>
      <c r="FB130" s="9">
        <v>100.11720779220001</v>
      </c>
      <c r="FC130" s="9">
        <v>77.786818181800001</v>
      </c>
      <c r="FD130" s="9">
        <v>7729.5909090908999</v>
      </c>
      <c r="FE130" s="9">
        <v>140.62727272730001</v>
      </c>
      <c r="FF130" s="9">
        <v>1270.9772727273</v>
      </c>
      <c r="FG130" s="9">
        <v>3050299.85</v>
      </c>
      <c r="FH130" s="9">
        <v>72784.42</v>
      </c>
      <c r="FI130" s="9">
        <v>407802.23</v>
      </c>
      <c r="FJ130" s="9">
        <v>1183342.68</v>
      </c>
      <c r="FK130" s="9">
        <v>9817.5400000000009</v>
      </c>
      <c r="FL130" s="9">
        <v>75762.81</v>
      </c>
      <c r="FM130" s="9"/>
      <c r="FN130" s="9"/>
      <c r="FO130" s="9"/>
      <c r="FP130" s="9"/>
      <c r="FQ130" s="9"/>
      <c r="FR130" s="9"/>
      <c r="FS130" s="9"/>
      <c r="FT130" s="9">
        <v>1866911.12</v>
      </c>
      <c r="FU130" s="9">
        <v>62966.89</v>
      </c>
      <c r="FV130" s="9">
        <v>331993.37</v>
      </c>
      <c r="FW130" s="9"/>
      <c r="FX130" s="9"/>
      <c r="FY130" s="9"/>
      <c r="FZ130" s="9">
        <v>34811.040000000001</v>
      </c>
      <c r="GA130" s="9">
        <v>3424100.41</v>
      </c>
      <c r="GB130" s="9">
        <v>1224908.5</v>
      </c>
      <c r="GC130" s="9">
        <v>2199191.91</v>
      </c>
      <c r="GD130" s="9">
        <v>2221095.39</v>
      </c>
      <c r="GE130" s="9">
        <v>159655.01999999999</v>
      </c>
      <c r="GF130" s="9">
        <v>2061440.37</v>
      </c>
      <c r="GG130" s="9">
        <v>1203005.02</v>
      </c>
      <c r="GH130" s="9">
        <v>1065253.48</v>
      </c>
      <c r="GI130" s="9">
        <v>137751.54</v>
      </c>
      <c r="GJ130" s="9">
        <v>515288.56999999989</v>
      </c>
      <c r="GK130" s="9">
        <v>5264469.82</v>
      </c>
      <c r="GL130" s="9">
        <v>284977.09000000003</v>
      </c>
      <c r="GM130">
        <v>1325.59</v>
      </c>
      <c r="GO130" s="6"/>
      <c r="GP130" s="6"/>
      <c r="GQ130" s="6"/>
    </row>
    <row r="131" spans="1:199" x14ac:dyDescent="0.2">
      <c r="A131" s="8">
        <v>2010</v>
      </c>
      <c r="B131" s="8" t="s">
        <v>371</v>
      </c>
      <c r="C131" s="8" t="s">
        <v>372</v>
      </c>
      <c r="D131" s="9"/>
      <c r="E131" s="9"/>
      <c r="F131" s="9"/>
      <c r="G131" s="9"/>
      <c r="H131" s="9"/>
      <c r="I131" s="9"/>
      <c r="J131" s="9"/>
      <c r="K131" s="9"/>
      <c r="L131" s="9"/>
      <c r="M131" s="9"/>
      <c r="N131" s="9"/>
      <c r="O131" s="9"/>
      <c r="P131" s="9"/>
      <c r="Q131" s="9"/>
      <c r="R131" s="9"/>
      <c r="S131" s="9"/>
      <c r="T131" s="9"/>
      <c r="U131" s="9"/>
      <c r="V131" s="9"/>
      <c r="W131" s="9"/>
      <c r="X131" s="9"/>
      <c r="Y131" s="9"/>
      <c r="Z131" s="9"/>
      <c r="AA131" s="9"/>
      <c r="AB131" s="9"/>
      <c r="AC131" s="9"/>
      <c r="AD131" s="9"/>
      <c r="AE131" s="9"/>
      <c r="AF131" s="9"/>
      <c r="AG131" s="9"/>
      <c r="AH131" s="9"/>
      <c r="AI131" s="9"/>
      <c r="AJ131" s="9"/>
      <c r="AK131" s="9"/>
      <c r="AL131" s="9"/>
      <c r="AM131" s="9"/>
      <c r="AN131" s="9"/>
      <c r="AO131" s="9"/>
      <c r="AP131" s="9"/>
      <c r="AQ131" s="9"/>
      <c r="AR131" s="9"/>
      <c r="AS131" s="9"/>
      <c r="AT131" s="9"/>
      <c r="AU131" s="9"/>
      <c r="AV131" s="9"/>
      <c r="AW131" s="9"/>
      <c r="AX131" s="9"/>
      <c r="AY131" s="9"/>
      <c r="AZ131" s="9"/>
      <c r="BA131" s="9"/>
      <c r="BB131" s="9"/>
      <c r="BC131" s="9"/>
      <c r="BD131" s="9"/>
      <c r="BE131" s="9"/>
      <c r="BF131" s="9"/>
      <c r="BG131" s="9"/>
      <c r="BH131" s="9"/>
      <c r="BI131" s="9"/>
      <c r="BJ131" s="9"/>
      <c r="BK131" s="9"/>
      <c r="BL131" s="9"/>
      <c r="BM131" s="9"/>
      <c r="BN131" s="9">
        <v>289708.79999999999</v>
      </c>
      <c r="BO131" s="9">
        <v>261894.2</v>
      </c>
      <c r="BP131" s="9">
        <v>126749.3</v>
      </c>
      <c r="BQ131" s="9">
        <v>57028.3</v>
      </c>
      <c r="BR131" s="9">
        <v>15250</v>
      </c>
      <c r="BS131" s="9">
        <v>22822.2</v>
      </c>
      <c r="BT131" s="9">
        <v>46117.5</v>
      </c>
      <c r="BU131" s="9">
        <v>23287.200000000001</v>
      </c>
      <c r="BV131" s="9">
        <v>27462.6</v>
      </c>
      <c r="BW131" s="9">
        <v>177439.6</v>
      </c>
      <c r="BX131" s="9">
        <v>-5082.7</v>
      </c>
      <c r="BY131" s="9">
        <v>43179.8</v>
      </c>
      <c r="BZ131" s="9">
        <v>62918.6</v>
      </c>
      <c r="CA131" s="9">
        <v>3045.7</v>
      </c>
      <c r="CB131" s="9">
        <v>3146</v>
      </c>
      <c r="CC131" s="9">
        <v>65149.5</v>
      </c>
      <c r="CD131" s="9">
        <v>0</v>
      </c>
      <c r="CE131" s="9">
        <v>50611.4</v>
      </c>
      <c r="CF131" s="9">
        <v>1000376.172441334</v>
      </c>
      <c r="CG131" s="9">
        <v>3871649.9547565314</v>
      </c>
      <c r="CH131" s="9"/>
      <c r="CI131" s="9"/>
      <c r="CJ131" s="9">
        <v>19.486971496100001</v>
      </c>
      <c r="CK131" s="9">
        <v>13.794813959600001</v>
      </c>
      <c r="CL131" s="9">
        <v>11</v>
      </c>
      <c r="CM131" s="9">
        <v>60.934349448900001</v>
      </c>
      <c r="CN131" s="9">
        <v>25.762478248000001</v>
      </c>
      <c r="CO131" s="9">
        <v>1.6031994086000001</v>
      </c>
      <c r="CP131" s="9">
        <v>8.4478148564000008</v>
      </c>
      <c r="CQ131" s="9">
        <v>6.3752705568000003</v>
      </c>
      <c r="CR131" s="9">
        <v>3.2334165365</v>
      </c>
      <c r="CS131" s="9">
        <v>1.1724499593</v>
      </c>
      <c r="CT131" s="9">
        <v>5.2810924148999998</v>
      </c>
      <c r="CU131" s="9">
        <v>0.95892924020000003</v>
      </c>
      <c r="CV131" s="9">
        <v>1.3836622941000001</v>
      </c>
      <c r="CW131" s="9">
        <v>4.5003057201000001</v>
      </c>
      <c r="CX131" s="9">
        <v>0.7175927419</v>
      </c>
      <c r="CY131" s="9">
        <v>1.4981374721</v>
      </c>
      <c r="CZ131" s="9">
        <v>269</v>
      </c>
      <c r="DA131" s="9">
        <v>231</v>
      </c>
      <c r="DB131" s="9">
        <v>10</v>
      </c>
      <c r="DC131" s="9">
        <v>72</v>
      </c>
      <c r="DD131" s="9">
        <v>30</v>
      </c>
      <c r="DE131" s="9">
        <v>2</v>
      </c>
      <c r="DF131" s="9">
        <v>93</v>
      </c>
      <c r="DG131" s="9">
        <v>12</v>
      </c>
      <c r="DH131" s="9">
        <v>27</v>
      </c>
      <c r="DI131" s="9">
        <v>11</v>
      </c>
      <c r="DJ131" s="9">
        <v>1</v>
      </c>
      <c r="DK131" s="9">
        <v>13</v>
      </c>
      <c r="DL131" s="9">
        <v>0</v>
      </c>
      <c r="DM131" s="9">
        <v>10</v>
      </c>
      <c r="DN131" s="9">
        <v>0</v>
      </c>
      <c r="DO131" s="9">
        <v>282.11</v>
      </c>
      <c r="DP131" s="9">
        <v>74.92</v>
      </c>
      <c r="DQ131" s="9">
        <v>45.25</v>
      </c>
      <c r="DR131" s="9">
        <v>29.67</v>
      </c>
      <c r="DS131" s="9">
        <v>18.63</v>
      </c>
      <c r="DT131" s="9">
        <v>0.19</v>
      </c>
      <c r="DU131" s="9">
        <v>134.81</v>
      </c>
      <c r="DV131" s="9">
        <v>92.73</v>
      </c>
      <c r="DW131" s="9">
        <v>31.65</v>
      </c>
      <c r="DX131" s="9">
        <v>53.63</v>
      </c>
      <c r="DY131" s="9">
        <v>32.11</v>
      </c>
      <c r="DZ131" s="9">
        <v>10.5</v>
      </c>
      <c r="EA131" s="9">
        <v>-65.096999999999994</v>
      </c>
      <c r="EB131" s="9">
        <v>-21.015599999999999</v>
      </c>
      <c r="EC131" s="9">
        <v>-30.152100000000001</v>
      </c>
      <c r="ED131" s="9">
        <v>-27.4419</v>
      </c>
      <c r="EE131" s="9">
        <v>13.51258</v>
      </c>
      <c r="EF131" s="9">
        <v>10.121729999999999</v>
      </c>
      <c r="EG131" s="9">
        <v>-292.471</v>
      </c>
      <c r="EH131" s="9">
        <v>-209.19800000000001</v>
      </c>
      <c r="EI131" s="9">
        <v>-808.97400000000005</v>
      </c>
      <c r="EJ131" s="9">
        <v>0</v>
      </c>
      <c r="EK131" s="9">
        <v>725.70119999999997</v>
      </c>
      <c r="EL131" s="9">
        <v>-52.375300000000003</v>
      </c>
      <c r="EM131" s="9">
        <v>185.1199</v>
      </c>
      <c r="EN131" s="9">
        <v>1847.5</v>
      </c>
      <c r="EO131" s="9"/>
      <c r="EP131" s="9"/>
      <c r="EQ131" s="9"/>
      <c r="ER131" s="9"/>
      <c r="ES131" s="9"/>
      <c r="ET131" s="9"/>
      <c r="EU131">
        <v>1306.77</v>
      </c>
      <c r="EV131" s="9"/>
      <c r="EW131" s="9"/>
      <c r="EX131" s="9"/>
      <c r="EY131" s="9"/>
      <c r="EZ131" s="9"/>
      <c r="FA131" s="9"/>
      <c r="FB131" s="9">
        <v>103.2071428571</v>
      </c>
      <c r="FC131" s="9">
        <v>82.918095238099994</v>
      </c>
      <c r="FD131" s="9">
        <v>8289.7619047618991</v>
      </c>
      <c r="FE131" s="9">
        <v>148.48095238100001</v>
      </c>
      <c r="FF131" s="9">
        <v>1342.0238095238001</v>
      </c>
      <c r="FG131" s="9">
        <v>3055238.18</v>
      </c>
      <c r="FH131" s="9">
        <v>75594.490000000005</v>
      </c>
      <c r="FI131" s="9">
        <v>398874.71</v>
      </c>
      <c r="FJ131" s="9">
        <v>1198757.17</v>
      </c>
      <c r="FK131" s="9">
        <v>8543.02</v>
      </c>
      <c r="FL131" s="9">
        <v>71431.710000000006</v>
      </c>
      <c r="FM131" s="9"/>
      <c r="FN131" s="9"/>
      <c r="FO131" s="9"/>
      <c r="FP131" s="9"/>
      <c r="FQ131" s="9"/>
      <c r="FR131" s="9"/>
      <c r="FS131" s="9"/>
      <c r="FT131" s="9">
        <v>1856430.49</v>
      </c>
      <c r="FU131" s="9">
        <v>67051.47</v>
      </c>
      <c r="FV131" s="9">
        <v>327392.48</v>
      </c>
      <c r="FW131" s="9"/>
      <c r="FX131" s="9"/>
      <c r="FY131" s="9"/>
      <c r="FZ131" s="9">
        <v>33223.879999999997</v>
      </c>
      <c r="GA131" s="9">
        <v>3439925.14</v>
      </c>
      <c r="GB131" s="9">
        <v>1210692.19</v>
      </c>
      <c r="GC131" s="9">
        <v>2229232.9500000002</v>
      </c>
      <c r="GD131" s="9">
        <v>2259102.38</v>
      </c>
      <c r="GE131" s="9">
        <v>172129.45</v>
      </c>
      <c r="GF131" s="9">
        <v>2086972.93</v>
      </c>
      <c r="GG131" s="9">
        <v>1180822.76</v>
      </c>
      <c r="GH131" s="9">
        <v>1038562.74</v>
      </c>
      <c r="GI131" s="9">
        <v>142260.01999999999</v>
      </c>
      <c r="GJ131" s="9">
        <v>531728.36</v>
      </c>
      <c r="GK131" s="9">
        <v>5540014.2800000003</v>
      </c>
      <c r="GL131" s="9">
        <v>302468.12</v>
      </c>
      <c r="GM131">
        <v>1283.3800000000001</v>
      </c>
      <c r="GO131" s="6"/>
      <c r="GP131" s="6"/>
      <c r="GQ131" s="6"/>
    </row>
    <row r="132" spans="1:199" x14ac:dyDescent="0.2">
      <c r="A132" s="8">
        <v>2010</v>
      </c>
      <c r="B132" s="8" t="s">
        <v>371</v>
      </c>
      <c r="C132" s="8" t="s">
        <v>373</v>
      </c>
      <c r="D132" s="9"/>
      <c r="E132" s="9"/>
      <c r="F132" s="9"/>
      <c r="G132" s="9"/>
      <c r="H132" s="9"/>
      <c r="I132" s="9"/>
      <c r="J132" s="9"/>
      <c r="K132" s="9"/>
      <c r="L132" s="9"/>
      <c r="M132" s="9"/>
      <c r="N132" s="9"/>
      <c r="O132" s="9"/>
      <c r="P132" s="9"/>
      <c r="Q132" s="9"/>
      <c r="R132" s="9"/>
      <c r="S132" s="9"/>
      <c r="T132" s="9"/>
      <c r="U132" s="9"/>
      <c r="V132" s="9"/>
      <c r="W132" s="9"/>
      <c r="X132" s="9"/>
      <c r="Y132" s="9"/>
      <c r="Z132" s="9"/>
      <c r="AA132" s="9"/>
      <c r="AB132" s="9"/>
      <c r="AC132" s="9"/>
      <c r="AD132" s="9"/>
      <c r="AE132" s="9"/>
      <c r="AF132" s="9"/>
      <c r="AG132" s="9"/>
      <c r="AH132" s="9"/>
      <c r="AI132" s="9"/>
      <c r="AJ132" s="9"/>
      <c r="AK132" s="9"/>
      <c r="AL132" s="9"/>
      <c r="AM132" s="9"/>
      <c r="AN132" s="9"/>
      <c r="AO132" s="9"/>
      <c r="AP132" s="9"/>
      <c r="AQ132" s="9"/>
      <c r="AR132" s="9"/>
      <c r="AS132" s="9"/>
      <c r="AT132" s="9"/>
      <c r="AU132" s="9"/>
      <c r="AV132" s="9"/>
      <c r="AW132" s="9"/>
      <c r="AX132" s="9"/>
      <c r="AY132" s="9"/>
      <c r="AZ132" s="9"/>
      <c r="BA132" s="9"/>
      <c r="BB132" s="9"/>
      <c r="BC132" s="9"/>
      <c r="BD132" s="9"/>
      <c r="BE132" s="9"/>
      <c r="BF132" s="9"/>
      <c r="BG132" s="9"/>
      <c r="BH132" s="9"/>
      <c r="BI132" s="9"/>
      <c r="BJ132" s="9"/>
      <c r="BK132" s="9"/>
      <c r="BL132" s="9"/>
      <c r="BM132" s="9"/>
      <c r="BN132" s="9">
        <v>294958.5</v>
      </c>
      <c r="BO132" s="9">
        <v>253313</v>
      </c>
      <c r="BP132" s="9">
        <v>90921.1</v>
      </c>
      <c r="BQ132" s="9">
        <v>26535.5</v>
      </c>
      <c r="BR132" s="9">
        <v>13437</v>
      </c>
      <c r="BS132" s="9">
        <v>29581.7</v>
      </c>
      <c r="BT132" s="9">
        <v>61835.1</v>
      </c>
      <c r="BU132" s="9">
        <v>23463.1</v>
      </c>
      <c r="BV132" s="9">
        <v>40506.699999999997</v>
      </c>
      <c r="BW132" s="9">
        <v>231973.9</v>
      </c>
      <c r="BX132" s="9">
        <v>6825.8</v>
      </c>
      <c r="BY132" s="9">
        <v>50829.7</v>
      </c>
      <c r="BZ132" s="9">
        <v>63651.3</v>
      </c>
      <c r="CA132" s="9">
        <v>1912.1</v>
      </c>
      <c r="CB132" s="9">
        <v>3669.4</v>
      </c>
      <c r="CC132" s="9">
        <v>111911.3</v>
      </c>
      <c r="CD132" s="9">
        <v>0</v>
      </c>
      <c r="CE132" s="9">
        <v>32188.799999999999</v>
      </c>
      <c r="CF132" s="9">
        <v>995546.97540047683</v>
      </c>
      <c r="CG132" s="9">
        <v>3938208.7321035294</v>
      </c>
      <c r="CH132" s="9"/>
      <c r="CI132" s="9"/>
      <c r="CJ132" s="9">
        <v>18.876669603300002</v>
      </c>
      <c r="CK132" s="9">
        <v>12.8895663563</v>
      </c>
      <c r="CL132" s="9">
        <v>11</v>
      </c>
      <c r="CM132" s="9">
        <v>61.8222399227</v>
      </c>
      <c r="CN132" s="9">
        <v>26.324750000000002</v>
      </c>
      <c r="CO132" s="9">
        <v>1.6140203201000001</v>
      </c>
      <c r="CP132" s="9">
        <v>8.6012368676000008</v>
      </c>
      <c r="CQ132" s="9">
        <v>6.5211797989000004</v>
      </c>
      <c r="CR132" s="9">
        <v>3.219551085</v>
      </c>
      <c r="CS132" s="9">
        <v>1.1684249774</v>
      </c>
      <c r="CT132" s="9">
        <v>5.3054370865999996</v>
      </c>
      <c r="CU132" s="9">
        <v>0.95918675649999996</v>
      </c>
      <c r="CV132" s="9">
        <v>1.3868198163000001</v>
      </c>
      <c r="CW132" s="9">
        <v>4.5003057201000001</v>
      </c>
      <c r="CX132" s="9">
        <v>0.71760206500000001</v>
      </c>
      <c r="CY132" s="9">
        <v>1.5037254291</v>
      </c>
      <c r="CZ132" s="9">
        <v>276</v>
      </c>
      <c r="DA132" s="9">
        <v>240</v>
      </c>
      <c r="DB132" s="9">
        <v>10</v>
      </c>
      <c r="DC132" s="9">
        <v>53</v>
      </c>
      <c r="DD132" s="9">
        <v>22</v>
      </c>
      <c r="DE132" s="9">
        <v>15</v>
      </c>
      <c r="DF132" s="9">
        <v>112</v>
      </c>
      <c r="DG132" s="9">
        <v>16</v>
      </c>
      <c r="DH132" s="9">
        <v>25</v>
      </c>
      <c r="DI132" s="9">
        <v>7</v>
      </c>
      <c r="DJ132" s="9">
        <v>1</v>
      </c>
      <c r="DK132" s="9">
        <v>14</v>
      </c>
      <c r="DL132" s="9">
        <v>0</v>
      </c>
      <c r="DM132" s="9">
        <v>11</v>
      </c>
      <c r="DN132" s="9">
        <v>0</v>
      </c>
      <c r="DO132" s="9">
        <v>336.5</v>
      </c>
      <c r="DP132" s="9">
        <v>87.45</v>
      </c>
      <c r="DQ132" s="9">
        <v>46.33</v>
      </c>
      <c r="DR132" s="9">
        <v>41.11</v>
      </c>
      <c r="DS132" s="9">
        <v>25.42</v>
      </c>
      <c r="DT132" s="9">
        <v>1.57</v>
      </c>
      <c r="DU132" s="9">
        <v>123.55</v>
      </c>
      <c r="DV132" s="9">
        <v>78.95</v>
      </c>
      <c r="DW132" s="9">
        <v>28.9</v>
      </c>
      <c r="DX132" s="9">
        <v>99.94</v>
      </c>
      <c r="DY132" s="9">
        <v>63.92</v>
      </c>
      <c r="DZ132" s="9">
        <v>22.42</v>
      </c>
      <c r="EA132" s="9">
        <v>-119.187</v>
      </c>
      <c r="EB132" s="9">
        <v>-49.985100000000003</v>
      </c>
      <c r="EC132" s="9">
        <v>-44.001199999999997</v>
      </c>
      <c r="ED132" s="9">
        <v>-39.542999999999999</v>
      </c>
      <c r="EE132" s="9">
        <v>14.34272</v>
      </c>
      <c r="EF132" s="9">
        <v>9.5336230000000004</v>
      </c>
      <c r="EG132" s="9">
        <v>-101.544</v>
      </c>
      <c r="EH132" s="9">
        <v>-155.57300000000001</v>
      </c>
      <c r="EI132" s="9">
        <v>-25.325299999999999</v>
      </c>
      <c r="EJ132" s="9">
        <v>0</v>
      </c>
      <c r="EK132" s="9">
        <v>79.354789999999994</v>
      </c>
      <c r="EL132" s="9">
        <v>56.792050000000003</v>
      </c>
      <c r="EM132" s="9">
        <v>48.682789999999997</v>
      </c>
      <c r="EN132" s="9">
        <v>1888.3</v>
      </c>
      <c r="EO132" s="9"/>
      <c r="EP132" s="9"/>
      <c r="EQ132" s="9"/>
      <c r="ER132" s="9"/>
      <c r="ES132" s="9"/>
      <c r="ET132" s="9"/>
      <c r="EU132">
        <v>1274.1500000000001</v>
      </c>
      <c r="EV132" s="9"/>
      <c r="EW132" s="9"/>
      <c r="EX132" s="9"/>
      <c r="EY132" s="9"/>
      <c r="EZ132" s="9"/>
      <c r="FA132" s="9"/>
      <c r="FB132" s="9">
        <v>112.58376623380001</v>
      </c>
      <c r="FC132" s="9">
        <v>85.67</v>
      </c>
      <c r="FD132" s="9">
        <v>8458.4204545454995</v>
      </c>
      <c r="FE132" s="9">
        <v>160.55000000000001</v>
      </c>
      <c r="FF132" s="9">
        <v>1369.8863636363999</v>
      </c>
      <c r="FG132" s="9">
        <v>3075887.39</v>
      </c>
      <c r="FH132" s="9">
        <v>87531.38</v>
      </c>
      <c r="FI132" s="9">
        <v>367099.76</v>
      </c>
      <c r="FJ132" s="9">
        <v>1233579.99</v>
      </c>
      <c r="FK132" s="9">
        <v>8718.76</v>
      </c>
      <c r="FL132" s="9">
        <v>69406.289999999994</v>
      </c>
      <c r="FM132" s="9"/>
      <c r="FN132" s="9"/>
      <c r="FO132" s="9"/>
      <c r="FP132" s="9"/>
      <c r="FQ132" s="9"/>
      <c r="FR132" s="9"/>
      <c r="FS132" s="9"/>
      <c r="FT132" s="9">
        <v>1842277.43</v>
      </c>
      <c r="FU132" s="9">
        <v>78812.63</v>
      </c>
      <c r="FV132" s="9">
        <v>297663.48</v>
      </c>
      <c r="FW132" s="9"/>
      <c r="FX132" s="9"/>
      <c r="FY132" s="9"/>
      <c r="FZ132" s="9">
        <v>31563.439999999999</v>
      </c>
      <c r="GA132" s="9">
        <v>3507453.82</v>
      </c>
      <c r="GB132" s="9">
        <v>1200286.73</v>
      </c>
      <c r="GC132" s="9">
        <v>2307167.09</v>
      </c>
      <c r="GD132" s="9">
        <v>2346952.9700000002</v>
      </c>
      <c r="GE132" s="9">
        <v>171639.31</v>
      </c>
      <c r="GF132" s="9">
        <v>2175313.66</v>
      </c>
      <c r="GG132" s="9">
        <v>1160500.8500000001</v>
      </c>
      <c r="GH132" s="9">
        <v>1028647.42</v>
      </c>
      <c r="GI132" s="9">
        <v>131853.43</v>
      </c>
      <c r="GJ132" s="9">
        <v>538356.63</v>
      </c>
      <c r="GK132" s="9">
        <v>5568197.75</v>
      </c>
      <c r="GL132" s="9">
        <v>369845</v>
      </c>
      <c r="GM132">
        <v>1246.69</v>
      </c>
      <c r="GO132" s="6"/>
      <c r="GP132" s="6"/>
      <c r="GQ132" s="6"/>
    </row>
    <row r="133" spans="1:199" x14ac:dyDescent="0.2">
      <c r="A133" s="8">
        <v>2010</v>
      </c>
      <c r="B133" s="8" t="s">
        <v>371</v>
      </c>
      <c r="C133" s="8" t="s">
        <v>374</v>
      </c>
      <c r="D133" s="9">
        <v>2881565.55</v>
      </c>
      <c r="E133" s="9">
        <v>287588.49</v>
      </c>
      <c r="F133" s="9">
        <v>639218.98</v>
      </c>
      <c r="G133" s="9">
        <v>202858.77</v>
      </c>
      <c r="H133" s="9">
        <v>73065.289999999994</v>
      </c>
      <c r="I133" s="9">
        <v>149881.49</v>
      </c>
      <c r="J133" s="9">
        <v>309806.39</v>
      </c>
      <c r="K133" s="9">
        <v>186094.44</v>
      </c>
      <c r="L133" s="9">
        <v>66953.02</v>
      </c>
      <c r="M133" s="9">
        <v>654695.81999999995</v>
      </c>
      <c r="N133" s="9">
        <v>311402.86</v>
      </c>
      <c r="O133" s="9">
        <v>4162131.8203821769</v>
      </c>
      <c r="P133" s="9">
        <v>439155.63503558509</v>
      </c>
      <c r="Q133" s="9">
        <v>657984.13993228448</v>
      </c>
      <c r="R133" s="9">
        <v>347859.84143321519</v>
      </c>
      <c r="S133" s="9">
        <v>138400.14099015811</v>
      </c>
      <c r="T133" s="9">
        <v>230176.99860018061</v>
      </c>
      <c r="U133" s="9">
        <v>402274.74972066062</v>
      </c>
      <c r="V133" s="9">
        <v>219079.0044491895</v>
      </c>
      <c r="W133" s="9">
        <v>85000.269417716598</v>
      </c>
      <c r="X133" s="9">
        <v>1226945.104656907</v>
      </c>
      <c r="Y133" s="9">
        <v>415255.9361462802</v>
      </c>
      <c r="Z133" s="9">
        <v>2826718.2</v>
      </c>
      <c r="AA133" s="9">
        <v>1311722.5</v>
      </c>
      <c r="AB133" s="9">
        <v>421747.20000000001</v>
      </c>
      <c r="AC133" s="9">
        <v>1150189.8</v>
      </c>
      <c r="AD133" s="9">
        <v>232709.1</v>
      </c>
      <c r="AE133" s="9">
        <v>1268341.2</v>
      </c>
      <c r="AF133" s="9">
        <v>1557991.6</v>
      </c>
      <c r="AG133" s="9">
        <v>4057737.6408026032</v>
      </c>
      <c r="AH133" s="9">
        <v>1946690.8798413619</v>
      </c>
      <c r="AI133" s="9">
        <v>663921.8096132807</v>
      </c>
      <c r="AJ133" s="9">
        <v>1455945.4877192799</v>
      </c>
      <c r="AK133" s="9">
        <v>382244.58517339831</v>
      </c>
      <c r="AL133" s="9">
        <v>1245688.4101327029</v>
      </c>
      <c r="AM133" s="9">
        <v>1636753.53167742</v>
      </c>
      <c r="AN133" s="9">
        <v>1023667</v>
      </c>
      <c r="AO133" s="9">
        <v>541242</v>
      </c>
      <c r="AP133" s="9">
        <v>482425</v>
      </c>
      <c r="AQ133" s="9">
        <v>106117</v>
      </c>
      <c r="AR133" s="9">
        <v>59179</v>
      </c>
      <c r="AS133" s="9">
        <v>46938</v>
      </c>
      <c r="AT133" s="9">
        <v>713709</v>
      </c>
      <c r="AU133" s="9">
        <v>299174</v>
      </c>
      <c r="AV133" s="9">
        <v>414535</v>
      </c>
      <c r="AW133" s="9">
        <v>379.4</v>
      </c>
      <c r="AX133" s="9">
        <v>171.2</v>
      </c>
      <c r="AY133" s="9">
        <v>583.70000000000005</v>
      </c>
      <c r="AZ133" s="9">
        <v>339.8</v>
      </c>
      <c r="BA133" s="9">
        <v>371.1</v>
      </c>
      <c r="BB133" s="9"/>
      <c r="BC133" s="9">
        <v>272.2</v>
      </c>
      <c r="BD133" s="9">
        <v>239.4</v>
      </c>
      <c r="BE133" s="9">
        <v>421</v>
      </c>
      <c r="BF133" s="9">
        <v>308.60000000000002</v>
      </c>
      <c r="BG133" s="9"/>
      <c r="BH133" s="9">
        <v>725.7</v>
      </c>
      <c r="BI133" s="9">
        <v>314.89999999999998</v>
      </c>
      <c r="BJ133" s="9">
        <v>370.5</v>
      </c>
      <c r="BK133" s="9">
        <v>368.1</v>
      </c>
      <c r="BL133" s="9"/>
      <c r="BM133" s="9">
        <v>282.7</v>
      </c>
      <c r="BN133" s="9">
        <v>479223.9</v>
      </c>
      <c r="BO133" s="9">
        <v>367801.2</v>
      </c>
      <c r="BP133" s="9">
        <v>128075.8</v>
      </c>
      <c r="BQ133" s="9">
        <v>52173.2</v>
      </c>
      <c r="BR133" s="9">
        <v>26887.8</v>
      </c>
      <c r="BS133" s="9">
        <v>56588.800000000003</v>
      </c>
      <c r="BT133" s="9">
        <v>80951.3</v>
      </c>
      <c r="BU133" s="9">
        <v>25476.7</v>
      </c>
      <c r="BV133" s="9">
        <v>107695.1</v>
      </c>
      <c r="BW133" s="9">
        <v>322475.5</v>
      </c>
      <c r="BX133" s="9">
        <v>9554.2000000000007</v>
      </c>
      <c r="BY133" s="9">
        <v>100924.6</v>
      </c>
      <c r="BZ133" s="9">
        <v>79584.7</v>
      </c>
      <c r="CA133" s="9">
        <v>1875.4</v>
      </c>
      <c r="CB133" s="9">
        <v>13396.2</v>
      </c>
      <c r="CC133" s="9">
        <v>126694.6</v>
      </c>
      <c r="CD133" s="9">
        <v>0</v>
      </c>
      <c r="CE133" s="9">
        <v>176459.8</v>
      </c>
      <c r="CF133" s="9">
        <v>1157428.962652344</v>
      </c>
      <c r="CG133" s="9">
        <v>4678683.6717453962</v>
      </c>
      <c r="CH133" s="9"/>
      <c r="CI133" s="9"/>
      <c r="CJ133" s="9">
        <v>17.9061697687</v>
      </c>
      <c r="CK133" s="9">
        <v>12.6350696495</v>
      </c>
      <c r="CL133" s="9">
        <v>11</v>
      </c>
      <c r="CM133" s="9">
        <v>63.325622588800002</v>
      </c>
      <c r="CN133" s="9">
        <v>27.704118965100001</v>
      </c>
      <c r="CO133" s="9">
        <v>1.6284684159</v>
      </c>
      <c r="CP133" s="9">
        <v>8.6795264397</v>
      </c>
      <c r="CQ133" s="9">
        <v>6.5385340247999997</v>
      </c>
      <c r="CR133" s="9">
        <v>3.2229223682999999</v>
      </c>
      <c r="CS133" s="9">
        <v>1.1695689763999999</v>
      </c>
      <c r="CT133" s="9">
        <v>5.3090941583999998</v>
      </c>
      <c r="CU133" s="9">
        <v>0.95918675649999996</v>
      </c>
      <c r="CV133" s="9">
        <v>1.3889391753</v>
      </c>
      <c r="CW133" s="9">
        <v>4.5003057201000001</v>
      </c>
      <c r="CX133" s="9">
        <v>0.71950940990000001</v>
      </c>
      <c r="CY133" s="9">
        <v>1.5054481784</v>
      </c>
      <c r="CZ133" s="9">
        <v>349</v>
      </c>
      <c r="DA133" s="9">
        <v>310</v>
      </c>
      <c r="DB133" s="9">
        <v>13</v>
      </c>
      <c r="DC133" s="9">
        <v>82</v>
      </c>
      <c r="DD133" s="9">
        <v>34</v>
      </c>
      <c r="DE133" s="9">
        <v>23</v>
      </c>
      <c r="DF133" s="9">
        <v>117</v>
      </c>
      <c r="DG133" s="9">
        <v>14</v>
      </c>
      <c r="DH133" s="9">
        <v>28</v>
      </c>
      <c r="DI133" s="9">
        <v>18</v>
      </c>
      <c r="DJ133" s="9">
        <v>1</v>
      </c>
      <c r="DK133" s="9">
        <v>8</v>
      </c>
      <c r="DL133" s="9">
        <v>0</v>
      </c>
      <c r="DM133" s="9">
        <v>11</v>
      </c>
      <c r="DN133" s="9">
        <v>0</v>
      </c>
      <c r="DO133" s="9">
        <v>373.84</v>
      </c>
      <c r="DP133" s="9">
        <v>106.46</v>
      </c>
      <c r="DQ133" s="9">
        <v>55.05</v>
      </c>
      <c r="DR133" s="9">
        <v>51.41</v>
      </c>
      <c r="DS133" s="9">
        <v>27.1</v>
      </c>
      <c r="DT133" s="9">
        <v>2.54</v>
      </c>
      <c r="DU133" s="9">
        <v>156.12</v>
      </c>
      <c r="DV133" s="9">
        <v>120.84</v>
      </c>
      <c r="DW133" s="9">
        <v>23.92</v>
      </c>
      <c r="DX133" s="9">
        <v>67.28</v>
      </c>
      <c r="DY133" s="9">
        <v>45.34</v>
      </c>
      <c r="DZ133" s="9">
        <v>11.85</v>
      </c>
      <c r="EA133" s="9">
        <v>-301.99</v>
      </c>
      <c r="EB133" s="9">
        <v>43.270440000000001</v>
      </c>
      <c r="EC133" s="9">
        <v>-56.944000000000003</v>
      </c>
      <c r="ED133" s="9">
        <v>-302.36099999999999</v>
      </c>
      <c r="EE133" s="9">
        <v>14.044600000000001</v>
      </c>
      <c r="EF133" s="9">
        <v>17.192689999999999</v>
      </c>
      <c r="EG133" s="9">
        <v>-695.38699999999994</v>
      </c>
      <c r="EH133" s="9">
        <v>-202.71600000000001</v>
      </c>
      <c r="EI133" s="9">
        <v>-205.78200000000001</v>
      </c>
      <c r="EJ133" s="9">
        <v>0</v>
      </c>
      <c r="EK133" s="9">
        <v>-286.88799999999998</v>
      </c>
      <c r="EL133" s="9">
        <v>-63.69</v>
      </c>
      <c r="EM133" s="9">
        <v>346.90010000000001</v>
      </c>
      <c r="EN133" s="9">
        <v>2288</v>
      </c>
      <c r="EO133" s="9"/>
      <c r="EP133" s="9"/>
      <c r="EQ133" s="9"/>
      <c r="ER133" s="9"/>
      <c r="ES133" s="9"/>
      <c r="ET133" s="9"/>
      <c r="EU133">
        <v>1234.08</v>
      </c>
      <c r="EV133" s="9">
        <v>7127.79</v>
      </c>
      <c r="EW133" s="9">
        <v>1882.17</v>
      </c>
      <c r="EX133" s="9">
        <v>273.60000000000002</v>
      </c>
      <c r="EY133" s="9">
        <v>512.02</v>
      </c>
      <c r="EZ133" s="9">
        <v>1474.28</v>
      </c>
      <c r="FA133" s="9">
        <v>2985.72</v>
      </c>
      <c r="FB133" s="9">
        <v>123.7857142857</v>
      </c>
      <c r="FC133" s="9">
        <v>91.796521739100001</v>
      </c>
      <c r="FD133" s="9">
        <v>9152.8571428570995</v>
      </c>
      <c r="FE133" s="9">
        <v>168.5260869565</v>
      </c>
      <c r="FF133" s="9">
        <v>1390.552631579</v>
      </c>
      <c r="FG133" s="9">
        <v>3228171.13</v>
      </c>
      <c r="FH133" s="9">
        <v>87865.09</v>
      </c>
      <c r="FI133" s="9">
        <v>370508.79</v>
      </c>
      <c r="FJ133" s="9">
        <v>1332625.6000000001</v>
      </c>
      <c r="FK133" s="9">
        <v>6520.45</v>
      </c>
      <c r="FL133" s="9">
        <v>63158.93</v>
      </c>
      <c r="FM133" s="9"/>
      <c r="FN133" s="9"/>
      <c r="FO133" s="9"/>
      <c r="FP133" s="9"/>
      <c r="FQ133" s="9"/>
      <c r="FR133" s="9"/>
      <c r="FS133" s="9"/>
      <c r="FT133" s="9">
        <v>1895515.55</v>
      </c>
      <c r="FU133" s="9">
        <v>81344.649999999994</v>
      </c>
      <c r="FV133" s="9">
        <v>307319.87</v>
      </c>
      <c r="FW133" s="9"/>
      <c r="FX133" s="9"/>
      <c r="FY133" s="9"/>
      <c r="FZ133" s="9">
        <v>23178.61</v>
      </c>
      <c r="GA133" s="9">
        <v>4205395.21</v>
      </c>
      <c r="GB133" s="9">
        <v>1521258.32</v>
      </c>
      <c r="GC133" s="9">
        <v>2684136.89</v>
      </c>
      <c r="GD133" s="9">
        <v>2555847.5699999998</v>
      </c>
      <c r="GE133" s="9">
        <v>195225.51</v>
      </c>
      <c r="GF133" s="9">
        <v>2360622.06</v>
      </c>
      <c r="GG133" s="9">
        <v>1649547.64</v>
      </c>
      <c r="GH133" s="9">
        <v>1326032.81</v>
      </c>
      <c r="GI133" s="9">
        <v>323514.83</v>
      </c>
      <c r="GJ133" s="9">
        <v>501027.16</v>
      </c>
      <c r="GK133" s="9">
        <v>6245632.7599999998</v>
      </c>
      <c r="GL133" s="9">
        <v>382485.06</v>
      </c>
      <c r="GM133">
        <v>1256.47</v>
      </c>
      <c r="GO133" s="6"/>
      <c r="GP133" s="6"/>
      <c r="GQ133" s="6"/>
    </row>
    <row r="134" spans="1:199" x14ac:dyDescent="0.2">
      <c r="A134" s="8">
        <v>2011</v>
      </c>
      <c r="B134" s="8" t="s">
        <v>375</v>
      </c>
      <c r="C134" s="8" t="s">
        <v>376</v>
      </c>
      <c r="D134" s="9"/>
      <c r="E134" s="9"/>
      <c r="F134" s="9"/>
      <c r="G134" s="9"/>
      <c r="H134" s="9"/>
      <c r="I134" s="9"/>
      <c r="J134" s="9"/>
      <c r="K134" s="9"/>
      <c r="L134" s="9"/>
      <c r="M134" s="9"/>
      <c r="N134" s="9"/>
      <c r="O134" s="9"/>
      <c r="P134" s="9"/>
      <c r="Q134" s="9"/>
      <c r="R134" s="9"/>
      <c r="S134" s="9"/>
      <c r="T134" s="9"/>
      <c r="U134" s="9"/>
      <c r="V134" s="9"/>
      <c r="W134" s="9"/>
      <c r="X134" s="9"/>
      <c r="Y134" s="9"/>
      <c r="Z134" s="9"/>
      <c r="AA134" s="9"/>
      <c r="AB134" s="9"/>
      <c r="AC134" s="9"/>
      <c r="AD134" s="9"/>
      <c r="AE134" s="9"/>
      <c r="AF134" s="9"/>
      <c r="AG134" s="9"/>
      <c r="AH134" s="9"/>
      <c r="AI134" s="9"/>
      <c r="AJ134" s="9"/>
      <c r="AK134" s="9"/>
      <c r="AL134" s="9"/>
      <c r="AM134" s="9"/>
      <c r="AN134" s="9"/>
      <c r="AO134" s="9"/>
      <c r="AP134" s="9"/>
      <c r="AQ134" s="9"/>
      <c r="AR134" s="9"/>
      <c r="AS134" s="9"/>
      <c r="AT134" s="9"/>
      <c r="AU134" s="9"/>
      <c r="AV134" s="9"/>
      <c r="AW134" s="9"/>
      <c r="AX134" s="9"/>
      <c r="AY134" s="9"/>
      <c r="AZ134" s="9"/>
      <c r="BA134" s="9"/>
      <c r="BB134" s="9"/>
      <c r="BC134" s="9"/>
      <c r="BD134" s="9"/>
      <c r="BE134" s="9"/>
      <c r="BF134" s="9"/>
      <c r="BG134" s="9"/>
      <c r="BH134" s="9"/>
      <c r="BI134" s="9"/>
      <c r="BJ134" s="9"/>
      <c r="BK134" s="9"/>
      <c r="BL134" s="9"/>
      <c r="BM134" s="9"/>
      <c r="BN134" s="9">
        <v>219290.9</v>
      </c>
      <c r="BO134" s="9">
        <v>204214.9</v>
      </c>
      <c r="BP134" s="9">
        <v>48001.4</v>
      </c>
      <c r="BQ134" s="9">
        <v>22183.1</v>
      </c>
      <c r="BR134" s="9">
        <v>12838.7</v>
      </c>
      <c r="BS134" s="9">
        <v>23493.4</v>
      </c>
      <c r="BT134" s="9">
        <v>70369.8</v>
      </c>
      <c r="BU134" s="9">
        <v>19350.5</v>
      </c>
      <c r="BV134" s="9">
        <v>14661.6</v>
      </c>
      <c r="BW134" s="9">
        <v>228105.3</v>
      </c>
      <c r="BX134" s="9">
        <v>5079.8</v>
      </c>
      <c r="BY134" s="9">
        <v>28320.3</v>
      </c>
      <c r="BZ134" s="9">
        <v>65126.6</v>
      </c>
      <c r="CA134" s="9">
        <v>9558.2000000000007</v>
      </c>
      <c r="CB134" s="9">
        <v>4052.7</v>
      </c>
      <c r="CC134" s="9">
        <v>121047.4</v>
      </c>
      <c r="CD134" s="9">
        <v>0</v>
      </c>
      <c r="CE134" s="9">
        <v>13373.1</v>
      </c>
      <c r="CF134" s="9">
        <v>1131366.6013742059</v>
      </c>
      <c r="CG134" s="9">
        <v>4804181.8963275859</v>
      </c>
      <c r="CH134" s="9"/>
      <c r="CI134" s="9"/>
      <c r="CJ134" s="9">
        <v>18.397514977299998</v>
      </c>
      <c r="CK134" s="9">
        <v>12.460552377000001</v>
      </c>
      <c r="CL134" s="9">
        <v>11</v>
      </c>
      <c r="CM134" s="9">
        <v>64.283392562499998</v>
      </c>
      <c r="CN134" s="9">
        <v>19.4492164915</v>
      </c>
      <c r="CO134" s="9">
        <v>2.0273831828</v>
      </c>
      <c r="CP134" s="9">
        <v>10.251530349599999</v>
      </c>
      <c r="CQ134" s="9">
        <v>7.7425320488000002</v>
      </c>
      <c r="CR134" s="9">
        <v>2.9909587685000001</v>
      </c>
      <c r="CS134" s="9">
        <v>2.2632356119999999</v>
      </c>
      <c r="CT134" s="9">
        <v>7.7535558246000003</v>
      </c>
      <c r="CU134" s="9">
        <v>2.8081757114000001</v>
      </c>
      <c r="CV134" s="9">
        <v>1.7618274237</v>
      </c>
      <c r="CW134" s="9">
        <v>2.9971595517999998</v>
      </c>
      <c r="CX134" s="9">
        <v>1.6360204377000001</v>
      </c>
      <c r="CY134" s="9">
        <v>2.6017971600999998</v>
      </c>
      <c r="CZ134" s="9">
        <v>214</v>
      </c>
      <c r="DA134" s="9">
        <v>198</v>
      </c>
      <c r="DB134" s="9">
        <v>9</v>
      </c>
      <c r="DC134" s="9">
        <v>75</v>
      </c>
      <c r="DD134" s="9">
        <v>21</v>
      </c>
      <c r="DE134" s="9">
        <v>21</v>
      </c>
      <c r="DF134" s="9">
        <v>39</v>
      </c>
      <c r="DG134" s="9">
        <v>12</v>
      </c>
      <c r="DH134" s="9">
        <v>9</v>
      </c>
      <c r="DI134" s="9">
        <v>1</v>
      </c>
      <c r="DJ134" s="9">
        <v>3</v>
      </c>
      <c r="DK134" s="9">
        <v>1</v>
      </c>
      <c r="DL134" s="9">
        <v>0</v>
      </c>
      <c r="DM134" s="9">
        <v>7</v>
      </c>
      <c r="DN134" s="9">
        <v>0</v>
      </c>
      <c r="DO134" s="9">
        <v>349.87</v>
      </c>
      <c r="DP134" s="9">
        <v>88.43</v>
      </c>
      <c r="DQ134" s="9">
        <v>41.68</v>
      </c>
      <c r="DR134" s="9">
        <v>46.74</v>
      </c>
      <c r="DS134" s="9">
        <v>18.95</v>
      </c>
      <c r="DT134" s="9">
        <v>0.33</v>
      </c>
      <c r="DU134" s="9">
        <v>177.99</v>
      </c>
      <c r="DV134" s="9">
        <v>145.97999999999999</v>
      </c>
      <c r="DW134" s="9">
        <v>21.66</v>
      </c>
      <c r="DX134" s="9">
        <v>63.17</v>
      </c>
      <c r="DY134" s="9">
        <v>41.8</v>
      </c>
      <c r="DZ134" s="9">
        <v>12.51</v>
      </c>
      <c r="EA134" s="9">
        <v>-9.4068500000000004</v>
      </c>
      <c r="EB134" s="9">
        <v>36.926760000000002</v>
      </c>
      <c r="EC134" s="9">
        <v>-28.116199999999999</v>
      </c>
      <c r="ED134" s="9">
        <v>-31.951799999999999</v>
      </c>
      <c r="EE134" s="9">
        <v>13.73441</v>
      </c>
      <c r="EF134" s="9">
        <v>8.3531519999999997</v>
      </c>
      <c r="EG134" s="9">
        <v>3.0944940000000001</v>
      </c>
      <c r="EH134" s="9">
        <v>-59.422499999999999</v>
      </c>
      <c r="EI134" s="9">
        <v>39.409109999999998</v>
      </c>
      <c r="EJ134" s="9">
        <v>0</v>
      </c>
      <c r="EK134" s="9">
        <v>23.10793</v>
      </c>
      <c r="EL134" s="9">
        <v>-17.168800000000001</v>
      </c>
      <c r="EM134" s="9">
        <v>-21.317</v>
      </c>
      <c r="EN134" s="9">
        <v>2329.1</v>
      </c>
      <c r="EO134" s="9"/>
      <c r="EP134" s="9"/>
      <c r="EQ134" s="9"/>
      <c r="ER134" s="9"/>
      <c r="ES134" s="9"/>
      <c r="ET134" s="9"/>
      <c r="EU134">
        <v>1256.42</v>
      </c>
      <c r="EV134" s="9"/>
      <c r="EW134" s="9"/>
      <c r="EX134" s="9"/>
      <c r="EY134" s="9"/>
      <c r="EZ134" s="9"/>
      <c r="FA134" s="9"/>
      <c r="FB134" s="9">
        <v>140.99357142860001</v>
      </c>
      <c r="FC134" s="9">
        <v>96.294761904799998</v>
      </c>
      <c r="FD134" s="9">
        <v>9533.2000000000007</v>
      </c>
      <c r="FE134" s="9">
        <v>179.63</v>
      </c>
      <c r="FF134" s="9">
        <v>1356.4</v>
      </c>
      <c r="FG134" s="9">
        <v>3403658.23</v>
      </c>
      <c r="FH134" s="9">
        <v>100278.32</v>
      </c>
      <c r="FI134" s="9">
        <v>357633.93</v>
      </c>
      <c r="FJ134" s="9">
        <v>1454510.47</v>
      </c>
      <c r="FK134" s="9">
        <v>6449.38</v>
      </c>
      <c r="FL134" s="9">
        <v>61896.75</v>
      </c>
      <c r="FM134" s="9"/>
      <c r="FN134" s="9"/>
      <c r="FO134" s="9"/>
      <c r="FP134" s="9"/>
      <c r="FQ134" s="9"/>
      <c r="FR134" s="9"/>
      <c r="FS134" s="9"/>
      <c r="FT134" s="9">
        <v>1949115.31</v>
      </c>
      <c r="FU134" s="9">
        <v>93828.92</v>
      </c>
      <c r="FV134" s="9">
        <v>295704.74</v>
      </c>
      <c r="FW134" s="9"/>
      <c r="FX134" s="9"/>
      <c r="FY134" s="9"/>
      <c r="FZ134" s="9">
        <v>21989.58</v>
      </c>
      <c r="GA134" s="9">
        <v>4328606.3</v>
      </c>
      <c r="GB134" s="9">
        <v>1332584.53</v>
      </c>
      <c r="GC134" s="9">
        <v>2996021.77</v>
      </c>
      <c r="GD134" s="9">
        <v>2661293.96</v>
      </c>
      <c r="GE134" s="9">
        <v>195523.05</v>
      </c>
      <c r="GF134" s="9">
        <v>2465770.91</v>
      </c>
      <c r="GG134" s="9">
        <v>1667312.34</v>
      </c>
      <c r="GH134" s="9">
        <v>1137061.48</v>
      </c>
      <c r="GI134" s="9">
        <v>530250.86</v>
      </c>
      <c r="GJ134" s="9">
        <v>514883.06</v>
      </c>
      <c r="GK134" s="9">
        <v>6396414.6500000004</v>
      </c>
      <c r="GL134" s="9">
        <v>384115.76</v>
      </c>
      <c r="GM134">
        <v>1245.46</v>
      </c>
      <c r="GO134" s="6"/>
      <c r="GP134" s="6"/>
      <c r="GQ134" s="6"/>
    </row>
    <row r="135" spans="1:199" x14ac:dyDescent="0.2">
      <c r="A135" s="8">
        <v>2011</v>
      </c>
      <c r="B135" s="8" t="s">
        <v>375</v>
      </c>
      <c r="C135" s="8" t="s">
        <v>377</v>
      </c>
      <c r="D135" s="9"/>
      <c r="E135" s="9"/>
      <c r="F135" s="9"/>
      <c r="G135" s="9"/>
      <c r="H135" s="9"/>
      <c r="I135" s="9"/>
      <c r="J135" s="9"/>
      <c r="K135" s="9"/>
      <c r="L135" s="9"/>
      <c r="M135" s="9"/>
      <c r="N135" s="9"/>
      <c r="O135" s="9"/>
      <c r="P135" s="9"/>
      <c r="Q135" s="9"/>
      <c r="R135" s="9"/>
      <c r="S135" s="9"/>
      <c r="T135" s="9"/>
      <c r="U135" s="9"/>
      <c r="V135" s="9"/>
      <c r="W135" s="9"/>
      <c r="X135" s="9"/>
      <c r="Y135" s="9"/>
      <c r="Z135" s="9"/>
      <c r="AA135" s="9"/>
      <c r="AB135" s="9"/>
      <c r="AC135" s="9"/>
      <c r="AD135" s="9"/>
      <c r="AE135" s="9"/>
      <c r="AF135" s="9"/>
      <c r="AG135" s="9"/>
      <c r="AH135" s="9"/>
      <c r="AI135" s="9"/>
      <c r="AJ135" s="9"/>
      <c r="AK135" s="9"/>
      <c r="AL135" s="9"/>
      <c r="AM135" s="9"/>
      <c r="AN135" s="9"/>
      <c r="AO135" s="9"/>
      <c r="AP135" s="9"/>
      <c r="AQ135" s="9"/>
      <c r="AR135" s="9"/>
      <c r="AS135" s="9"/>
      <c r="AT135" s="9"/>
      <c r="AU135" s="9"/>
      <c r="AV135" s="9"/>
      <c r="AW135" s="9"/>
      <c r="AX135" s="9"/>
      <c r="AY135" s="9"/>
      <c r="AZ135" s="9"/>
      <c r="BA135" s="9"/>
      <c r="BB135" s="9"/>
      <c r="BC135" s="9"/>
      <c r="BD135" s="9"/>
      <c r="BE135" s="9"/>
      <c r="BF135" s="9"/>
      <c r="BG135" s="9"/>
      <c r="BH135" s="9"/>
      <c r="BI135" s="9"/>
      <c r="BJ135" s="9"/>
      <c r="BK135" s="9"/>
      <c r="BL135" s="9"/>
      <c r="BM135" s="9"/>
      <c r="BN135" s="9">
        <v>269135.59999999998</v>
      </c>
      <c r="BO135" s="9">
        <v>227892.8</v>
      </c>
      <c r="BP135" s="9">
        <v>94724.1</v>
      </c>
      <c r="BQ135" s="9">
        <v>54540.6</v>
      </c>
      <c r="BR135" s="9">
        <v>15038.8</v>
      </c>
      <c r="BS135" s="9">
        <v>26597.200000000001</v>
      </c>
      <c r="BT135" s="9">
        <v>50465.4</v>
      </c>
      <c r="BU135" s="9">
        <v>18181.900000000001</v>
      </c>
      <c r="BV135" s="9">
        <v>20058.400000000001</v>
      </c>
      <c r="BW135" s="9">
        <v>206836.2</v>
      </c>
      <c r="BX135" s="9">
        <v>837.3</v>
      </c>
      <c r="BY135" s="9">
        <v>40638.400000000001</v>
      </c>
      <c r="BZ135" s="9">
        <v>58240.3</v>
      </c>
      <c r="CA135" s="9">
        <v>2454.6</v>
      </c>
      <c r="CB135" s="9">
        <v>6690.8</v>
      </c>
      <c r="CC135" s="9">
        <v>98812.2</v>
      </c>
      <c r="CD135" s="9">
        <v>0</v>
      </c>
      <c r="CE135" s="9">
        <v>15694.3</v>
      </c>
      <c r="CF135" s="9">
        <v>1031107.668650239</v>
      </c>
      <c r="CG135" s="9">
        <v>4866152.2924918979</v>
      </c>
      <c r="CH135" s="9"/>
      <c r="CI135" s="9"/>
      <c r="CJ135" s="9">
        <v>17.7899485471</v>
      </c>
      <c r="CK135" s="9">
        <v>12.1956336979</v>
      </c>
      <c r="CL135" s="9">
        <v>11</v>
      </c>
      <c r="CM135" s="9">
        <v>64.613308496200005</v>
      </c>
      <c r="CN135" s="9">
        <v>19.608326630200001</v>
      </c>
      <c r="CO135" s="9">
        <v>2.0296981661000002</v>
      </c>
      <c r="CP135" s="9">
        <v>10.314989754999999</v>
      </c>
      <c r="CQ135" s="9">
        <v>7.7041179851999999</v>
      </c>
      <c r="CR135" s="9">
        <v>2.9920145269999998</v>
      </c>
      <c r="CS135" s="9">
        <v>2.2822403305000001</v>
      </c>
      <c r="CT135" s="9">
        <v>7.8713749909999997</v>
      </c>
      <c r="CU135" s="9">
        <v>2.8100255495000002</v>
      </c>
      <c r="CV135" s="9">
        <v>1.7623218903</v>
      </c>
      <c r="CW135" s="9">
        <v>2.9971595517999998</v>
      </c>
      <c r="CX135" s="9">
        <v>1.6365713458</v>
      </c>
      <c r="CY135" s="9">
        <v>2.6044677740000002</v>
      </c>
      <c r="CZ135" s="9">
        <v>209</v>
      </c>
      <c r="DA135" s="9">
        <v>196</v>
      </c>
      <c r="DB135" s="9">
        <v>10</v>
      </c>
      <c r="DC135" s="9">
        <v>74</v>
      </c>
      <c r="DD135" s="9">
        <v>31</v>
      </c>
      <c r="DE135" s="9">
        <v>12</v>
      </c>
      <c r="DF135" s="9">
        <v>50</v>
      </c>
      <c r="DG135" s="9">
        <v>10</v>
      </c>
      <c r="DH135" s="9">
        <v>8</v>
      </c>
      <c r="DI135" s="9">
        <v>1</v>
      </c>
      <c r="DJ135" s="9">
        <v>4</v>
      </c>
      <c r="DK135" s="9">
        <v>2</v>
      </c>
      <c r="DL135" s="9">
        <v>0</v>
      </c>
      <c r="DM135" s="9">
        <v>4</v>
      </c>
      <c r="DN135" s="9">
        <v>0</v>
      </c>
      <c r="DO135" s="9">
        <v>266.06</v>
      </c>
      <c r="DP135" s="9">
        <v>63.56</v>
      </c>
      <c r="DQ135" s="9">
        <v>28.78</v>
      </c>
      <c r="DR135" s="9">
        <v>34.79</v>
      </c>
      <c r="DS135" s="9">
        <v>14.34</v>
      </c>
      <c r="DT135" s="9">
        <v>0.9</v>
      </c>
      <c r="DU135" s="9">
        <v>127.96</v>
      </c>
      <c r="DV135" s="9">
        <v>103.18</v>
      </c>
      <c r="DW135" s="9">
        <v>12.57</v>
      </c>
      <c r="DX135" s="9">
        <v>60.08</v>
      </c>
      <c r="DY135" s="9">
        <v>36.6</v>
      </c>
      <c r="DZ135" s="9">
        <v>11.96</v>
      </c>
      <c r="EA135" s="9">
        <v>-34.0229</v>
      </c>
      <c r="EB135" s="9">
        <v>-10.731999999999999</v>
      </c>
      <c r="EC135" s="9">
        <v>-16.367599999999999</v>
      </c>
      <c r="ED135" s="9">
        <v>-19.046800000000001</v>
      </c>
      <c r="EE135" s="9">
        <v>12.12337</v>
      </c>
      <c r="EF135" s="9">
        <v>8.3485340000000008</v>
      </c>
      <c r="EG135" s="9">
        <v>-26.967500000000001</v>
      </c>
      <c r="EH135" s="9">
        <v>-62.874099999999999</v>
      </c>
      <c r="EI135" s="9">
        <v>0.37957800000000003</v>
      </c>
      <c r="EJ135" s="9">
        <v>0</v>
      </c>
      <c r="EK135" s="9">
        <v>35.527050000000003</v>
      </c>
      <c r="EL135" s="9">
        <v>-26.919599999999999</v>
      </c>
      <c r="EM135" s="9">
        <v>-25.6265</v>
      </c>
      <c r="EN135" s="9">
        <v>2319.4</v>
      </c>
      <c r="EO135" s="9"/>
      <c r="EP135" s="9"/>
      <c r="EQ135" s="9"/>
      <c r="ER135" s="9"/>
      <c r="ES135" s="9"/>
      <c r="ET135" s="9"/>
      <c r="EU135">
        <v>1253.4100000000001</v>
      </c>
      <c r="EV135" s="9"/>
      <c r="EW135" s="9"/>
      <c r="EX135" s="9"/>
      <c r="EY135" s="9"/>
      <c r="EZ135" s="9"/>
      <c r="FA135" s="9"/>
      <c r="FB135" s="9">
        <v>134.62446428569999</v>
      </c>
      <c r="FC135" s="9">
        <v>103.955</v>
      </c>
      <c r="FD135" s="9">
        <v>9880.9375</v>
      </c>
      <c r="FE135" s="9">
        <v>187.18</v>
      </c>
      <c r="FF135" s="9">
        <v>1372.7249999999999</v>
      </c>
      <c r="FG135" s="9">
        <v>3491731.23</v>
      </c>
      <c r="FH135" s="9">
        <v>110448.11</v>
      </c>
      <c r="FI135" s="9">
        <v>356882.75</v>
      </c>
      <c r="FJ135" s="9">
        <v>1454178.55</v>
      </c>
      <c r="FK135" s="9">
        <v>10476.86</v>
      </c>
      <c r="FL135" s="9">
        <v>60818.96</v>
      </c>
      <c r="FM135" s="9"/>
      <c r="FN135" s="9"/>
      <c r="FO135" s="9"/>
      <c r="FP135" s="9"/>
      <c r="FQ135" s="9"/>
      <c r="FR135" s="9"/>
      <c r="FS135" s="9"/>
      <c r="FT135" s="9">
        <v>2037522.68</v>
      </c>
      <c r="FU135" s="9">
        <v>99971.25</v>
      </c>
      <c r="FV135" s="9">
        <v>296033.78999999998</v>
      </c>
      <c r="FW135" s="9"/>
      <c r="FX135" s="9"/>
      <c r="FY135" s="9"/>
      <c r="FZ135" s="9">
        <v>21998.83</v>
      </c>
      <c r="GA135" s="9">
        <v>4450542.33</v>
      </c>
      <c r="GB135" s="9">
        <v>1364015.76</v>
      </c>
      <c r="GC135" s="9">
        <v>3086526.57</v>
      </c>
      <c r="GD135" s="9">
        <v>2746389.6</v>
      </c>
      <c r="GE135" s="9">
        <v>208018.86</v>
      </c>
      <c r="GF135" s="9">
        <v>2538370.7400000002</v>
      </c>
      <c r="GG135" s="9">
        <v>1704152.73</v>
      </c>
      <c r="GH135" s="9">
        <v>1155996.8999999999</v>
      </c>
      <c r="GI135" s="9">
        <v>548155.82999999996</v>
      </c>
      <c r="GJ135" s="9">
        <v>530855.51</v>
      </c>
      <c r="GK135" s="9">
        <v>6570155.46</v>
      </c>
      <c r="GL135" s="9">
        <v>389005.2</v>
      </c>
      <c r="GM135">
        <v>1254.51</v>
      </c>
      <c r="GO135" s="6"/>
      <c r="GP135" s="6"/>
      <c r="GQ135" s="6"/>
    </row>
    <row r="136" spans="1:199" x14ac:dyDescent="0.2">
      <c r="A136" s="8">
        <v>2011</v>
      </c>
      <c r="B136" s="8" t="s">
        <v>375</v>
      </c>
      <c r="C136" s="8" t="s">
        <v>378</v>
      </c>
      <c r="D136" s="9">
        <v>2535278.2200000002</v>
      </c>
      <c r="E136" s="9">
        <v>56435.71</v>
      </c>
      <c r="F136" s="9">
        <v>523363.82</v>
      </c>
      <c r="G136" s="9">
        <v>139190.91</v>
      </c>
      <c r="H136" s="9">
        <v>69941.33</v>
      </c>
      <c r="I136" s="9">
        <v>17920.95</v>
      </c>
      <c r="J136" s="9">
        <v>561257.56999999995</v>
      </c>
      <c r="K136" s="9">
        <v>152902.98000000001</v>
      </c>
      <c r="L136" s="9">
        <v>66543.95</v>
      </c>
      <c r="M136" s="9">
        <v>652772.76</v>
      </c>
      <c r="N136" s="9">
        <v>294948.24</v>
      </c>
      <c r="O136" s="9">
        <v>3181009.3504664032</v>
      </c>
      <c r="P136" s="9">
        <v>73471.034255198101</v>
      </c>
      <c r="Q136" s="9">
        <v>487813.36502978689</v>
      </c>
      <c r="R136" s="9">
        <v>186424.97747236639</v>
      </c>
      <c r="S136" s="9">
        <v>122719.1771948446</v>
      </c>
      <c r="T136" s="9">
        <v>21280.577420633901</v>
      </c>
      <c r="U136" s="9">
        <v>657711.31690652319</v>
      </c>
      <c r="V136" s="9">
        <v>177400.1135826644</v>
      </c>
      <c r="W136" s="9">
        <v>79863.950406179501</v>
      </c>
      <c r="X136" s="9">
        <v>982477.48629051878</v>
      </c>
      <c r="Y136" s="9">
        <v>391847.35190768738</v>
      </c>
      <c r="Z136" s="9">
        <v>2462458</v>
      </c>
      <c r="AA136" s="9">
        <v>1605033.1</v>
      </c>
      <c r="AB136" s="9">
        <v>333082.2</v>
      </c>
      <c r="AC136" s="9">
        <v>839427.4</v>
      </c>
      <c r="AD136" s="9">
        <v>212435.9</v>
      </c>
      <c r="AE136" s="9">
        <v>1043013.2</v>
      </c>
      <c r="AF136" s="9">
        <v>1570533.9</v>
      </c>
      <c r="AG136" s="9">
        <v>3077055.7673175209</v>
      </c>
      <c r="AH136" s="9">
        <v>2049908.8642780371</v>
      </c>
      <c r="AI136" s="9">
        <v>433754.396743174</v>
      </c>
      <c r="AJ136" s="9">
        <v>871392.07977058808</v>
      </c>
      <c r="AK136" s="9">
        <v>277887.9526931569</v>
      </c>
      <c r="AL136" s="9">
        <v>745303.21374974423</v>
      </c>
      <c r="AM136" s="9">
        <v>1301190.7399171779</v>
      </c>
      <c r="AN136" s="9">
        <v>1024753</v>
      </c>
      <c r="AO136" s="9">
        <v>538868</v>
      </c>
      <c r="AP136" s="9">
        <v>485885</v>
      </c>
      <c r="AQ136" s="9">
        <v>97159</v>
      </c>
      <c r="AR136" s="9">
        <v>55418</v>
      </c>
      <c r="AS136" s="9">
        <v>41741</v>
      </c>
      <c r="AT136" s="9">
        <v>765634</v>
      </c>
      <c r="AU136" s="9">
        <v>315578</v>
      </c>
      <c r="AV136" s="9">
        <v>450056</v>
      </c>
      <c r="AW136" s="9">
        <v>395.4</v>
      </c>
      <c r="AX136" s="9">
        <v>192.1</v>
      </c>
      <c r="AY136" s="9">
        <v>639.9</v>
      </c>
      <c r="AZ136" s="9">
        <v>360.2</v>
      </c>
      <c r="BA136" s="9">
        <v>416.1</v>
      </c>
      <c r="BB136" s="9"/>
      <c r="BC136" s="9">
        <v>240.9</v>
      </c>
      <c r="BD136" s="9">
        <v>257.5</v>
      </c>
      <c r="BE136" s="9">
        <v>457.7</v>
      </c>
      <c r="BF136" s="9">
        <v>260.39999999999998</v>
      </c>
      <c r="BG136" s="9"/>
      <c r="BH136" s="9">
        <v>814.8</v>
      </c>
      <c r="BI136" s="9">
        <v>285.89999999999998</v>
      </c>
      <c r="BJ136" s="9">
        <v>353.6</v>
      </c>
      <c r="BK136" s="9">
        <v>372.7</v>
      </c>
      <c r="BL136" s="9"/>
      <c r="BM136" s="9">
        <v>289.39999999999998</v>
      </c>
      <c r="BN136" s="9">
        <v>436961.2</v>
      </c>
      <c r="BO136" s="9">
        <v>367784</v>
      </c>
      <c r="BP136" s="9">
        <v>63305.7</v>
      </c>
      <c r="BQ136" s="9">
        <v>34053.800000000003</v>
      </c>
      <c r="BR136" s="9">
        <v>18495.900000000001</v>
      </c>
      <c r="BS136" s="9">
        <v>46292.7</v>
      </c>
      <c r="BT136" s="9">
        <v>73332</v>
      </c>
      <c r="BU136" s="9">
        <v>25030.400000000001</v>
      </c>
      <c r="BV136" s="9">
        <v>68124.399999999994</v>
      </c>
      <c r="BW136" s="9">
        <v>304823.5</v>
      </c>
      <c r="BX136" s="9">
        <v>2238.8000000000002</v>
      </c>
      <c r="BY136" s="9">
        <v>50381.1</v>
      </c>
      <c r="BZ136" s="9">
        <v>66361.100000000006</v>
      </c>
      <c r="CA136" s="9">
        <v>1446</v>
      </c>
      <c r="CB136" s="9">
        <v>12491.5</v>
      </c>
      <c r="CC136" s="9">
        <v>174143.8</v>
      </c>
      <c r="CD136" s="9">
        <v>0</v>
      </c>
      <c r="CE136" s="9">
        <v>44490.1</v>
      </c>
      <c r="CF136" s="9">
        <v>1181381.3128743309</v>
      </c>
      <c r="CG136" s="9">
        <v>4953939.5540122697</v>
      </c>
      <c r="CH136" s="9"/>
      <c r="CI136" s="9"/>
      <c r="CJ136" s="9">
        <v>15.7656166314</v>
      </c>
      <c r="CK136" s="9">
        <v>13.0287283583</v>
      </c>
      <c r="CL136" s="9">
        <v>11</v>
      </c>
      <c r="CM136" s="9">
        <v>64.368022542299997</v>
      </c>
      <c r="CN136" s="9">
        <v>19.324165028700001</v>
      </c>
      <c r="CO136" s="9">
        <v>2.0297822062000002</v>
      </c>
      <c r="CP136" s="9">
        <v>10.356357108799999</v>
      </c>
      <c r="CQ136" s="9">
        <v>7.6484397628999998</v>
      </c>
      <c r="CR136" s="9">
        <v>3.0037127733000002</v>
      </c>
      <c r="CS136" s="9">
        <v>2.2862659715999998</v>
      </c>
      <c r="CT136" s="9">
        <v>7.8950484589999999</v>
      </c>
      <c r="CU136" s="9">
        <v>2.8106724187999998</v>
      </c>
      <c r="CV136" s="9">
        <v>1.7654601593000001</v>
      </c>
      <c r="CW136" s="9">
        <v>2.9971595517999998</v>
      </c>
      <c r="CX136" s="9">
        <v>1.6449955036999999</v>
      </c>
      <c r="CY136" s="9">
        <v>2.6059635980999998</v>
      </c>
      <c r="CZ136" s="9">
        <v>318</v>
      </c>
      <c r="DA136" s="9">
        <v>297</v>
      </c>
      <c r="DB136" s="9">
        <v>14</v>
      </c>
      <c r="DC136" s="9">
        <v>92</v>
      </c>
      <c r="DD136" s="9">
        <v>24</v>
      </c>
      <c r="DE136" s="9">
        <v>15</v>
      </c>
      <c r="DF136" s="9">
        <v>112</v>
      </c>
      <c r="DG136" s="9">
        <v>24</v>
      </c>
      <c r="DH136" s="9">
        <v>13</v>
      </c>
      <c r="DI136" s="9">
        <v>3</v>
      </c>
      <c r="DJ136" s="9">
        <v>6</v>
      </c>
      <c r="DK136" s="9">
        <v>4</v>
      </c>
      <c r="DL136" s="9">
        <v>0</v>
      </c>
      <c r="DM136" s="9">
        <v>8</v>
      </c>
      <c r="DN136" s="9">
        <v>0</v>
      </c>
      <c r="DO136" s="9">
        <v>472.04</v>
      </c>
      <c r="DP136" s="9">
        <v>103.71</v>
      </c>
      <c r="DQ136" s="9">
        <v>45.95</v>
      </c>
      <c r="DR136" s="9">
        <v>57.76</v>
      </c>
      <c r="DS136" s="9">
        <v>22.9</v>
      </c>
      <c r="DT136" s="9">
        <v>1.26</v>
      </c>
      <c r="DU136" s="9">
        <v>287.16000000000003</v>
      </c>
      <c r="DV136" s="9">
        <v>239.81</v>
      </c>
      <c r="DW136" s="9">
        <v>36.01</v>
      </c>
      <c r="DX136" s="9">
        <v>58.18</v>
      </c>
      <c r="DY136" s="9">
        <v>33.39</v>
      </c>
      <c r="DZ136" s="9">
        <v>13.65</v>
      </c>
      <c r="EA136" s="9">
        <v>-100.961</v>
      </c>
      <c r="EB136" s="9">
        <v>-83.815600000000003</v>
      </c>
      <c r="EC136" s="9">
        <v>-21.1022</v>
      </c>
      <c r="ED136" s="9">
        <v>-15.4762</v>
      </c>
      <c r="EE136" s="9">
        <v>19.433330000000002</v>
      </c>
      <c r="EF136" s="9">
        <v>8.6411569999999998</v>
      </c>
      <c r="EG136" s="9">
        <v>-107.55200000000001</v>
      </c>
      <c r="EH136" s="9">
        <v>-71.884900000000002</v>
      </c>
      <c r="EI136" s="9">
        <v>36.816330000000001</v>
      </c>
      <c r="EJ136" s="9">
        <v>0</v>
      </c>
      <c r="EK136" s="9">
        <v>-72.483400000000003</v>
      </c>
      <c r="EL136" s="9">
        <v>-4.6373699999999998</v>
      </c>
      <c r="EM136" s="9">
        <v>10.595079999999999</v>
      </c>
      <c r="EN136" s="9">
        <v>2343.5</v>
      </c>
      <c r="EO136" s="9"/>
      <c r="EP136" s="9"/>
      <c r="EQ136" s="9"/>
      <c r="ER136" s="9"/>
      <c r="ES136" s="9"/>
      <c r="ET136" s="9"/>
      <c r="EU136">
        <v>1228.45</v>
      </c>
      <c r="EV136" s="9">
        <v>7887.43</v>
      </c>
      <c r="EW136" s="9">
        <v>1892.68</v>
      </c>
      <c r="EX136" s="9">
        <v>279.07</v>
      </c>
      <c r="EY136" s="9">
        <v>516.29999999999995</v>
      </c>
      <c r="EZ136" s="9">
        <v>1513.58</v>
      </c>
      <c r="FA136" s="9">
        <v>3685.79</v>
      </c>
      <c r="FB136" s="9">
        <v>135.97127329189999</v>
      </c>
      <c r="FC136" s="9">
        <v>114.4413043478</v>
      </c>
      <c r="FD136" s="9">
        <v>9503.3586956521995</v>
      </c>
      <c r="FE136" s="9">
        <v>169.3565217391</v>
      </c>
      <c r="FF136" s="9">
        <v>1424.0108695652</v>
      </c>
      <c r="FG136" s="9">
        <v>3696259.75</v>
      </c>
      <c r="FH136" s="9">
        <v>78415.08</v>
      </c>
      <c r="FI136" s="9">
        <v>368548.87</v>
      </c>
      <c r="FJ136" s="9">
        <v>1561511.44</v>
      </c>
      <c r="FK136" s="9">
        <v>11626.19</v>
      </c>
      <c r="FL136" s="9">
        <v>58576.63</v>
      </c>
      <c r="FM136" s="9"/>
      <c r="FN136" s="9"/>
      <c r="FO136" s="9"/>
      <c r="FP136" s="9"/>
      <c r="FQ136" s="9"/>
      <c r="FR136" s="9"/>
      <c r="FS136" s="9"/>
      <c r="FT136" s="9">
        <v>2134707.09</v>
      </c>
      <c r="FU136" s="9">
        <v>66788.89</v>
      </c>
      <c r="FV136" s="9">
        <v>309931.02</v>
      </c>
      <c r="FW136" s="9"/>
      <c r="FX136" s="9"/>
      <c r="FY136" s="9"/>
      <c r="FZ136" s="9">
        <v>17047.13</v>
      </c>
      <c r="GA136" s="9">
        <v>4488779.84</v>
      </c>
      <c r="GB136" s="9">
        <v>1424174.52</v>
      </c>
      <c r="GC136" s="9">
        <v>3064605.32</v>
      </c>
      <c r="GD136" s="9">
        <v>2783646.39</v>
      </c>
      <c r="GE136" s="9">
        <v>226257.89</v>
      </c>
      <c r="GF136" s="9">
        <v>2557388.5</v>
      </c>
      <c r="GG136" s="9">
        <v>1705133.45</v>
      </c>
      <c r="GH136" s="9">
        <v>1197916.6299999999</v>
      </c>
      <c r="GI136" s="9">
        <v>507216.82</v>
      </c>
      <c r="GJ136" s="9">
        <v>498001.29</v>
      </c>
      <c r="GK136" s="9">
        <v>6677277.5199999996</v>
      </c>
      <c r="GL136" s="9">
        <v>410482.52</v>
      </c>
      <c r="GM136">
        <v>1195.27</v>
      </c>
      <c r="GO136" s="6"/>
      <c r="GP136" s="6"/>
      <c r="GQ136" s="6"/>
    </row>
    <row r="137" spans="1:199" x14ac:dyDescent="0.2">
      <c r="A137" s="8">
        <v>2011</v>
      </c>
      <c r="B137" s="8" t="s">
        <v>379</v>
      </c>
      <c r="C137" s="8" t="s">
        <v>380</v>
      </c>
      <c r="D137" s="9"/>
      <c r="E137" s="9"/>
      <c r="F137" s="9"/>
      <c r="G137" s="9"/>
      <c r="H137" s="9"/>
      <c r="I137" s="9"/>
      <c r="J137" s="9"/>
      <c r="K137" s="9"/>
      <c r="L137" s="9"/>
      <c r="M137" s="9"/>
      <c r="N137" s="9"/>
      <c r="O137" s="9"/>
      <c r="P137" s="9"/>
      <c r="Q137" s="9"/>
      <c r="R137" s="9"/>
      <c r="S137" s="9"/>
      <c r="T137" s="9"/>
      <c r="U137" s="9"/>
      <c r="V137" s="9"/>
      <c r="W137" s="9"/>
      <c r="X137" s="9"/>
      <c r="Y137" s="9"/>
      <c r="Z137" s="9"/>
      <c r="AA137" s="9"/>
      <c r="AB137" s="9"/>
      <c r="AC137" s="9"/>
      <c r="AD137" s="9"/>
      <c r="AE137" s="9"/>
      <c r="AF137" s="9"/>
      <c r="AG137" s="9"/>
      <c r="AH137" s="9"/>
      <c r="AI137" s="9"/>
      <c r="AJ137" s="9"/>
      <c r="AK137" s="9"/>
      <c r="AL137" s="9"/>
      <c r="AM137" s="9"/>
      <c r="AN137" s="9"/>
      <c r="AO137" s="9"/>
      <c r="AP137" s="9"/>
      <c r="AQ137" s="9"/>
      <c r="AR137" s="9"/>
      <c r="AS137" s="9"/>
      <c r="AT137" s="9"/>
      <c r="AU137" s="9"/>
      <c r="AV137" s="9"/>
      <c r="AW137" s="9"/>
      <c r="AX137" s="9"/>
      <c r="AY137" s="9"/>
      <c r="AZ137" s="9"/>
      <c r="BA137" s="9"/>
      <c r="BB137" s="9"/>
      <c r="BC137" s="9"/>
      <c r="BD137" s="9"/>
      <c r="BE137" s="9"/>
      <c r="BF137" s="9"/>
      <c r="BG137" s="9"/>
      <c r="BH137" s="9"/>
      <c r="BI137" s="9"/>
      <c r="BJ137" s="9"/>
      <c r="BK137" s="9"/>
      <c r="BL137" s="9"/>
      <c r="BM137" s="9"/>
      <c r="BN137" s="9">
        <v>294120.2</v>
      </c>
      <c r="BO137" s="9">
        <v>270734.3</v>
      </c>
      <c r="BP137" s="9">
        <v>67991.199999999997</v>
      </c>
      <c r="BQ137" s="9">
        <v>46588</v>
      </c>
      <c r="BR137" s="9">
        <v>14958.2</v>
      </c>
      <c r="BS137" s="9">
        <v>24880.799999999999</v>
      </c>
      <c r="BT137" s="9">
        <v>76743.199999999997</v>
      </c>
      <c r="BU137" s="9">
        <v>30289.4</v>
      </c>
      <c r="BV137" s="9">
        <v>22291</v>
      </c>
      <c r="BW137" s="9">
        <v>274621.40000000002</v>
      </c>
      <c r="BX137" s="9">
        <v>1443.2</v>
      </c>
      <c r="BY137" s="9">
        <v>49885.5</v>
      </c>
      <c r="BZ137" s="9">
        <v>62124.5</v>
      </c>
      <c r="CA137" s="9">
        <v>3108.2</v>
      </c>
      <c r="CB137" s="9">
        <v>7224.3</v>
      </c>
      <c r="CC137" s="9">
        <v>152278.9</v>
      </c>
      <c r="CD137" s="9">
        <v>0</v>
      </c>
      <c r="CE137" s="9">
        <v>51937.599999999999</v>
      </c>
      <c r="CF137" s="9">
        <v>1338324.991967164</v>
      </c>
      <c r="CG137" s="9">
        <v>5349577.8320974279</v>
      </c>
      <c r="CH137" s="9"/>
      <c r="CI137" s="9"/>
      <c r="CJ137" s="9">
        <v>16.378035374100001</v>
      </c>
      <c r="CK137" s="9">
        <v>12.932592474</v>
      </c>
      <c r="CL137" s="9">
        <v>11.5</v>
      </c>
      <c r="CM137" s="9">
        <v>64.334933751999998</v>
      </c>
      <c r="CN137" s="9">
        <v>19.164317898699998</v>
      </c>
      <c r="CO137" s="9">
        <v>2.036080552</v>
      </c>
      <c r="CP137" s="9">
        <v>10.4630619498</v>
      </c>
      <c r="CQ137" s="9">
        <v>7.6072951431</v>
      </c>
      <c r="CR137" s="9">
        <v>3.0227570462000002</v>
      </c>
      <c r="CS137" s="9">
        <v>2.2911358346999999</v>
      </c>
      <c r="CT137" s="9">
        <v>7.9017671329999999</v>
      </c>
      <c r="CU137" s="9">
        <v>2.8106720342</v>
      </c>
      <c r="CV137" s="9">
        <v>1.7706540539</v>
      </c>
      <c r="CW137" s="9">
        <v>2.9971595517999998</v>
      </c>
      <c r="CX137" s="9">
        <v>1.6517672928</v>
      </c>
      <c r="CY137" s="9">
        <v>2.6182652617</v>
      </c>
      <c r="CZ137" s="9">
        <v>420</v>
      </c>
      <c r="DA137" s="9">
        <v>372</v>
      </c>
      <c r="DB137" s="9">
        <v>11</v>
      </c>
      <c r="DC137" s="9">
        <v>90</v>
      </c>
      <c r="DD137" s="9">
        <v>45</v>
      </c>
      <c r="DE137" s="9">
        <v>12</v>
      </c>
      <c r="DF137" s="9">
        <v>182</v>
      </c>
      <c r="DG137" s="9">
        <v>19</v>
      </c>
      <c r="DH137" s="9">
        <v>42</v>
      </c>
      <c r="DI137" s="9">
        <v>0</v>
      </c>
      <c r="DJ137" s="9">
        <v>6</v>
      </c>
      <c r="DK137" s="9">
        <v>33</v>
      </c>
      <c r="DL137" s="9">
        <v>0</v>
      </c>
      <c r="DM137" s="9">
        <v>6</v>
      </c>
      <c r="DN137" s="9">
        <v>0</v>
      </c>
      <c r="DO137" s="9">
        <v>495.44</v>
      </c>
      <c r="DP137" s="9">
        <v>107.44</v>
      </c>
      <c r="DQ137" s="9">
        <v>51.48</v>
      </c>
      <c r="DR137" s="9">
        <v>55.97</v>
      </c>
      <c r="DS137" s="9">
        <v>29.07</v>
      </c>
      <c r="DT137" s="9">
        <v>1.72</v>
      </c>
      <c r="DU137" s="9">
        <v>288.77999999999997</v>
      </c>
      <c r="DV137" s="9">
        <v>208.16</v>
      </c>
      <c r="DW137" s="9">
        <v>68.64</v>
      </c>
      <c r="DX137" s="9">
        <v>63.39</v>
      </c>
      <c r="DY137" s="9">
        <v>35.25</v>
      </c>
      <c r="DZ137" s="9">
        <v>13.4</v>
      </c>
      <c r="EA137" s="9">
        <v>-68.531599999999997</v>
      </c>
      <c r="EB137" s="9">
        <v>-7.2709400000000004</v>
      </c>
      <c r="EC137" s="9">
        <v>-24.595700000000001</v>
      </c>
      <c r="ED137" s="9">
        <v>-52.406799999999997</v>
      </c>
      <c r="EE137" s="9">
        <v>15.74174</v>
      </c>
      <c r="EF137" s="9">
        <v>12.000970000000001</v>
      </c>
      <c r="EG137" s="9">
        <v>-134.435</v>
      </c>
      <c r="EH137" s="9">
        <v>-183.29599999999999</v>
      </c>
      <c r="EI137" s="9">
        <v>-0.15334999999999999</v>
      </c>
      <c r="EJ137" s="9">
        <v>0</v>
      </c>
      <c r="EK137" s="9">
        <v>49.014899999999997</v>
      </c>
      <c r="EL137" s="9">
        <v>24.619230000000002</v>
      </c>
      <c r="EM137" s="9">
        <v>102.5231</v>
      </c>
      <c r="EN137" s="9">
        <v>2328.4</v>
      </c>
      <c r="EO137" s="9"/>
      <c r="EP137" s="9"/>
      <c r="EQ137" s="9"/>
      <c r="ER137" s="9"/>
      <c r="ES137" s="9"/>
      <c r="ET137" s="9"/>
      <c r="EU137">
        <v>1219.9000000000001</v>
      </c>
      <c r="EV137" s="9"/>
      <c r="EW137" s="9"/>
      <c r="EX137" s="9"/>
      <c r="EY137" s="9"/>
      <c r="EZ137" s="9"/>
      <c r="FA137" s="9"/>
      <c r="FB137" s="9">
        <v>131.52559523810001</v>
      </c>
      <c r="FC137" s="9">
        <v>123.1504761905</v>
      </c>
      <c r="FD137" s="9">
        <v>9482.75</v>
      </c>
      <c r="FE137" s="9">
        <v>179.26111111110001</v>
      </c>
      <c r="FF137" s="9">
        <v>1473.8055555556</v>
      </c>
      <c r="FG137" s="9">
        <v>3939307.3</v>
      </c>
      <c r="FH137" s="9">
        <v>80072.52</v>
      </c>
      <c r="FI137" s="9">
        <v>377933.32</v>
      </c>
      <c r="FJ137" s="9">
        <v>1674691.55</v>
      </c>
      <c r="FK137" s="9">
        <v>13491.14</v>
      </c>
      <c r="FL137" s="9">
        <v>57443.15</v>
      </c>
      <c r="FM137" s="9"/>
      <c r="FN137" s="9"/>
      <c r="FO137" s="9"/>
      <c r="FP137" s="9"/>
      <c r="FQ137" s="9"/>
      <c r="FR137" s="9"/>
      <c r="FS137" s="9"/>
      <c r="FT137" s="9">
        <v>2264583.31</v>
      </c>
      <c r="FU137" s="9">
        <v>66581.38</v>
      </c>
      <c r="FV137" s="9">
        <v>320457.73</v>
      </c>
      <c r="FW137" s="9"/>
      <c r="FX137" s="9"/>
      <c r="FY137" s="9"/>
      <c r="FZ137" s="9">
        <v>11506.01</v>
      </c>
      <c r="GA137" s="9">
        <v>4797501.7699999986</v>
      </c>
      <c r="GB137" s="9">
        <v>1640420.24</v>
      </c>
      <c r="GC137" s="9">
        <v>3157081.5299999989</v>
      </c>
      <c r="GD137" s="9">
        <v>2894062.17</v>
      </c>
      <c r="GE137" s="9">
        <v>256635.07</v>
      </c>
      <c r="GF137" s="9">
        <v>2637427.1</v>
      </c>
      <c r="GG137" s="9">
        <v>1903439.6</v>
      </c>
      <c r="GH137" s="9">
        <v>1383785.17</v>
      </c>
      <c r="GI137" s="9">
        <v>519654.43</v>
      </c>
      <c r="GJ137" s="9">
        <v>507535.03</v>
      </c>
      <c r="GK137" s="9">
        <v>6923690.29</v>
      </c>
      <c r="GL137" s="9">
        <v>416457.97</v>
      </c>
      <c r="GM137">
        <v>1258.47</v>
      </c>
      <c r="GO137" s="6"/>
      <c r="GP137" s="6"/>
      <c r="GQ137" s="6"/>
    </row>
    <row r="138" spans="1:199" x14ac:dyDescent="0.2">
      <c r="A138" s="8">
        <v>2011</v>
      </c>
      <c r="B138" s="8" t="s">
        <v>379</v>
      </c>
      <c r="C138" s="8" t="s">
        <v>381</v>
      </c>
      <c r="D138" s="9"/>
      <c r="E138" s="9"/>
      <c r="F138" s="9"/>
      <c r="G138" s="9"/>
      <c r="H138" s="9"/>
      <c r="I138" s="9"/>
      <c r="J138" s="9"/>
      <c r="K138" s="9"/>
      <c r="L138" s="9"/>
      <c r="M138" s="9"/>
      <c r="N138" s="9"/>
      <c r="O138" s="9"/>
      <c r="P138" s="9"/>
      <c r="Q138" s="9"/>
      <c r="R138" s="9"/>
      <c r="S138" s="9"/>
      <c r="T138" s="9"/>
      <c r="U138" s="9"/>
      <c r="V138" s="9"/>
      <c r="W138" s="9"/>
      <c r="X138" s="9"/>
      <c r="Y138" s="9"/>
      <c r="Z138" s="9"/>
      <c r="AA138" s="9"/>
      <c r="AB138" s="9"/>
      <c r="AC138" s="9"/>
      <c r="AD138" s="9"/>
      <c r="AE138" s="9"/>
      <c r="AF138" s="9"/>
      <c r="AG138" s="9"/>
      <c r="AH138" s="9"/>
      <c r="AI138" s="9"/>
      <c r="AJ138" s="9"/>
      <c r="AK138" s="9"/>
      <c r="AL138" s="9"/>
      <c r="AM138" s="9"/>
      <c r="AN138" s="9"/>
      <c r="AO138" s="9"/>
      <c r="AP138" s="9"/>
      <c r="AQ138" s="9"/>
      <c r="AR138" s="9"/>
      <c r="AS138" s="9"/>
      <c r="AT138" s="9"/>
      <c r="AU138" s="9"/>
      <c r="AV138" s="9"/>
      <c r="AW138" s="9"/>
      <c r="AX138" s="9"/>
      <c r="AY138" s="9"/>
      <c r="AZ138" s="9"/>
      <c r="BA138" s="9"/>
      <c r="BB138" s="9"/>
      <c r="BC138" s="9"/>
      <c r="BD138" s="9"/>
      <c r="BE138" s="9"/>
      <c r="BF138" s="9"/>
      <c r="BG138" s="9"/>
      <c r="BH138" s="9"/>
      <c r="BI138" s="9"/>
      <c r="BJ138" s="9"/>
      <c r="BK138" s="9"/>
      <c r="BL138" s="9"/>
      <c r="BM138" s="9"/>
      <c r="BN138" s="9">
        <v>351496.7</v>
      </c>
      <c r="BO138" s="9">
        <v>282559</v>
      </c>
      <c r="BP138" s="9">
        <v>34386.800000000003</v>
      </c>
      <c r="BQ138" s="9">
        <v>18270.099999999999</v>
      </c>
      <c r="BR138" s="9">
        <v>15970.4</v>
      </c>
      <c r="BS138" s="9">
        <v>43104.2</v>
      </c>
      <c r="BT138" s="9">
        <v>88236.9</v>
      </c>
      <c r="BU138" s="9">
        <v>25862.2</v>
      </c>
      <c r="BV138" s="9">
        <v>47927.199999999997</v>
      </c>
      <c r="BW138" s="9">
        <v>242614</v>
      </c>
      <c r="BX138" s="9">
        <v>16201</v>
      </c>
      <c r="BY138" s="9">
        <v>49177.5</v>
      </c>
      <c r="BZ138" s="9">
        <v>72396.3</v>
      </c>
      <c r="CA138" s="9">
        <v>2321.6999999999998</v>
      </c>
      <c r="CB138" s="9">
        <v>5532</v>
      </c>
      <c r="CC138" s="9">
        <v>113186.6</v>
      </c>
      <c r="CD138" s="9">
        <v>0</v>
      </c>
      <c r="CE138" s="9">
        <v>73667.899999999994</v>
      </c>
      <c r="CF138" s="9">
        <v>1422605.9718169307</v>
      </c>
      <c r="CG138" s="9">
        <v>5428282.4367613494</v>
      </c>
      <c r="CH138" s="9"/>
      <c r="CI138" s="9"/>
      <c r="CJ138" s="9">
        <v>16.567184333499998</v>
      </c>
      <c r="CK138" s="9">
        <v>14.3037894126</v>
      </c>
      <c r="CL138" s="9">
        <v>11.5</v>
      </c>
      <c r="CM138" s="9">
        <v>65.302250244199996</v>
      </c>
      <c r="CN138" s="9">
        <v>19.694008184000001</v>
      </c>
      <c r="CO138" s="9">
        <v>2.0394700934999999</v>
      </c>
      <c r="CP138" s="9">
        <v>10.4701168714</v>
      </c>
      <c r="CQ138" s="9">
        <v>7.9311950695000002</v>
      </c>
      <c r="CR138" s="9">
        <v>3.0358648796000001</v>
      </c>
      <c r="CS138" s="9">
        <v>2.297734444</v>
      </c>
      <c r="CT138" s="9">
        <v>7.9546628426000003</v>
      </c>
      <c r="CU138" s="9">
        <v>2.8095519786000001</v>
      </c>
      <c r="CV138" s="9">
        <v>1.7767614374</v>
      </c>
      <c r="CW138" s="9">
        <v>2.9971595517999998</v>
      </c>
      <c r="CX138" s="9">
        <v>1.6542204983</v>
      </c>
      <c r="CY138" s="9">
        <v>2.6415043935</v>
      </c>
      <c r="CZ138" s="9">
        <v>414</v>
      </c>
      <c r="DA138" s="9">
        <v>329</v>
      </c>
      <c r="DB138" s="9">
        <v>10</v>
      </c>
      <c r="DC138" s="9">
        <v>89</v>
      </c>
      <c r="DD138" s="9">
        <v>26</v>
      </c>
      <c r="DE138" s="9">
        <v>9</v>
      </c>
      <c r="DF138" s="9">
        <v>162</v>
      </c>
      <c r="DG138" s="9">
        <v>22</v>
      </c>
      <c r="DH138" s="9">
        <v>70</v>
      </c>
      <c r="DI138" s="9">
        <v>1</v>
      </c>
      <c r="DJ138" s="9">
        <v>7</v>
      </c>
      <c r="DK138" s="9">
        <v>61</v>
      </c>
      <c r="DL138" s="9">
        <v>1</v>
      </c>
      <c r="DM138" s="9">
        <v>16</v>
      </c>
      <c r="DN138" s="9">
        <v>0</v>
      </c>
      <c r="DO138" s="9">
        <v>530.58000000000004</v>
      </c>
      <c r="DP138" s="9">
        <v>121.32</v>
      </c>
      <c r="DQ138" s="9">
        <v>59.84</v>
      </c>
      <c r="DR138" s="9">
        <v>61.48</v>
      </c>
      <c r="DS138" s="9">
        <v>40.61</v>
      </c>
      <c r="DT138" s="9">
        <v>0.28000000000000003</v>
      </c>
      <c r="DU138" s="9">
        <v>304.31</v>
      </c>
      <c r="DV138" s="9">
        <v>202.16</v>
      </c>
      <c r="DW138" s="9">
        <v>81.849999999999994</v>
      </c>
      <c r="DX138" s="9">
        <v>49.95</v>
      </c>
      <c r="DY138" s="9">
        <v>23.49</v>
      </c>
      <c r="DZ138" s="9">
        <v>9.2100000000000009</v>
      </c>
      <c r="EA138" s="9">
        <v>9.6209760000000006</v>
      </c>
      <c r="EB138" s="9">
        <v>41.401809999999998</v>
      </c>
      <c r="EC138" s="9">
        <v>-25.494700000000002</v>
      </c>
      <c r="ED138" s="9">
        <v>-15.4785</v>
      </c>
      <c r="EE138" s="9">
        <v>9.1924349999999997</v>
      </c>
      <c r="EF138" s="9">
        <v>8.7189530000000008</v>
      </c>
      <c r="EG138" s="9">
        <v>-44.069400000000002</v>
      </c>
      <c r="EH138" s="9">
        <v>-81.728099999999998</v>
      </c>
      <c r="EI138" s="9">
        <v>-1.1039699999999999</v>
      </c>
      <c r="EJ138" s="9">
        <v>0</v>
      </c>
      <c r="EK138" s="9">
        <v>38.76267</v>
      </c>
      <c r="EL138" s="9">
        <v>-76.187299999999993</v>
      </c>
      <c r="EM138" s="9">
        <v>-13.778</v>
      </c>
      <c r="EN138" s="9">
        <v>2414.5</v>
      </c>
      <c r="EO138" s="9"/>
      <c r="EP138" s="9"/>
      <c r="EQ138" s="9"/>
      <c r="ER138" s="9"/>
      <c r="ES138" s="9"/>
      <c r="ET138" s="9"/>
      <c r="EU138">
        <v>1235.71</v>
      </c>
      <c r="EV138" s="9"/>
      <c r="EW138" s="9"/>
      <c r="EX138" s="9"/>
      <c r="EY138" s="9"/>
      <c r="EZ138" s="9"/>
      <c r="FA138" s="9"/>
      <c r="FB138" s="9">
        <v>127.96285714290001</v>
      </c>
      <c r="FC138" s="9">
        <v>114.4581818182</v>
      </c>
      <c r="FD138" s="9">
        <v>8931.6749999999993</v>
      </c>
      <c r="FE138" s="9">
        <v>177.095</v>
      </c>
      <c r="FF138" s="9">
        <v>1510.4375</v>
      </c>
      <c r="FG138" s="9">
        <v>4211265.9400000004</v>
      </c>
      <c r="FH138" s="9">
        <v>74434.53</v>
      </c>
      <c r="FI138" s="9">
        <v>394637.39</v>
      </c>
      <c r="FJ138" s="9">
        <v>1779732.46</v>
      </c>
      <c r="FK138" s="9">
        <v>11347.59</v>
      </c>
      <c r="FL138" s="9">
        <v>53850.79</v>
      </c>
      <c r="FM138" s="9"/>
      <c r="FN138" s="9"/>
      <c r="FO138" s="9"/>
      <c r="FP138" s="9"/>
      <c r="FQ138" s="9"/>
      <c r="FR138" s="9"/>
      <c r="FS138" s="9"/>
      <c r="FT138" s="9">
        <v>2431494.6</v>
      </c>
      <c r="FU138" s="9">
        <v>63086.95</v>
      </c>
      <c r="FV138" s="9">
        <v>340747.71</v>
      </c>
      <c r="FW138" s="9"/>
      <c r="FX138" s="9"/>
      <c r="FY138" s="9"/>
      <c r="FZ138" s="9">
        <v>11231.21</v>
      </c>
      <c r="GA138" s="9">
        <v>4874632.08</v>
      </c>
      <c r="GB138" s="9">
        <v>1658914.12</v>
      </c>
      <c r="GC138" s="9">
        <v>3215717.96</v>
      </c>
      <c r="GD138" s="9">
        <v>2959349.83</v>
      </c>
      <c r="GE138" s="9">
        <v>276263.53999999998</v>
      </c>
      <c r="GF138" s="9">
        <v>2683086.29</v>
      </c>
      <c r="GG138" s="9">
        <v>1915282.25</v>
      </c>
      <c r="GH138" s="9">
        <v>1382650.58</v>
      </c>
      <c r="GI138" s="9">
        <v>532631.67000000004</v>
      </c>
      <c r="GJ138" s="9">
        <v>525132.09</v>
      </c>
      <c r="GK138" s="9">
        <v>7200891.8899999997</v>
      </c>
      <c r="GL138" s="9">
        <v>441592.97</v>
      </c>
      <c r="GM138">
        <v>1245.3499999999999</v>
      </c>
      <c r="GO138" s="6"/>
      <c r="GP138" s="6"/>
      <c r="GQ138" s="6"/>
    </row>
    <row r="139" spans="1:199" x14ac:dyDescent="0.2">
      <c r="A139" s="8">
        <v>2011</v>
      </c>
      <c r="B139" s="8" t="s">
        <v>379</v>
      </c>
      <c r="C139" s="8" t="s">
        <v>382</v>
      </c>
      <c r="D139" s="9">
        <v>3454541.41</v>
      </c>
      <c r="E139" s="9">
        <v>565136.74</v>
      </c>
      <c r="F139" s="9">
        <v>628728.13</v>
      </c>
      <c r="G139" s="9">
        <v>246149.68</v>
      </c>
      <c r="H139" s="9">
        <v>58385.37</v>
      </c>
      <c r="I139" s="9">
        <v>61914.42</v>
      </c>
      <c r="J139" s="9">
        <v>389362.33</v>
      </c>
      <c r="K139" s="9">
        <v>197770.79</v>
      </c>
      <c r="L139" s="9">
        <v>71343.490000000005</v>
      </c>
      <c r="M139" s="9">
        <v>736217.07</v>
      </c>
      <c r="N139" s="9">
        <v>499533.4</v>
      </c>
      <c r="O139" s="9">
        <v>4334407.3404233297</v>
      </c>
      <c r="P139" s="9">
        <v>729656.33365788392</v>
      </c>
      <c r="Q139" s="9">
        <v>581186.53512517188</v>
      </c>
      <c r="R139" s="9">
        <v>326960.39914837288</v>
      </c>
      <c r="S139" s="9">
        <v>101598.01882207709</v>
      </c>
      <c r="T139" s="9">
        <v>72914.993735750904</v>
      </c>
      <c r="U139" s="9">
        <v>452511.57152042998</v>
      </c>
      <c r="V139" s="9">
        <v>227563.5742734521</v>
      </c>
      <c r="W139" s="9">
        <v>84917.894291326302</v>
      </c>
      <c r="X139" s="9">
        <v>1098927.701525972</v>
      </c>
      <c r="Y139" s="9">
        <v>658170.31832289218</v>
      </c>
      <c r="Z139" s="9">
        <v>3582731.5</v>
      </c>
      <c r="AA139" s="9">
        <v>1730349.2</v>
      </c>
      <c r="AB139" s="9">
        <v>397528.7</v>
      </c>
      <c r="AC139" s="9">
        <v>1759031.9</v>
      </c>
      <c r="AD139" s="9">
        <v>357776</v>
      </c>
      <c r="AE139" s="9">
        <v>1733402.3</v>
      </c>
      <c r="AF139" s="9">
        <v>2395356.6</v>
      </c>
      <c r="AG139" s="9">
        <v>4476935.0887711197</v>
      </c>
      <c r="AH139" s="9">
        <v>2313951.5792520102</v>
      </c>
      <c r="AI139" s="9">
        <v>542039.46012899838</v>
      </c>
      <c r="AJ139" s="9">
        <v>1911939.4428975401</v>
      </c>
      <c r="AK139" s="9">
        <v>490030.33154708671</v>
      </c>
      <c r="AL139" s="9">
        <v>1296917.9695693727</v>
      </c>
      <c r="AM139" s="9">
        <v>2077943.6946238887</v>
      </c>
      <c r="AN139" s="9">
        <v>1042546</v>
      </c>
      <c r="AO139" s="9">
        <v>550952</v>
      </c>
      <c r="AP139" s="9">
        <v>491594</v>
      </c>
      <c r="AQ139" s="9">
        <v>81918</v>
      </c>
      <c r="AR139" s="9">
        <v>46158</v>
      </c>
      <c r="AS139" s="9">
        <v>35760</v>
      </c>
      <c r="AT139" s="9">
        <v>687423</v>
      </c>
      <c r="AU139" s="9">
        <v>276754</v>
      </c>
      <c r="AV139" s="9">
        <v>410669</v>
      </c>
      <c r="AW139" s="9">
        <v>427.7</v>
      </c>
      <c r="AX139" s="9">
        <v>207.6</v>
      </c>
      <c r="AY139" s="9">
        <v>750.2</v>
      </c>
      <c r="AZ139" s="9">
        <v>421.3</v>
      </c>
      <c r="BA139" s="9">
        <v>416.6</v>
      </c>
      <c r="BB139" s="9"/>
      <c r="BC139" s="9">
        <v>299.10000000000002</v>
      </c>
      <c r="BD139" s="9">
        <v>247.9</v>
      </c>
      <c r="BE139" s="9">
        <v>468.8</v>
      </c>
      <c r="BF139" s="9">
        <v>308.2</v>
      </c>
      <c r="BG139" s="9"/>
      <c r="BH139" s="9">
        <v>846.7</v>
      </c>
      <c r="BI139" s="9">
        <v>335.9</v>
      </c>
      <c r="BJ139" s="9">
        <v>411.8</v>
      </c>
      <c r="BK139" s="9">
        <v>390.2</v>
      </c>
      <c r="BL139" s="9"/>
      <c r="BM139" s="9">
        <v>297.3</v>
      </c>
      <c r="BN139" s="9">
        <v>395663.6</v>
      </c>
      <c r="BO139" s="9">
        <v>338268.4</v>
      </c>
      <c r="BP139" s="9">
        <v>60707.5</v>
      </c>
      <c r="BQ139" s="9">
        <v>39616.9</v>
      </c>
      <c r="BR139" s="9">
        <v>20948.2</v>
      </c>
      <c r="BS139" s="9">
        <v>45240.6</v>
      </c>
      <c r="BT139" s="9">
        <v>100102.6</v>
      </c>
      <c r="BU139" s="9">
        <v>22783.5</v>
      </c>
      <c r="BV139" s="9">
        <v>53536.4</v>
      </c>
      <c r="BW139" s="9">
        <v>266090.59999999998</v>
      </c>
      <c r="BX139" s="9">
        <v>38388.1</v>
      </c>
      <c r="BY139" s="9">
        <v>54775.4</v>
      </c>
      <c r="BZ139" s="9">
        <v>82257.399999999994</v>
      </c>
      <c r="CA139" s="9">
        <v>1814.3</v>
      </c>
      <c r="CB139" s="9">
        <v>5849.3</v>
      </c>
      <c r="CC139" s="9">
        <v>121394.1</v>
      </c>
      <c r="CD139" s="9">
        <v>0</v>
      </c>
      <c r="CE139" s="9">
        <v>81792.100000000006</v>
      </c>
      <c r="CF139" s="9">
        <v>1552471.903929556</v>
      </c>
      <c r="CG139" s="9">
        <v>5771547.5233057719</v>
      </c>
      <c r="CH139" s="9"/>
      <c r="CI139" s="9"/>
      <c r="CJ139" s="9">
        <v>16.191935793999999</v>
      </c>
      <c r="CK139" s="9">
        <v>12.2737982249</v>
      </c>
      <c r="CL139" s="9">
        <v>11.5</v>
      </c>
      <c r="CM139" s="9">
        <v>66.022981654999995</v>
      </c>
      <c r="CN139" s="9">
        <v>19.773907601099999</v>
      </c>
      <c r="CO139" s="9">
        <v>2.0403600283999999</v>
      </c>
      <c r="CP139" s="9">
        <v>10.565328561399999</v>
      </c>
      <c r="CQ139" s="9">
        <v>7.8921088921999996</v>
      </c>
      <c r="CR139" s="9">
        <v>3.0563812666999999</v>
      </c>
      <c r="CS139" s="9">
        <v>2.2993086112999999</v>
      </c>
      <c r="CT139" s="9">
        <v>8.4518854469000004</v>
      </c>
      <c r="CU139" s="9">
        <v>2.8095519786000001</v>
      </c>
      <c r="CV139" s="9">
        <v>1.79919681</v>
      </c>
      <c r="CW139" s="9">
        <v>2.9971595517999998</v>
      </c>
      <c r="CX139" s="9">
        <v>1.6785639833999999</v>
      </c>
      <c r="CY139" s="9">
        <v>2.6592289233000002</v>
      </c>
      <c r="CZ139" s="9">
        <v>413</v>
      </c>
      <c r="DA139" s="9">
        <v>367</v>
      </c>
      <c r="DB139" s="9">
        <v>8</v>
      </c>
      <c r="DC139" s="9">
        <v>82</v>
      </c>
      <c r="DD139" s="9">
        <v>44</v>
      </c>
      <c r="DE139" s="9">
        <v>9</v>
      </c>
      <c r="DF139" s="9">
        <v>188</v>
      </c>
      <c r="DG139" s="9">
        <v>19</v>
      </c>
      <c r="DH139" s="9">
        <v>33</v>
      </c>
      <c r="DI139" s="9">
        <v>1</v>
      </c>
      <c r="DJ139" s="9">
        <v>5</v>
      </c>
      <c r="DK139" s="9">
        <v>26</v>
      </c>
      <c r="DL139" s="9">
        <v>2</v>
      </c>
      <c r="DM139" s="9">
        <v>11</v>
      </c>
      <c r="DN139" s="9">
        <v>0</v>
      </c>
      <c r="DO139" s="9">
        <v>604.57000000000005</v>
      </c>
      <c r="DP139" s="9">
        <v>129.27000000000001</v>
      </c>
      <c r="DQ139" s="9">
        <v>58.23</v>
      </c>
      <c r="DR139" s="9">
        <v>71.040000000000006</v>
      </c>
      <c r="DS139" s="9">
        <v>33.33</v>
      </c>
      <c r="DT139" s="9">
        <v>0.2</v>
      </c>
      <c r="DU139" s="9">
        <v>323.67</v>
      </c>
      <c r="DV139" s="9">
        <v>208.05</v>
      </c>
      <c r="DW139" s="9">
        <v>93.12</v>
      </c>
      <c r="DX139" s="9">
        <v>118.2</v>
      </c>
      <c r="DY139" s="9">
        <v>79.349999999999994</v>
      </c>
      <c r="DZ139" s="9">
        <v>17.05</v>
      </c>
      <c r="EA139" s="9">
        <v>-2.9277000000000002</v>
      </c>
      <c r="EB139" s="9">
        <v>23.082789999999999</v>
      </c>
      <c r="EC139" s="9">
        <v>-17.8186</v>
      </c>
      <c r="ED139" s="9">
        <v>-21.263300000000001</v>
      </c>
      <c r="EE139" s="9">
        <v>13.071400000000001</v>
      </c>
      <c r="EF139" s="9">
        <v>11.47254</v>
      </c>
      <c r="EG139" s="9">
        <v>12.40278</v>
      </c>
      <c r="EH139" s="9">
        <v>-161.441</v>
      </c>
      <c r="EI139" s="9">
        <v>78.502830000000003</v>
      </c>
      <c r="EJ139" s="9">
        <v>0</v>
      </c>
      <c r="EK139" s="9">
        <v>95.340549999999993</v>
      </c>
      <c r="EL139" s="9">
        <v>77.539479999999998</v>
      </c>
      <c r="EM139" s="9">
        <v>73.681550000000001</v>
      </c>
      <c r="EN139" s="9">
        <v>2541.6</v>
      </c>
      <c r="EO139" s="9"/>
      <c r="EP139" s="9"/>
      <c r="EQ139" s="9"/>
      <c r="ER139" s="9"/>
      <c r="ES139" s="9"/>
      <c r="ET139" s="9"/>
      <c r="EU139">
        <v>1257.29</v>
      </c>
      <c r="EV139" s="9">
        <v>9056.16</v>
      </c>
      <c r="EW139" s="9">
        <v>1947.86</v>
      </c>
      <c r="EX139" s="9">
        <v>280.11</v>
      </c>
      <c r="EY139" s="9">
        <v>587.94000000000005</v>
      </c>
      <c r="EZ139" s="9">
        <v>1674.86</v>
      </c>
      <c r="FA139" s="9">
        <v>4565.3900000000003</v>
      </c>
      <c r="FB139" s="9">
        <v>128.36201298700001</v>
      </c>
      <c r="FC139" s="9">
        <v>113.7577272727</v>
      </c>
      <c r="FD139" s="9">
        <v>9066.8522727272994</v>
      </c>
      <c r="FE139" s="9">
        <v>170.87727272730001</v>
      </c>
      <c r="FF139" s="9">
        <v>1528.6590909091001</v>
      </c>
      <c r="FG139" s="9">
        <v>4517238.33</v>
      </c>
      <c r="FH139" s="9">
        <v>68538.820000000007</v>
      </c>
      <c r="FI139" s="9">
        <v>387540.98</v>
      </c>
      <c r="FJ139" s="9">
        <v>1909260.65</v>
      </c>
      <c r="FK139" s="9">
        <v>10173.99</v>
      </c>
      <c r="FL139" s="9">
        <v>50412.23</v>
      </c>
      <c r="FM139" s="9"/>
      <c r="FN139" s="9"/>
      <c r="FO139" s="9"/>
      <c r="FP139" s="9"/>
      <c r="FQ139" s="9"/>
      <c r="FR139" s="9"/>
      <c r="FS139" s="9"/>
      <c r="FT139" s="9">
        <v>2607937.8399999989</v>
      </c>
      <c r="FU139" s="9">
        <v>58364.83</v>
      </c>
      <c r="FV139" s="9">
        <v>337088.91</v>
      </c>
      <c r="FW139" s="9"/>
      <c r="FX139" s="9"/>
      <c r="FY139" s="9"/>
      <c r="FZ139" s="9">
        <v>11188.83</v>
      </c>
      <c r="GA139" s="9">
        <v>5204920.7600000016</v>
      </c>
      <c r="GB139" s="9">
        <v>1871316.35</v>
      </c>
      <c r="GC139" s="9">
        <v>3333604.4100000011</v>
      </c>
      <c r="GD139" s="9">
        <v>3135003.15</v>
      </c>
      <c r="GE139" s="9">
        <v>327734.99</v>
      </c>
      <c r="GF139" s="9">
        <v>2807268.16</v>
      </c>
      <c r="GG139" s="9">
        <v>2069917.61</v>
      </c>
      <c r="GH139" s="9">
        <v>1543581.36</v>
      </c>
      <c r="GI139" s="9">
        <v>526336.25</v>
      </c>
      <c r="GJ139" s="9">
        <v>520407.06</v>
      </c>
      <c r="GK139" s="9">
        <v>7691617.1900000004</v>
      </c>
      <c r="GL139" s="9">
        <v>505565.07</v>
      </c>
      <c r="GM139">
        <v>1258.6400000000001</v>
      </c>
      <c r="GO139" s="6"/>
      <c r="GP139" s="6"/>
      <c r="GQ139" s="6"/>
    </row>
    <row r="140" spans="1:199" x14ac:dyDescent="0.2">
      <c r="A140" s="8">
        <v>2011</v>
      </c>
      <c r="B140" s="8" t="s">
        <v>383</v>
      </c>
      <c r="C140" s="8" t="s">
        <v>384</v>
      </c>
      <c r="D140" s="9"/>
      <c r="E140" s="9"/>
      <c r="F140" s="9"/>
      <c r="G140" s="9"/>
      <c r="H140" s="9"/>
      <c r="I140" s="9"/>
      <c r="J140" s="9"/>
      <c r="K140" s="9"/>
      <c r="L140" s="9"/>
      <c r="M140" s="9"/>
      <c r="N140" s="9"/>
      <c r="O140" s="9"/>
      <c r="P140" s="9"/>
      <c r="Q140" s="9"/>
      <c r="R140" s="9"/>
      <c r="S140" s="9"/>
      <c r="T140" s="9"/>
      <c r="U140" s="9"/>
      <c r="V140" s="9"/>
      <c r="W140" s="9"/>
      <c r="X140" s="9"/>
      <c r="Y140" s="9"/>
      <c r="Z140" s="9"/>
      <c r="AA140" s="9"/>
      <c r="AB140" s="9"/>
      <c r="AC140" s="9"/>
      <c r="AD140" s="9"/>
      <c r="AE140" s="9"/>
      <c r="AF140" s="9"/>
      <c r="AG140" s="9"/>
      <c r="AH140" s="9"/>
      <c r="AI140" s="9"/>
      <c r="AJ140" s="9"/>
      <c r="AK140" s="9"/>
      <c r="AL140" s="9"/>
      <c r="AM140" s="9"/>
      <c r="AN140" s="9"/>
      <c r="AO140" s="9"/>
      <c r="AP140" s="9"/>
      <c r="AQ140" s="9"/>
      <c r="AR140" s="9"/>
      <c r="AS140" s="9"/>
      <c r="AT140" s="9"/>
      <c r="AU140" s="9"/>
      <c r="AV140" s="9"/>
      <c r="AW140" s="9"/>
      <c r="AX140" s="9"/>
      <c r="AY140" s="9"/>
      <c r="AZ140" s="9"/>
      <c r="BA140" s="9"/>
      <c r="BB140" s="9"/>
      <c r="BC140" s="9"/>
      <c r="BD140" s="9"/>
      <c r="BE140" s="9"/>
      <c r="BF140" s="9"/>
      <c r="BG140" s="9"/>
      <c r="BH140" s="9"/>
      <c r="BI140" s="9"/>
      <c r="BJ140" s="9"/>
      <c r="BK140" s="9"/>
      <c r="BL140" s="9"/>
      <c r="BM140" s="9"/>
      <c r="BN140" s="9">
        <v>339046.40000000002</v>
      </c>
      <c r="BO140" s="9">
        <v>302075</v>
      </c>
      <c r="BP140" s="9">
        <v>84940.2</v>
      </c>
      <c r="BQ140" s="9">
        <v>68844.600000000006</v>
      </c>
      <c r="BR140" s="9">
        <v>16048</v>
      </c>
      <c r="BS140" s="9">
        <v>20965.3</v>
      </c>
      <c r="BT140" s="9">
        <v>97497.8</v>
      </c>
      <c r="BU140" s="9">
        <v>23680.1</v>
      </c>
      <c r="BV140" s="9">
        <v>36147.5</v>
      </c>
      <c r="BW140" s="9">
        <v>208245.6</v>
      </c>
      <c r="BX140" s="9">
        <v>26066.5</v>
      </c>
      <c r="BY140" s="9">
        <v>44590.400000000001</v>
      </c>
      <c r="BZ140" s="9">
        <v>52342.7</v>
      </c>
      <c r="CA140" s="9">
        <v>2228.9</v>
      </c>
      <c r="CB140" s="9">
        <v>1990.1</v>
      </c>
      <c r="CC140" s="9">
        <v>107093.6</v>
      </c>
      <c r="CD140" s="9">
        <v>0</v>
      </c>
      <c r="CE140" s="9">
        <v>77744.600000000006</v>
      </c>
      <c r="CF140" s="9">
        <v>1559247.8453564269</v>
      </c>
      <c r="CG140" s="9">
        <v>5919386.0130385924</v>
      </c>
      <c r="CH140" s="9"/>
      <c r="CI140" s="9"/>
      <c r="CJ140" s="9">
        <v>17.376443731999998</v>
      </c>
      <c r="CK140" s="9">
        <v>12.195623493899999</v>
      </c>
      <c r="CL140" s="9">
        <v>11.5</v>
      </c>
      <c r="CM140" s="9">
        <v>66.484679453699997</v>
      </c>
      <c r="CN140" s="9">
        <v>20.036058557400001</v>
      </c>
      <c r="CO140" s="9">
        <v>2.0369607275999999</v>
      </c>
      <c r="CP140" s="9">
        <v>10.5916342254</v>
      </c>
      <c r="CQ140" s="9">
        <v>7.8954354805999998</v>
      </c>
      <c r="CR140" s="9">
        <v>3.0601274633000002</v>
      </c>
      <c r="CS140" s="9">
        <v>2.3027495314999999</v>
      </c>
      <c r="CT140" s="9">
        <v>8.6104950883000004</v>
      </c>
      <c r="CU140" s="9">
        <v>2.8080003457</v>
      </c>
      <c r="CV140" s="9">
        <v>1.8018319036999999</v>
      </c>
      <c r="CW140" s="9">
        <v>2.9971595517999998</v>
      </c>
      <c r="CX140" s="9">
        <v>1.6847059551000001</v>
      </c>
      <c r="CY140" s="9">
        <v>2.6595206231000001</v>
      </c>
      <c r="CZ140" s="9">
        <v>350</v>
      </c>
      <c r="DA140" s="9">
        <v>321</v>
      </c>
      <c r="DB140" s="9">
        <v>10</v>
      </c>
      <c r="DC140" s="9">
        <v>75</v>
      </c>
      <c r="DD140" s="9">
        <v>34</v>
      </c>
      <c r="DE140" s="9">
        <v>10</v>
      </c>
      <c r="DF140" s="9">
        <v>163</v>
      </c>
      <c r="DG140" s="9">
        <v>13</v>
      </c>
      <c r="DH140" s="9">
        <v>17</v>
      </c>
      <c r="DI140" s="9">
        <v>2</v>
      </c>
      <c r="DJ140" s="9">
        <v>2</v>
      </c>
      <c r="DK140" s="9">
        <v>11</v>
      </c>
      <c r="DL140" s="9">
        <v>1</v>
      </c>
      <c r="DM140" s="9">
        <v>10</v>
      </c>
      <c r="DN140" s="9">
        <v>0</v>
      </c>
      <c r="DO140" s="9">
        <v>720.65</v>
      </c>
      <c r="DP140" s="9">
        <v>128.77000000000001</v>
      </c>
      <c r="DQ140" s="9">
        <v>50.4</v>
      </c>
      <c r="DR140" s="9">
        <v>78.37</v>
      </c>
      <c r="DS140" s="9">
        <v>35.39</v>
      </c>
      <c r="DT140" s="9">
        <v>3.2</v>
      </c>
      <c r="DU140" s="9">
        <v>391.49</v>
      </c>
      <c r="DV140" s="9">
        <v>259</v>
      </c>
      <c r="DW140" s="9">
        <v>103.41</v>
      </c>
      <c r="DX140" s="9">
        <v>164.83</v>
      </c>
      <c r="DY140" s="9">
        <v>122.69</v>
      </c>
      <c r="DZ140" s="9">
        <v>23.02</v>
      </c>
      <c r="EA140" s="9">
        <v>-76.892099999999999</v>
      </c>
      <c r="EB140" s="9">
        <v>-72.584299999999999</v>
      </c>
      <c r="EC140" s="9">
        <v>2.3855780000000002</v>
      </c>
      <c r="ED140" s="9">
        <v>-27.847899999999999</v>
      </c>
      <c r="EE140" s="9">
        <v>21.15448</v>
      </c>
      <c r="EF140" s="9">
        <v>20.554410000000001</v>
      </c>
      <c r="EG140" s="9">
        <v>-48.679099999999998</v>
      </c>
      <c r="EH140" s="9">
        <v>-74.2072</v>
      </c>
      <c r="EI140" s="9">
        <v>-1.07813</v>
      </c>
      <c r="EJ140" s="9">
        <v>0</v>
      </c>
      <c r="EK140" s="9">
        <v>26.606300000000001</v>
      </c>
      <c r="EL140" s="9">
        <v>47.830919999999999</v>
      </c>
      <c r="EM140" s="9">
        <v>40.172289999999997</v>
      </c>
      <c r="EN140" s="9">
        <v>2664.1</v>
      </c>
      <c r="EO140" s="9"/>
      <c r="EP140" s="9"/>
      <c r="EQ140" s="9"/>
      <c r="ER140" s="9"/>
      <c r="ES140" s="9"/>
      <c r="ET140" s="9"/>
      <c r="EU140">
        <v>1246.93</v>
      </c>
      <c r="EV140" s="9"/>
      <c r="EW140" s="9"/>
      <c r="EX140" s="9"/>
      <c r="EY140" s="9"/>
      <c r="EZ140" s="9"/>
      <c r="FA140" s="9"/>
      <c r="FB140" s="9">
        <v>128.9892857143</v>
      </c>
      <c r="FC140" s="9">
        <v>116.460952381</v>
      </c>
      <c r="FD140" s="9">
        <v>9650.4642857143008</v>
      </c>
      <c r="FE140" s="9">
        <v>172.9761904762</v>
      </c>
      <c r="FF140" s="9">
        <v>1572.8095238095</v>
      </c>
      <c r="FG140" s="9">
        <v>4645846.2200000007</v>
      </c>
      <c r="FH140" s="9">
        <v>70009.81</v>
      </c>
      <c r="FI140" s="9">
        <v>378910.17</v>
      </c>
      <c r="FJ140" s="9">
        <v>1962755.44</v>
      </c>
      <c r="FK140" s="9">
        <v>12005.73</v>
      </c>
      <c r="FL140" s="9">
        <v>49534.05</v>
      </c>
      <c r="FM140" s="9"/>
      <c r="FN140" s="9"/>
      <c r="FO140" s="9"/>
      <c r="FP140" s="9"/>
      <c r="FQ140" s="9"/>
      <c r="FR140" s="9"/>
      <c r="FS140" s="9"/>
      <c r="FT140" s="9">
        <v>2683041.1</v>
      </c>
      <c r="FU140" s="9">
        <v>58004.08</v>
      </c>
      <c r="FV140" s="9">
        <v>329326.43</v>
      </c>
      <c r="FW140" s="9"/>
      <c r="FX140" s="9"/>
      <c r="FY140" s="9"/>
      <c r="FZ140" s="9">
        <v>11851.37</v>
      </c>
      <c r="GA140" s="9">
        <v>5333397.54</v>
      </c>
      <c r="GB140" s="9">
        <v>1895909.39</v>
      </c>
      <c r="GC140" s="9">
        <v>3437488.15</v>
      </c>
      <c r="GD140" s="9">
        <v>3237320.4</v>
      </c>
      <c r="GE140" s="9">
        <v>343080.82</v>
      </c>
      <c r="GF140" s="9">
        <v>2894239.58</v>
      </c>
      <c r="GG140" s="9">
        <v>2096077.14</v>
      </c>
      <c r="GH140" s="9">
        <v>1552828.57</v>
      </c>
      <c r="GI140" s="9">
        <v>543248.56999999995</v>
      </c>
      <c r="GJ140" s="9">
        <v>592180.47999999998</v>
      </c>
      <c r="GK140" s="9">
        <v>7865711.6399999997</v>
      </c>
      <c r="GL140" s="9">
        <v>508589.33</v>
      </c>
      <c r="GM140">
        <v>1251.25</v>
      </c>
      <c r="GO140" s="6"/>
      <c r="GP140" s="6"/>
      <c r="GQ140" s="6"/>
    </row>
    <row r="141" spans="1:199" x14ac:dyDescent="0.2">
      <c r="A141" s="8">
        <v>2011</v>
      </c>
      <c r="B141" s="8" t="s">
        <v>383</v>
      </c>
      <c r="C141" s="8" t="s">
        <v>385</v>
      </c>
      <c r="D141" s="9"/>
      <c r="E141" s="9"/>
      <c r="F141" s="9"/>
      <c r="G141" s="9"/>
      <c r="H141" s="9"/>
      <c r="I141" s="9"/>
      <c r="J141" s="9"/>
      <c r="K141" s="9"/>
      <c r="L141" s="9"/>
      <c r="M141" s="9"/>
      <c r="N141" s="9"/>
      <c r="O141" s="9"/>
      <c r="P141" s="9"/>
      <c r="Q141" s="9"/>
      <c r="R141" s="9"/>
      <c r="S141" s="9"/>
      <c r="T141" s="9"/>
      <c r="U141" s="9"/>
      <c r="V141" s="9"/>
      <c r="W141" s="9"/>
      <c r="X141" s="9"/>
      <c r="Y141" s="9"/>
      <c r="Z141" s="9"/>
      <c r="AA141" s="9"/>
      <c r="AB141" s="9"/>
      <c r="AC141" s="9"/>
      <c r="AD141" s="9"/>
      <c r="AE141" s="9"/>
      <c r="AF141" s="9"/>
      <c r="AG141" s="9"/>
      <c r="AH141" s="9"/>
      <c r="AI141" s="9"/>
      <c r="AJ141" s="9"/>
      <c r="AK141" s="9"/>
      <c r="AL141" s="9"/>
      <c r="AM141" s="9"/>
      <c r="AN141" s="9"/>
      <c r="AO141" s="9"/>
      <c r="AP141" s="9"/>
      <c r="AQ141" s="9"/>
      <c r="AR141" s="9"/>
      <c r="AS141" s="9"/>
      <c r="AT141" s="9"/>
      <c r="AU141" s="9"/>
      <c r="AV141" s="9"/>
      <c r="AW141" s="9"/>
      <c r="AX141" s="9"/>
      <c r="AY141" s="9"/>
      <c r="AZ141" s="9"/>
      <c r="BA141" s="9"/>
      <c r="BB141" s="9"/>
      <c r="BC141" s="9"/>
      <c r="BD141" s="9"/>
      <c r="BE141" s="9"/>
      <c r="BF141" s="9"/>
      <c r="BG141" s="9"/>
      <c r="BH141" s="9"/>
      <c r="BI141" s="9"/>
      <c r="BJ141" s="9"/>
      <c r="BK141" s="9"/>
      <c r="BL141" s="9"/>
      <c r="BM141" s="9"/>
      <c r="BN141" s="9">
        <v>451278</v>
      </c>
      <c r="BO141" s="9">
        <v>349228.1</v>
      </c>
      <c r="BP141" s="9">
        <v>72008.5</v>
      </c>
      <c r="BQ141" s="9">
        <v>50529.8</v>
      </c>
      <c r="BR141" s="9">
        <v>21431.3</v>
      </c>
      <c r="BS141" s="9">
        <v>43265.8</v>
      </c>
      <c r="BT141" s="9">
        <v>138786.9</v>
      </c>
      <c r="BU141" s="9">
        <v>25894.400000000001</v>
      </c>
      <c r="BV141" s="9">
        <v>99526.2</v>
      </c>
      <c r="BW141" s="9">
        <v>230807.4</v>
      </c>
      <c r="BX141" s="9">
        <v>49909.4</v>
      </c>
      <c r="BY141" s="9">
        <v>40668.400000000001</v>
      </c>
      <c r="BZ141" s="9">
        <v>52593.2</v>
      </c>
      <c r="CA141" s="9">
        <v>2848.3</v>
      </c>
      <c r="CB141" s="9">
        <v>4859.6000000000004</v>
      </c>
      <c r="CC141" s="9">
        <v>129837.8</v>
      </c>
      <c r="CD141" s="9">
        <v>0</v>
      </c>
      <c r="CE141" s="9">
        <v>69006.100000000006</v>
      </c>
      <c r="CF141" s="9">
        <v>1653627.7913292467</v>
      </c>
      <c r="CG141" s="9">
        <v>5902232.1369153243</v>
      </c>
      <c r="CH141" s="9"/>
      <c r="CI141" s="9"/>
      <c r="CJ141" s="9">
        <v>17.240787372500002</v>
      </c>
      <c r="CK141" s="9">
        <v>12.7188082288</v>
      </c>
      <c r="CL141" s="9">
        <v>11.75</v>
      </c>
      <c r="CM141" s="9">
        <v>66.697531337900003</v>
      </c>
      <c r="CN141" s="9">
        <v>19.640947069599999</v>
      </c>
      <c r="CO141" s="9">
        <v>2.0395208762000001</v>
      </c>
      <c r="CP141" s="9">
        <v>10.688818229200001</v>
      </c>
      <c r="CQ141" s="9">
        <v>8.0179033877000006</v>
      </c>
      <c r="CR141" s="9">
        <v>3.0836985245999999</v>
      </c>
      <c r="CS141" s="9">
        <v>2.3047392029</v>
      </c>
      <c r="CT141" s="9">
        <v>8.6965298956999995</v>
      </c>
      <c r="CU141" s="9">
        <v>2.8080003457</v>
      </c>
      <c r="CV141" s="9">
        <v>1.8035943146</v>
      </c>
      <c r="CW141" s="9">
        <v>3.2591526443999999</v>
      </c>
      <c r="CX141" s="9">
        <v>1.6876487016999999</v>
      </c>
      <c r="CY141" s="9">
        <v>2.6669781454999999</v>
      </c>
      <c r="CZ141" s="9">
        <v>498</v>
      </c>
      <c r="DA141" s="9">
        <v>456</v>
      </c>
      <c r="DB141" s="9">
        <v>9</v>
      </c>
      <c r="DC141" s="9">
        <v>84</v>
      </c>
      <c r="DD141" s="9">
        <v>51</v>
      </c>
      <c r="DE141" s="9">
        <v>13</v>
      </c>
      <c r="DF141" s="9">
        <v>256</v>
      </c>
      <c r="DG141" s="9">
        <v>27</v>
      </c>
      <c r="DH141" s="9">
        <v>25</v>
      </c>
      <c r="DI141" s="9">
        <v>1</v>
      </c>
      <c r="DJ141" s="9">
        <v>3</v>
      </c>
      <c r="DK141" s="9">
        <v>18</v>
      </c>
      <c r="DL141" s="9">
        <v>0</v>
      </c>
      <c r="DM141" s="9">
        <v>18</v>
      </c>
      <c r="DN141" s="9">
        <v>0</v>
      </c>
      <c r="DO141" s="9">
        <v>747.3</v>
      </c>
      <c r="DP141" s="9">
        <v>137.54</v>
      </c>
      <c r="DQ141" s="9">
        <v>55.65</v>
      </c>
      <c r="DR141" s="9">
        <v>81.89</v>
      </c>
      <c r="DS141" s="9">
        <v>41.25</v>
      </c>
      <c r="DT141" s="9">
        <v>2.09</v>
      </c>
      <c r="DU141" s="9">
        <v>416.88</v>
      </c>
      <c r="DV141" s="9">
        <v>281.39999999999998</v>
      </c>
      <c r="DW141" s="9">
        <v>109.72</v>
      </c>
      <c r="DX141" s="9">
        <v>148.61000000000001</v>
      </c>
      <c r="DY141" s="9">
        <v>88.7</v>
      </c>
      <c r="DZ141" s="9">
        <v>34.32</v>
      </c>
      <c r="EA141" s="9">
        <v>-44.586300000000001</v>
      </c>
      <c r="EB141" s="9">
        <v>-30.346699999999998</v>
      </c>
      <c r="EC141" s="9">
        <v>-18.473700000000001</v>
      </c>
      <c r="ED141" s="9">
        <v>-21.2834</v>
      </c>
      <c r="EE141" s="9">
        <v>25.517489999999999</v>
      </c>
      <c r="EF141" s="9">
        <v>26.782</v>
      </c>
      <c r="EG141" s="9">
        <v>-143.56800000000001</v>
      </c>
      <c r="EH141" s="9">
        <v>-198.3</v>
      </c>
      <c r="EI141" s="9">
        <v>-2.0425399999999998</v>
      </c>
      <c r="EJ141" s="9">
        <v>0</v>
      </c>
      <c r="EK141" s="9">
        <v>56.775410000000001</v>
      </c>
      <c r="EL141" s="9">
        <v>-32.461799999999997</v>
      </c>
      <c r="EM141" s="9">
        <v>93.301550000000006</v>
      </c>
      <c r="EN141" s="9">
        <v>2616.8000000000002</v>
      </c>
      <c r="EO141" s="9"/>
      <c r="EP141" s="9"/>
      <c r="EQ141" s="9"/>
      <c r="ER141" s="9"/>
      <c r="ES141" s="9"/>
      <c r="ET141" s="9"/>
      <c r="EU141">
        <v>1238.6300000000001</v>
      </c>
      <c r="EV141" s="9"/>
      <c r="EW141" s="9"/>
      <c r="EX141" s="9"/>
      <c r="EY141" s="9"/>
      <c r="EZ141" s="9"/>
      <c r="FA141" s="9"/>
      <c r="FB141" s="9">
        <v>127.46201298699999</v>
      </c>
      <c r="FC141" s="9">
        <v>110.0813043478</v>
      </c>
      <c r="FD141" s="9">
        <v>8997.9886363635997</v>
      </c>
      <c r="FE141" s="9">
        <v>177.45</v>
      </c>
      <c r="FF141" s="9">
        <v>1755.8068181818001</v>
      </c>
      <c r="FG141" s="9">
        <v>4830677.71</v>
      </c>
      <c r="FH141" s="9">
        <v>66074.06</v>
      </c>
      <c r="FI141" s="9">
        <v>373018.19</v>
      </c>
      <c r="FJ141" s="9">
        <v>2094574.71</v>
      </c>
      <c r="FK141" s="9">
        <v>11758.7</v>
      </c>
      <c r="FL141" s="9">
        <v>48527.19</v>
      </c>
      <c r="FM141" s="9"/>
      <c r="FN141" s="9"/>
      <c r="FO141" s="9"/>
      <c r="FP141" s="9"/>
      <c r="FQ141" s="9"/>
      <c r="FR141" s="9"/>
      <c r="FS141" s="9"/>
      <c r="FT141" s="9">
        <v>2736029.81</v>
      </c>
      <c r="FU141" s="9">
        <v>54315.37</v>
      </c>
      <c r="FV141" s="9">
        <v>324417.82</v>
      </c>
      <c r="FW141" s="9"/>
      <c r="FX141" s="9"/>
      <c r="FY141" s="9"/>
      <c r="FZ141" s="9">
        <v>10009.08</v>
      </c>
      <c r="GA141" s="9">
        <v>5273869.5999999996</v>
      </c>
      <c r="GB141" s="9">
        <v>1808233.58</v>
      </c>
      <c r="GC141" s="9">
        <v>3465636.02</v>
      </c>
      <c r="GD141" s="9">
        <v>3255118.07</v>
      </c>
      <c r="GE141" s="9">
        <v>334316.92</v>
      </c>
      <c r="GF141" s="9">
        <v>2920801.15</v>
      </c>
      <c r="GG141" s="9">
        <v>2018751.53</v>
      </c>
      <c r="GH141" s="9">
        <v>1473916.66</v>
      </c>
      <c r="GI141" s="9">
        <v>544834.87</v>
      </c>
      <c r="GJ141" s="9">
        <v>686769.01</v>
      </c>
      <c r="GK141" s="9">
        <v>7813122.3600000003</v>
      </c>
      <c r="GL141" s="9">
        <v>532048.68000000005</v>
      </c>
      <c r="GM141">
        <v>1248.67</v>
      </c>
      <c r="GO141" s="6"/>
      <c r="GP141" s="6"/>
      <c r="GQ141" s="6"/>
    </row>
    <row r="142" spans="1:199" x14ac:dyDescent="0.2">
      <c r="A142" s="8">
        <v>2011</v>
      </c>
      <c r="B142" s="8" t="s">
        <v>383</v>
      </c>
      <c r="C142" s="8" t="s">
        <v>386</v>
      </c>
      <c r="D142" s="9">
        <v>3629016.22</v>
      </c>
      <c r="E142" s="9">
        <v>405988.73</v>
      </c>
      <c r="F142" s="9">
        <v>740800.75</v>
      </c>
      <c r="G142" s="9">
        <v>263728.53000000003</v>
      </c>
      <c r="H142" s="9">
        <v>51733.11</v>
      </c>
      <c r="I142" s="9">
        <v>142216.04999999999</v>
      </c>
      <c r="J142" s="9">
        <v>532245.29</v>
      </c>
      <c r="K142" s="9">
        <v>246107.49</v>
      </c>
      <c r="L142" s="9">
        <v>74296.820000000007</v>
      </c>
      <c r="M142" s="9">
        <v>712766.44</v>
      </c>
      <c r="N142" s="9">
        <v>459133.03</v>
      </c>
      <c r="O142" s="9">
        <v>4553320.5932776248</v>
      </c>
      <c r="P142" s="9">
        <v>533253.59651611419</v>
      </c>
      <c r="Q142" s="9">
        <v>696641.05721553706</v>
      </c>
      <c r="R142" s="9">
        <v>356375.62672024622</v>
      </c>
      <c r="S142" s="9">
        <v>91580.875379776102</v>
      </c>
      <c r="T142" s="9">
        <v>170383.93603347061</v>
      </c>
      <c r="U142" s="9">
        <v>629278.05219907267</v>
      </c>
      <c r="V142" s="9">
        <v>288084.85665386589</v>
      </c>
      <c r="W142" s="9">
        <v>89964.276650967397</v>
      </c>
      <c r="X142" s="9">
        <v>1082344.4189281799</v>
      </c>
      <c r="Y142" s="9">
        <v>615413.89698039438</v>
      </c>
      <c r="Z142" s="9">
        <v>3484974.7</v>
      </c>
      <c r="AA142" s="9">
        <v>1716121.1</v>
      </c>
      <c r="AB142" s="9">
        <v>324530.3</v>
      </c>
      <c r="AC142" s="9">
        <v>2189199.1</v>
      </c>
      <c r="AD142" s="9">
        <v>413005.1</v>
      </c>
      <c r="AE142" s="9">
        <v>1903924.7</v>
      </c>
      <c r="AF142" s="9">
        <v>3061805.6</v>
      </c>
      <c r="AG142" s="9">
        <v>4354779.4519096976</v>
      </c>
      <c r="AH142" s="9">
        <v>2245300.82667389</v>
      </c>
      <c r="AI142" s="9">
        <v>432936.06118933699</v>
      </c>
      <c r="AJ142" s="9">
        <v>2328047.1562346308</v>
      </c>
      <c r="AK142" s="9">
        <v>553443.47003325634</v>
      </c>
      <c r="AL142" s="9">
        <v>1393699.044030102</v>
      </c>
      <c r="AM142" s="9">
        <v>2598647.1062515192</v>
      </c>
      <c r="AN142" s="9">
        <v>1056848</v>
      </c>
      <c r="AO142" s="9">
        <v>557301</v>
      </c>
      <c r="AP142" s="9">
        <v>499547</v>
      </c>
      <c r="AQ142" s="9">
        <v>91614</v>
      </c>
      <c r="AR142" s="9">
        <v>45319</v>
      </c>
      <c r="AS142" s="9">
        <v>46295</v>
      </c>
      <c r="AT142" s="9">
        <v>625035</v>
      </c>
      <c r="AU142" s="9">
        <v>238979</v>
      </c>
      <c r="AV142" s="9">
        <v>386056</v>
      </c>
      <c r="AW142" s="9">
        <v>423.2</v>
      </c>
      <c r="AX142" s="9">
        <v>219</v>
      </c>
      <c r="AY142" s="9">
        <v>788.4</v>
      </c>
      <c r="AZ142" s="9">
        <v>395.4</v>
      </c>
      <c r="BA142" s="9">
        <v>387.9</v>
      </c>
      <c r="BB142" s="9"/>
      <c r="BC142" s="9">
        <v>371.4</v>
      </c>
      <c r="BD142" s="9">
        <v>275</v>
      </c>
      <c r="BE142" s="9">
        <v>512.6</v>
      </c>
      <c r="BF142" s="9">
        <v>308</v>
      </c>
      <c r="BG142" s="9"/>
      <c r="BH142" s="9">
        <v>894.3</v>
      </c>
      <c r="BI142" s="9">
        <v>345.9</v>
      </c>
      <c r="BJ142" s="9">
        <v>318</v>
      </c>
      <c r="BK142" s="9">
        <v>385.2</v>
      </c>
      <c r="BL142" s="9"/>
      <c r="BM142" s="9">
        <v>301.2</v>
      </c>
      <c r="BN142" s="9">
        <v>408941.4</v>
      </c>
      <c r="BO142" s="9">
        <v>332955</v>
      </c>
      <c r="BP142" s="9">
        <v>34820.199999999997</v>
      </c>
      <c r="BQ142" s="9">
        <v>13316.7</v>
      </c>
      <c r="BR142" s="9">
        <v>21502.5</v>
      </c>
      <c r="BS142" s="9">
        <v>54763.3</v>
      </c>
      <c r="BT142" s="9">
        <v>107654.6</v>
      </c>
      <c r="BU142" s="9">
        <v>23153.7</v>
      </c>
      <c r="BV142" s="9">
        <v>49264.800000000003</v>
      </c>
      <c r="BW142" s="9">
        <v>264620.90000000002</v>
      </c>
      <c r="BX142" s="9">
        <v>58246.5</v>
      </c>
      <c r="BY142" s="9">
        <v>50876.800000000003</v>
      </c>
      <c r="BZ142" s="9">
        <v>63883.7</v>
      </c>
      <c r="CA142" s="9">
        <v>3066.1</v>
      </c>
      <c r="CB142" s="9">
        <v>4290.7</v>
      </c>
      <c r="CC142" s="9">
        <v>142503.5</v>
      </c>
      <c r="CD142" s="9">
        <v>0</v>
      </c>
      <c r="CE142" s="9">
        <v>76313.8</v>
      </c>
      <c r="CF142" s="9">
        <v>1672567.1292821567</v>
      </c>
      <c r="CG142" s="9">
        <v>6049323.666115785</v>
      </c>
      <c r="CH142" s="9"/>
      <c r="CI142" s="9"/>
      <c r="CJ142" s="9">
        <v>16.143261330200001</v>
      </c>
      <c r="CK142" s="9">
        <v>12.1010958762</v>
      </c>
      <c r="CL142" s="9">
        <v>11.75</v>
      </c>
      <c r="CM142" s="9">
        <v>67.418560300699994</v>
      </c>
      <c r="CN142" s="9">
        <v>19.571762268699999</v>
      </c>
      <c r="CO142" s="9">
        <v>2.0403341358999998</v>
      </c>
      <c r="CP142" s="9">
        <v>10.875266744999999</v>
      </c>
      <c r="CQ142" s="9">
        <v>8.5805788856999996</v>
      </c>
      <c r="CR142" s="9">
        <v>3.0974874783000002</v>
      </c>
      <c r="CS142" s="9">
        <v>2.3097239025</v>
      </c>
      <c r="CT142" s="9">
        <v>8.6699766712000006</v>
      </c>
      <c r="CU142" s="9">
        <v>2.8065464027</v>
      </c>
      <c r="CV142" s="9">
        <v>1.8049040971999999</v>
      </c>
      <c r="CW142" s="9">
        <v>3.2941758488000001</v>
      </c>
      <c r="CX142" s="9">
        <v>1.6972205815999999</v>
      </c>
      <c r="CY142" s="9">
        <v>2.6705832833000001</v>
      </c>
      <c r="CZ142" s="9">
        <v>483</v>
      </c>
      <c r="DA142" s="9">
        <v>444</v>
      </c>
      <c r="DB142" s="9">
        <v>9</v>
      </c>
      <c r="DC142" s="9">
        <v>87</v>
      </c>
      <c r="DD142" s="9">
        <v>26</v>
      </c>
      <c r="DE142" s="9">
        <v>12</v>
      </c>
      <c r="DF142" s="9">
        <v>256</v>
      </c>
      <c r="DG142" s="9">
        <v>27</v>
      </c>
      <c r="DH142" s="9">
        <v>26</v>
      </c>
      <c r="DI142" s="9">
        <v>4</v>
      </c>
      <c r="DJ142" s="9">
        <v>4</v>
      </c>
      <c r="DK142" s="9">
        <v>17</v>
      </c>
      <c r="DL142" s="9">
        <v>0</v>
      </c>
      <c r="DM142" s="9">
        <v>13</v>
      </c>
      <c r="DN142" s="9">
        <v>0</v>
      </c>
      <c r="DO142" s="9">
        <v>661.48</v>
      </c>
      <c r="DP142" s="9">
        <v>135.02000000000001</v>
      </c>
      <c r="DQ142" s="9">
        <v>58.34</v>
      </c>
      <c r="DR142" s="9">
        <v>76.680000000000007</v>
      </c>
      <c r="DS142" s="9">
        <v>41.98</v>
      </c>
      <c r="DT142" s="9">
        <v>2.0299999999999998</v>
      </c>
      <c r="DU142" s="9">
        <v>409.22</v>
      </c>
      <c r="DV142" s="9">
        <v>288.23</v>
      </c>
      <c r="DW142" s="9">
        <v>91.36</v>
      </c>
      <c r="DX142" s="9">
        <v>75.11</v>
      </c>
      <c r="DY142" s="9">
        <v>42.54</v>
      </c>
      <c r="DZ142" s="9">
        <v>18.21</v>
      </c>
      <c r="EA142" s="9">
        <v>-71.491699999999994</v>
      </c>
      <c r="EB142" s="9">
        <v>-40.944099999999999</v>
      </c>
      <c r="EC142" s="9">
        <v>-22.2257</v>
      </c>
      <c r="ED142" s="9">
        <v>-23.453600000000002</v>
      </c>
      <c r="EE142" s="9">
        <v>15.13171</v>
      </c>
      <c r="EF142" s="9">
        <v>10.4977</v>
      </c>
      <c r="EG142" s="9">
        <v>-89.571399999999997</v>
      </c>
      <c r="EH142" s="9">
        <v>-168.45400000000001</v>
      </c>
      <c r="EI142" s="9">
        <v>-5.07029</v>
      </c>
      <c r="EJ142" s="9">
        <v>0</v>
      </c>
      <c r="EK142" s="9">
        <v>83.953050000000005</v>
      </c>
      <c r="EL142" s="9">
        <v>4.2868750000000002</v>
      </c>
      <c r="EM142" s="9">
        <v>32.864249999999998</v>
      </c>
      <c r="EN142" s="9">
        <v>2606</v>
      </c>
      <c r="EO142" s="9"/>
      <c r="EP142" s="9"/>
      <c r="EQ142" s="9"/>
      <c r="ER142" s="9"/>
      <c r="ES142" s="9"/>
      <c r="ET142" s="9"/>
      <c r="EU142">
        <v>1259.8900000000001</v>
      </c>
      <c r="EV142" s="9">
        <v>9690.94</v>
      </c>
      <c r="EW142" s="9">
        <v>1933.4</v>
      </c>
      <c r="EX142" s="9">
        <v>275.38</v>
      </c>
      <c r="EY142" s="9">
        <v>633.78</v>
      </c>
      <c r="EZ142" s="9">
        <v>1626.53</v>
      </c>
      <c r="FA142" s="9">
        <v>5221.83</v>
      </c>
      <c r="FB142" s="9">
        <v>130.56185064939999</v>
      </c>
      <c r="FC142" s="9">
        <v>112.4468181818</v>
      </c>
      <c r="FD142" s="9">
        <v>8300.1363636364003</v>
      </c>
      <c r="FE142" s="9">
        <v>177.2272727273</v>
      </c>
      <c r="FF142" s="9">
        <v>1771.8522727273</v>
      </c>
      <c r="FG142" s="9">
        <v>5018952.37</v>
      </c>
      <c r="FH142" s="9">
        <v>59537.33</v>
      </c>
      <c r="FI142" s="9">
        <v>354340.31</v>
      </c>
      <c r="FJ142" s="9">
        <v>2194305.540000001</v>
      </c>
      <c r="FK142" s="9">
        <v>9951.1</v>
      </c>
      <c r="FL142" s="9">
        <v>57032.05</v>
      </c>
      <c r="FM142" s="9"/>
      <c r="FN142" s="9"/>
      <c r="FO142" s="9"/>
      <c r="FP142" s="9"/>
      <c r="FQ142" s="9"/>
      <c r="FR142" s="9"/>
      <c r="FS142" s="9"/>
      <c r="FT142" s="9">
        <v>2824561.17</v>
      </c>
      <c r="FU142" s="9">
        <v>49586.22</v>
      </c>
      <c r="FV142" s="9">
        <v>297222.59999999998</v>
      </c>
      <c r="FW142" s="9"/>
      <c r="FX142" s="9"/>
      <c r="FY142" s="9"/>
      <c r="FZ142" s="9">
        <v>11559.71</v>
      </c>
      <c r="GA142" s="9">
        <v>5418684.370000001</v>
      </c>
      <c r="GB142" s="9">
        <v>1835459.48</v>
      </c>
      <c r="GC142" s="9">
        <v>3583224.8900000011</v>
      </c>
      <c r="GD142" s="9">
        <v>3336251.9</v>
      </c>
      <c r="GE142" s="9">
        <v>342847.37</v>
      </c>
      <c r="GF142" s="9">
        <v>2993404.53</v>
      </c>
      <c r="GG142" s="9">
        <v>2082432.47</v>
      </c>
      <c r="GH142" s="9">
        <v>1492612.11</v>
      </c>
      <c r="GI142" s="9">
        <v>589820.3600000001</v>
      </c>
      <c r="GJ142" s="9">
        <v>733833.63</v>
      </c>
      <c r="GK142" s="9">
        <v>8192724.5499999998</v>
      </c>
      <c r="GL142" s="9">
        <v>564987.21</v>
      </c>
      <c r="GM142">
        <v>1285.6400000000001</v>
      </c>
      <c r="GO142" s="6"/>
      <c r="GP142" s="6"/>
      <c r="GQ142" s="6"/>
    </row>
    <row r="143" spans="1:199" x14ac:dyDescent="0.2">
      <c r="A143" s="8">
        <v>2011</v>
      </c>
      <c r="B143" s="8" t="s">
        <v>387</v>
      </c>
      <c r="C143" s="8" t="s">
        <v>388</v>
      </c>
      <c r="D143" s="9"/>
      <c r="E143" s="9"/>
      <c r="F143" s="9"/>
      <c r="G143" s="9"/>
      <c r="H143" s="9"/>
      <c r="I143" s="9"/>
      <c r="J143" s="9"/>
      <c r="K143" s="9"/>
      <c r="L143" s="9"/>
      <c r="M143" s="9"/>
      <c r="N143" s="9"/>
      <c r="O143" s="9"/>
      <c r="P143" s="9"/>
      <c r="Q143" s="9"/>
      <c r="R143" s="9"/>
      <c r="S143" s="9"/>
      <c r="T143" s="9"/>
      <c r="U143" s="9"/>
      <c r="V143" s="9"/>
      <c r="W143" s="9"/>
      <c r="X143" s="9"/>
      <c r="Y143" s="9"/>
      <c r="Z143" s="9"/>
      <c r="AA143" s="9"/>
      <c r="AB143" s="9"/>
      <c r="AC143" s="9"/>
      <c r="AD143" s="9"/>
      <c r="AE143" s="9"/>
      <c r="AF143" s="9"/>
      <c r="AG143" s="9"/>
      <c r="AH143" s="9"/>
      <c r="AI143" s="9"/>
      <c r="AJ143" s="9"/>
      <c r="AK143" s="9"/>
      <c r="AL143" s="9"/>
      <c r="AM143" s="9"/>
      <c r="AN143" s="9"/>
      <c r="AO143" s="9"/>
      <c r="AP143" s="9"/>
      <c r="AQ143" s="9"/>
      <c r="AR143" s="9"/>
      <c r="AS143" s="9"/>
      <c r="AT143" s="9"/>
      <c r="AU143" s="9"/>
      <c r="AV143" s="9"/>
      <c r="AW143" s="9"/>
      <c r="AX143" s="9"/>
      <c r="AY143" s="9"/>
      <c r="AZ143" s="9"/>
      <c r="BA143" s="9"/>
      <c r="BB143" s="9"/>
      <c r="BC143" s="9"/>
      <c r="BD143" s="9"/>
      <c r="BE143" s="9"/>
      <c r="BF143" s="9"/>
      <c r="BG143" s="9"/>
      <c r="BH143" s="9"/>
      <c r="BI143" s="9"/>
      <c r="BJ143" s="9"/>
      <c r="BK143" s="9"/>
      <c r="BL143" s="9"/>
      <c r="BM143" s="9"/>
      <c r="BN143" s="9">
        <v>308386.90000000002</v>
      </c>
      <c r="BO143" s="9">
        <v>356071.5</v>
      </c>
      <c r="BP143" s="9">
        <v>111240.3</v>
      </c>
      <c r="BQ143" s="9">
        <v>92240.4</v>
      </c>
      <c r="BR143" s="9">
        <v>18916.7</v>
      </c>
      <c r="BS143" s="9">
        <v>37060.300000000003</v>
      </c>
      <c r="BT143" s="9">
        <v>99216</v>
      </c>
      <c r="BU143" s="9">
        <v>25900.7</v>
      </c>
      <c r="BV143" s="9">
        <v>-49022.7</v>
      </c>
      <c r="BW143" s="9">
        <v>258082.1</v>
      </c>
      <c r="BX143" s="9">
        <v>49147.1</v>
      </c>
      <c r="BY143" s="9">
        <v>51890.6</v>
      </c>
      <c r="BZ143" s="9">
        <v>68108.800000000003</v>
      </c>
      <c r="CA143" s="9">
        <v>2692.8</v>
      </c>
      <c r="CB143" s="9">
        <v>7183</v>
      </c>
      <c r="CC143" s="9">
        <v>128207</v>
      </c>
      <c r="CD143" s="9">
        <v>0</v>
      </c>
      <c r="CE143" s="9">
        <v>48188.9</v>
      </c>
      <c r="CF143" s="9">
        <v>1619263.6484670469</v>
      </c>
      <c r="CG143" s="9">
        <v>6073734.0951577071</v>
      </c>
      <c r="CH143" s="9"/>
      <c r="CI143" s="9"/>
      <c r="CJ143" s="9">
        <v>15.8970124935</v>
      </c>
      <c r="CK143" s="9">
        <v>13.292130823100001</v>
      </c>
      <c r="CL143" s="9">
        <v>12.25</v>
      </c>
      <c r="CM143" s="9">
        <v>67.705166564500004</v>
      </c>
      <c r="CN143" s="9">
        <v>19.449333920699999</v>
      </c>
      <c r="CO143" s="9">
        <v>2.0438594386000002</v>
      </c>
      <c r="CP143" s="9">
        <v>11.1153483277</v>
      </c>
      <c r="CQ143" s="9">
        <v>8.6644767597999994</v>
      </c>
      <c r="CR143" s="9">
        <v>3.1260508799000002</v>
      </c>
      <c r="CS143" s="9">
        <v>2.3098958981000002</v>
      </c>
      <c r="CT143" s="9">
        <v>8.6765694340999993</v>
      </c>
      <c r="CU143" s="9">
        <v>2.8057603276999998</v>
      </c>
      <c r="CV143" s="9">
        <v>1.8120679403</v>
      </c>
      <c r="CW143" s="9">
        <v>3.2941758488000001</v>
      </c>
      <c r="CX143" s="9">
        <v>1.7101174548</v>
      </c>
      <c r="CY143" s="9">
        <v>2.6975103338999999</v>
      </c>
      <c r="CZ143" s="9">
        <v>435</v>
      </c>
      <c r="DA143" s="9">
        <v>399</v>
      </c>
      <c r="DB143" s="9">
        <v>6</v>
      </c>
      <c r="DC143" s="9">
        <v>84</v>
      </c>
      <c r="DD143" s="9">
        <v>47</v>
      </c>
      <c r="DE143" s="9">
        <v>11</v>
      </c>
      <c r="DF143" s="9">
        <v>210</v>
      </c>
      <c r="DG143" s="9">
        <v>24</v>
      </c>
      <c r="DH143" s="9">
        <v>22</v>
      </c>
      <c r="DI143" s="9">
        <v>4</v>
      </c>
      <c r="DJ143" s="9">
        <v>3</v>
      </c>
      <c r="DK143" s="9">
        <v>13</v>
      </c>
      <c r="DL143" s="9">
        <v>0</v>
      </c>
      <c r="DM143" s="9">
        <v>13</v>
      </c>
      <c r="DN143" s="9">
        <v>0</v>
      </c>
      <c r="DO143" s="9">
        <v>528.71</v>
      </c>
      <c r="DP143" s="9">
        <v>129.03</v>
      </c>
      <c r="DQ143" s="9">
        <v>58.91</v>
      </c>
      <c r="DR143" s="9">
        <v>70.13</v>
      </c>
      <c r="DS143" s="9">
        <v>30.64</v>
      </c>
      <c r="DT143" s="9">
        <v>2.15</v>
      </c>
      <c r="DU143" s="9">
        <v>272.76</v>
      </c>
      <c r="DV143" s="9">
        <v>192.91</v>
      </c>
      <c r="DW143" s="9">
        <v>58.36</v>
      </c>
      <c r="DX143" s="9">
        <v>96.24</v>
      </c>
      <c r="DY143" s="9">
        <v>54.93</v>
      </c>
      <c r="DZ143" s="9">
        <v>19.760000000000002</v>
      </c>
      <c r="EA143" s="9">
        <v>-65.096999999999994</v>
      </c>
      <c r="EB143" s="9">
        <v>-21.015599999999999</v>
      </c>
      <c r="EC143" s="9">
        <v>-30.152100000000001</v>
      </c>
      <c r="ED143" s="9">
        <v>-27.4419</v>
      </c>
      <c r="EE143" s="9">
        <v>13.51258</v>
      </c>
      <c r="EF143" s="9">
        <v>10.121729999999999</v>
      </c>
      <c r="EG143" s="9">
        <v>-292.471</v>
      </c>
      <c r="EH143" s="9">
        <v>-209.19800000000001</v>
      </c>
      <c r="EI143" s="9">
        <v>-808.97400000000005</v>
      </c>
      <c r="EJ143" s="9">
        <v>0</v>
      </c>
      <c r="EK143" s="9">
        <v>725.70119999999997</v>
      </c>
      <c r="EL143" s="9">
        <v>-52.375300000000003</v>
      </c>
      <c r="EM143" s="9">
        <v>185.1199</v>
      </c>
      <c r="EN143" s="9">
        <v>2638.5</v>
      </c>
      <c r="EO143" s="9"/>
      <c r="EP143" s="9"/>
      <c r="EQ143" s="9"/>
      <c r="ER143" s="9"/>
      <c r="ES143" s="9"/>
      <c r="ET143" s="9"/>
      <c r="EU143">
        <v>1291.94</v>
      </c>
      <c r="EV143" s="9"/>
      <c r="EW143" s="9"/>
      <c r="EX143" s="9"/>
      <c r="EY143" s="9"/>
      <c r="EZ143" s="9"/>
      <c r="FA143" s="9"/>
      <c r="FB143" s="9">
        <v>127.91275510200001</v>
      </c>
      <c r="FC143" s="9">
        <v>109.46904761899999</v>
      </c>
      <c r="FD143" s="9">
        <v>7394.1904761904998</v>
      </c>
      <c r="FE143" s="9">
        <v>150.4333333333</v>
      </c>
      <c r="FF143" s="9">
        <v>1665.2142857143001</v>
      </c>
      <c r="FG143" s="9">
        <v>5181784.3199999994</v>
      </c>
      <c r="FH143" s="9">
        <v>70050.41</v>
      </c>
      <c r="FI143" s="9">
        <v>344612.16</v>
      </c>
      <c r="FJ143" s="9">
        <v>2269609.5</v>
      </c>
      <c r="FK143" s="9">
        <v>12684.63</v>
      </c>
      <c r="FL143" s="9">
        <v>50654.080000000002</v>
      </c>
      <c r="FM143" s="9"/>
      <c r="FN143" s="9"/>
      <c r="FO143" s="9"/>
      <c r="FP143" s="9"/>
      <c r="FQ143" s="9"/>
      <c r="FR143" s="9"/>
      <c r="FS143" s="9"/>
      <c r="FT143" s="9">
        <v>2912077.69</v>
      </c>
      <c r="FU143" s="9">
        <v>57365.78</v>
      </c>
      <c r="FV143" s="9">
        <v>293860.93</v>
      </c>
      <c r="FW143" s="9"/>
      <c r="FX143" s="9"/>
      <c r="FY143" s="9"/>
      <c r="FZ143" s="9">
        <v>11625.24</v>
      </c>
      <c r="GA143" s="9">
        <v>5450092.7999999998</v>
      </c>
      <c r="GB143" s="9">
        <v>1806344.74</v>
      </c>
      <c r="GC143" s="9">
        <v>3643748.06</v>
      </c>
      <c r="GD143" s="9">
        <v>3369776.47</v>
      </c>
      <c r="GE143" s="9">
        <v>332712.44</v>
      </c>
      <c r="GF143" s="9">
        <v>3037064.03</v>
      </c>
      <c r="GG143" s="9">
        <v>2080316.33</v>
      </c>
      <c r="GH143" s="9">
        <v>1473632.3</v>
      </c>
      <c r="GI143" s="9">
        <v>606684.02999999991</v>
      </c>
      <c r="GJ143" s="9">
        <v>784081.92999999993</v>
      </c>
      <c r="GK143" s="9">
        <v>8320856.8200000003</v>
      </c>
      <c r="GL143" s="9">
        <v>580867.35</v>
      </c>
      <c r="GM143">
        <v>1297.67</v>
      </c>
      <c r="GO143" s="6"/>
      <c r="GP143" s="6"/>
      <c r="GQ143" s="6"/>
    </row>
    <row r="144" spans="1:199" x14ac:dyDescent="0.2">
      <c r="A144" s="8">
        <v>2011</v>
      </c>
      <c r="B144" s="8" t="s">
        <v>387</v>
      </c>
      <c r="C144" s="8" t="s">
        <v>389</v>
      </c>
      <c r="D144" s="9"/>
      <c r="E144" s="9"/>
      <c r="F144" s="9"/>
      <c r="G144" s="9"/>
      <c r="H144" s="9"/>
      <c r="I144" s="9"/>
      <c r="J144" s="9"/>
      <c r="K144" s="9"/>
      <c r="L144" s="9"/>
      <c r="M144" s="9"/>
      <c r="N144" s="9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  <c r="AA144" s="9"/>
      <c r="AB144" s="9"/>
      <c r="AC144" s="9"/>
      <c r="AD144" s="9"/>
      <c r="AE144" s="9"/>
      <c r="AF144" s="9"/>
      <c r="AG144" s="9"/>
      <c r="AH144" s="9"/>
      <c r="AI144" s="9"/>
      <c r="AJ144" s="9"/>
      <c r="AK144" s="9"/>
      <c r="AL144" s="9"/>
      <c r="AM144" s="9"/>
      <c r="AN144" s="9"/>
      <c r="AO144" s="9"/>
      <c r="AP144" s="9"/>
      <c r="AQ144" s="9"/>
      <c r="AR144" s="9"/>
      <c r="AS144" s="9"/>
      <c r="AT144" s="9"/>
      <c r="AU144" s="9"/>
      <c r="AV144" s="9"/>
      <c r="AW144" s="9"/>
      <c r="AX144" s="9"/>
      <c r="AY144" s="9"/>
      <c r="AZ144" s="9"/>
      <c r="BA144" s="9"/>
      <c r="BB144" s="9"/>
      <c r="BC144" s="9"/>
      <c r="BD144" s="9"/>
      <c r="BE144" s="9"/>
      <c r="BF144" s="9"/>
      <c r="BG144" s="9"/>
      <c r="BH144" s="9"/>
      <c r="BI144" s="9"/>
      <c r="BJ144" s="9"/>
      <c r="BK144" s="9"/>
      <c r="BL144" s="9"/>
      <c r="BM144" s="9"/>
      <c r="BN144" s="9">
        <v>385904.1</v>
      </c>
      <c r="BO144" s="9">
        <v>267076.8</v>
      </c>
      <c r="BP144" s="9">
        <v>71741.100000000006</v>
      </c>
      <c r="BQ144" s="9">
        <v>50321.3</v>
      </c>
      <c r="BR144" s="9">
        <v>21398.5</v>
      </c>
      <c r="BS144" s="9">
        <v>25651.4</v>
      </c>
      <c r="BT144" s="9">
        <v>90317.2</v>
      </c>
      <c r="BU144" s="9">
        <v>21539.7</v>
      </c>
      <c r="BV144" s="9">
        <v>43820.7</v>
      </c>
      <c r="BW144" s="9">
        <v>291749.5</v>
      </c>
      <c r="BX144" s="9">
        <v>40167.1</v>
      </c>
      <c r="BY144" s="9">
        <v>84695.5</v>
      </c>
      <c r="BZ144" s="9">
        <v>67642.8</v>
      </c>
      <c r="CA144" s="9">
        <v>2876</v>
      </c>
      <c r="CB144" s="9">
        <v>9600.4</v>
      </c>
      <c r="CC144" s="9">
        <v>126934.8</v>
      </c>
      <c r="CD144" s="9">
        <v>0</v>
      </c>
      <c r="CE144" s="9">
        <v>196778.8</v>
      </c>
      <c r="CF144" s="9">
        <v>1552524.0914094129</v>
      </c>
      <c r="CG144" s="9">
        <v>6112144.348872859</v>
      </c>
      <c r="CH144" s="9"/>
      <c r="CI144" s="9"/>
      <c r="CJ144" s="9">
        <v>16.074328003800002</v>
      </c>
      <c r="CK144" s="9">
        <v>12.1548995989</v>
      </c>
      <c r="CL144" s="9">
        <v>12.25</v>
      </c>
      <c r="CM144" s="9">
        <v>68.212562356700005</v>
      </c>
      <c r="CN144" s="9">
        <v>19.607787190300002</v>
      </c>
      <c r="CO144" s="9">
        <v>2.0488499952999999</v>
      </c>
      <c r="CP144" s="9">
        <v>11.3380602047</v>
      </c>
      <c r="CQ144" s="9">
        <v>8.7257803101999993</v>
      </c>
      <c r="CR144" s="9">
        <v>3.1397968012000002</v>
      </c>
      <c r="CS144" s="9">
        <v>2.3097504008</v>
      </c>
      <c r="CT144" s="9">
        <v>8.6946258477999994</v>
      </c>
      <c r="CU144" s="9">
        <v>2.8057603276999998</v>
      </c>
      <c r="CV144" s="9">
        <v>1.8134757563999999</v>
      </c>
      <c r="CW144" s="9">
        <v>3.2941758488000001</v>
      </c>
      <c r="CX144" s="9">
        <v>1.7259038804</v>
      </c>
      <c r="CY144" s="9">
        <v>2.7085957930000002</v>
      </c>
      <c r="CZ144" s="9">
        <v>518</v>
      </c>
      <c r="DA144" s="9">
        <v>491</v>
      </c>
      <c r="DB144" s="9">
        <v>7</v>
      </c>
      <c r="DC144" s="9">
        <v>69</v>
      </c>
      <c r="DD144" s="9">
        <v>27</v>
      </c>
      <c r="DE144" s="9">
        <v>9</v>
      </c>
      <c r="DF144" s="9">
        <v>332</v>
      </c>
      <c r="DG144" s="9">
        <v>26</v>
      </c>
      <c r="DH144" s="9">
        <v>17</v>
      </c>
      <c r="DI144" s="9">
        <v>6</v>
      </c>
      <c r="DJ144" s="9">
        <v>3</v>
      </c>
      <c r="DK144" s="9">
        <v>6</v>
      </c>
      <c r="DL144" s="9">
        <v>0</v>
      </c>
      <c r="DM144" s="9">
        <v>10</v>
      </c>
      <c r="DN144" s="9">
        <v>0</v>
      </c>
      <c r="DO144" s="9">
        <v>612.73</v>
      </c>
      <c r="DP144" s="9">
        <v>146.11000000000001</v>
      </c>
      <c r="DQ144" s="9">
        <v>69.22</v>
      </c>
      <c r="DR144" s="9">
        <v>76.900000000000006</v>
      </c>
      <c r="DS144" s="9">
        <v>33.520000000000003</v>
      </c>
      <c r="DT144" s="9">
        <v>1.3</v>
      </c>
      <c r="DU144" s="9">
        <v>322.55</v>
      </c>
      <c r="DV144" s="9">
        <v>245.5</v>
      </c>
      <c r="DW144" s="9">
        <v>45.66</v>
      </c>
      <c r="DX144" s="9">
        <v>110.46</v>
      </c>
      <c r="DY144" s="9">
        <v>64.930000000000007</v>
      </c>
      <c r="DZ144" s="9">
        <v>22.29</v>
      </c>
      <c r="EA144" s="9">
        <v>-119.187</v>
      </c>
      <c r="EB144" s="9">
        <v>-49.985100000000003</v>
      </c>
      <c r="EC144" s="9">
        <v>-44.001199999999997</v>
      </c>
      <c r="ED144" s="9">
        <v>-39.542999999999999</v>
      </c>
      <c r="EE144" s="9">
        <v>14.34272</v>
      </c>
      <c r="EF144" s="9">
        <v>9.5336230000000004</v>
      </c>
      <c r="EG144" s="9">
        <v>-101.544</v>
      </c>
      <c r="EH144" s="9">
        <v>-155.57300000000001</v>
      </c>
      <c r="EI144" s="9">
        <v>-25.325299999999999</v>
      </c>
      <c r="EJ144" s="9">
        <v>0</v>
      </c>
      <c r="EK144" s="9">
        <v>79.354789999999994</v>
      </c>
      <c r="EL144" s="9">
        <v>56.792050000000003</v>
      </c>
      <c r="EM144" s="9">
        <v>48.682789999999997</v>
      </c>
      <c r="EN144" s="9">
        <v>2487.4</v>
      </c>
      <c r="EO144" s="9"/>
      <c r="EP144" s="9"/>
      <c r="EQ144" s="9"/>
      <c r="ER144" s="9"/>
      <c r="ES144" s="9"/>
      <c r="ET144" s="9"/>
      <c r="EU144">
        <v>1323.42</v>
      </c>
      <c r="EV144" s="9"/>
      <c r="EW144" s="9"/>
      <c r="EX144" s="9"/>
      <c r="EY144" s="9"/>
      <c r="EZ144" s="9"/>
      <c r="FA144" s="9"/>
      <c r="FB144" s="9">
        <v>122.74529220780001</v>
      </c>
      <c r="FC144" s="9">
        <v>110.5040909091</v>
      </c>
      <c r="FD144" s="9">
        <v>7581.0227272726997</v>
      </c>
      <c r="FE144" s="9">
        <v>135.54090909089999</v>
      </c>
      <c r="FF144" s="9">
        <v>1738.9772727273</v>
      </c>
      <c r="FG144" s="9">
        <v>5395248.7599999998</v>
      </c>
      <c r="FH144" s="9">
        <v>70455.55</v>
      </c>
      <c r="FI144" s="9">
        <v>340122.9</v>
      </c>
      <c r="FJ144" s="9">
        <v>2358459.9</v>
      </c>
      <c r="FK144" s="9">
        <v>12094.43</v>
      </c>
      <c r="FL144" s="9">
        <v>52531.78</v>
      </c>
      <c r="FM144" s="9"/>
      <c r="FN144" s="9"/>
      <c r="FO144" s="9"/>
      <c r="FP144" s="9"/>
      <c r="FQ144" s="9"/>
      <c r="FR144" s="9"/>
      <c r="FS144" s="9"/>
      <c r="FT144" s="9">
        <v>3036704.71</v>
      </c>
      <c r="FU144" s="9">
        <v>58361.120000000003</v>
      </c>
      <c r="FV144" s="9">
        <v>287506.94</v>
      </c>
      <c r="FW144" s="9"/>
      <c r="FX144" s="9"/>
      <c r="FY144" s="9"/>
      <c r="FZ144" s="9">
        <v>11953.72</v>
      </c>
      <c r="GA144" s="9">
        <v>5480706.8300000001</v>
      </c>
      <c r="GB144" s="9">
        <v>1795527.52</v>
      </c>
      <c r="GC144" s="9">
        <v>3685179.31</v>
      </c>
      <c r="GD144" s="9">
        <v>3423894.23</v>
      </c>
      <c r="GE144" s="9">
        <v>353399.87</v>
      </c>
      <c r="GF144" s="9">
        <v>3070494.36</v>
      </c>
      <c r="GG144" s="9">
        <v>2056812.6</v>
      </c>
      <c r="GH144" s="9">
        <v>1442127.65</v>
      </c>
      <c r="GI144" s="9">
        <v>614684.94999999995</v>
      </c>
      <c r="GJ144" s="9">
        <v>896866.39999999991</v>
      </c>
      <c r="GK144" s="9">
        <v>8450232.6899999995</v>
      </c>
      <c r="GL144" s="9">
        <v>628320.96</v>
      </c>
      <c r="GM144">
        <v>1340.9</v>
      </c>
      <c r="GO144" s="6"/>
      <c r="GP144" s="6"/>
      <c r="GQ144" s="6"/>
    </row>
    <row r="145" spans="1:199" x14ac:dyDescent="0.2">
      <c r="A145" s="8">
        <v>2011</v>
      </c>
      <c r="B145" s="8" t="s">
        <v>387</v>
      </c>
      <c r="C145" s="8" t="s">
        <v>390</v>
      </c>
      <c r="D145" s="9">
        <v>3554927.49</v>
      </c>
      <c r="E145" s="9">
        <v>330305.63</v>
      </c>
      <c r="F145" s="9">
        <v>643346.9</v>
      </c>
      <c r="G145" s="9">
        <v>282308.40000000002</v>
      </c>
      <c r="H145" s="9">
        <v>77328.67</v>
      </c>
      <c r="I145" s="9">
        <v>180776.87</v>
      </c>
      <c r="J145" s="9">
        <v>490395.22</v>
      </c>
      <c r="K145" s="9">
        <v>206115.83</v>
      </c>
      <c r="L145" s="9">
        <v>78075.61</v>
      </c>
      <c r="M145" s="9">
        <v>863565.85</v>
      </c>
      <c r="N145" s="9">
        <v>402708.51</v>
      </c>
      <c r="O145" s="9">
        <v>4460361.5874237511</v>
      </c>
      <c r="P145" s="9">
        <v>426186.31525645423</v>
      </c>
      <c r="Q145" s="9">
        <v>594314.84009495354</v>
      </c>
      <c r="R145" s="9">
        <v>374747.19403421308</v>
      </c>
      <c r="S145" s="9">
        <v>134474.65935497169</v>
      </c>
      <c r="T145" s="9">
        <v>212758.3464206222</v>
      </c>
      <c r="U145" s="9">
        <v>569561.59203447541</v>
      </c>
      <c r="V145" s="9">
        <v>237012.17480439521</v>
      </c>
      <c r="W145" s="9">
        <v>92870.751900359202</v>
      </c>
      <c r="X145" s="9">
        <v>1288182.5377266239</v>
      </c>
      <c r="Y145" s="9">
        <v>530253.17579668248</v>
      </c>
      <c r="Z145" s="9">
        <v>3643599.1</v>
      </c>
      <c r="AA145" s="9">
        <v>1731160.9</v>
      </c>
      <c r="AB145" s="9">
        <v>559334.80000000005</v>
      </c>
      <c r="AC145" s="9">
        <v>1590067.4</v>
      </c>
      <c r="AD145" s="9">
        <v>299696</v>
      </c>
      <c r="AE145" s="9">
        <v>2242940.7999999998</v>
      </c>
      <c r="AF145" s="9">
        <v>2779600.8</v>
      </c>
      <c r="AG145" s="9">
        <v>4552994.4569401508</v>
      </c>
      <c r="AH145" s="9">
        <v>2350998.6306209471</v>
      </c>
      <c r="AI145" s="9">
        <v>774512.95669688727</v>
      </c>
      <c r="AJ145" s="9">
        <v>1755134.415428278</v>
      </c>
      <c r="AK145" s="9">
        <v>416857.03579977521</v>
      </c>
      <c r="AL145" s="9">
        <v>1704218.9160592393</v>
      </c>
      <c r="AM145" s="9">
        <v>2448727.4976649769</v>
      </c>
      <c r="AN145" s="9">
        <v>1026582</v>
      </c>
      <c r="AO145" s="9">
        <v>542914</v>
      </c>
      <c r="AP145" s="9">
        <v>483668</v>
      </c>
      <c r="AQ145" s="9">
        <v>77430</v>
      </c>
      <c r="AR145" s="9">
        <v>45230</v>
      </c>
      <c r="AS145" s="9">
        <v>32200</v>
      </c>
      <c r="AT145" s="9">
        <v>616618</v>
      </c>
      <c r="AU145" s="9">
        <v>252153</v>
      </c>
      <c r="AV145" s="9">
        <v>364465</v>
      </c>
      <c r="AW145" s="9">
        <v>450.3</v>
      </c>
      <c r="AX145" s="9">
        <v>193.7</v>
      </c>
      <c r="AY145" s="9">
        <v>752.4</v>
      </c>
      <c r="AZ145" s="9">
        <v>432.9</v>
      </c>
      <c r="BA145" s="9">
        <v>424.4</v>
      </c>
      <c r="BB145" s="9"/>
      <c r="BC145" s="9">
        <v>455.4</v>
      </c>
      <c r="BD145" s="9">
        <v>311.7</v>
      </c>
      <c r="BE145" s="9">
        <v>509.8</v>
      </c>
      <c r="BF145" s="9">
        <v>316.5</v>
      </c>
      <c r="BG145" s="9"/>
      <c r="BH145" s="9">
        <v>992</v>
      </c>
      <c r="BI145" s="9">
        <v>352.6</v>
      </c>
      <c r="BJ145" s="9">
        <v>380.8</v>
      </c>
      <c r="BK145" s="9">
        <v>381.5</v>
      </c>
      <c r="BL145" s="9"/>
      <c r="BM145" s="9">
        <v>333.2</v>
      </c>
      <c r="BN145" s="9">
        <v>607973</v>
      </c>
      <c r="BO145" s="9">
        <v>369448</v>
      </c>
      <c r="BP145" s="9">
        <v>89871.9</v>
      </c>
      <c r="BQ145" s="9">
        <v>55125.8</v>
      </c>
      <c r="BR145" s="9">
        <v>34710.1</v>
      </c>
      <c r="BS145" s="9">
        <v>82036.3</v>
      </c>
      <c r="BT145" s="9">
        <v>121660.1</v>
      </c>
      <c r="BU145" s="9">
        <v>32300.5</v>
      </c>
      <c r="BV145" s="9">
        <v>139031</v>
      </c>
      <c r="BW145" s="9">
        <v>459806.4</v>
      </c>
      <c r="BX145" s="9">
        <v>191992.6</v>
      </c>
      <c r="BY145" s="9">
        <v>156140</v>
      </c>
      <c r="BZ145" s="9">
        <v>91387.3</v>
      </c>
      <c r="CA145" s="9">
        <v>2905.9</v>
      </c>
      <c r="CB145" s="9">
        <v>53116.3</v>
      </c>
      <c r="CC145" s="9">
        <v>156256.9</v>
      </c>
      <c r="CD145" s="9">
        <v>0</v>
      </c>
      <c r="CE145" s="9">
        <v>531932.30000000005</v>
      </c>
      <c r="CF145" s="9">
        <v>1740943.8124342461</v>
      </c>
      <c r="CG145" s="9">
        <v>6411181.6953080613</v>
      </c>
      <c r="CH145" s="9"/>
      <c r="CI145" s="9"/>
      <c r="CJ145" s="9">
        <v>15.491168779200001</v>
      </c>
      <c r="CK145" s="9">
        <v>12.0926406737</v>
      </c>
      <c r="CL145" s="9">
        <v>12.25</v>
      </c>
      <c r="CM145" s="9">
        <v>68.991657137700003</v>
      </c>
      <c r="CN145" s="9">
        <v>20.152180483199999</v>
      </c>
      <c r="CO145" s="9">
        <v>2.0548503369</v>
      </c>
      <c r="CP145" s="9">
        <v>11.4779300397</v>
      </c>
      <c r="CQ145" s="9">
        <v>8.7675342334999993</v>
      </c>
      <c r="CR145" s="9">
        <v>3.1509805714999999</v>
      </c>
      <c r="CS145" s="9">
        <v>2.3136439710999999</v>
      </c>
      <c r="CT145" s="9">
        <v>8.7178653773000008</v>
      </c>
      <c r="CU145" s="9">
        <v>2.8047635420999999</v>
      </c>
      <c r="CV145" s="9">
        <v>1.8071316932999999</v>
      </c>
      <c r="CW145" s="9">
        <v>3.2941758488000001</v>
      </c>
      <c r="CX145" s="9">
        <v>1.7314144625000001</v>
      </c>
      <c r="CY145" s="9">
        <v>2.7191865779</v>
      </c>
      <c r="CZ145" s="9">
        <v>545</v>
      </c>
      <c r="DA145" s="9">
        <v>511</v>
      </c>
      <c r="DB145" s="9">
        <v>7</v>
      </c>
      <c r="DC145" s="9">
        <v>68</v>
      </c>
      <c r="DD145" s="9">
        <v>66</v>
      </c>
      <c r="DE145" s="9">
        <v>11</v>
      </c>
      <c r="DF145" s="9">
        <v>311</v>
      </c>
      <c r="DG145" s="9">
        <v>31</v>
      </c>
      <c r="DH145" s="9">
        <v>19</v>
      </c>
      <c r="DI145" s="9">
        <v>4</v>
      </c>
      <c r="DJ145" s="9">
        <v>5</v>
      </c>
      <c r="DK145" s="9">
        <v>7</v>
      </c>
      <c r="DL145" s="9">
        <v>1</v>
      </c>
      <c r="DM145" s="9">
        <v>13</v>
      </c>
      <c r="DN145" s="9">
        <v>0</v>
      </c>
      <c r="DO145" s="9">
        <v>608.92999999999995</v>
      </c>
      <c r="DP145" s="9">
        <v>160.11000000000001</v>
      </c>
      <c r="DQ145" s="9">
        <v>59.83</v>
      </c>
      <c r="DR145" s="9">
        <v>100.29</v>
      </c>
      <c r="DS145" s="9">
        <v>35.700000000000003</v>
      </c>
      <c r="DT145" s="9">
        <v>1.86</v>
      </c>
      <c r="DU145" s="9">
        <v>259.64</v>
      </c>
      <c r="DV145" s="9">
        <v>200.46</v>
      </c>
      <c r="DW145" s="9">
        <v>38.46</v>
      </c>
      <c r="DX145" s="9">
        <v>145.56</v>
      </c>
      <c r="DY145" s="9">
        <v>96.79</v>
      </c>
      <c r="DZ145" s="9">
        <v>27.29</v>
      </c>
      <c r="EA145" s="9">
        <v>-301.99</v>
      </c>
      <c r="EB145" s="9">
        <v>43.270440000000001</v>
      </c>
      <c r="EC145" s="9">
        <v>-56.944000000000003</v>
      </c>
      <c r="ED145" s="9">
        <v>-302.36099999999999</v>
      </c>
      <c r="EE145" s="9">
        <v>14.044600000000001</v>
      </c>
      <c r="EF145" s="9">
        <v>17.192689999999999</v>
      </c>
      <c r="EG145" s="9">
        <v>-695.38699999999994</v>
      </c>
      <c r="EH145" s="9">
        <v>-202.71600000000001</v>
      </c>
      <c r="EI145" s="9">
        <v>-205.78200000000001</v>
      </c>
      <c r="EJ145" s="9">
        <v>0</v>
      </c>
      <c r="EK145" s="9">
        <v>-286.88799999999998</v>
      </c>
      <c r="EL145" s="9">
        <v>-63.69</v>
      </c>
      <c r="EM145" s="9">
        <v>346.90010000000001</v>
      </c>
      <c r="EN145" s="9">
        <v>2450.6</v>
      </c>
      <c r="EO145" s="9"/>
      <c r="EP145" s="9"/>
      <c r="EQ145" s="9"/>
      <c r="ER145" s="9"/>
      <c r="ES145" s="9"/>
      <c r="ET145" s="9"/>
      <c r="EU145">
        <v>1374.2</v>
      </c>
      <c r="EV145" s="9">
        <v>10908.31</v>
      </c>
      <c r="EW145" s="9">
        <v>2043.34</v>
      </c>
      <c r="EX145" s="9">
        <v>267.69</v>
      </c>
      <c r="EY145" s="9">
        <v>739.84</v>
      </c>
      <c r="EZ145" s="9">
        <v>1904.69</v>
      </c>
      <c r="FA145" s="9">
        <v>5952.75</v>
      </c>
      <c r="FB145" s="9">
        <v>118.1764285714</v>
      </c>
      <c r="FC145" s="9">
        <v>107.97</v>
      </c>
      <c r="FD145" s="9">
        <v>7558.875</v>
      </c>
      <c r="FE145" s="9">
        <v>136.45500000000001</v>
      </c>
      <c r="FF145" s="9">
        <v>1652.3055555556</v>
      </c>
      <c r="FG145" s="9">
        <v>5597743.5800000001</v>
      </c>
      <c r="FH145" s="9">
        <v>72691.7</v>
      </c>
      <c r="FI145" s="9">
        <v>326925.62</v>
      </c>
      <c r="FJ145" s="9">
        <v>2409194.83</v>
      </c>
      <c r="FK145" s="9">
        <v>30617.48</v>
      </c>
      <c r="FL145" s="9">
        <v>48487.1</v>
      </c>
      <c r="FM145" s="9"/>
      <c r="FN145" s="9"/>
      <c r="FO145" s="9"/>
      <c r="FP145" s="9"/>
      <c r="FQ145" s="9"/>
      <c r="FR145" s="9"/>
      <c r="FS145" s="9"/>
      <c r="FT145" s="9">
        <v>3188480.22</v>
      </c>
      <c r="FU145" s="9">
        <v>42074.22</v>
      </c>
      <c r="FV145" s="9">
        <v>278369.99</v>
      </c>
      <c r="FW145" s="9"/>
      <c r="FX145" s="9"/>
      <c r="FY145" s="9"/>
      <c r="FZ145" s="9">
        <v>12351.84</v>
      </c>
      <c r="GA145" s="9">
        <v>5738410.7800000012</v>
      </c>
      <c r="GB145" s="9">
        <v>1980741.68</v>
      </c>
      <c r="GC145" s="9">
        <v>3757669.100000001</v>
      </c>
      <c r="GD145" s="9">
        <v>3651216.560000001</v>
      </c>
      <c r="GE145" s="9">
        <v>364559.08</v>
      </c>
      <c r="GF145" s="9">
        <v>3286657.48</v>
      </c>
      <c r="GG145" s="9">
        <v>2087194.22</v>
      </c>
      <c r="GH145" s="9">
        <v>1616182.6</v>
      </c>
      <c r="GI145" s="9">
        <v>471011.62000000011</v>
      </c>
      <c r="GJ145" s="9">
        <v>1181937.74</v>
      </c>
      <c r="GK145" s="9">
        <v>9371628.3599999994</v>
      </c>
      <c r="GL145" s="9">
        <v>676895.15</v>
      </c>
      <c r="GM145">
        <v>1396.37</v>
      </c>
      <c r="GO145" s="6"/>
      <c r="GP145" s="6"/>
      <c r="GQ145" s="6"/>
    </row>
    <row r="146" spans="1:199" x14ac:dyDescent="0.2">
      <c r="A146" s="8">
        <v>2012</v>
      </c>
      <c r="B146" s="8" t="s">
        <v>391</v>
      </c>
      <c r="C146" s="8" t="s">
        <v>392</v>
      </c>
      <c r="D146" s="9"/>
      <c r="E146" s="9"/>
      <c r="F146" s="9"/>
      <c r="G146" s="9"/>
      <c r="H146" s="9"/>
      <c r="I146" s="9"/>
      <c r="J146" s="9"/>
      <c r="K146" s="9"/>
      <c r="L146" s="9"/>
      <c r="M146" s="9"/>
      <c r="N146" s="9"/>
      <c r="O146" s="9"/>
      <c r="P146" s="9"/>
      <c r="Q146" s="9"/>
      <c r="R146" s="9"/>
      <c r="S146" s="9"/>
      <c r="T146" s="9"/>
      <c r="U146" s="9"/>
      <c r="V146" s="9"/>
      <c r="W146" s="9"/>
      <c r="X146" s="9"/>
      <c r="Y146" s="9"/>
      <c r="Z146" s="9"/>
      <c r="AA146" s="9"/>
      <c r="AB146" s="9"/>
      <c r="AC146" s="9"/>
      <c r="AD146" s="9"/>
      <c r="AE146" s="9"/>
      <c r="AF146" s="9"/>
      <c r="AG146" s="9"/>
      <c r="AH146" s="9"/>
      <c r="AI146" s="9"/>
      <c r="AJ146" s="9"/>
      <c r="AK146" s="9"/>
      <c r="AL146" s="9"/>
      <c r="AM146" s="9"/>
      <c r="AN146" s="9"/>
      <c r="AO146" s="9"/>
      <c r="AP146" s="9"/>
      <c r="AQ146" s="9"/>
      <c r="AR146" s="9"/>
      <c r="AS146" s="9"/>
      <c r="AT146" s="9"/>
      <c r="AU146" s="9"/>
      <c r="AV146" s="9"/>
      <c r="AW146" s="9"/>
      <c r="AX146" s="9"/>
      <c r="AY146" s="9"/>
      <c r="AZ146" s="9"/>
      <c r="BA146" s="9"/>
      <c r="BB146" s="9"/>
      <c r="BC146" s="9"/>
      <c r="BD146" s="9"/>
      <c r="BE146" s="9"/>
      <c r="BF146" s="9"/>
      <c r="BG146" s="9"/>
      <c r="BH146" s="9"/>
      <c r="BI146" s="9"/>
      <c r="BJ146" s="9"/>
      <c r="BK146" s="9"/>
      <c r="BL146" s="9"/>
      <c r="BM146" s="9"/>
      <c r="BN146" s="9">
        <v>326056.3</v>
      </c>
      <c r="BO146" s="9">
        <v>294349.3</v>
      </c>
      <c r="BP146" s="9">
        <v>45387.5</v>
      </c>
      <c r="BQ146" s="9">
        <v>26064.5</v>
      </c>
      <c r="BR146" s="9">
        <v>19323</v>
      </c>
      <c r="BS146" s="9">
        <v>40603.1</v>
      </c>
      <c r="BT146" s="9">
        <v>50440.1</v>
      </c>
      <c r="BU146" s="9">
        <v>19850.7</v>
      </c>
      <c r="BV146" s="9">
        <v>30179.8</v>
      </c>
      <c r="BW146" s="9">
        <v>257164.1</v>
      </c>
      <c r="BX146" s="9">
        <v>-4383.3</v>
      </c>
      <c r="BY146" s="9">
        <v>40428.400000000001</v>
      </c>
      <c r="BZ146" s="9">
        <v>61274.3</v>
      </c>
      <c r="CA146" s="9">
        <v>11020</v>
      </c>
      <c r="CB146" s="9">
        <v>5504.1</v>
      </c>
      <c r="CC146" s="9">
        <v>138937.20000000001</v>
      </c>
      <c r="CD146" s="9">
        <v>0</v>
      </c>
      <c r="CE146" s="9">
        <v>7250.1</v>
      </c>
      <c r="CF146" s="9">
        <v>1565667.2785706241</v>
      </c>
      <c r="CG146" s="9">
        <v>6146034.3455612063</v>
      </c>
      <c r="CH146" s="9"/>
      <c r="CI146" s="9"/>
      <c r="CJ146" s="9">
        <v>15.5188728998</v>
      </c>
      <c r="CK146" s="9">
        <v>13.024901337499999</v>
      </c>
      <c r="CL146" s="9">
        <v>12.25</v>
      </c>
      <c r="CM146" s="9">
        <v>70.827573568999995</v>
      </c>
      <c r="CN146" s="9">
        <v>21.0297056428</v>
      </c>
      <c r="CO146" s="9">
        <v>2.0667665906999999</v>
      </c>
      <c r="CP146" s="9">
        <v>11.7428972048</v>
      </c>
      <c r="CQ146" s="9">
        <v>8.7464645536999992</v>
      </c>
      <c r="CR146" s="9">
        <v>3.2087813421</v>
      </c>
      <c r="CS146" s="9">
        <v>2.3507406425999999</v>
      </c>
      <c r="CT146" s="9">
        <v>9.1813821058999991</v>
      </c>
      <c r="CU146" s="9">
        <v>2.8776820378000001</v>
      </c>
      <c r="CV146" s="9">
        <v>1.8021784231</v>
      </c>
      <c r="CW146" s="9">
        <v>3.2941758488000001</v>
      </c>
      <c r="CX146" s="9">
        <v>1.7725201382</v>
      </c>
      <c r="CY146" s="9">
        <v>2.7542790384</v>
      </c>
      <c r="CZ146" s="9">
        <v>238</v>
      </c>
      <c r="DA146" s="9">
        <v>225</v>
      </c>
      <c r="DB146" s="9">
        <v>7</v>
      </c>
      <c r="DC146" s="9">
        <v>67</v>
      </c>
      <c r="DD146" s="9">
        <v>38</v>
      </c>
      <c r="DE146" s="9">
        <v>8</v>
      </c>
      <c r="DF146" s="9">
        <v>75</v>
      </c>
      <c r="DG146" s="9">
        <v>19</v>
      </c>
      <c r="DH146" s="9">
        <v>7</v>
      </c>
      <c r="DI146" s="9">
        <v>2</v>
      </c>
      <c r="DJ146" s="9">
        <v>4</v>
      </c>
      <c r="DK146" s="9">
        <v>1</v>
      </c>
      <c r="DL146" s="9">
        <v>0</v>
      </c>
      <c r="DM146" s="9">
        <v>5</v>
      </c>
      <c r="DN146" s="9">
        <v>0</v>
      </c>
      <c r="DO146" s="9">
        <v>495.75</v>
      </c>
      <c r="DP146" s="9">
        <v>118.11</v>
      </c>
      <c r="DQ146" s="9">
        <v>52.58</v>
      </c>
      <c r="DR146" s="9">
        <v>65.53</v>
      </c>
      <c r="DS146" s="9">
        <v>31.65</v>
      </c>
      <c r="DT146" s="9">
        <v>1.02</v>
      </c>
      <c r="DU146" s="9">
        <v>199.67</v>
      </c>
      <c r="DV146" s="9">
        <v>158.59</v>
      </c>
      <c r="DW146" s="9">
        <v>24.82</v>
      </c>
      <c r="DX146" s="9">
        <v>143.31</v>
      </c>
      <c r="DY146" s="9">
        <v>81.13</v>
      </c>
      <c r="DZ146" s="9">
        <v>39.44</v>
      </c>
      <c r="EA146" s="9">
        <v>-483.12099999999998</v>
      </c>
      <c r="EB146" s="9">
        <v>-299.77600000000001</v>
      </c>
      <c r="EC146" s="9">
        <v>-136.274</v>
      </c>
      <c r="ED146" s="9">
        <v>-68.836799999999997</v>
      </c>
      <c r="EE146" s="9">
        <v>21.765999999999998</v>
      </c>
      <c r="EF146" s="9">
        <v>16.51953</v>
      </c>
      <c r="EG146" s="9">
        <v>-228.27600000000001</v>
      </c>
      <c r="EH146" s="9">
        <v>-332.46899999999999</v>
      </c>
      <c r="EI146" s="9">
        <v>3.5672329999999999</v>
      </c>
      <c r="EJ146" s="9">
        <v>0</v>
      </c>
      <c r="EK146" s="9">
        <v>100.62569999999999</v>
      </c>
      <c r="EL146" s="9">
        <v>142.1353</v>
      </c>
      <c r="EM146" s="9">
        <v>-96.190600000000003</v>
      </c>
      <c r="EN146" s="9">
        <v>2380.9</v>
      </c>
      <c r="EO146" s="9"/>
      <c r="EP146" s="9"/>
      <c r="EQ146" s="9"/>
      <c r="ER146" s="9"/>
      <c r="ES146" s="9"/>
      <c r="ET146" s="9"/>
      <c r="EU146">
        <v>1395.12</v>
      </c>
      <c r="EV146" s="9"/>
      <c r="EW146" s="9"/>
      <c r="EX146" s="9"/>
      <c r="EY146" s="9"/>
      <c r="EZ146" s="9"/>
      <c r="FA146" s="9"/>
      <c r="FB146" s="9">
        <v>123.08571428570001</v>
      </c>
      <c r="FC146" s="9">
        <v>110.9936363636</v>
      </c>
      <c r="FD146" s="9">
        <v>8061.9166666666997</v>
      </c>
      <c r="FE146" s="9">
        <v>140.34761904760001</v>
      </c>
      <c r="FF146" s="9">
        <v>1656.119047619</v>
      </c>
      <c r="FG146" s="9">
        <v>5604138.1100000003</v>
      </c>
      <c r="FH146" s="9">
        <v>72777.72</v>
      </c>
      <c r="FI146" s="9">
        <v>323603.03000000003</v>
      </c>
      <c r="FJ146" s="9">
        <v>2428829.04</v>
      </c>
      <c r="FK146" s="9">
        <v>37224.69</v>
      </c>
      <c r="FL146" s="9">
        <v>48324.28</v>
      </c>
      <c r="FM146" s="9"/>
      <c r="FN146" s="9"/>
      <c r="FO146" s="9"/>
      <c r="FP146" s="9"/>
      <c r="FQ146" s="9"/>
      <c r="FR146" s="9"/>
      <c r="FS146" s="9"/>
      <c r="FT146" s="9">
        <v>3175245</v>
      </c>
      <c r="FU146" s="9">
        <v>35553.03</v>
      </c>
      <c r="FV146" s="9">
        <v>275214.67</v>
      </c>
      <c r="FW146" s="9"/>
      <c r="FX146" s="9"/>
      <c r="FY146" s="9"/>
      <c r="FZ146" s="9">
        <v>12107.46</v>
      </c>
      <c r="GA146" s="9">
        <v>5544728.0199999996</v>
      </c>
      <c r="GB146" s="9">
        <v>1792284.41</v>
      </c>
      <c r="GC146" s="9">
        <v>3752443.61</v>
      </c>
      <c r="GD146" s="9">
        <v>3594338.65</v>
      </c>
      <c r="GE146" s="9">
        <v>331392.31</v>
      </c>
      <c r="GF146" s="9">
        <v>3262946.34</v>
      </c>
      <c r="GG146" s="9">
        <v>1950389.37</v>
      </c>
      <c r="GH146" s="9">
        <v>1460892.1</v>
      </c>
      <c r="GI146" s="9">
        <v>489497.27</v>
      </c>
      <c r="GJ146" s="9">
        <v>1084721.4099999999</v>
      </c>
      <c r="GK146" s="9">
        <v>8801760.75</v>
      </c>
      <c r="GL146" s="9">
        <v>695421.75</v>
      </c>
      <c r="GM146">
        <v>1366.3</v>
      </c>
      <c r="GO146" s="6"/>
      <c r="GP146" s="6"/>
      <c r="GQ146" s="6"/>
    </row>
    <row r="147" spans="1:199" x14ac:dyDescent="0.2">
      <c r="A147" s="8">
        <v>2012</v>
      </c>
      <c r="B147" s="8" t="s">
        <v>391</v>
      </c>
      <c r="C147" s="8" t="s">
        <v>393</v>
      </c>
      <c r="D147" s="9"/>
      <c r="E147" s="9"/>
      <c r="F147" s="9"/>
      <c r="G147" s="9"/>
      <c r="H147" s="9"/>
      <c r="I147" s="9"/>
      <c r="J147" s="9"/>
      <c r="K147" s="9"/>
      <c r="L147" s="9"/>
      <c r="M147" s="9"/>
      <c r="N147" s="9"/>
      <c r="O147" s="9"/>
      <c r="P147" s="9"/>
      <c r="Q147" s="9"/>
      <c r="R147" s="9"/>
      <c r="S147" s="9"/>
      <c r="T147" s="9"/>
      <c r="U147" s="9"/>
      <c r="V147" s="9"/>
      <c r="W147" s="9"/>
      <c r="X147" s="9"/>
      <c r="Y147" s="9"/>
      <c r="Z147" s="9"/>
      <c r="AA147" s="9"/>
      <c r="AB147" s="9"/>
      <c r="AC147" s="9"/>
      <c r="AD147" s="9"/>
      <c r="AE147" s="9"/>
      <c r="AF147" s="9"/>
      <c r="AG147" s="9"/>
      <c r="AH147" s="9"/>
      <c r="AI147" s="9"/>
      <c r="AJ147" s="9"/>
      <c r="AK147" s="9"/>
      <c r="AL147" s="9"/>
      <c r="AM147" s="9"/>
      <c r="AN147" s="9"/>
      <c r="AO147" s="9"/>
      <c r="AP147" s="9"/>
      <c r="AQ147" s="9"/>
      <c r="AR147" s="9"/>
      <c r="AS147" s="9"/>
      <c r="AT147" s="9"/>
      <c r="AU147" s="9"/>
      <c r="AV147" s="9"/>
      <c r="AW147" s="9"/>
      <c r="AX147" s="9"/>
      <c r="AY147" s="9"/>
      <c r="AZ147" s="9"/>
      <c r="BA147" s="9"/>
      <c r="BB147" s="9"/>
      <c r="BC147" s="9"/>
      <c r="BD147" s="9"/>
      <c r="BE147" s="9"/>
      <c r="BF147" s="9"/>
      <c r="BG147" s="9"/>
      <c r="BH147" s="9"/>
      <c r="BI147" s="9"/>
      <c r="BJ147" s="9"/>
      <c r="BK147" s="9"/>
      <c r="BL147" s="9"/>
      <c r="BM147" s="9"/>
      <c r="BN147" s="9">
        <v>348985</v>
      </c>
      <c r="BO147" s="9">
        <v>298590.3</v>
      </c>
      <c r="BP147" s="9">
        <v>97212.5</v>
      </c>
      <c r="BQ147" s="9">
        <v>72663.8</v>
      </c>
      <c r="BR147" s="9">
        <v>24545.200000000001</v>
      </c>
      <c r="BS147" s="9">
        <v>39773</v>
      </c>
      <c r="BT147" s="9">
        <v>120857.9</v>
      </c>
      <c r="BU147" s="9">
        <v>22290.5</v>
      </c>
      <c r="BV147" s="9">
        <v>49397.1</v>
      </c>
      <c r="BW147" s="9">
        <v>302652.3</v>
      </c>
      <c r="BX147" s="9">
        <v>8343.1</v>
      </c>
      <c r="BY147" s="9">
        <v>52309.4</v>
      </c>
      <c r="BZ147" s="9">
        <v>73090.100000000006</v>
      </c>
      <c r="CA147" s="9">
        <v>2534.9</v>
      </c>
      <c r="CB147" s="9">
        <v>6174.7</v>
      </c>
      <c r="CC147" s="9">
        <v>168543.3</v>
      </c>
      <c r="CD147" s="9">
        <v>0</v>
      </c>
      <c r="CE147" s="9">
        <v>111117.4</v>
      </c>
      <c r="CF147" s="9">
        <v>1500200.622813676</v>
      </c>
      <c r="CG147" s="9">
        <v>6236173.4095217623</v>
      </c>
      <c r="CH147" s="9"/>
      <c r="CI147" s="9"/>
      <c r="CJ147" s="9">
        <v>18.385954309300001</v>
      </c>
      <c r="CK147" s="9">
        <v>13.9954435604</v>
      </c>
      <c r="CL147" s="9">
        <v>12.25</v>
      </c>
      <c r="CM147" s="9">
        <v>72.623280728899999</v>
      </c>
      <c r="CN147" s="9">
        <v>22.544363346299999</v>
      </c>
      <c r="CO147" s="9">
        <v>2.0795713954999999</v>
      </c>
      <c r="CP147" s="9">
        <v>11.842357574899999</v>
      </c>
      <c r="CQ147" s="9">
        <v>8.6638052893000008</v>
      </c>
      <c r="CR147" s="9">
        <v>3.2434141319999998</v>
      </c>
      <c r="CS147" s="9">
        <v>2.3774957267999999</v>
      </c>
      <c r="CT147" s="9">
        <v>9.2071642153000006</v>
      </c>
      <c r="CU147" s="9">
        <v>2.8721365723000001</v>
      </c>
      <c r="CV147" s="9">
        <v>1.8128880803</v>
      </c>
      <c r="CW147" s="9">
        <v>3.2941758488000001</v>
      </c>
      <c r="CX147" s="9">
        <v>1.9246154520000001</v>
      </c>
      <c r="CY147" s="9">
        <v>2.7612930955000001</v>
      </c>
      <c r="CZ147" s="9">
        <v>289</v>
      </c>
      <c r="DA147" s="9">
        <v>274</v>
      </c>
      <c r="DB147" s="9">
        <v>7</v>
      </c>
      <c r="DC147" s="9">
        <v>61</v>
      </c>
      <c r="DD147" s="9">
        <v>48</v>
      </c>
      <c r="DE147" s="9">
        <v>9</v>
      </c>
      <c r="DF147" s="9">
        <v>108</v>
      </c>
      <c r="DG147" s="9">
        <v>28</v>
      </c>
      <c r="DH147" s="9">
        <v>8</v>
      </c>
      <c r="DI147" s="9">
        <v>1</v>
      </c>
      <c r="DJ147" s="9">
        <v>3</v>
      </c>
      <c r="DK147" s="9">
        <v>3</v>
      </c>
      <c r="DL147" s="9">
        <v>0</v>
      </c>
      <c r="DM147" s="9">
        <v>7</v>
      </c>
      <c r="DN147" s="9">
        <v>0</v>
      </c>
      <c r="DO147" s="9">
        <v>478.13</v>
      </c>
      <c r="DP147" s="9">
        <v>112.69</v>
      </c>
      <c r="DQ147" s="9">
        <v>46.75</v>
      </c>
      <c r="DR147" s="9">
        <v>65.94</v>
      </c>
      <c r="DS147" s="9">
        <v>20.65</v>
      </c>
      <c r="DT147" s="9">
        <v>1.41</v>
      </c>
      <c r="DU147" s="9">
        <v>217.5</v>
      </c>
      <c r="DV147" s="9">
        <v>173.53</v>
      </c>
      <c r="DW147" s="9">
        <v>28.91</v>
      </c>
      <c r="DX147" s="9">
        <v>120.5</v>
      </c>
      <c r="DY147" s="9">
        <v>71.099999999999994</v>
      </c>
      <c r="DZ147" s="9">
        <v>25.65</v>
      </c>
      <c r="EA147" s="9">
        <v>-395.392</v>
      </c>
      <c r="EB147" s="9">
        <v>-234.71100000000001</v>
      </c>
      <c r="EC147" s="9">
        <v>-123.729</v>
      </c>
      <c r="ED147" s="9">
        <v>-67.394599999999997</v>
      </c>
      <c r="EE147" s="9">
        <v>30.441960000000002</v>
      </c>
      <c r="EF147" s="9">
        <v>20.45467</v>
      </c>
      <c r="EG147" s="9">
        <v>-362.08600000000001</v>
      </c>
      <c r="EH147" s="9">
        <v>-357.81</v>
      </c>
      <c r="EI147" s="9">
        <v>-3.4348000000000001</v>
      </c>
      <c r="EJ147" s="9">
        <v>0</v>
      </c>
      <c r="EK147" s="9">
        <v>-0.84157999999999999</v>
      </c>
      <c r="EL147" s="9">
        <v>109.60209999999999</v>
      </c>
      <c r="EM147" s="9">
        <v>96.750590000000003</v>
      </c>
      <c r="EN147" s="9">
        <v>2465.1999999999998</v>
      </c>
      <c r="EO147" s="9"/>
      <c r="EP147" s="9"/>
      <c r="EQ147" s="9"/>
      <c r="ER147" s="9"/>
      <c r="ES147" s="9"/>
      <c r="ET147" s="9"/>
      <c r="EU147">
        <v>1340.73</v>
      </c>
      <c r="EV147" s="9"/>
      <c r="EW147" s="9"/>
      <c r="EX147" s="9"/>
      <c r="EY147" s="9"/>
      <c r="EZ147" s="9"/>
      <c r="FA147" s="9"/>
      <c r="FB147" s="9">
        <v>124.9668367347</v>
      </c>
      <c r="FC147" s="9">
        <v>119.70238095240001</v>
      </c>
      <c r="FD147" s="9">
        <v>8441.4880952381009</v>
      </c>
      <c r="FE147" s="9">
        <v>140.3952380952</v>
      </c>
      <c r="FF147" s="9">
        <v>1742.619047619</v>
      </c>
      <c r="FG147" s="9">
        <v>5666201.8099999996</v>
      </c>
      <c r="FH147" s="9">
        <v>60286.32</v>
      </c>
      <c r="FI147" s="9">
        <v>320743.63</v>
      </c>
      <c r="FJ147" s="9">
        <v>2476641.12</v>
      </c>
      <c r="FK147" s="9">
        <v>30276.26</v>
      </c>
      <c r="FL147" s="9">
        <v>50385.8</v>
      </c>
      <c r="FM147" s="9"/>
      <c r="FN147" s="9"/>
      <c r="FO147" s="9"/>
      <c r="FP147" s="9"/>
      <c r="FQ147" s="9"/>
      <c r="FR147" s="9"/>
      <c r="FS147" s="9"/>
      <c r="FT147" s="9">
        <v>3189498.85</v>
      </c>
      <c r="FU147" s="9">
        <v>30010.06</v>
      </c>
      <c r="FV147" s="9">
        <v>270295.99</v>
      </c>
      <c r="FW147" s="9"/>
      <c r="FX147" s="9"/>
      <c r="FY147" s="9"/>
      <c r="FZ147" s="9">
        <v>11832.86</v>
      </c>
      <c r="GA147" s="9">
        <v>5644197.7599999998</v>
      </c>
      <c r="GB147" s="9">
        <v>1765598.12</v>
      </c>
      <c r="GC147" s="9">
        <v>3878599.64</v>
      </c>
      <c r="GD147" s="9">
        <v>3701547.49</v>
      </c>
      <c r="GE147" s="9">
        <v>323456.76</v>
      </c>
      <c r="GF147" s="9">
        <v>3378090.73</v>
      </c>
      <c r="GG147" s="9">
        <v>1942650.27</v>
      </c>
      <c r="GH147" s="9">
        <v>1442141.36</v>
      </c>
      <c r="GI147" s="9">
        <v>500508.91</v>
      </c>
      <c r="GJ147" s="9">
        <v>1108204.8899999999</v>
      </c>
      <c r="GK147" s="9">
        <v>8924215.2699999996</v>
      </c>
      <c r="GL147" s="9">
        <v>706433.99</v>
      </c>
      <c r="GM147">
        <v>1340.19</v>
      </c>
      <c r="GO147" s="6"/>
      <c r="GP147" s="6"/>
      <c r="GQ147" s="6"/>
    </row>
    <row r="148" spans="1:199" x14ac:dyDescent="0.2">
      <c r="A148" s="8">
        <v>2012</v>
      </c>
      <c r="B148" s="8" t="s">
        <v>391</v>
      </c>
      <c r="C148" s="8" t="s">
        <v>394</v>
      </c>
      <c r="D148" s="9">
        <v>3192126.52</v>
      </c>
      <c r="E148" s="9">
        <v>80988.13</v>
      </c>
      <c r="F148" s="9">
        <v>578355.98</v>
      </c>
      <c r="G148" s="9">
        <v>191891.38</v>
      </c>
      <c r="H148" s="9">
        <v>87023.57</v>
      </c>
      <c r="I148" s="9">
        <v>26967.14</v>
      </c>
      <c r="J148" s="9">
        <v>647016.75</v>
      </c>
      <c r="K148" s="9">
        <v>211445.72</v>
      </c>
      <c r="L148" s="9">
        <v>85305.21</v>
      </c>
      <c r="M148" s="9">
        <v>906684.24</v>
      </c>
      <c r="N148" s="9">
        <v>376448.4</v>
      </c>
      <c r="O148" s="9">
        <v>3551161.8109611189</v>
      </c>
      <c r="P148" s="9">
        <v>91390.992548294395</v>
      </c>
      <c r="Q148" s="9">
        <v>535001.03261663415</v>
      </c>
      <c r="R148" s="9">
        <v>206532.55298879489</v>
      </c>
      <c r="S148" s="9">
        <v>132367.81060983031</v>
      </c>
      <c r="T148" s="9">
        <v>28274.044615473402</v>
      </c>
      <c r="U148" s="9">
        <v>743933.89820287831</v>
      </c>
      <c r="V148" s="9">
        <v>235865.6066453456</v>
      </c>
      <c r="W148" s="9">
        <v>90143.3718326823</v>
      </c>
      <c r="X148" s="9">
        <v>1013014.345972118</v>
      </c>
      <c r="Y148" s="9">
        <v>474638.15492906811</v>
      </c>
      <c r="Z148" s="9">
        <v>3076659.9</v>
      </c>
      <c r="AA148" s="9">
        <v>2084859.2</v>
      </c>
      <c r="AB148" s="9">
        <v>411860.1</v>
      </c>
      <c r="AC148" s="9">
        <v>1260004.8</v>
      </c>
      <c r="AD148" s="9">
        <v>286948.90000000002</v>
      </c>
      <c r="AE148" s="9">
        <v>1403741.6</v>
      </c>
      <c r="AF148" s="9">
        <v>2370754.7000000002</v>
      </c>
      <c r="AG148" s="9">
        <v>3413650.7769356049</v>
      </c>
      <c r="AH148" s="9">
        <v>2312443.9668649128</v>
      </c>
      <c r="AI148" s="9">
        <v>460991.06033927487</v>
      </c>
      <c r="AJ148" s="9">
        <v>1273725.8438650339</v>
      </c>
      <c r="AK148" s="9">
        <v>352835.54154197237</v>
      </c>
      <c r="AL148" s="9">
        <v>1036981.9973292372</v>
      </c>
      <c r="AM148" s="9">
        <v>2023327.6330048279</v>
      </c>
      <c r="AN148" s="9">
        <v>1033958</v>
      </c>
      <c r="AO148" s="9">
        <v>537721</v>
      </c>
      <c r="AP148" s="9">
        <v>496237</v>
      </c>
      <c r="AQ148" s="9">
        <v>118791</v>
      </c>
      <c r="AR148" s="9">
        <v>63611</v>
      </c>
      <c r="AS148" s="9">
        <v>55180</v>
      </c>
      <c r="AT148" s="9">
        <v>632902</v>
      </c>
      <c r="AU148" s="9">
        <v>258546</v>
      </c>
      <c r="AV148" s="9">
        <v>374356</v>
      </c>
      <c r="AW148" s="9">
        <v>495.1</v>
      </c>
      <c r="AX148" s="9">
        <v>227.7</v>
      </c>
      <c r="AY148" s="9">
        <v>837.9</v>
      </c>
      <c r="AZ148" s="9">
        <v>467.7</v>
      </c>
      <c r="BA148" s="9">
        <v>476.7</v>
      </c>
      <c r="BB148" s="9"/>
      <c r="BC148" s="9">
        <v>375.3</v>
      </c>
      <c r="BD148" s="9">
        <v>320.39999999999998</v>
      </c>
      <c r="BE148" s="9">
        <v>484.9</v>
      </c>
      <c r="BF148" s="9">
        <v>370.5</v>
      </c>
      <c r="BG148" s="9"/>
      <c r="BH148" s="9">
        <v>1092.2</v>
      </c>
      <c r="BI148" s="9">
        <v>396.1</v>
      </c>
      <c r="BJ148" s="9">
        <v>433</v>
      </c>
      <c r="BK148" s="9">
        <v>449.4</v>
      </c>
      <c r="BL148" s="9"/>
      <c r="BM148" s="9">
        <v>355.2</v>
      </c>
      <c r="BN148" s="9">
        <v>382070.4</v>
      </c>
      <c r="BO148" s="9">
        <v>343672.3</v>
      </c>
      <c r="BP148" s="9">
        <v>77722.5</v>
      </c>
      <c r="BQ148" s="9">
        <v>48179.4</v>
      </c>
      <c r="BR148" s="9">
        <v>29541.8</v>
      </c>
      <c r="BS148" s="9">
        <v>52687.9</v>
      </c>
      <c r="BT148" s="9">
        <v>101737.4</v>
      </c>
      <c r="BU148" s="9">
        <v>19604.7</v>
      </c>
      <c r="BV148" s="9">
        <v>29297.200000000001</v>
      </c>
      <c r="BW148" s="9">
        <v>302640.8</v>
      </c>
      <c r="BX148" s="9">
        <v>20563.400000000001</v>
      </c>
      <c r="BY148" s="9">
        <v>60826.7</v>
      </c>
      <c r="BZ148" s="9">
        <v>98606.6</v>
      </c>
      <c r="CA148" s="9">
        <v>7346.3</v>
      </c>
      <c r="CB148" s="9">
        <v>6769</v>
      </c>
      <c r="CC148" s="9">
        <v>129092.2</v>
      </c>
      <c r="CD148" s="9">
        <v>0</v>
      </c>
      <c r="CE148" s="9">
        <v>99476</v>
      </c>
      <c r="CF148" s="9">
        <v>1488041.8796776719</v>
      </c>
      <c r="CG148" s="9">
        <v>6102589.0990717979</v>
      </c>
      <c r="CH148" s="9"/>
      <c r="CI148" s="9"/>
      <c r="CJ148" s="9">
        <v>17.892211519899998</v>
      </c>
      <c r="CK148" s="9">
        <v>12.352002390699999</v>
      </c>
      <c r="CL148" s="9">
        <v>12.75</v>
      </c>
      <c r="CM148" s="9">
        <v>74.242229068100002</v>
      </c>
      <c r="CN148" s="9">
        <v>24.0588392109</v>
      </c>
      <c r="CO148" s="9">
        <v>2.1257495988000001</v>
      </c>
      <c r="CP148" s="9">
        <v>11.9290913634</v>
      </c>
      <c r="CQ148" s="9">
        <v>8.5949433318999997</v>
      </c>
      <c r="CR148" s="9">
        <v>3.2575223697000002</v>
      </c>
      <c r="CS148" s="9">
        <v>2.3989519829999999</v>
      </c>
      <c r="CT148" s="9">
        <v>9.2028174232000008</v>
      </c>
      <c r="CU148" s="9">
        <v>2.7878579275000002</v>
      </c>
      <c r="CV148" s="9">
        <v>1.8555764479000001</v>
      </c>
      <c r="CW148" s="9">
        <v>3.2941758488000001</v>
      </c>
      <c r="CX148" s="9">
        <v>1.9505094427</v>
      </c>
      <c r="CY148" s="9">
        <v>2.7861941204999998</v>
      </c>
      <c r="CZ148" s="9">
        <v>360</v>
      </c>
      <c r="DA148" s="9">
        <v>339</v>
      </c>
      <c r="DB148" s="9">
        <v>7</v>
      </c>
      <c r="DC148" s="9">
        <v>73</v>
      </c>
      <c r="DD148" s="9">
        <v>23</v>
      </c>
      <c r="DE148" s="9">
        <v>13</v>
      </c>
      <c r="DF148" s="9">
        <v>180</v>
      </c>
      <c r="DG148" s="9">
        <v>27</v>
      </c>
      <c r="DH148" s="9">
        <v>13</v>
      </c>
      <c r="DI148" s="9">
        <v>0</v>
      </c>
      <c r="DJ148" s="9">
        <v>4</v>
      </c>
      <c r="DK148" s="9">
        <v>6</v>
      </c>
      <c r="DL148" s="9">
        <v>0</v>
      </c>
      <c r="DM148" s="9">
        <v>6</v>
      </c>
      <c r="DN148" s="9">
        <v>0</v>
      </c>
      <c r="DO148" s="9">
        <v>543.22</v>
      </c>
      <c r="DP148" s="9">
        <v>127.21</v>
      </c>
      <c r="DQ148" s="9">
        <v>50.07</v>
      </c>
      <c r="DR148" s="9">
        <v>77.13</v>
      </c>
      <c r="DS148" s="9">
        <v>31.1</v>
      </c>
      <c r="DT148" s="9">
        <v>2.65</v>
      </c>
      <c r="DU148" s="9">
        <v>289.62</v>
      </c>
      <c r="DV148" s="9">
        <v>205.52</v>
      </c>
      <c r="DW148" s="9">
        <v>59.54</v>
      </c>
      <c r="DX148" s="9">
        <v>95.22</v>
      </c>
      <c r="DY148" s="9">
        <v>49.49</v>
      </c>
      <c r="DZ148" s="9">
        <v>30.74</v>
      </c>
      <c r="EA148" s="9">
        <v>-452.29700000000003</v>
      </c>
      <c r="EB148" s="9">
        <v>-245.316</v>
      </c>
      <c r="EC148" s="9">
        <v>-160.71</v>
      </c>
      <c r="ED148" s="9">
        <v>-77.099800000000002</v>
      </c>
      <c r="EE148" s="9">
        <v>30.829059999999998</v>
      </c>
      <c r="EF148" s="9">
        <v>15.77172</v>
      </c>
      <c r="EG148" s="9">
        <v>-946.87699999999995</v>
      </c>
      <c r="EH148" s="9">
        <v>-376.58800000000002</v>
      </c>
      <c r="EI148" s="9">
        <v>-576.29200000000003</v>
      </c>
      <c r="EJ148" s="9">
        <v>0</v>
      </c>
      <c r="EK148" s="9">
        <v>6.0033659999999998</v>
      </c>
      <c r="EL148" s="9">
        <v>-29.335999999999999</v>
      </c>
      <c r="EM148" s="9">
        <v>481.01620000000003</v>
      </c>
      <c r="EN148" s="9">
        <v>2904.6</v>
      </c>
      <c r="EO148" s="9"/>
      <c r="EP148" s="9"/>
      <c r="EQ148" s="9"/>
      <c r="ER148" s="9"/>
      <c r="ES148" s="9"/>
      <c r="ET148" s="9"/>
      <c r="EU148">
        <v>1333.28</v>
      </c>
      <c r="EV148" s="9">
        <v>12509.72</v>
      </c>
      <c r="EW148" s="9">
        <v>2033.19</v>
      </c>
      <c r="EX148" s="9">
        <v>340.21</v>
      </c>
      <c r="EY148" s="9">
        <v>699.87</v>
      </c>
      <c r="EZ148" s="9">
        <v>2635.92</v>
      </c>
      <c r="FA148" s="9">
        <v>6800.53</v>
      </c>
      <c r="FB148" s="9">
        <v>114.150974026</v>
      </c>
      <c r="FC148" s="9">
        <v>124.92863636360001</v>
      </c>
      <c r="FD148" s="9">
        <v>8470.7840909090992</v>
      </c>
      <c r="FE148" s="9">
        <v>144.66363636360001</v>
      </c>
      <c r="FF148" s="9">
        <v>1673.7727272727</v>
      </c>
      <c r="FG148" s="9">
        <v>5741473.5199999996</v>
      </c>
      <c r="FH148" s="9">
        <v>60552.27</v>
      </c>
      <c r="FI148" s="9">
        <v>317589.44</v>
      </c>
      <c r="FJ148" s="9">
        <v>2512507.46</v>
      </c>
      <c r="FK148" s="9">
        <v>30398.36</v>
      </c>
      <c r="FL148" s="9">
        <v>44880.63</v>
      </c>
      <c r="FM148" s="9"/>
      <c r="FN148" s="9"/>
      <c r="FO148" s="9"/>
      <c r="FP148" s="9"/>
      <c r="FQ148" s="9"/>
      <c r="FR148" s="9"/>
      <c r="FS148" s="9"/>
      <c r="FT148" s="9">
        <v>3228907.28</v>
      </c>
      <c r="FU148" s="9">
        <v>30153.9</v>
      </c>
      <c r="FV148" s="9">
        <v>272650.05</v>
      </c>
      <c r="FW148" s="9"/>
      <c r="FX148" s="9"/>
      <c r="FY148" s="9"/>
      <c r="FZ148" s="9">
        <v>28489.69</v>
      </c>
      <c r="GA148" s="9">
        <v>5522923.3100000015</v>
      </c>
      <c r="GB148" s="9">
        <v>1894799.34</v>
      </c>
      <c r="GC148" s="9">
        <v>3628123.97</v>
      </c>
      <c r="GD148" s="9">
        <v>3684643.5</v>
      </c>
      <c r="GE148" s="9">
        <v>339825.06</v>
      </c>
      <c r="GF148" s="9">
        <v>3344818.44</v>
      </c>
      <c r="GG148" s="9">
        <v>1838279.81</v>
      </c>
      <c r="GH148" s="9">
        <v>1554974.28</v>
      </c>
      <c r="GI148" s="9">
        <v>283305.53000000003</v>
      </c>
      <c r="GJ148" s="9">
        <v>1165519.01</v>
      </c>
      <c r="GK148" s="9">
        <v>9351915.4399999995</v>
      </c>
      <c r="GL148" s="9">
        <v>737720.25</v>
      </c>
      <c r="GM148">
        <v>1318.8</v>
      </c>
      <c r="GO148" s="6"/>
      <c r="GP148" s="6"/>
      <c r="GQ148" s="6"/>
    </row>
    <row r="149" spans="1:199" x14ac:dyDescent="0.2">
      <c r="A149" s="8">
        <v>2012</v>
      </c>
      <c r="B149" s="8" t="s">
        <v>395</v>
      </c>
      <c r="C149" s="8" t="s">
        <v>396</v>
      </c>
      <c r="D149" s="9"/>
      <c r="E149" s="9"/>
      <c r="F149" s="9"/>
      <c r="G149" s="9"/>
      <c r="H149" s="9"/>
      <c r="I149" s="9"/>
      <c r="J149" s="9"/>
      <c r="K149" s="9"/>
      <c r="L149" s="9"/>
      <c r="M149" s="9"/>
      <c r="N149" s="9"/>
      <c r="O149" s="9"/>
      <c r="P149" s="9"/>
      <c r="Q149" s="9"/>
      <c r="R149" s="9"/>
      <c r="S149" s="9"/>
      <c r="T149" s="9"/>
      <c r="U149" s="9"/>
      <c r="V149" s="9"/>
      <c r="W149" s="9"/>
      <c r="X149" s="9"/>
      <c r="Y149" s="9"/>
      <c r="Z149" s="9"/>
      <c r="AA149" s="9"/>
      <c r="AB149" s="9"/>
      <c r="AC149" s="9"/>
      <c r="AD149" s="9"/>
      <c r="AE149" s="9"/>
      <c r="AF149" s="9"/>
      <c r="AG149" s="9"/>
      <c r="AH149" s="9"/>
      <c r="AI149" s="9"/>
      <c r="AJ149" s="9"/>
      <c r="AK149" s="9"/>
      <c r="AL149" s="9"/>
      <c r="AM149" s="9"/>
      <c r="AN149" s="9"/>
      <c r="AO149" s="9"/>
      <c r="AP149" s="9"/>
      <c r="AQ149" s="9"/>
      <c r="AR149" s="9"/>
      <c r="AS149" s="9"/>
      <c r="AT149" s="9"/>
      <c r="AU149" s="9"/>
      <c r="AV149" s="9"/>
      <c r="AW149" s="9"/>
      <c r="AX149" s="9"/>
      <c r="AY149" s="9"/>
      <c r="AZ149" s="9"/>
      <c r="BA149" s="9"/>
      <c r="BB149" s="9"/>
      <c r="BC149" s="9"/>
      <c r="BD149" s="9"/>
      <c r="BE149" s="9"/>
      <c r="BF149" s="9"/>
      <c r="BG149" s="9"/>
      <c r="BH149" s="9"/>
      <c r="BI149" s="9"/>
      <c r="BJ149" s="9"/>
      <c r="BK149" s="9"/>
      <c r="BL149" s="9"/>
      <c r="BM149" s="9"/>
      <c r="BN149" s="9">
        <v>417556.2</v>
      </c>
      <c r="BO149" s="9">
        <v>363701.1</v>
      </c>
      <c r="BP149" s="9">
        <v>88834.8</v>
      </c>
      <c r="BQ149" s="9">
        <v>64238.3</v>
      </c>
      <c r="BR149" s="9">
        <v>24596.5</v>
      </c>
      <c r="BS149" s="9">
        <v>56011.5</v>
      </c>
      <c r="BT149" s="9">
        <v>110763.2</v>
      </c>
      <c r="BU149" s="9">
        <v>18546.3</v>
      </c>
      <c r="BV149" s="9">
        <v>51643.4</v>
      </c>
      <c r="BW149" s="9">
        <v>369420</v>
      </c>
      <c r="BX149" s="9">
        <v>1959.4</v>
      </c>
      <c r="BY149" s="9">
        <v>61764.5</v>
      </c>
      <c r="BZ149" s="9">
        <v>89396.3</v>
      </c>
      <c r="CA149" s="9">
        <v>3395</v>
      </c>
      <c r="CB149" s="9">
        <v>6323</v>
      </c>
      <c r="CC149" s="9">
        <v>208541.2</v>
      </c>
      <c r="CD149" s="9">
        <v>0</v>
      </c>
      <c r="CE149" s="9">
        <v>37549.300000000003</v>
      </c>
      <c r="CF149" s="9">
        <v>1595684.8301776813</v>
      </c>
      <c r="CG149" s="9">
        <v>6360705.3575873692</v>
      </c>
      <c r="CH149" s="9"/>
      <c r="CI149" s="9"/>
      <c r="CJ149" s="9">
        <v>18.4475181277</v>
      </c>
      <c r="CK149" s="9">
        <v>12.3906593119</v>
      </c>
      <c r="CL149" s="9">
        <v>13.25</v>
      </c>
      <c r="CM149" s="9">
        <v>74.622601649700002</v>
      </c>
      <c r="CN149" s="9">
        <v>24.236446003699999</v>
      </c>
      <c r="CO149" s="9">
        <v>2.1348289732999999</v>
      </c>
      <c r="CP149" s="9">
        <v>12.163314210599999</v>
      </c>
      <c r="CQ149" s="9">
        <v>8.6380310585999993</v>
      </c>
      <c r="CR149" s="9">
        <v>3.2798095256000002</v>
      </c>
      <c r="CS149" s="9">
        <v>2.4066098172000001</v>
      </c>
      <c r="CT149" s="9">
        <v>9.0299209937999994</v>
      </c>
      <c r="CU149" s="9">
        <v>2.7884557894999999</v>
      </c>
      <c r="CV149" s="9">
        <v>1.8661058952</v>
      </c>
      <c r="CW149" s="9">
        <v>3.2941758488000001</v>
      </c>
      <c r="CX149" s="9">
        <v>1.9889461698999999</v>
      </c>
      <c r="CY149" s="9">
        <v>2.7959573635999999</v>
      </c>
      <c r="CZ149" s="9">
        <v>412</v>
      </c>
      <c r="DA149" s="9">
        <v>374</v>
      </c>
      <c r="DB149" s="9">
        <v>6</v>
      </c>
      <c r="DC149" s="9">
        <v>73</v>
      </c>
      <c r="DD149" s="9">
        <v>34</v>
      </c>
      <c r="DE149" s="9">
        <v>9</v>
      </c>
      <c r="DF149" s="9">
        <v>212</v>
      </c>
      <c r="DG149" s="9">
        <v>28</v>
      </c>
      <c r="DH149" s="9">
        <v>32</v>
      </c>
      <c r="DI149" s="9">
        <v>0</v>
      </c>
      <c r="DJ149" s="9">
        <v>1</v>
      </c>
      <c r="DK149" s="9">
        <v>30</v>
      </c>
      <c r="DL149" s="9">
        <v>0</v>
      </c>
      <c r="DM149" s="9">
        <v>7</v>
      </c>
      <c r="DN149" s="9">
        <v>0</v>
      </c>
      <c r="DO149" s="9">
        <v>587.70000000000005</v>
      </c>
      <c r="DP149" s="9">
        <v>120.58</v>
      </c>
      <c r="DQ149" s="9">
        <v>58.16</v>
      </c>
      <c r="DR149" s="9">
        <v>62.42</v>
      </c>
      <c r="DS149" s="9">
        <v>34.89</v>
      </c>
      <c r="DT149" s="9">
        <v>1.59</v>
      </c>
      <c r="DU149" s="9">
        <v>323.64</v>
      </c>
      <c r="DV149" s="9">
        <v>216.07</v>
      </c>
      <c r="DW149" s="9">
        <v>68.739999999999995</v>
      </c>
      <c r="DX149" s="9">
        <v>107.9</v>
      </c>
      <c r="DY149" s="9">
        <v>80.05</v>
      </c>
      <c r="DZ149" s="9">
        <v>14</v>
      </c>
      <c r="EA149" s="9">
        <v>-424.90699999999998</v>
      </c>
      <c r="EB149" s="9">
        <v>-263.726</v>
      </c>
      <c r="EC149" s="9">
        <v>-104.35299999999999</v>
      </c>
      <c r="ED149" s="9">
        <v>-75.614800000000002</v>
      </c>
      <c r="EE149" s="9">
        <v>18.787680000000002</v>
      </c>
      <c r="EF149" s="9">
        <v>9.8472340000000003</v>
      </c>
      <c r="EG149" s="9">
        <v>-346.63400000000001</v>
      </c>
      <c r="EH149" s="9">
        <v>-447.03800000000001</v>
      </c>
      <c r="EI149" s="9">
        <v>0.25143900000000002</v>
      </c>
      <c r="EJ149" s="9">
        <v>0</v>
      </c>
      <c r="EK149" s="9">
        <v>100.15300000000001</v>
      </c>
      <c r="EL149" s="9">
        <v>110.038</v>
      </c>
      <c r="EM149" s="9">
        <v>41.612470000000002</v>
      </c>
      <c r="EN149" s="9">
        <v>2922.7</v>
      </c>
      <c r="EO149" s="9"/>
      <c r="EP149" s="9"/>
      <c r="EQ149" s="9"/>
      <c r="ER149" s="9"/>
      <c r="ES149" s="9"/>
      <c r="ET149" s="9"/>
      <c r="EU149">
        <v>1313.13</v>
      </c>
      <c r="EV149" s="9"/>
      <c r="EW149" s="9"/>
      <c r="EX149" s="9"/>
      <c r="EY149" s="9"/>
      <c r="EZ149" s="9"/>
      <c r="FA149" s="9"/>
      <c r="FB149" s="9">
        <v>110.3537593985</v>
      </c>
      <c r="FC149" s="9">
        <v>120.59095238099999</v>
      </c>
      <c r="FD149" s="9">
        <v>8285.5263157895006</v>
      </c>
      <c r="FE149" s="9">
        <v>147.6473684211</v>
      </c>
      <c r="FF149" s="9">
        <v>1650.0657894737001</v>
      </c>
      <c r="FG149" s="9">
        <v>5895950.1900000004</v>
      </c>
      <c r="FH149" s="9">
        <v>70273.279999999999</v>
      </c>
      <c r="FI149" s="9">
        <v>314037.53999999998</v>
      </c>
      <c r="FJ149" s="9">
        <v>2565984.27</v>
      </c>
      <c r="FK149" s="9">
        <v>30791.99</v>
      </c>
      <c r="FL149" s="9">
        <v>45012.82</v>
      </c>
      <c r="FM149" s="9"/>
      <c r="FN149" s="9"/>
      <c r="FO149" s="9"/>
      <c r="FP149" s="9"/>
      <c r="FQ149" s="9"/>
      <c r="FR149" s="9"/>
      <c r="FS149" s="9"/>
      <c r="FT149" s="9">
        <v>3329913.31</v>
      </c>
      <c r="FU149" s="9">
        <v>39481.29</v>
      </c>
      <c r="FV149" s="9">
        <v>268972.11</v>
      </c>
      <c r="FW149" s="9"/>
      <c r="FX149" s="9"/>
      <c r="FY149" s="9"/>
      <c r="FZ149" s="9">
        <v>28453.99</v>
      </c>
      <c r="GA149" s="9">
        <v>5718555.3600000003</v>
      </c>
      <c r="GB149" s="9">
        <v>1867134.7</v>
      </c>
      <c r="GC149" s="9">
        <v>3851420.66</v>
      </c>
      <c r="GD149" s="9">
        <v>3729194.46</v>
      </c>
      <c r="GE149" s="9">
        <v>346059.16</v>
      </c>
      <c r="GF149" s="9">
        <v>3383135.3</v>
      </c>
      <c r="GG149" s="9">
        <v>1989360.9</v>
      </c>
      <c r="GH149" s="9">
        <v>1521075.54</v>
      </c>
      <c r="GI149" s="9">
        <v>468285.36</v>
      </c>
      <c r="GJ149" s="9">
        <v>1112650.56</v>
      </c>
      <c r="GK149" s="9">
        <v>9401897.7200000007</v>
      </c>
      <c r="GL149" s="9">
        <v>764305.05</v>
      </c>
      <c r="GM149">
        <v>1316.11</v>
      </c>
      <c r="GO149" s="6"/>
      <c r="GP149" s="6"/>
      <c r="GQ149" s="6"/>
    </row>
    <row r="150" spans="1:199" x14ac:dyDescent="0.2">
      <c r="A150" s="8">
        <v>2012</v>
      </c>
      <c r="B150" s="8" t="s">
        <v>395</v>
      </c>
      <c r="C150" s="8" t="s">
        <v>397</v>
      </c>
      <c r="D150" s="9"/>
      <c r="E150" s="9"/>
      <c r="F150" s="9"/>
      <c r="G150" s="9"/>
      <c r="H150" s="9"/>
      <c r="I150" s="9"/>
      <c r="J150" s="9"/>
      <c r="K150" s="9"/>
      <c r="L150" s="9"/>
      <c r="M150" s="9"/>
      <c r="N150" s="9"/>
      <c r="O150" s="9"/>
      <c r="P150" s="9"/>
      <c r="Q150" s="9"/>
      <c r="R150" s="9"/>
      <c r="S150" s="9"/>
      <c r="T150" s="9"/>
      <c r="U150" s="9"/>
      <c r="V150" s="9"/>
      <c r="W150" s="9"/>
      <c r="X150" s="9"/>
      <c r="Y150" s="9"/>
      <c r="Z150" s="9"/>
      <c r="AA150" s="9"/>
      <c r="AB150" s="9"/>
      <c r="AC150" s="9"/>
      <c r="AD150" s="9"/>
      <c r="AE150" s="9"/>
      <c r="AF150" s="9"/>
      <c r="AG150" s="9"/>
      <c r="AH150" s="9"/>
      <c r="AI150" s="9"/>
      <c r="AJ150" s="9"/>
      <c r="AK150" s="9"/>
      <c r="AL150" s="9"/>
      <c r="AM150" s="9"/>
      <c r="AN150" s="9"/>
      <c r="AO150" s="9"/>
      <c r="AP150" s="9"/>
      <c r="AQ150" s="9"/>
      <c r="AR150" s="9"/>
      <c r="AS150" s="9"/>
      <c r="AT150" s="9"/>
      <c r="AU150" s="9"/>
      <c r="AV150" s="9"/>
      <c r="AW150" s="9"/>
      <c r="AX150" s="9"/>
      <c r="AY150" s="9"/>
      <c r="AZ150" s="9"/>
      <c r="BA150" s="9"/>
      <c r="BB150" s="9"/>
      <c r="BC150" s="9"/>
      <c r="BD150" s="9"/>
      <c r="BE150" s="9"/>
      <c r="BF150" s="9"/>
      <c r="BG150" s="9"/>
      <c r="BH150" s="9"/>
      <c r="BI150" s="9"/>
      <c r="BJ150" s="9"/>
      <c r="BK150" s="9"/>
      <c r="BL150" s="9"/>
      <c r="BM150" s="9"/>
      <c r="BN150" s="9">
        <v>370977</v>
      </c>
      <c r="BO150" s="9">
        <v>328709.7</v>
      </c>
      <c r="BP150" s="9">
        <v>35560.9</v>
      </c>
      <c r="BQ150" s="9">
        <v>10768.9</v>
      </c>
      <c r="BR150" s="9">
        <v>24792</v>
      </c>
      <c r="BS150" s="9">
        <v>57333.8</v>
      </c>
      <c r="BT150" s="9">
        <v>105765</v>
      </c>
      <c r="BU150" s="9">
        <v>15835.2</v>
      </c>
      <c r="BV150" s="9">
        <v>24608.6</v>
      </c>
      <c r="BW150" s="9">
        <v>550380.6</v>
      </c>
      <c r="BX150" s="9">
        <v>11996.1</v>
      </c>
      <c r="BY150" s="9">
        <v>80562.899999999994</v>
      </c>
      <c r="BZ150" s="9">
        <v>106624.4</v>
      </c>
      <c r="CA150" s="9">
        <v>12634.4</v>
      </c>
      <c r="CB150" s="9">
        <v>9126.7999999999993</v>
      </c>
      <c r="CC150" s="9">
        <v>341432.2</v>
      </c>
      <c r="CD150" s="9">
        <v>0</v>
      </c>
      <c r="CE150" s="9">
        <v>148355.70000000001</v>
      </c>
      <c r="CF150" s="9">
        <v>1741236.817446711</v>
      </c>
      <c r="CG150" s="9">
        <v>6727359.7347476352</v>
      </c>
      <c r="CH150" s="9"/>
      <c r="CI150" s="9"/>
      <c r="CJ150" s="9">
        <v>18.5605582096</v>
      </c>
      <c r="CK150" s="9">
        <v>12.9407915637</v>
      </c>
      <c r="CL150" s="9">
        <v>13.25</v>
      </c>
      <c r="CM150" s="9">
        <v>75.340242111799995</v>
      </c>
      <c r="CN150" s="9">
        <v>24.546458274700001</v>
      </c>
      <c r="CO150" s="9">
        <v>2.1429635274000001</v>
      </c>
      <c r="CP150" s="9">
        <v>12.260837199399999</v>
      </c>
      <c r="CQ150" s="9">
        <v>8.8482187807999999</v>
      </c>
      <c r="CR150" s="9">
        <v>3.2860154795000001</v>
      </c>
      <c r="CS150" s="9">
        <v>2.4118974874000001</v>
      </c>
      <c r="CT150" s="9">
        <v>9.0521174484000007</v>
      </c>
      <c r="CU150" s="9">
        <v>2.7783390297000001</v>
      </c>
      <c r="CV150" s="9">
        <v>1.8627400456000001</v>
      </c>
      <c r="CW150" s="9">
        <v>3.2941758488000001</v>
      </c>
      <c r="CX150" s="9">
        <v>2.0427933262</v>
      </c>
      <c r="CY150" s="9">
        <v>2.8136856639999999</v>
      </c>
      <c r="CZ150" s="9">
        <v>486</v>
      </c>
      <c r="DA150" s="9">
        <v>436</v>
      </c>
      <c r="DB150" s="9">
        <v>13</v>
      </c>
      <c r="DC150" s="9">
        <v>77</v>
      </c>
      <c r="DD150" s="9">
        <v>30</v>
      </c>
      <c r="DE150" s="9">
        <v>9</v>
      </c>
      <c r="DF150" s="9">
        <v>265</v>
      </c>
      <c r="DG150" s="9">
        <v>29</v>
      </c>
      <c r="DH150" s="9">
        <v>45</v>
      </c>
      <c r="DI150" s="9">
        <v>0</v>
      </c>
      <c r="DJ150" s="9">
        <v>1</v>
      </c>
      <c r="DK150" s="9">
        <v>41</v>
      </c>
      <c r="DL150" s="9">
        <v>0</v>
      </c>
      <c r="DM150" s="9">
        <v>5</v>
      </c>
      <c r="DN150" s="9">
        <v>0</v>
      </c>
      <c r="DO150" s="9">
        <v>656.08</v>
      </c>
      <c r="DP150" s="9">
        <v>137.46</v>
      </c>
      <c r="DQ150" s="9">
        <v>64.599999999999994</v>
      </c>
      <c r="DR150" s="9">
        <v>72.849999999999994</v>
      </c>
      <c r="DS150" s="9">
        <v>48.76</v>
      </c>
      <c r="DT150" s="9">
        <v>1.4</v>
      </c>
      <c r="DU150" s="9">
        <v>368.58</v>
      </c>
      <c r="DV150" s="9">
        <v>242.22</v>
      </c>
      <c r="DW150" s="9">
        <v>92.28</v>
      </c>
      <c r="DX150" s="9">
        <v>100.93</v>
      </c>
      <c r="DY150" s="9">
        <v>67.87</v>
      </c>
      <c r="DZ150" s="9">
        <v>14.18</v>
      </c>
      <c r="EA150" s="9">
        <v>-570.01300000000003</v>
      </c>
      <c r="EB150" s="9">
        <v>-335.41500000000002</v>
      </c>
      <c r="EC150" s="9">
        <v>-173.75899999999999</v>
      </c>
      <c r="ED150" s="9">
        <v>-89.037199999999999</v>
      </c>
      <c r="EE150" s="9">
        <v>28.198309999999999</v>
      </c>
      <c r="EF150" s="9">
        <v>8.6662599999999994</v>
      </c>
      <c r="EG150" s="9">
        <v>-281.47800000000001</v>
      </c>
      <c r="EH150" s="9">
        <v>-462.32799999999997</v>
      </c>
      <c r="EI150" s="9">
        <v>2.1289560000000001</v>
      </c>
      <c r="EJ150" s="9">
        <v>0</v>
      </c>
      <c r="EK150" s="9">
        <v>178.7209</v>
      </c>
      <c r="EL150" s="9">
        <v>178.28809999999999</v>
      </c>
      <c r="EM150" s="9">
        <v>-101.581</v>
      </c>
      <c r="EN150" s="9">
        <v>2874.7</v>
      </c>
      <c r="EO150" s="9"/>
      <c r="EP150" s="9"/>
      <c r="EQ150" s="9"/>
      <c r="ER150" s="9"/>
      <c r="ES150" s="9"/>
      <c r="ET150" s="9"/>
      <c r="EU150">
        <v>1318.03</v>
      </c>
      <c r="EV150" s="9"/>
      <c r="EW150" s="9"/>
      <c r="EX150" s="9"/>
      <c r="EY150" s="9"/>
      <c r="EZ150" s="9"/>
      <c r="FA150" s="9"/>
      <c r="FB150" s="9">
        <v>103.8194805195</v>
      </c>
      <c r="FC150" s="9">
        <v>110.52173913039999</v>
      </c>
      <c r="FD150" s="9">
        <v>7896.9090909091001</v>
      </c>
      <c r="FE150" s="9">
        <v>136.2727272727</v>
      </c>
      <c r="FF150" s="9">
        <v>1585.5045454545</v>
      </c>
      <c r="FG150" s="9">
        <v>6069029.4500000002</v>
      </c>
      <c r="FH150" s="9">
        <v>58978.85</v>
      </c>
      <c r="FI150" s="9">
        <v>313266.71999999997</v>
      </c>
      <c r="FJ150" s="9">
        <v>2652228.63</v>
      </c>
      <c r="FK150" s="9">
        <v>28325.29</v>
      </c>
      <c r="FL150" s="9">
        <v>45853.24</v>
      </c>
      <c r="FM150" s="9"/>
      <c r="FN150" s="9"/>
      <c r="FO150" s="9"/>
      <c r="FP150" s="9"/>
      <c r="FQ150" s="9"/>
      <c r="FR150" s="9"/>
      <c r="FS150" s="9"/>
      <c r="FT150" s="9">
        <v>3416759.37</v>
      </c>
      <c r="FU150" s="9">
        <v>30653.56</v>
      </c>
      <c r="FV150" s="9">
        <v>267372.05</v>
      </c>
      <c r="FW150" s="9"/>
      <c r="FX150" s="9"/>
      <c r="FY150" s="9"/>
      <c r="FZ150" s="9">
        <v>28858.95</v>
      </c>
      <c r="GA150" s="9">
        <v>5970525.5800000001</v>
      </c>
      <c r="GB150" s="9">
        <v>1893235.33</v>
      </c>
      <c r="GC150" s="9">
        <v>4077290.25</v>
      </c>
      <c r="GD150" s="9">
        <v>3839466.14</v>
      </c>
      <c r="GE150" s="9">
        <v>420239.45</v>
      </c>
      <c r="GF150" s="9">
        <v>3419226.69</v>
      </c>
      <c r="GG150" s="9">
        <v>2131059.44</v>
      </c>
      <c r="GH150" s="9">
        <v>1472995.88</v>
      </c>
      <c r="GI150" s="9">
        <v>658063.56000000006</v>
      </c>
      <c r="GJ150" s="9">
        <v>1160080.53</v>
      </c>
      <c r="GK150" s="9">
        <v>9723730.8200000003</v>
      </c>
      <c r="GL150" s="9">
        <v>785990.24</v>
      </c>
      <c r="GM150">
        <v>1316</v>
      </c>
      <c r="GO150" s="6"/>
      <c r="GP150" s="6"/>
      <c r="GQ150" s="6"/>
    </row>
    <row r="151" spans="1:199" x14ac:dyDescent="0.2">
      <c r="A151" s="8">
        <v>2012</v>
      </c>
      <c r="B151" s="8" t="s">
        <v>395</v>
      </c>
      <c r="C151" s="8" t="s">
        <v>398</v>
      </c>
      <c r="D151" s="9">
        <v>4543685.33</v>
      </c>
      <c r="E151" s="9">
        <v>765097.08</v>
      </c>
      <c r="F151" s="9">
        <v>749823.31</v>
      </c>
      <c r="G151" s="9">
        <v>333025.07</v>
      </c>
      <c r="H151" s="9">
        <v>70196.13</v>
      </c>
      <c r="I151" s="9">
        <v>139375.67999999999</v>
      </c>
      <c r="J151" s="9">
        <v>467461.15</v>
      </c>
      <c r="K151" s="9">
        <v>248103.81</v>
      </c>
      <c r="L151" s="9">
        <v>96500.78</v>
      </c>
      <c r="M151" s="9">
        <v>1109493.8600000001</v>
      </c>
      <c r="N151" s="9">
        <v>564608.43999999994</v>
      </c>
      <c r="O151" s="9">
        <v>5054737.5625074757</v>
      </c>
      <c r="P151" s="9">
        <v>866581.54695382016</v>
      </c>
      <c r="Q151" s="9">
        <v>696192.27010054223</v>
      </c>
      <c r="R151" s="9">
        <v>359766.60288396379</v>
      </c>
      <c r="S151" s="9">
        <v>107169.08663577661</v>
      </c>
      <c r="T151" s="9">
        <v>146673.25099888461</v>
      </c>
      <c r="U151" s="9">
        <v>539479.8366310175</v>
      </c>
      <c r="V151" s="9">
        <v>277785.78771283111</v>
      </c>
      <c r="W151" s="9">
        <v>102352.8490296032</v>
      </c>
      <c r="X151" s="9">
        <v>1244214.624574801</v>
      </c>
      <c r="Y151" s="9">
        <v>714521.70698623417</v>
      </c>
      <c r="Z151" s="9">
        <v>4595194.9000000004</v>
      </c>
      <c r="AA151" s="9">
        <v>2287804.7999999998</v>
      </c>
      <c r="AB151" s="9">
        <v>583777.19999999995</v>
      </c>
      <c r="AC151" s="9">
        <v>2053876.5</v>
      </c>
      <c r="AD151" s="9">
        <v>464459.1</v>
      </c>
      <c r="AE151" s="9">
        <v>2107773.9</v>
      </c>
      <c r="AF151" s="9">
        <v>2902496.6</v>
      </c>
      <c r="AG151" s="9">
        <v>5098513.046747718</v>
      </c>
      <c r="AH151" s="9">
        <v>2630558.8542978158</v>
      </c>
      <c r="AI151" s="9">
        <v>677367.69497185503</v>
      </c>
      <c r="AJ151" s="9">
        <v>2152348.8139064661</v>
      </c>
      <c r="AK151" s="9">
        <v>592038.30427225004</v>
      </c>
      <c r="AL151" s="9">
        <v>1614145.341872737</v>
      </c>
      <c r="AM151" s="9">
        <v>2567945.9625734049</v>
      </c>
      <c r="AN151" s="9">
        <v>1058363</v>
      </c>
      <c r="AO151" s="9">
        <v>547568</v>
      </c>
      <c r="AP151" s="9">
        <v>510795</v>
      </c>
      <c r="AQ151" s="9">
        <v>96920</v>
      </c>
      <c r="AR151" s="9">
        <v>50817</v>
      </c>
      <c r="AS151" s="9">
        <v>46103</v>
      </c>
      <c r="AT151" s="9">
        <v>662254</v>
      </c>
      <c r="AU151" s="9">
        <v>273228</v>
      </c>
      <c r="AV151" s="9">
        <v>389026</v>
      </c>
      <c r="AW151" s="9">
        <v>571.1</v>
      </c>
      <c r="AX151" s="9">
        <v>228.7</v>
      </c>
      <c r="AY151" s="9">
        <v>887.2</v>
      </c>
      <c r="AZ151" s="9">
        <v>493.4</v>
      </c>
      <c r="BA151" s="9">
        <v>550.20000000000005</v>
      </c>
      <c r="BB151" s="9"/>
      <c r="BC151" s="9">
        <v>488.4</v>
      </c>
      <c r="BD151" s="9">
        <v>352.1</v>
      </c>
      <c r="BE151" s="9">
        <v>522.9</v>
      </c>
      <c r="BF151" s="9">
        <v>340.2</v>
      </c>
      <c r="BG151" s="9"/>
      <c r="BH151" s="9">
        <v>977.5</v>
      </c>
      <c r="BI151" s="9">
        <v>508.9</v>
      </c>
      <c r="BJ151" s="9">
        <v>624.9</v>
      </c>
      <c r="BK151" s="9">
        <v>565.5</v>
      </c>
      <c r="BL151" s="9"/>
      <c r="BM151" s="9">
        <v>445.3</v>
      </c>
      <c r="BN151" s="9">
        <v>535323</v>
      </c>
      <c r="BO151" s="9">
        <v>477055</v>
      </c>
      <c r="BP151" s="9">
        <v>54110.6</v>
      </c>
      <c r="BQ151" s="9">
        <v>25775.5</v>
      </c>
      <c r="BR151" s="9">
        <v>28335.200000000001</v>
      </c>
      <c r="BS151" s="9">
        <v>67634.8</v>
      </c>
      <c r="BT151" s="9">
        <v>103252.7</v>
      </c>
      <c r="BU151" s="9">
        <v>25177</v>
      </c>
      <c r="BV151" s="9">
        <v>56638.3</v>
      </c>
      <c r="BW151" s="9">
        <v>500199.3</v>
      </c>
      <c r="BX151" s="9">
        <v>2683.8</v>
      </c>
      <c r="BY151" s="9">
        <v>78038</v>
      </c>
      <c r="BZ151" s="9">
        <v>132965</v>
      </c>
      <c r="CA151" s="9">
        <v>18355.7</v>
      </c>
      <c r="CB151" s="9">
        <v>7493.5</v>
      </c>
      <c r="CC151" s="9">
        <v>263346.90000000002</v>
      </c>
      <c r="CD151" s="9">
        <v>0</v>
      </c>
      <c r="CE151" s="9">
        <v>202708.1</v>
      </c>
      <c r="CF151" s="9">
        <v>1797054.5797628013</v>
      </c>
      <c r="CG151" s="9">
        <v>7048915.5455523096</v>
      </c>
      <c r="CH151" s="9"/>
      <c r="CI151" s="9"/>
      <c r="CJ151" s="9">
        <v>17.931837766000001</v>
      </c>
      <c r="CK151" s="9">
        <v>12.9350435154</v>
      </c>
      <c r="CL151" s="9">
        <v>13.25</v>
      </c>
      <c r="CM151" s="9">
        <v>75.709236516600001</v>
      </c>
      <c r="CN151" s="9">
        <v>24.680804613999999</v>
      </c>
      <c r="CO151" s="9">
        <v>2.1500877991</v>
      </c>
      <c r="CP151" s="9">
        <v>12.331988235800001</v>
      </c>
      <c r="CQ151" s="9">
        <v>8.9629476686</v>
      </c>
      <c r="CR151" s="9">
        <v>3.3090373283000001</v>
      </c>
      <c r="CS151" s="9">
        <v>2.4160820282</v>
      </c>
      <c r="CT151" s="9">
        <v>9.0554050514999993</v>
      </c>
      <c r="CU151" s="9">
        <v>2.7742919953</v>
      </c>
      <c r="CV151" s="9">
        <v>1.8525591023000001</v>
      </c>
      <c r="CW151" s="9">
        <v>3.2941758488000001</v>
      </c>
      <c r="CX151" s="9">
        <v>2.0560488178999998</v>
      </c>
      <c r="CY151" s="9">
        <v>2.8258080266999999</v>
      </c>
      <c r="CZ151" s="9">
        <v>484</v>
      </c>
      <c r="DA151" s="9">
        <v>439</v>
      </c>
      <c r="DB151" s="9">
        <v>7</v>
      </c>
      <c r="DC151" s="9">
        <v>75</v>
      </c>
      <c r="DD151" s="9">
        <v>75</v>
      </c>
      <c r="DE151" s="9">
        <v>8</v>
      </c>
      <c r="DF151" s="9">
        <v>241</v>
      </c>
      <c r="DG151" s="9">
        <v>19</v>
      </c>
      <c r="DH151" s="9">
        <v>36</v>
      </c>
      <c r="DI151" s="9">
        <v>0</v>
      </c>
      <c r="DJ151" s="9">
        <v>1</v>
      </c>
      <c r="DK151" s="9">
        <v>34</v>
      </c>
      <c r="DL151" s="9">
        <v>0</v>
      </c>
      <c r="DM151" s="9">
        <v>8</v>
      </c>
      <c r="DN151" s="9">
        <v>0</v>
      </c>
      <c r="DO151" s="9">
        <v>582.47</v>
      </c>
      <c r="DP151" s="9">
        <v>138.94999999999999</v>
      </c>
      <c r="DQ151" s="9">
        <v>64.98</v>
      </c>
      <c r="DR151" s="9">
        <v>73.97</v>
      </c>
      <c r="DS151" s="9">
        <v>44.21</v>
      </c>
      <c r="DT151" s="9">
        <v>2.5</v>
      </c>
      <c r="DU151" s="9">
        <v>318.24</v>
      </c>
      <c r="DV151" s="9">
        <v>198.5</v>
      </c>
      <c r="DW151" s="9">
        <v>86.9</v>
      </c>
      <c r="DX151" s="9">
        <v>73.56</v>
      </c>
      <c r="DY151" s="9">
        <v>48.02</v>
      </c>
      <c r="DZ151" s="9">
        <v>12.45</v>
      </c>
      <c r="EA151" s="9">
        <v>-278.14299999999997</v>
      </c>
      <c r="EB151" s="9">
        <v>-120.583</v>
      </c>
      <c r="EC151" s="9">
        <v>-97.874600000000001</v>
      </c>
      <c r="ED151" s="9">
        <v>-96.1203</v>
      </c>
      <c r="EE151" s="9">
        <v>36.434980000000003</v>
      </c>
      <c r="EF151" s="9">
        <v>12.14138</v>
      </c>
      <c r="EG151" s="9">
        <v>-513.28200000000004</v>
      </c>
      <c r="EH151" s="9">
        <v>-438.17899999999997</v>
      </c>
      <c r="EI151" s="9">
        <v>-3.8789699999999998</v>
      </c>
      <c r="EJ151" s="9">
        <v>0</v>
      </c>
      <c r="EK151" s="9">
        <v>-71.224699999999999</v>
      </c>
      <c r="EL151" s="9">
        <v>-200.673</v>
      </c>
      <c r="EM151" s="9">
        <v>46.607430000000001</v>
      </c>
      <c r="EN151" s="9">
        <v>2908.2</v>
      </c>
      <c r="EO151" s="9"/>
      <c r="EP151" s="9"/>
      <c r="EQ151" s="9"/>
      <c r="ER151" s="9"/>
      <c r="ES151" s="9"/>
      <c r="ET151" s="9"/>
      <c r="EU151">
        <v>1328.01</v>
      </c>
      <c r="EV151" s="9">
        <v>13160.64</v>
      </c>
      <c r="EW151" s="9">
        <v>2010.08</v>
      </c>
      <c r="EX151" s="9">
        <v>264.45999999999998</v>
      </c>
      <c r="EY151" s="9">
        <v>779.21</v>
      </c>
      <c r="EZ151" s="9">
        <v>2690.77</v>
      </c>
      <c r="FA151" s="9">
        <v>7416.12</v>
      </c>
      <c r="FB151" s="9">
        <v>92.754699248099996</v>
      </c>
      <c r="FC151" s="9">
        <v>95.589047618999999</v>
      </c>
      <c r="FD151" s="9">
        <v>7428.2894736841999</v>
      </c>
      <c r="FE151" s="9">
        <v>134.62105263160001</v>
      </c>
      <c r="FF151" s="9">
        <v>1596.697368421</v>
      </c>
      <c r="FG151" s="9">
        <v>6266024.6099999994</v>
      </c>
      <c r="FH151" s="9">
        <v>50710.41</v>
      </c>
      <c r="FI151" s="9">
        <v>305449.77</v>
      </c>
      <c r="FJ151" s="9">
        <v>2730909.69</v>
      </c>
      <c r="FK151" s="9">
        <v>17184.21</v>
      </c>
      <c r="FL151" s="9">
        <v>48428.99</v>
      </c>
      <c r="FM151" s="9"/>
      <c r="FN151" s="9"/>
      <c r="FO151" s="9"/>
      <c r="FP151" s="9"/>
      <c r="FQ151" s="9"/>
      <c r="FR151" s="9"/>
      <c r="FS151" s="9"/>
      <c r="FT151" s="9">
        <v>3535083.55</v>
      </c>
      <c r="FU151" s="9">
        <v>33526.19</v>
      </c>
      <c r="FV151" s="9">
        <v>256989.43</v>
      </c>
      <c r="FW151" s="9"/>
      <c r="FX151" s="9"/>
      <c r="FY151" s="9"/>
      <c r="FZ151" s="9">
        <v>29080.880000000001</v>
      </c>
      <c r="GA151" s="9">
        <v>6186294.540000001</v>
      </c>
      <c r="GB151" s="9">
        <v>2001408.94</v>
      </c>
      <c r="GC151" s="9">
        <v>4184885.600000001</v>
      </c>
      <c r="GD151" s="9">
        <v>4029597.35</v>
      </c>
      <c r="GE151" s="9">
        <v>484005.78</v>
      </c>
      <c r="GF151" s="9">
        <v>3545591.57</v>
      </c>
      <c r="GG151" s="9">
        <v>2156697.19</v>
      </c>
      <c r="GH151" s="9">
        <v>1517403.16</v>
      </c>
      <c r="GI151" s="9">
        <v>639294.03</v>
      </c>
      <c r="GJ151" s="9">
        <v>1195312.45</v>
      </c>
      <c r="GK151" s="9">
        <v>10348905.720000001</v>
      </c>
      <c r="GL151" s="9">
        <v>851031.81</v>
      </c>
      <c r="GM151">
        <v>1342.23</v>
      </c>
      <c r="GO151" s="6"/>
      <c r="GP151" s="6"/>
      <c r="GQ151" s="6"/>
    </row>
    <row r="152" spans="1:199" x14ac:dyDescent="0.2">
      <c r="A152" s="8">
        <v>2012</v>
      </c>
      <c r="B152" s="8" t="s">
        <v>399</v>
      </c>
      <c r="C152" s="8" t="s">
        <v>400</v>
      </c>
      <c r="D152" s="9"/>
      <c r="E152" s="9"/>
      <c r="F152" s="9"/>
      <c r="G152" s="9"/>
      <c r="H152" s="9"/>
      <c r="I152" s="9"/>
      <c r="J152" s="9"/>
      <c r="K152" s="9"/>
      <c r="L152" s="9"/>
      <c r="M152" s="9"/>
      <c r="N152" s="9"/>
      <c r="O152" s="9"/>
      <c r="P152" s="9"/>
      <c r="Q152" s="9"/>
      <c r="R152" s="9"/>
      <c r="S152" s="9"/>
      <c r="T152" s="9"/>
      <c r="U152" s="9"/>
      <c r="V152" s="9"/>
      <c r="W152" s="9"/>
      <c r="X152" s="9"/>
      <c r="Y152" s="9"/>
      <c r="Z152" s="9"/>
      <c r="AA152" s="9"/>
      <c r="AB152" s="9"/>
      <c r="AC152" s="9"/>
      <c r="AD152" s="9"/>
      <c r="AE152" s="9"/>
      <c r="AF152" s="9"/>
      <c r="AG152" s="9"/>
      <c r="AH152" s="9"/>
      <c r="AI152" s="9"/>
      <c r="AJ152" s="9"/>
      <c r="AK152" s="9"/>
      <c r="AL152" s="9"/>
      <c r="AM152" s="9"/>
      <c r="AN152" s="9"/>
      <c r="AO152" s="9"/>
      <c r="AP152" s="9"/>
      <c r="AQ152" s="9"/>
      <c r="AR152" s="9"/>
      <c r="AS152" s="9"/>
      <c r="AT152" s="9"/>
      <c r="AU152" s="9"/>
      <c r="AV152" s="9"/>
      <c r="AW152" s="9"/>
      <c r="AX152" s="9"/>
      <c r="AY152" s="9"/>
      <c r="AZ152" s="9"/>
      <c r="BA152" s="9"/>
      <c r="BB152" s="9"/>
      <c r="BC152" s="9"/>
      <c r="BD152" s="9"/>
      <c r="BE152" s="9"/>
      <c r="BF152" s="9"/>
      <c r="BG152" s="9"/>
      <c r="BH152" s="9"/>
      <c r="BI152" s="9"/>
      <c r="BJ152" s="9"/>
      <c r="BK152" s="9"/>
      <c r="BL152" s="9"/>
      <c r="BM152" s="9"/>
      <c r="BN152" s="9">
        <v>389272.7</v>
      </c>
      <c r="BO152" s="9">
        <v>342968.6</v>
      </c>
      <c r="BP152" s="9">
        <v>92496.5</v>
      </c>
      <c r="BQ152" s="9">
        <v>65692.7</v>
      </c>
      <c r="BR152" s="9">
        <v>26758.6</v>
      </c>
      <c r="BS152" s="9">
        <v>49520.3</v>
      </c>
      <c r="BT152" s="9">
        <v>113766.5</v>
      </c>
      <c r="BU152" s="9">
        <v>26868</v>
      </c>
      <c r="BV152" s="9">
        <v>44687.5</v>
      </c>
      <c r="BW152" s="9">
        <v>304352</v>
      </c>
      <c r="BX152" s="9">
        <v>-5681.6</v>
      </c>
      <c r="BY152" s="9">
        <v>66329.600000000006</v>
      </c>
      <c r="BZ152" s="9">
        <v>127756.5</v>
      </c>
      <c r="CA152" s="9">
        <v>-4712</v>
      </c>
      <c r="CB152" s="9">
        <v>5743.9</v>
      </c>
      <c r="CC152" s="9">
        <v>109234.1</v>
      </c>
      <c r="CD152" s="9">
        <v>0</v>
      </c>
      <c r="CE152" s="9">
        <v>115388.5</v>
      </c>
      <c r="CF152" s="9">
        <v>1660242.272725279</v>
      </c>
      <c r="CG152" s="9">
        <v>6951218.8895690246</v>
      </c>
      <c r="CH152" s="9"/>
      <c r="CI152" s="9"/>
      <c r="CJ152" s="9">
        <v>18.2832314377</v>
      </c>
      <c r="CK152" s="9">
        <v>12.934974996499999</v>
      </c>
      <c r="CL152" s="9">
        <v>13.25</v>
      </c>
      <c r="CM152" s="9">
        <v>76.148584941899998</v>
      </c>
      <c r="CN152" s="9">
        <v>25.002102355400002</v>
      </c>
      <c r="CO152" s="9">
        <v>2.1622983976999999</v>
      </c>
      <c r="CP152" s="9">
        <v>12.4008437251</v>
      </c>
      <c r="CQ152" s="9">
        <v>8.9253543318999995</v>
      </c>
      <c r="CR152" s="9">
        <v>3.3358413543999998</v>
      </c>
      <c r="CS152" s="9">
        <v>2.4287788449000001</v>
      </c>
      <c r="CT152" s="9">
        <v>9.0716716801999997</v>
      </c>
      <c r="CU152" s="9">
        <v>2.7716782652999998</v>
      </c>
      <c r="CV152" s="9">
        <v>1.8490001228999999</v>
      </c>
      <c r="CW152" s="9">
        <v>3.2941758488000001</v>
      </c>
      <c r="CX152" s="9">
        <v>2.0714140936000001</v>
      </c>
      <c r="CY152" s="9">
        <v>2.8354259218000002</v>
      </c>
      <c r="CZ152" s="9">
        <v>285</v>
      </c>
      <c r="DA152" s="9">
        <v>240</v>
      </c>
      <c r="DB152" s="9">
        <v>6</v>
      </c>
      <c r="DC152" s="9">
        <v>63</v>
      </c>
      <c r="DD152" s="9">
        <v>45</v>
      </c>
      <c r="DE152" s="9">
        <v>7</v>
      </c>
      <c r="DF152" s="9">
        <v>82</v>
      </c>
      <c r="DG152" s="9">
        <v>24</v>
      </c>
      <c r="DH152" s="9">
        <v>34</v>
      </c>
      <c r="DI152" s="9">
        <v>0</v>
      </c>
      <c r="DJ152" s="9">
        <v>1</v>
      </c>
      <c r="DK152" s="9">
        <v>31</v>
      </c>
      <c r="DL152" s="9">
        <v>0</v>
      </c>
      <c r="DM152" s="9">
        <v>11</v>
      </c>
      <c r="DN152" s="9">
        <v>0</v>
      </c>
      <c r="DO152" s="9">
        <v>657.69</v>
      </c>
      <c r="DP152" s="9">
        <v>146.01</v>
      </c>
      <c r="DQ152" s="9">
        <v>66.12</v>
      </c>
      <c r="DR152" s="9">
        <v>79.900000000000006</v>
      </c>
      <c r="DS152" s="9">
        <v>43.02</v>
      </c>
      <c r="DT152" s="9">
        <v>0.33</v>
      </c>
      <c r="DU152" s="9">
        <v>301.08</v>
      </c>
      <c r="DV152" s="9">
        <v>193.68</v>
      </c>
      <c r="DW152" s="9">
        <v>82.17</v>
      </c>
      <c r="DX152" s="9">
        <v>167.48</v>
      </c>
      <c r="DY152" s="9">
        <v>91.14</v>
      </c>
      <c r="DZ152" s="9">
        <v>36.53</v>
      </c>
      <c r="EA152" s="9">
        <v>-627.89599999999996</v>
      </c>
      <c r="EB152" s="9">
        <v>-425.351</v>
      </c>
      <c r="EC152" s="9">
        <v>-127.827</v>
      </c>
      <c r="ED152" s="9">
        <v>-92.213200000000001</v>
      </c>
      <c r="EE152" s="9">
        <v>17.496110000000002</v>
      </c>
      <c r="EF152" s="9">
        <v>11.03388</v>
      </c>
      <c r="EG152" s="9">
        <v>-542.78200000000004</v>
      </c>
      <c r="EH152" s="9">
        <v>-518.49</v>
      </c>
      <c r="EI152" s="9">
        <v>-0.30135000000000001</v>
      </c>
      <c r="EJ152" s="9">
        <v>0</v>
      </c>
      <c r="EK152" s="9">
        <v>-23.990100000000002</v>
      </c>
      <c r="EL152" s="9">
        <v>-24.7866</v>
      </c>
      <c r="EM152" s="9">
        <v>-98.866500000000002</v>
      </c>
      <c r="EN152" s="9">
        <v>2800.8</v>
      </c>
      <c r="EO152" s="9"/>
      <c r="EP152" s="9"/>
      <c r="EQ152" s="9"/>
      <c r="ER152" s="9"/>
      <c r="ES152" s="9"/>
      <c r="ET152" s="9"/>
      <c r="EU152">
        <v>1344.04</v>
      </c>
      <c r="EV152" s="9"/>
      <c r="EW152" s="9"/>
      <c r="EX152" s="9"/>
      <c r="EY152" s="9"/>
      <c r="EZ152" s="9"/>
      <c r="FA152" s="9"/>
      <c r="FB152" s="9">
        <v>91.364123376600006</v>
      </c>
      <c r="FC152" s="9">
        <v>103.1409090909</v>
      </c>
      <c r="FD152" s="9">
        <v>7584.2613636364003</v>
      </c>
      <c r="FE152" s="9">
        <v>127.9363636364</v>
      </c>
      <c r="FF152" s="9">
        <v>1593.9090909091001</v>
      </c>
      <c r="FG152" s="9">
        <v>6376348.9499999993</v>
      </c>
      <c r="FH152" s="9">
        <v>84056.16</v>
      </c>
      <c r="FI152" s="9">
        <v>303362.06</v>
      </c>
      <c r="FJ152" s="9">
        <v>2747209.310000001</v>
      </c>
      <c r="FK152" s="9">
        <v>20499.53</v>
      </c>
      <c r="FL152" s="9">
        <v>48699.82</v>
      </c>
      <c r="FM152" s="9"/>
      <c r="FN152" s="9"/>
      <c r="FO152" s="9"/>
      <c r="FP152" s="9"/>
      <c r="FQ152" s="9"/>
      <c r="FR152" s="9"/>
      <c r="FS152" s="9"/>
      <c r="FT152" s="9">
        <v>3628707.97</v>
      </c>
      <c r="FU152" s="9">
        <v>63556.62</v>
      </c>
      <c r="FV152" s="9">
        <v>254230.58</v>
      </c>
      <c r="FW152" s="9"/>
      <c r="FX152" s="9"/>
      <c r="FY152" s="9"/>
      <c r="FZ152" s="9">
        <v>29126.74</v>
      </c>
      <c r="GA152" s="9">
        <v>6162646.2199999997</v>
      </c>
      <c r="GB152" s="9">
        <v>1926522.3</v>
      </c>
      <c r="GC152" s="9">
        <v>4236123.92</v>
      </c>
      <c r="GD152" s="9">
        <v>4022737.92</v>
      </c>
      <c r="GE152" s="9">
        <v>430682.46</v>
      </c>
      <c r="GF152" s="9">
        <v>3592055.46</v>
      </c>
      <c r="GG152" s="9">
        <v>2139908.2999999998</v>
      </c>
      <c r="GH152" s="9">
        <v>1495839.84</v>
      </c>
      <c r="GI152" s="9">
        <v>644068.46000000008</v>
      </c>
      <c r="GJ152" s="9">
        <v>1183514.8799999999</v>
      </c>
      <c r="GK152" s="9">
        <v>10152792.01</v>
      </c>
      <c r="GL152" s="9">
        <v>865402.5</v>
      </c>
      <c r="GM152">
        <v>1349.1</v>
      </c>
      <c r="GO152" s="6"/>
      <c r="GP152" s="6"/>
      <c r="GQ152" s="6"/>
    </row>
    <row r="153" spans="1:199" x14ac:dyDescent="0.2">
      <c r="A153" s="8">
        <v>2012</v>
      </c>
      <c r="B153" s="8" t="s">
        <v>399</v>
      </c>
      <c r="C153" s="8" t="s">
        <v>401</v>
      </c>
      <c r="D153" s="9"/>
      <c r="E153" s="9"/>
      <c r="F153" s="9"/>
      <c r="G153" s="9"/>
      <c r="H153" s="9"/>
      <c r="I153" s="9"/>
      <c r="J153" s="9"/>
      <c r="K153" s="9"/>
      <c r="L153" s="9"/>
      <c r="M153" s="9"/>
      <c r="N153" s="9"/>
      <c r="O153" s="9"/>
      <c r="P153" s="9"/>
      <c r="Q153" s="9"/>
      <c r="R153" s="9"/>
      <c r="S153" s="9"/>
      <c r="T153" s="9"/>
      <c r="U153" s="9"/>
      <c r="V153" s="9"/>
      <c r="W153" s="9"/>
      <c r="X153" s="9"/>
      <c r="Y153" s="9"/>
      <c r="Z153" s="9"/>
      <c r="AA153" s="9"/>
      <c r="AB153" s="9"/>
      <c r="AC153" s="9"/>
      <c r="AD153" s="9"/>
      <c r="AE153" s="9"/>
      <c r="AF153" s="9"/>
      <c r="AG153" s="9"/>
      <c r="AH153" s="9"/>
      <c r="AI153" s="9"/>
      <c r="AJ153" s="9"/>
      <c r="AK153" s="9"/>
      <c r="AL153" s="9"/>
      <c r="AM153" s="9"/>
      <c r="AN153" s="9"/>
      <c r="AO153" s="9"/>
      <c r="AP153" s="9"/>
      <c r="AQ153" s="9"/>
      <c r="AR153" s="9"/>
      <c r="AS153" s="9"/>
      <c r="AT153" s="9"/>
      <c r="AU153" s="9"/>
      <c r="AV153" s="9"/>
      <c r="AW153" s="9"/>
      <c r="AX153" s="9"/>
      <c r="AY153" s="9"/>
      <c r="AZ153" s="9"/>
      <c r="BA153" s="9"/>
      <c r="BB153" s="9"/>
      <c r="BC153" s="9"/>
      <c r="BD153" s="9"/>
      <c r="BE153" s="9"/>
      <c r="BF153" s="9"/>
      <c r="BG153" s="9"/>
      <c r="BH153" s="9"/>
      <c r="BI153" s="9"/>
      <c r="BJ153" s="9"/>
      <c r="BK153" s="9"/>
      <c r="BL153" s="9"/>
      <c r="BM153" s="9"/>
      <c r="BN153" s="9">
        <v>355809.86</v>
      </c>
      <c r="BO153" s="9">
        <v>331178.59999999998</v>
      </c>
      <c r="BP153" s="9">
        <v>53200.1</v>
      </c>
      <c r="BQ153" s="9">
        <v>28883.7</v>
      </c>
      <c r="BR153" s="9">
        <v>24316.400000000001</v>
      </c>
      <c r="BS153" s="9">
        <v>55103</v>
      </c>
      <c r="BT153" s="9">
        <v>122171.3</v>
      </c>
      <c r="BU153" s="9">
        <v>30707.9</v>
      </c>
      <c r="BV153" s="9">
        <v>22859.9192</v>
      </c>
      <c r="BW153" s="9">
        <v>174239.8</v>
      </c>
      <c r="BX153" s="9">
        <v>6168.6</v>
      </c>
      <c r="BY153" s="9">
        <v>35265.1</v>
      </c>
      <c r="BZ153" s="9">
        <v>31957</v>
      </c>
      <c r="CA153" s="9">
        <v>12715.7</v>
      </c>
      <c r="CB153" s="9">
        <v>3049</v>
      </c>
      <c r="CC153" s="9">
        <v>91253.1</v>
      </c>
      <c r="CD153" s="9">
        <v>0</v>
      </c>
      <c r="CE153" s="9">
        <v>58097.9</v>
      </c>
      <c r="CF153" s="9">
        <v>1680966.7230776399</v>
      </c>
      <c r="CG153" s="9">
        <v>6995638.5643490944</v>
      </c>
      <c r="CH153" s="9"/>
      <c r="CI153" s="9"/>
      <c r="CJ153" s="9">
        <v>18.2861270533</v>
      </c>
      <c r="CK153" s="9">
        <v>14.0670570881</v>
      </c>
      <c r="CL153" s="9">
        <v>13.25</v>
      </c>
      <c r="CM153" s="9">
        <v>76.6531606466</v>
      </c>
      <c r="CN153" s="9">
        <v>24.482206683800001</v>
      </c>
      <c r="CO153" s="9">
        <v>2.1673537653000001</v>
      </c>
      <c r="CP153" s="9">
        <v>12.5103285033</v>
      </c>
      <c r="CQ153" s="9">
        <v>9.1602664227999995</v>
      </c>
      <c r="CR153" s="9">
        <v>3.3622719747000001</v>
      </c>
      <c r="CS153" s="9">
        <v>2.4629263141000002</v>
      </c>
      <c r="CT153" s="9">
        <v>9.1079118650000002</v>
      </c>
      <c r="CU153" s="9">
        <v>2.7697515303000002</v>
      </c>
      <c r="CV153" s="9">
        <v>1.8694093977999999</v>
      </c>
      <c r="CW153" s="9">
        <v>3.7959604947000001</v>
      </c>
      <c r="CX153" s="9">
        <v>2.1018629274</v>
      </c>
      <c r="CY153" s="9">
        <v>2.8629107672999998</v>
      </c>
      <c r="CZ153" s="9">
        <v>327</v>
      </c>
      <c r="DA153" s="9">
        <v>290</v>
      </c>
      <c r="DB153" s="9">
        <v>9</v>
      </c>
      <c r="DC153" s="9">
        <v>68</v>
      </c>
      <c r="DD153" s="9">
        <v>65</v>
      </c>
      <c r="DE153" s="9">
        <v>9</v>
      </c>
      <c r="DF153" s="9">
        <v>89</v>
      </c>
      <c r="DG153" s="9">
        <v>33</v>
      </c>
      <c r="DH153" s="9">
        <v>24</v>
      </c>
      <c r="DI153" s="9">
        <v>0</v>
      </c>
      <c r="DJ153" s="9">
        <v>3</v>
      </c>
      <c r="DK153" s="9">
        <v>20</v>
      </c>
      <c r="DL153" s="9">
        <v>0</v>
      </c>
      <c r="DM153" s="9">
        <v>13</v>
      </c>
      <c r="DN153" s="9">
        <v>0</v>
      </c>
      <c r="DO153" s="9">
        <v>681.24</v>
      </c>
      <c r="DP153" s="9">
        <v>145.01</v>
      </c>
      <c r="DQ153" s="9">
        <v>71.59</v>
      </c>
      <c r="DR153" s="9">
        <v>73.42</v>
      </c>
      <c r="DS153" s="9">
        <v>47.72</v>
      </c>
      <c r="DT153" s="9">
        <v>3.93</v>
      </c>
      <c r="DU153" s="9">
        <v>349.64</v>
      </c>
      <c r="DV153" s="9">
        <v>217.92</v>
      </c>
      <c r="DW153" s="9">
        <v>92.54</v>
      </c>
      <c r="DX153" s="9">
        <v>138.62</v>
      </c>
      <c r="DY153" s="9">
        <v>85.76</v>
      </c>
      <c r="DZ153" s="9">
        <v>28.79</v>
      </c>
      <c r="EA153" s="9">
        <v>-625.35199999999998</v>
      </c>
      <c r="EB153" s="9">
        <v>-406.755</v>
      </c>
      <c r="EC153" s="9">
        <v>-130.19499999999999</v>
      </c>
      <c r="ED153" s="9">
        <v>-107.49</v>
      </c>
      <c r="EE153" s="9">
        <v>19.08813</v>
      </c>
      <c r="EF153" s="9">
        <v>9.3261620000000001</v>
      </c>
      <c r="EG153" s="9">
        <v>-464.24700000000001</v>
      </c>
      <c r="EH153" s="9">
        <v>-467.24799999999999</v>
      </c>
      <c r="EI153" s="9">
        <v>22.567450000000001</v>
      </c>
      <c r="EJ153" s="9">
        <v>0</v>
      </c>
      <c r="EK153" s="9">
        <v>-19.566700000000001</v>
      </c>
      <c r="EL153" s="9">
        <v>33.751829999999998</v>
      </c>
      <c r="EM153" s="9">
        <v>-118.027</v>
      </c>
      <c r="EN153" s="9">
        <v>2749.6</v>
      </c>
      <c r="EO153" s="9"/>
      <c r="EP153" s="9"/>
      <c r="EQ153" s="9"/>
      <c r="ER153" s="9"/>
      <c r="ES153" s="9"/>
      <c r="ET153" s="9"/>
      <c r="EU153">
        <v>1364.22</v>
      </c>
      <c r="EV153" s="9"/>
      <c r="EW153" s="9"/>
      <c r="EX153" s="9"/>
      <c r="EY153" s="9"/>
      <c r="EZ153" s="9"/>
      <c r="FA153" s="9"/>
      <c r="FB153" s="9">
        <v>93.456331168800006</v>
      </c>
      <c r="FC153" s="9">
        <v>113.34</v>
      </c>
      <c r="FD153" s="9">
        <v>7510.4318181817998</v>
      </c>
      <c r="FE153" s="9">
        <v>107.79545454549999</v>
      </c>
      <c r="FF153" s="9">
        <v>1626.0340909091001</v>
      </c>
      <c r="FG153" s="9">
        <v>6627146.1799999997</v>
      </c>
      <c r="FH153" s="9">
        <v>99542.5</v>
      </c>
      <c r="FI153" s="9">
        <v>310211.90000000002</v>
      </c>
      <c r="FJ153" s="9">
        <v>2897488.34</v>
      </c>
      <c r="FK153" s="9">
        <v>21634.51</v>
      </c>
      <c r="FL153" s="9">
        <v>50150.879999999997</v>
      </c>
      <c r="FM153" s="9"/>
      <c r="FN153" s="9"/>
      <c r="FO153" s="9"/>
      <c r="FP153" s="9"/>
      <c r="FQ153" s="9"/>
      <c r="FR153" s="9"/>
      <c r="FS153" s="9"/>
      <c r="FT153" s="9">
        <v>3729616.24</v>
      </c>
      <c r="FU153" s="9">
        <v>77907.990000000005</v>
      </c>
      <c r="FV153" s="9">
        <v>260019.42</v>
      </c>
      <c r="FW153" s="9"/>
      <c r="FX153" s="9"/>
      <c r="FY153" s="9"/>
      <c r="FZ153" s="9">
        <v>29382.02</v>
      </c>
      <c r="GA153" s="9">
        <v>6203599.4500000002</v>
      </c>
      <c r="GB153" s="9">
        <v>1971280.28</v>
      </c>
      <c r="GC153" s="9">
        <v>4232319.17</v>
      </c>
      <c r="GD153" s="9">
        <v>4014248.459999999</v>
      </c>
      <c r="GE153" s="9">
        <v>426544.06999999989</v>
      </c>
      <c r="GF153" s="9">
        <v>3587704.39</v>
      </c>
      <c r="GG153" s="9">
        <v>2189350.9900000002</v>
      </c>
      <c r="GH153" s="9">
        <v>1544736.21</v>
      </c>
      <c r="GI153" s="9">
        <v>644614.77999999991</v>
      </c>
      <c r="GJ153" s="9">
        <v>1171006.02</v>
      </c>
      <c r="GK153" s="9">
        <v>10309071.26</v>
      </c>
      <c r="GL153" s="9">
        <v>882330.3</v>
      </c>
      <c r="GM153">
        <v>1381.99</v>
      </c>
      <c r="GO153" s="6"/>
      <c r="GP153" s="6"/>
      <c r="GQ153" s="6"/>
    </row>
    <row r="154" spans="1:199" x14ac:dyDescent="0.2">
      <c r="A154" s="8">
        <v>2012</v>
      </c>
      <c r="B154" s="8" t="s">
        <v>399</v>
      </c>
      <c r="C154" s="8" t="s">
        <v>402</v>
      </c>
      <c r="D154" s="9">
        <v>4364304.47</v>
      </c>
      <c r="E154" s="9">
        <v>541247.97</v>
      </c>
      <c r="F154" s="9">
        <v>682813.81</v>
      </c>
      <c r="G154" s="9">
        <v>352627.49</v>
      </c>
      <c r="H154" s="9">
        <v>58011.64</v>
      </c>
      <c r="I154" s="9">
        <v>226671.84</v>
      </c>
      <c r="J154" s="9">
        <v>620163.34</v>
      </c>
      <c r="K154" s="9">
        <v>236724.25</v>
      </c>
      <c r="L154" s="9">
        <v>97753.21</v>
      </c>
      <c r="M154" s="9">
        <v>1072039.19</v>
      </c>
      <c r="N154" s="9">
        <v>476251.73</v>
      </c>
      <c r="O154" s="9">
        <v>4855180.791916389</v>
      </c>
      <c r="P154" s="9">
        <v>614402.62693483126</v>
      </c>
      <c r="Q154" s="9">
        <v>635384.25219726784</v>
      </c>
      <c r="R154" s="9">
        <v>381789.49443906278</v>
      </c>
      <c r="S154" s="9">
        <v>88763.699397098593</v>
      </c>
      <c r="T154" s="9">
        <v>239070.16422943471</v>
      </c>
      <c r="U154" s="9">
        <v>717298.09122862376</v>
      </c>
      <c r="V154" s="9">
        <v>265633.73509043438</v>
      </c>
      <c r="W154" s="9">
        <v>103911.5997028502</v>
      </c>
      <c r="X154" s="9">
        <v>1204883.20708903</v>
      </c>
      <c r="Y154" s="9">
        <v>604043.92160775571</v>
      </c>
      <c r="Z154" s="9">
        <v>4228449.8</v>
      </c>
      <c r="AA154" s="9">
        <v>2212328.1</v>
      </c>
      <c r="AB154" s="9">
        <v>461049.59999999998</v>
      </c>
      <c r="AC154" s="9">
        <v>2475092.7000000002</v>
      </c>
      <c r="AD154" s="9">
        <v>557174.1</v>
      </c>
      <c r="AE154" s="9">
        <v>1692941.4</v>
      </c>
      <c r="AF154" s="9">
        <v>3170136.2</v>
      </c>
      <c r="AG154" s="9">
        <v>4691597.8412183942</v>
      </c>
      <c r="AH154" s="9">
        <v>2448352.7977224649</v>
      </c>
      <c r="AI154" s="9">
        <v>514897.05433489778</v>
      </c>
      <c r="AJ154" s="9">
        <v>2496463.4107289459</v>
      </c>
      <c r="AK154" s="9">
        <v>683578.91186761286</v>
      </c>
      <c r="AL154" s="9">
        <v>1247831.505934129</v>
      </c>
      <c r="AM154" s="9">
        <v>2699525.839369657</v>
      </c>
      <c r="AN154" s="9">
        <v>1115236</v>
      </c>
      <c r="AO154" s="9">
        <v>589455</v>
      </c>
      <c r="AP154" s="9">
        <v>525781</v>
      </c>
      <c r="AQ154" s="9">
        <v>75309</v>
      </c>
      <c r="AR154" s="9">
        <v>38007</v>
      </c>
      <c r="AS154" s="9">
        <v>37302</v>
      </c>
      <c r="AT154" s="9">
        <v>659875</v>
      </c>
      <c r="AU154" s="9">
        <v>265703</v>
      </c>
      <c r="AV154" s="9">
        <v>394172</v>
      </c>
      <c r="AW154" s="9">
        <v>565.5</v>
      </c>
      <c r="AX154" s="9">
        <v>252.4</v>
      </c>
      <c r="AY154" s="9">
        <v>799.8</v>
      </c>
      <c r="AZ154" s="9">
        <v>507.1</v>
      </c>
      <c r="BA154" s="9">
        <v>543.79999999999995</v>
      </c>
      <c r="BB154" s="9"/>
      <c r="BC154" s="9">
        <v>583.1</v>
      </c>
      <c r="BD154" s="9">
        <v>365</v>
      </c>
      <c r="BE154" s="9">
        <v>517.29999999999995</v>
      </c>
      <c r="BF154" s="9">
        <v>390.1</v>
      </c>
      <c r="BG154" s="9"/>
      <c r="BH154" s="9">
        <v>1105</v>
      </c>
      <c r="BI154" s="9">
        <v>519.79999999999995</v>
      </c>
      <c r="BJ154" s="9">
        <v>453.8</v>
      </c>
      <c r="BK154" s="9">
        <v>579.70000000000005</v>
      </c>
      <c r="BL154" s="9"/>
      <c r="BM154" s="9">
        <v>450.8</v>
      </c>
      <c r="BN154" s="9">
        <v>386252.64</v>
      </c>
      <c r="BO154" s="9">
        <v>309285</v>
      </c>
      <c r="BP154" s="9">
        <v>51527.7</v>
      </c>
      <c r="BQ154" s="9">
        <v>22376</v>
      </c>
      <c r="BR154" s="9">
        <v>29151.599999999999</v>
      </c>
      <c r="BS154" s="9">
        <v>51583.6</v>
      </c>
      <c r="BT154" s="9">
        <v>108020.3</v>
      </c>
      <c r="BU154" s="9">
        <v>35660.400000000001</v>
      </c>
      <c r="BV154" s="9">
        <v>51928.380799999999</v>
      </c>
      <c r="BW154" s="9">
        <v>327372</v>
      </c>
      <c r="BX154" s="9">
        <v>3371.6</v>
      </c>
      <c r="BY154" s="9">
        <v>75404</v>
      </c>
      <c r="BZ154" s="9">
        <v>114367.5</v>
      </c>
      <c r="CA154" s="9">
        <v>28201.1</v>
      </c>
      <c r="CB154" s="9">
        <v>6217.7</v>
      </c>
      <c r="CC154" s="9">
        <v>103181.6</v>
      </c>
      <c r="CD154" s="9">
        <v>0</v>
      </c>
      <c r="CE154" s="9">
        <v>130325.2</v>
      </c>
      <c r="CF154" s="9">
        <v>1657899.7613452061</v>
      </c>
      <c r="CG154" s="9">
        <v>7110344.7335616415</v>
      </c>
      <c r="CH154" s="9"/>
      <c r="CI154" s="9"/>
      <c r="CJ154" s="9">
        <v>18.582851146700001</v>
      </c>
      <c r="CK154" s="9">
        <v>14.2462392879</v>
      </c>
      <c r="CL154" s="9">
        <v>13.25</v>
      </c>
      <c r="CM154" s="9">
        <v>77.427211968400002</v>
      </c>
      <c r="CN154" s="9">
        <v>23.840037277299999</v>
      </c>
      <c r="CO154" s="9">
        <v>3.0313755409000001</v>
      </c>
      <c r="CP154" s="9">
        <v>12.7482674008</v>
      </c>
      <c r="CQ154" s="9">
        <v>9.407976391</v>
      </c>
      <c r="CR154" s="9">
        <v>3.3961052908</v>
      </c>
      <c r="CS154" s="9">
        <v>2.4746720323</v>
      </c>
      <c r="CT154" s="9">
        <v>9.1249701673000008</v>
      </c>
      <c r="CU154" s="9">
        <v>2.7653632474999998</v>
      </c>
      <c r="CV154" s="9">
        <v>1.8481869391000001</v>
      </c>
      <c r="CW154" s="9">
        <v>3.7959604947000001</v>
      </c>
      <c r="CX154" s="9">
        <v>2.1094329184</v>
      </c>
      <c r="CY154" s="9">
        <v>2.8848642682999999</v>
      </c>
      <c r="CZ154" s="9">
        <v>351</v>
      </c>
      <c r="DA154" s="9">
        <v>325</v>
      </c>
      <c r="DB154" s="9">
        <v>10</v>
      </c>
      <c r="DC154" s="9">
        <v>69</v>
      </c>
      <c r="DD154" s="9">
        <v>25</v>
      </c>
      <c r="DE154" s="9">
        <v>13</v>
      </c>
      <c r="DF154" s="9">
        <v>165</v>
      </c>
      <c r="DG154" s="9">
        <v>29</v>
      </c>
      <c r="DH154" s="9">
        <v>16</v>
      </c>
      <c r="DI154" s="9">
        <v>1</v>
      </c>
      <c r="DJ154" s="9">
        <v>2</v>
      </c>
      <c r="DK154" s="9">
        <v>10</v>
      </c>
      <c r="DL154" s="9">
        <v>0</v>
      </c>
      <c r="DM154" s="9">
        <v>9</v>
      </c>
      <c r="DN154" s="9">
        <v>0</v>
      </c>
      <c r="DO154" s="9">
        <v>564.87</v>
      </c>
      <c r="DP154" s="9">
        <v>124.34</v>
      </c>
      <c r="DQ154" s="9">
        <v>62.43</v>
      </c>
      <c r="DR154" s="9">
        <v>61.91</v>
      </c>
      <c r="DS154" s="9">
        <v>45.51</v>
      </c>
      <c r="DT154" s="9">
        <v>2.37</v>
      </c>
      <c r="DU154" s="9">
        <v>279.74</v>
      </c>
      <c r="DV154" s="9">
        <v>165.28</v>
      </c>
      <c r="DW154" s="9">
        <v>88.23</v>
      </c>
      <c r="DX154" s="9">
        <v>107.45</v>
      </c>
      <c r="DY154" s="9">
        <v>71.849999999999994</v>
      </c>
      <c r="DZ154" s="9">
        <v>18.420000000000002</v>
      </c>
      <c r="EA154" s="9">
        <v>-440.13799999999998</v>
      </c>
      <c r="EB154" s="9">
        <v>-239.374</v>
      </c>
      <c r="EC154" s="9">
        <v>-106.303</v>
      </c>
      <c r="ED154" s="9">
        <v>-103.73699999999999</v>
      </c>
      <c r="EE154" s="9">
        <v>9.2770279999999996</v>
      </c>
      <c r="EF154" s="9">
        <v>10.16273</v>
      </c>
      <c r="EG154" s="9">
        <v>-731.18</v>
      </c>
      <c r="EH154" s="9">
        <v>-472.58699999999999</v>
      </c>
      <c r="EI154" s="9">
        <v>-275.97199999999998</v>
      </c>
      <c r="EJ154" s="9">
        <v>0</v>
      </c>
      <c r="EK154" s="9">
        <v>17.379570000000001</v>
      </c>
      <c r="EL154" s="9">
        <v>-161.501</v>
      </c>
      <c r="EM154" s="9">
        <v>139.70359999999999</v>
      </c>
      <c r="EN154" s="9">
        <v>2903.8</v>
      </c>
      <c r="EO154" s="9"/>
      <c r="EP154" s="9"/>
      <c r="EQ154" s="9"/>
      <c r="ER154" s="9"/>
      <c r="ES154" s="9"/>
      <c r="ET154" s="9"/>
      <c r="EU154">
        <v>1394.83</v>
      </c>
      <c r="EV154" s="9">
        <v>14842.37</v>
      </c>
      <c r="EW154" s="9">
        <v>2091.7600000000002</v>
      </c>
      <c r="EX154" s="9">
        <v>474.04</v>
      </c>
      <c r="EY154" s="9">
        <v>1052.51</v>
      </c>
      <c r="EZ154" s="9">
        <v>2683.35</v>
      </c>
      <c r="FA154" s="9">
        <v>8540.7099999999991</v>
      </c>
      <c r="FB154" s="9">
        <v>93.181607142900006</v>
      </c>
      <c r="FC154" s="9">
        <v>113.38249999999999</v>
      </c>
      <c r="FD154" s="9">
        <v>8087.7425000000003</v>
      </c>
      <c r="FE154" s="9">
        <v>99.47</v>
      </c>
      <c r="FF154" s="9">
        <v>1744.45</v>
      </c>
      <c r="FG154" s="9">
        <v>6819411.0799999991</v>
      </c>
      <c r="FH154" s="9">
        <v>115911.63</v>
      </c>
      <c r="FI154" s="9">
        <v>304200.03999999998</v>
      </c>
      <c r="FJ154" s="9">
        <v>2996766.06</v>
      </c>
      <c r="FK154" s="9">
        <v>24152.61</v>
      </c>
      <c r="FL154" s="9">
        <v>43400.36</v>
      </c>
      <c r="FM154" s="9"/>
      <c r="FN154" s="9"/>
      <c r="FO154" s="9"/>
      <c r="FP154" s="9"/>
      <c r="FQ154" s="9"/>
      <c r="FR154" s="9"/>
      <c r="FS154" s="9"/>
      <c r="FT154" s="9">
        <v>3822605.02</v>
      </c>
      <c r="FU154" s="9">
        <v>91759.01</v>
      </c>
      <c r="FV154" s="9">
        <v>260759.67999999999</v>
      </c>
      <c r="FW154" s="9"/>
      <c r="FX154" s="9"/>
      <c r="FY154" s="9"/>
      <c r="FZ154" s="9">
        <v>29038.34</v>
      </c>
      <c r="GA154" s="9">
        <v>6194942.7699999996</v>
      </c>
      <c r="GB154" s="9">
        <v>1959583.51</v>
      </c>
      <c r="GC154" s="9">
        <v>4235359.26</v>
      </c>
      <c r="GD154" s="9">
        <v>3992205.5699999994</v>
      </c>
      <c r="GE154" s="9">
        <v>398861.36</v>
      </c>
      <c r="GF154" s="9">
        <v>3593344.21</v>
      </c>
      <c r="GG154" s="9">
        <v>2202737.2000000002</v>
      </c>
      <c r="GH154" s="9">
        <v>1560722.15</v>
      </c>
      <c r="GI154" s="9">
        <v>642015.04999999993</v>
      </c>
      <c r="GJ154" s="9">
        <v>1298817.3400000001</v>
      </c>
      <c r="GK154" s="9">
        <v>10968909.689999999</v>
      </c>
      <c r="GL154" s="9">
        <v>907472.53</v>
      </c>
      <c r="GM154">
        <v>1394.47</v>
      </c>
      <c r="GO154" s="6"/>
      <c r="GP154" s="6"/>
      <c r="GQ154" s="6"/>
    </row>
    <row r="155" spans="1:199" x14ac:dyDescent="0.2">
      <c r="A155" s="8">
        <v>2012</v>
      </c>
      <c r="B155" s="8" t="s">
        <v>403</v>
      </c>
      <c r="C155" s="8" t="s">
        <v>404</v>
      </c>
      <c r="D155" s="9"/>
      <c r="E155" s="9"/>
      <c r="F155" s="9"/>
      <c r="G155" s="9"/>
      <c r="H155" s="9"/>
      <c r="I155" s="9"/>
      <c r="J155" s="9"/>
      <c r="K155" s="9"/>
      <c r="L155" s="9"/>
      <c r="M155" s="9"/>
      <c r="N155" s="9"/>
      <c r="O155" s="9"/>
      <c r="P155" s="9"/>
      <c r="Q155" s="9"/>
      <c r="R155" s="9"/>
      <c r="S155" s="9"/>
      <c r="T155" s="9"/>
      <c r="U155" s="9"/>
      <c r="V155" s="9"/>
      <c r="W155" s="9"/>
      <c r="X155" s="9"/>
      <c r="Y155" s="9"/>
      <c r="Z155" s="9"/>
      <c r="AA155" s="9"/>
      <c r="AB155" s="9"/>
      <c r="AC155" s="9"/>
      <c r="AD155" s="9"/>
      <c r="AE155" s="9"/>
      <c r="AF155" s="9"/>
      <c r="AG155" s="9"/>
      <c r="AH155" s="9"/>
      <c r="AI155" s="9"/>
      <c r="AJ155" s="9"/>
      <c r="AK155" s="9"/>
      <c r="AL155" s="9"/>
      <c r="AM155" s="9"/>
      <c r="AN155" s="9"/>
      <c r="AO155" s="9"/>
      <c r="AP155" s="9"/>
      <c r="AQ155" s="9"/>
      <c r="AR155" s="9"/>
      <c r="AS155" s="9"/>
      <c r="AT155" s="9"/>
      <c r="AU155" s="9"/>
      <c r="AV155" s="9"/>
      <c r="AW155" s="9"/>
      <c r="AX155" s="9"/>
      <c r="AY155" s="9"/>
      <c r="AZ155" s="9"/>
      <c r="BA155" s="9"/>
      <c r="BB155" s="9"/>
      <c r="BC155" s="9"/>
      <c r="BD155" s="9"/>
      <c r="BE155" s="9"/>
      <c r="BF155" s="9"/>
      <c r="BG155" s="9"/>
      <c r="BH155" s="9"/>
      <c r="BI155" s="9"/>
      <c r="BJ155" s="9"/>
      <c r="BK155" s="9"/>
      <c r="BL155" s="9"/>
      <c r="BM155" s="9"/>
      <c r="BN155" s="9">
        <v>456728.15</v>
      </c>
      <c r="BO155" s="9">
        <v>409164.9</v>
      </c>
      <c r="BP155" s="9">
        <v>118214.5</v>
      </c>
      <c r="BQ155" s="9">
        <v>83193.399999999994</v>
      </c>
      <c r="BR155" s="9">
        <v>35021.199999999997</v>
      </c>
      <c r="BS155" s="9">
        <v>61868.3</v>
      </c>
      <c r="BT155" s="9">
        <v>115888.2</v>
      </c>
      <c r="BU155" s="9">
        <v>28443.3</v>
      </c>
      <c r="BV155" s="9">
        <v>45955.070500000002</v>
      </c>
      <c r="BW155" s="9">
        <v>334703.7</v>
      </c>
      <c r="BX155" s="9">
        <v>-4011.1</v>
      </c>
      <c r="BY155" s="9">
        <v>82811</v>
      </c>
      <c r="BZ155" s="9">
        <v>110248.1</v>
      </c>
      <c r="CA155" s="9">
        <v>4074.7</v>
      </c>
      <c r="CB155" s="9">
        <v>5766.2</v>
      </c>
      <c r="CC155" s="9">
        <v>131803.79999999999</v>
      </c>
      <c r="CD155" s="9">
        <v>0</v>
      </c>
      <c r="CE155" s="9">
        <v>147113.20000000001</v>
      </c>
      <c r="CF155" s="9">
        <v>1578620.7916256953</v>
      </c>
      <c r="CG155" s="9">
        <v>7130805.3346479172</v>
      </c>
      <c r="CH155" s="9"/>
      <c r="CI155" s="9"/>
      <c r="CJ155" s="9">
        <v>18.744729742699999</v>
      </c>
      <c r="CK155" s="9">
        <v>14.397593453300001</v>
      </c>
      <c r="CL155" s="9">
        <v>13.25</v>
      </c>
      <c r="CM155" s="9">
        <v>77.877855621899997</v>
      </c>
      <c r="CN155" s="9">
        <v>23.305296072099999</v>
      </c>
      <c r="CO155" s="9">
        <v>3.1327708495</v>
      </c>
      <c r="CP155" s="9">
        <v>13.013323202800001</v>
      </c>
      <c r="CQ155" s="9">
        <v>9.8412951968000009</v>
      </c>
      <c r="CR155" s="9">
        <v>3.4279763179999998</v>
      </c>
      <c r="CS155" s="9">
        <v>2.5160192466</v>
      </c>
      <c r="CT155" s="9">
        <v>9.1988494337999995</v>
      </c>
      <c r="CU155" s="9">
        <v>2.7643411279999999</v>
      </c>
      <c r="CV155" s="9">
        <v>1.8568955833</v>
      </c>
      <c r="CW155" s="9">
        <v>3.7959604947000001</v>
      </c>
      <c r="CX155" s="9">
        <v>2.1173381441000001</v>
      </c>
      <c r="CY155" s="9">
        <v>2.9077899520999999</v>
      </c>
      <c r="CZ155" s="9">
        <v>435</v>
      </c>
      <c r="DA155" s="9">
        <v>404</v>
      </c>
      <c r="DB155" s="9">
        <v>15</v>
      </c>
      <c r="DC155" s="9">
        <v>71</v>
      </c>
      <c r="DD155" s="9">
        <v>54</v>
      </c>
      <c r="DE155" s="9">
        <v>17</v>
      </c>
      <c r="DF155" s="9">
        <v>193</v>
      </c>
      <c r="DG155" s="9">
        <v>36</v>
      </c>
      <c r="DH155" s="9">
        <v>14</v>
      </c>
      <c r="DI155" s="9">
        <v>3</v>
      </c>
      <c r="DJ155" s="9">
        <v>2</v>
      </c>
      <c r="DK155" s="9">
        <v>7</v>
      </c>
      <c r="DL155" s="9">
        <v>0</v>
      </c>
      <c r="DM155" s="9">
        <v>17</v>
      </c>
      <c r="DN155" s="9">
        <v>0</v>
      </c>
      <c r="DO155" s="9">
        <v>494.77</v>
      </c>
      <c r="DP155" s="9">
        <v>142.84</v>
      </c>
      <c r="DQ155" s="9">
        <v>78.010000000000005</v>
      </c>
      <c r="DR155" s="9">
        <v>64.83</v>
      </c>
      <c r="DS155" s="9">
        <v>46.09</v>
      </c>
      <c r="DT155" s="9">
        <v>2.12</v>
      </c>
      <c r="DU155" s="9">
        <v>240.48</v>
      </c>
      <c r="DV155" s="9">
        <v>160.13999999999999</v>
      </c>
      <c r="DW155" s="9">
        <v>59.76</v>
      </c>
      <c r="DX155" s="9">
        <v>65.099999999999994</v>
      </c>
      <c r="DY155" s="9">
        <v>13.74</v>
      </c>
      <c r="DZ155" s="9">
        <v>27.59</v>
      </c>
      <c r="EA155" s="9">
        <v>-284.87900000000002</v>
      </c>
      <c r="EB155" s="9">
        <v>-111.932</v>
      </c>
      <c r="EC155" s="9">
        <v>-85.193799999999996</v>
      </c>
      <c r="ED155" s="9">
        <v>-98.371700000000004</v>
      </c>
      <c r="EE155" s="9">
        <v>10.618740000000001</v>
      </c>
      <c r="EF155" s="9">
        <v>9.0273430000000001</v>
      </c>
      <c r="EG155" s="9">
        <v>-154.45400000000001</v>
      </c>
      <c r="EH155" s="9">
        <v>-135.82</v>
      </c>
      <c r="EI155" s="9">
        <v>-0.28025</v>
      </c>
      <c r="EJ155" s="9">
        <v>0</v>
      </c>
      <c r="EK155" s="9">
        <v>-18.353899999999999</v>
      </c>
      <c r="EL155" s="9">
        <v>-91.372100000000003</v>
      </c>
      <c r="EM155" s="9">
        <v>-212.76900000000001</v>
      </c>
      <c r="EN155" s="9">
        <v>2676.8</v>
      </c>
      <c r="EO155" s="9"/>
      <c r="EP155" s="9"/>
      <c r="EQ155" s="9"/>
      <c r="ER155" s="9"/>
      <c r="ES155" s="9"/>
      <c r="ET155" s="9"/>
      <c r="EU155">
        <v>1386.98</v>
      </c>
      <c r="EV155" s="9"/>
      <c r="EW155" s="9"/>
      <c r="EX155" s="9"/>
      <c r="EY155" s="9"/>
      <c r="EZ155" s="9"/>
      <c r="FA155" s="9"/>
      <c r="FB155" s="9">
        <v>86.885403726700005</v>
      </c>
      <c r="FC155" s="9">
        <v>111.9734782609</v>
      </c>
      <c r="FD155" s="9">
        <v>8062.0326086957002</v>
      </c>
      <c r="FE155" s="9">
        <v>113.947826087</v>
      </c>
      <c r="FF155" s="9">
        <v>1747.0108695652</v>
      </c>
      <c r="FG155" s="9">
        <v>6807491.2000000002</v>
      </c>
      <c r="FH155" s="9">
        <v>131383.92000000001</v>
      </c>
      <c r="FI155" s="9">
        <v>304076.64</v>
      </c>
      <c r="FJ155" s="9">
        <v>3016753.7</v>
      </c>
      <c r="FK155" s="9">
        <v>26778.34</v>
      </c>
      <c r="FL155" s="9">
        <v>42881.27</v>
      </c>
      <c r="FM155" s="9"/>
      <c r="FN155" s="9"/>
      <c r="FO155" s="9"/>
      <c r="FP155" s="9"/>
      <c r="FQ155" s="9"/>
      <c r="FR155" s="9"/>
      <c r="FS155" s="9"/>
      <c r="FT155" s="9">
        <v>3790696.43</v>
      </c>
      <c r="FU155" s="9">
        <v>104605.58</v>
      </c>
      <c r="FV155" s="9">
        <v>261154.29</v>
      </c>
      <c r="FW155" s="9"/>
      <c r="FX155" s="9"/>
      <c r="FY155" s="9"/>
      <c r="FZ155" s="9">
        <v>27744.28</v>
      </c>
      <c r="GA155" s="9">
        <v>6174281.1699999999</v>
      </c>
      <c r="GB155" s="9">
        <v>1948985.53</v>
      </c>
      <c r="GC155" s="9">
        <v>4225295.6399999997</v>
      </c>
      <c r="GD155" s="9">
        <v>4019424.71</v>
      </c>
      <c r="GE155" s="9">
        <v>398751.23</v>
      </c>
      <c r="GF155" s="9">
        <v>3620673.48</v>
      </c>
      <c r="GG155" s="9">
        <v>2154856.46</v>
      </c>
      <c r="GH155" s="9">
        <v>1550234.3</v>
      </c>
      <c r="GI155" s="9">
        <v>604622.16</v>
      </c>
      <c r="GJ155" s="9">
        <v>1413398.73</v>
      </c>
      <c r="GK155" s="9">
        <v>10927102.710000001</v>
      </c>
      <c r="GL155" s="9">
        <v>922711.43</v>
      </c>
      <c r="GM155">
        <v>1397.28</v>
      </c>
      <c r="GO155" s="6"/>
      <c r="GP155" s="6"/>
      <c r="GQ155" s="6"/>
    </row>
    <row r="156" spans="1:199" x14ac:dyDescent="0.2">
      <c r="A156" s="8">
        <v>2012</v>
      </c>
      <c r="B156" s="8" t="s">
        <v>403</v>
      </c>
      <c r="C156" s="8" t="s">
        <v>405</v>
      </c>
      <c r="D156" s="9"/>
      <c r="E156" s="9"/>
      <c r="F156" s="9"/>
      <c r="G156" s="9"/>
      <c r="H156" s="9"/>
      <c r="I156" s="9"/>
      <c r="J156" s="9"/>
      <c r="K156" s="9"/>
      <c r="L156" s="9"/>
      <c r="M156" s="9"/>
      <c r="N156" s="9"/>
      <c r="O156" s="9"/>
      <c r="P156" s="9"/>
      <c r="Q156" s="9"/>
      <c r="R156" s="9"/>
      <c r="S156" s="9"/>
      <c r="T156" s="9"/>
      <c r="U156" s="9"/>
      <c r="V156" s="9"/>
      <c r="W156" s="9"/>
      <c r="X156" s="9"/>
      <c r="Y156" s="9"/>
      <c r="Z156" s="9"/>
      <c r="AA156" s="9"/>
      <c r="AB156" s="9"/>
      <c r="AC156" s="9"/>
      <c r="AD156" s="9"/>
      <c r="AE156" s="9"/>
      <c r="AF156" s="9"/>
      <c r="AG156" s="9"/>
      <c r="AH156" s="9"/>
      <c r="AI156" s="9"/>
      <c r="AJ156" s="9"/>
      <c r="AK156" s="9"/>
      <c r="AL156" s="9"/>
      <c r="AM156" s="9"/>
      <c r="AN156" s="9"/>
      <c r="AO156" s="9"/>
      <c r="AP156" s="9"/>
      <c r="AQ156" s="9"/>
      <c r="AR156" s="9"/>
      <c r="AS156" s="9"/>
      <c r="AT156" s="9"/>
      <c r="AU156" s="9"/>
      <c r="AV156" s="9"/>
      <c r="AW156" s="9"/>
      <c r="AX156" s="9"/>
      <c r="AY156" s="9"/>
      <c r="AZ156" s="9"/>
      <c r="BA156" s="9"/>
      <c r="BB156" s="9"/>
      <c r="BC156" s="9"/>
      <c r="BD156" s="9"/>
      <c r="BE156" s="9"/>
      <c r="BF156" s="9"/>
      <c r="BG156" s="9"/>
      <c r="BH156" s="9"/>
      <c r="BI156" s="9"/>
      <c r="BJ156" s="9"/>
      <c r="BK156" s="9"/>
      <c r="BL156" s="9"/>
      <c r="BM156" s="9"/>
      <c r="BN156" s="9">
        <v>379540.03899999999</v>
      </c>
      <c r="BO156" s="9">
        <v>336915.8</v>
      </c>
      <c r="BP156" s="9">
        <v>60512.5</v>
      </c>
      <c r="BQ156" s="9">
        <v>23869.8</v>
      </c>
      <c r="BR156" s="9">
        <v>36642.699999999997</v>
      </c>
      <c r="BS156" s="9">
        <v>73634.2</v>
      </c>
      <c r="BT156" s="9">
        <v>105232.5</v>
      </c>
      <c r="BU156" s="9">
        <v>34321.199999999997</v>
      </c>
      <c r="BV156" s="9">
        <v>41701.176899999999</v>
      </c>
      <c r="BW156" s="9">
        <v>405708.9</v>
      </c>
      <c r="BX156" s="9">
        <v>3605.4</v>
      </c>
      <c r="BY156" s="9">
        <v>93406.6</v>
      </c>
      <c r="BZ156" s="9">
        <v>115603</v>
      </c>
      <c r="CA156" s="9">
        <v>14007.7</v>
      </c>
      <c r="CB156" s="9">
        <v>8348.7000000000007</v>
      </c>
      <c r="CC156" s="9">
        <v>174342.7</v>
      </c>
      <c r="CD156" s="9">
        <v>0</v>
      </c>
      <c r="CE156" s="9">
        <v>97947.8</v>
      </c>
      <c r="CF156" s="9">
        <v>1557020.283612449</v>
      </c>
      <c r="CG156" s="9">
        <v>7031390.8757635253</v>
      </c>
      <c r="CH156" s="9"/>
      <c r="CI156" s="9"/>
      <c r="CJ156" s="9">
        <v>18.581599727699999</v>
      </c>
      <c r="CK156" s="9">
        <v>13.337600464699999</v>
      </c>
      <c r="CL156" s="9">
        <v>13.25</v>
      </c>
      <c r="CM156" s="9">
        <v>78.020542410100006</v>
      </c>
      <c r="CN156" s="9">
        <v>23.285181871500001</v>
      </c>
      <c r="CO156" s="9">
        <v>3.1497621098000002</v>
      </c>
      <c r="CP156" s="9">
        <v>13.206461046999999</v>
      </c>
      <c r="CQ156" s="9">
        <v>9.7582263182000002</v>
      </c>
      <c r="CR156" s="9">
        <v>3.4506947851000001</v>
      </c>
      <c r="CS156" s="9">
        <v>2.5209550081000001</v>
      </c>
      <c r="CT156" s="9">
        <v>9.1795556377</v>
      </c>
      <c r="CU156" s="9">
        <v>2.7638387933000002</v>
      </c>
      <c r="CV156" s="9">
        <v>1.8706880183000001</v>
      </c>
      <c r="CW156" s="9">
        <v>3.7959604947000001</v>
      </c>
      <c r="CX156" s="9">
        <v>2.1247467534000002</v>
      </c>
      <c r="CY156" s="9">
        <v>2.9144715730000001</v>
      </c>
      <c r="CZ156" s="9">
        <v>362</v>
      </c>
      <c r="DA156" s="9">
        <v>332</v>
      </c>
      <c r="DB156" s="9">
        <v>17</v>
      </c>
      <c r="DC156" s="9">
        <v>70</v>
      </c>
      <c r="DD156" s="9">
        <v>34</v>
      </c>
      <c r="DE156" s="9">
        <v>14</v>
      </c>
      <c r="DF156" s="9">
        <v>148</v>
      </c>
      <c r="DG156" s="9">
        <v>35</v>
      </c>
      <c r="DH156" s="9">
        <v>18</v>
      </c>
      <c r="DI156" s="9">
        <v>3</v>
      </c>
      <c r="DJ156" s="9">
        <v>3</v>
      </c>
      <c r="DK156" s="9">
        <v>9</v>
      </c>
      <c r="DL156" s="9">
        <v>0</v>
      </c>
      <c r="DM156" s="9">
        <v>12</v>
      </c>
      <c r="DN156" s="9">
        <v>0</v>
      </c>
      <c r="DO156" s="9">
        <v>526.15</v>
      </c>
      <c r="DP156" s="9">
        <v>134.76</v>
      </c>
      <c r="DQ156" s="9">
        <v>73.89</v>
      </c>
      <c r="DR156" s="9">
        <v>60.87</v>
      </c>
      <c r="DS156" s="9">
        <v>38.69</v>
      </c>
      <c r="DT156" s="9">
        <v>0.4</v>
      </c>
      <c r="DU156" s="9">
        <v>216.15</v>
      </c>
      <c r="DV156" s="9">
        <v>155.49</v>
      </c>
      <c r="DW156" s="9">
        <v>37.880000000000003</v>
      </c>
      <c r="DX156" s="9">
        <v>136.47999999999999</v>
      </c>
      <c r="DY156" s="9">
        <v>75.459999999999994</v>
      </c>
      <c r="DZ156" s="9">
        <v>40.19</v>
      </c>
      <c r="EA156" s="9">
        <v>-337.04300000000001</v>
      </c>
      <c r="EB156" s="9">
        <v>-192.64599999999999</v>
      </c>
      <c r="EC156" s="9">
        <v>-62.644100000000002</v>
      </c>
      <c r="ED156" s="9">
        <v>-92.307299999999998</v>
      </c>
      <c r="EE156" s="9">
        <v>10.555149999999999</v>
      </c>
      <c r="EF156" s="9">
        <v>7.5813430000000004</v>
      </c>
      <c r="EG156" s="9">
        <v>-404.81700000000001</v>
      </c>
      <c r="EH156" s="9">
        <v>-62.034999999999997</v>
      </c>
      <c r="EI156" s="9">
        <v>13.65733</v>
      </c>
      <c r="EJ156" s="9">
        <v>0</v>
      </c>
      <c r="EK156" s="9">
        <v>-356.43900000000002</v>
      </c>
      <c r="EL156" s="9">
        <v>-75.914400000000001</v>
      </c>
      <c r="EM156" s="9">
        <v>-0.55913000000000002</v>
      </c>
      <c r="EN156" s="9">
        <v>2675.1</v>
      </c>
      <c r="EO156" s="9"/>
      <c r="EP156" s="9"/>
      <c r="EQ156" s="9"/>
      <c r="ER156" s="9"/>
      <c r="ES156" s="9"/>
      <c r="ET156" s="9"/>
      <c r="EU156">
        <v>1396.4</v>
      </c>
      <c r="EV156" s="9"/>
      <c r="EW156" s="9"/>
      <c r="EX156" s="9"/>
      <c r="EY156" s="9"/>
      <c r="EZ156" s="9"/>
      <c r="FA156" s="9"/>
      <c r="FB156" s="9">
        <v>87.219642857099998</v>
      </c>
      <c r="FC156" s="9">
        <v>109.7118181818</v>
      </c>
      <c r="FD156" s="9">
        <v>7711.2272727273003</v>
      </c>
      <c r="FE156" s="9">
        <v>120.3454545455</v>
      </c>
      <c r="FF156" s="9">
        <v>1721.1363636363999</v>
      </c>
      <c r="FG156" s="9">
        <v>6818470.7000000002</v>
      </c>
      <c r="FH156" s="9">
        <v>146692.75</v>
      </c>
      <c r="FI156" s="9">
        <v>296792.27</v>
      </c>
      <c r="FJ156" s="9">
        <v>3033523.79</v>
      </c>
      <c r="FK156" s="9">
        <v>24252.959999999999</v>
      </c>
      <c r="FL156" s="9">
        <v>43482.61</v>
      </c>
      <c r="FM156" s="9"/>
      <c r="FN156" s="9"/>
      <c r="FO156" s="9"/>
      <c r="FP156" s="9"/>
      <c r="FQ156" s="9"/>
      <c r="FR156" s="9"/>
      <c r="FS156" s="9"/>
      <c r="FT156" s="9">
        <v>3784907.15</v>
      </c>
      <c r="FU156" s="9">
        <v>122439.79</v>
      </c>
      <c r="FV156" s="9">
        <v>253269.9</v>
      </c>
      <c r="FW156" s="9"/>
      <c r="FX156" s="9"/>
      <c r="FY156" s="9"/>
      <c r="FZ156" s="9">
        <v>27741.759999999998</v>
      </c>
      <c r="GA156" s="9">
        <v>6121979.2300000004</v>
      </c>
      <c r="GB156" s="9">
        <v>1919320.15</v>
      </c>
      <c r="GC156" s="9">
        <v>4202659.08</v>
      </c>
      <c r="GD156" s="9">
        <v>4043102.77</v>
      </c>
      <c r="GE156" s="9">
        <v>401118.49</v>
      </c>
      <c r="GF156" s="9">
        <v>3641984.28</v>
      </c>
      <c r="GG156" s="9">
        <v>2078876.46</v>
      </c>
      <c r="GH156" s="9">
        <v>1518201.66</v>
      </c>
      <c r="GI156" s="9">
        <v>560674.80000000005</v>
      </c>
      <c r="GJ156" s="9">
        <v>1368232.91</v>
      </c>
      <c r="GK156" s="9">
        <v>10923125.6</v>
      </c>
      <c r="GL156" s="9">
        <v>959772.62</v>
      </c>
      <c r="GM156">
        <v>1397.28</v>
      </c>
      <c r="GO156" s="6"/>
      <c r="GP156" s="6"/>
      <c r="GQ156" s="6"/>
    </row>
    <row r="157" spans="1:199" x14ac:dyDescent="0.2">
      <c r="A157" s="8">
        <v>2012</v>
      </c>
      <c r="B157" s="8" t="s">
        <v>403</v>
      </c>
      <c r="C157" s="8" t="s">
        <v>406</v>
      </c>
      <c r="D157" s="9">
        <v>4588303.2300000004</v>
      </c>
      <c r="E157" s="9">
        <v>491453.19</v>
      </c>
      <c r="F157" s="9">
        <v>731757.34</v>
      </c>
      <c r="G157" s="9">
        <v>371122.42</v>
      </c>
      <c r="H157" s="9">
        <v>91156.94</v>
      </c>
      <c r="I157" s="9">
        <v>444472.8</v>
      </c>
      <c r="J157" s="9">
        <v>496507.21</v>
      </c>
      <c r="K157" s="9">
        <v>198153.79</v>
      </c>
      <c r="L157" s="9">
        <v>100001.72</v>
      </c>
      <c r="M157" s="9">
        <v>1226568.46</v>
      </c>
      <c r="N157" s="9">
        <v>437109.35</v>
      </c>
      <c r="O157" s="9">
        <v>5104373.8728393363</v>
      </c>
      <c r="P157" s="9">
        <v>560028.27927172405</v>
      </c>
      <c r="Q157" s="9">
        <v>683553.0948132592</v>
      </c>
      <c r="R157" s="9">
        <v>403362.96013434691</v>
      </c>
      <c r="S157" s="9">
        <v>140017.0762947569</v>
      </c>
      <c r="T157" s="9">
        <v>470591.43099752162</v>
      </c>
      <c r="U157" s="9">
        <v>576487.8526446023</v>
      </c>
      <c r="V157" s="9">
        <v>223210.118976228</v>
      </c>
      <c r="W157" s="9">
        <v>106711.56494580919</v>
      </c>
      <c r="X157" s="9">
        <v>1383875.748182673</v>
      </c>
      <c r="Y157" s="9">
        <v>556535.74657841492</v>
      </c>
      <c r="Z157" s="9">
        <v>4788115</v>
      </c>
      <c r="AA157" s="9">
        <v>2263012.9</v>
      </c>
      <c r="AB157" s="9">
        <v>800724.2</v>
      </c>
      <c r="AC157" s="9">
        <v>1740219.7</v>
      </c>
      <c r="AD157" s="9">
        <v>490820.2</v>
      </c>
      <c r="AE157" s="9">
        <v>2067046.5</v>
      </c>
      <c r="AF157" s="9">
        <v>2573708.5</v>
      </c>
      <c r="AG157" s="9">
        <v>5312563.9560638554</v>
      </c>
      <c r="AH157" s="9">
        <v>2614959.0215687309</v>
      </c>
      <c r="AI157" s="9">
        <v>933703.75935421837</v>
      </c>
      <c r="AJ157" s="9">
        <v>1832699.292316837</v>
      </c>
      <c r="AK157" s="9">
        <v>628743.57445666753</v>
      </c>
      <c r="AL157" s="9">
        <v>1590807.622186359</v>
      </c>
      <c r="AM157" s="9">
        <v>2288349.3138189581</v>
      </c>
      <c r="AN157" s="9">
        <v>1018208</v>
      </c>
      <c r="AO157" s="9">
        <v>526496</v>
      </c>
      <c r="AP157" s="9">
        <v>491712</v>
      </c>
      <c r="AQ157" s="9">
        <v>87802</v>
      </c>
      <c r="AR157" s="9">
        <v>48817</v>
      </c>
      <c r="AS157" s="9">
        <v>38985</v>
      </c>
      <c r="AT157" s="9">
        <v>688859</v>
      </c>
      <c r="AU157" s="9">
        <v>279500</v>
      </c>
      <c r="AV157" s="9">
        <v>409359</v>
      </c>
      <c r="AW157" s="9">
        <v>598.5</v>
      </c>
      <c r="AX157" s="9">
        <v>269.2</v>
      </c>
      <c r="AY157" s="9">
        <v>732.9</v>
      </c>
      <c r="AZ157" s="9">
        <v>525.6</v>
      </c>
      <c r="BA157" s="9">
        <v>592.4</v>
      </c>
      <c r="BB157" s="9"/>
      <c r="BC157" s="9">
        <v>493.8</v>
      </c>
      <c r="BD157" s="9">
        <v>389.4</v>
      </c>
      <c r="BE157" s="9">
        <v>560</v>
      </c>
      <c r="BF157" s="9">
        <v>409.8</v>
      </c>
      <c r="BG157" s="9"/>
      <c r="BH157" s="9">
        <v>1092</v>
      </c>
      <c r="BI157" s="9">
        <v>538</v>
      </c>
      <c r="BJ157" s="9">
        <v>606</v>
      </c>
      <c r="BK157" s="9">
        <v>620.20000000000005</v>
      </c>
      <c r="BL157" s="9"/>
      <c r="BM157" s="9">
        <v>493.9</v>
      </c>
      <c r="BN157" s="9">
        <v>633205.91099999996</v>
      </c>
      <c r="BO157" s="9">
        <v>367730.8</v>
      </c>
      <c r="BP157" s="9">
        <v>96621.4</v>
      </c>
      <c r="BQ157" s="9">
        <v>52619.9</v>
      </c>
      <c r="BR157" s="9">
        <v>43995.5</v>
      </c>
      <c r="BS157" s="9">
        <v>68486.7</v>
      </c>
      <c r="BT157" s="9">
        <v>138555.79999999999</v>
      </c>
      <c r="BU157" s="9">
        <v>35079</v>
      </c>
      <c r="BV157" s="9">
        <v>193845.95259999999</v>
      </c>
      <c r="BW157" s="9">
        <v>599278.1</v>
      </c>
      <c r="BX157" s="9">
        <v>19716</v>
      </c>
      <c r="BY157" s="9">
        <v>128127.6</v>
      </c>
      <c r="BZ157" s="9">
        <v>135276</v>
      </c>
      <c r="CA157" s="9">
        <v>16339.9</v>
      </c>
      <c r="CB157" s="9">
        <v>28078.2</v>
      </c>
      <c r="CC157" s="9">
        <v>291456.5</v>
      </c>
      <c r="CD157" s="9">
        <v>0</v>
      </c>
      <c r="CE157" s="9">
        <v>370028.4</v>
      </c>
      <c r="CF157" s="9">
        <v>1834783.6169504661</v>
      </c>
      <c r="CG157" s="9">
        <v>7611876.9861408435</v>
      </c>
      <c r="CH157" s="9"/>
      <c r="CI157" s="9"/>
      <c r="CJ157" s="9">
        <v>18.150281278800001</v>
      </c>
      <c r="CK157" s="9">
        <v>13.469196071600001</v>
      </c>
      <c r="CL157" s="9">
        <v>13.25</v>
      </c>
      <c r="CM157" s="9">
        <v>78.661449620400006</v>
      </c>
      <c r="CN157" s="9">
        <v>23.6728371106</v>
      </c>
      <c r="CO157" s="9">
        <v>3.1722182847</v>
      </c>
      <c r="CP157" s="9">
        <v>13.3278444</v>
      </c>
      <c r="CQ157" s="9">
        <v>9.7319386495</v>
      </c>
      <c r="CR157" s="9">
        <v>3.4724210728</v>
      </c>
      <c r="CS157" s="9">
        <v>2.522893233</v>
      </c>
      <c r="CT157" s="9">
        <v>9.2807014689000003</v>
      </c>
      <c r="CU157" s="9">
        <v>2.7640814485999998</v>
      </c>
      <c r="CV157" s="9">
        <v>1.8709656633</v>
      </c>
      <c r="CW157" s="9">
        <v>3.7959604947000001</v>
      </c>
      <c r="CX157" s="9">
        <v>2.1293237093999999</v>
      </c>
      <c r="CY157" s="9">
        <v>2.9202640848999999</v>
      </c>
      <c r="CZ157" s="9">
        <v>356</v>
      </c>
      <c r="DA157" s="9">
        <v>332</v>
      </c>
      <c r="DB157" s="9">
        <v>20</v>
      </c>
      <c r="DC157" s="9">
        <v>70</v>
      </c>
      <c r="DD157" s="9">
        <v>63</v>
      </c>
      <c r="DE157" s="9">
        <v>14</v>
      </c>
      <c r="DF157" s="9">
        <v>122</v>
      </c>
      <c r="DG157" s="9">
        <v>30</v>
      </c>
      <c r="DH157" s="9">
        <v>11</v>
      </c>
      <c r="DI157" s="9">
        <v>3</v>
      </c>
      <c r="DJ157" s="9">
        <v>5</v>
      </c>
      <c r="DK157" s="9">
        <v>3</v>
      </c>
      <c r="DL157" s="9">
        <v>4</v>
      </c>
      <c r="DM157" s="9">
        <v>9</v>
      </c>
      <c r="DN157" s="9">
        <v>0</v>
      </c>
      <c r="DO157" s="9">
        <v>470.3</v>
      </c>
      <c r="DP157" s="9">
        <v>124.91</v>
      </c>
      <c r="DQ157" s="9">
        <v>66.319999999999993</v>
      </c>
      <c r="DR157" s="9">
        <v>58.59</v>
      </c>
      <c r="DS157" s="9">
        <v>37.020000000000003</v>
      </c>
      <c r="DT157" s="9">
        <v>4.62</v>
      </c>
      <c r="DU157" s="9">
        <v>171.91</v>
      </c>
      <c r="DV157" s="9">
        <v>118.19</v>
      </c>
      <c r="DW157" s="9">
        <v>31.93</v>
      </c>
      <c r="DX157" s="9">
        <v>136.07</v>
      </c>
      <c r="DY157" s="9">
        <v>83.19</v>
      </c>
      <c r="DZ157" s="9">
        <v>37.35</v>
      </c>
      <c r="EA157" s="9">
        <v>-461.51900000000001</v>
      </c>
      <c r="EB157" s="9">
        <v>-154.221</v>
      </c>
      <c r="EC157" s="9">
        <v>-117.077</v>
      </c>
      <c r="ED157" s="9">
        <v>-198.51400000000001</v>
      </c>
      <c r="EE157" s="9">
        <v>8.2938320000000001</v>
      </c>
      <c r="EF157" s="9">
        <v>11.7296</v>
      </c>
      <c r="EG157" s="9">
        <v>-1713.19</v>
      </c>
      <c r="EH157" s="9">
        <v>-137.226</v>
      </c>
      <c r="EI157" s="9">
        <v>-1482.4</v>
      </c>
      <c r="EJ157" s="9">
        <v>0</v>
      </c>
      <c r="EK157" s="9">
        <v>-93.556799999999996</v>
      </c>
      <c r="EL157" s="9">
        <v>198.0044</v>
      </c>
      <c r="EM157" s="9">
        <v>1461.4010000000001</v>
      </c>
      <c r="EN157" s="9">
        <v>4125.8</v>
      </c>
      <c r="EO157" s="9"/>
      <c r="EP157" s="9"/>
      <c r="EQ157" s="9"/>
      <c r="ER157" s="9"/>
      <c r="ES157" s="9"/>
      <c r="ET157" s="9"/>
      <c r="EU157">
        <v>1396.11</v>
      </c>
      <c r="EV157" s="9">
        <v>17210.53</v>
      </c>
      <c r="EW157" s="9">
        <v>3599.34</v>
      </c>
      <c r="EX157" s="9">
        <v>571.49</v>
      </c>
      <c r="EY157" s="9">
        <v>1176.05</v>
      </c>
      <c r="EZ157" s="9">
        <v>2836.1</v>
      </c>
      <c r="FA157" s="9">
        <v>9027.56</v>
      </c>
      <c r="FB157" s="9">
        <v>96.076127819500002</v>
      </c>
      <c r="FC157" s="9">
        <v>109.64</v>
      </c>
      <c r="FD157" s="9">
        <v>7966.4868421052997</v>
      </c>
      <c r="FE157" s="9">
        <v>128.87368421049999</v>
      </c>
      <c r="FF157" s="9">
        <v>1688.5294117646999</v>
      </c>
      <c r="FG157" s="9">
        <v>6941135.2199999997</v>
      </c>
      <c r="FH157" s="9">
        <v>109655.24</v>
      </c>
      <c r="FI157" s="9">
        <v>293437.49</v>
      </c>
      <c r="FJ157" s="9">
        <v>3049825.86</v>
      </c>
      <c r="FK157" s="9">
        <v>25415.96</v>
      </c>
      <c r="FL157" s="9">
        <v>42183.48</v>
      </c>
      <c r="FM157" s="9"/>
      <c r="FN157" s="9"/>
      <c r="FO157" s="9"/>
      <c r="FP157" s="9"/>
      <c r="FQ157" s="9"/>
      <c r="FR157" s="9"/>
      <c r="FS157" s="9"/>
      <c r="FT157" s="9">
        <v>3891262.79</v>
      </c>
      <c r="FU157" s="9">
        <v>84239.3</v>
      </c>
      <c r="FV157" s="9">
        <v>251207.42</v>
      </c>
      <c r="FW157" s="9"/>
      <c r="FX157" s="9"/>
      <c r="FY157" s="9"/>
      <c r="FZ157" s="9">
        <v>20784.2</v>
      </c>
      <c r="GA157" s="9">
        <v>6422118.5899999999</v>
      </c>
      <c r="GB157" s="9">
        <v>2040423.1</v>
      </c>
      <c r="GC157" s="9">
        <v>4381695.49</v>
      </c>
      <c r="GD157" s="9">
        <v>4278779.66</v>
      </c>
      <c r="GE157" s="9">
        <v>464857.34</v>
      </c>
      <c r="GF157" s="9">
        <v>3813922.32</v>
      </c>
      <c r="GG157" s="9">
        <v>2143338.9300000002</v>
      </c>
      <c r="GH157" s="9">
        <v>1575565.76</v>
      </c>
      <c r="GI157" s="9">
        <v>567773.16999999993</v>
      </c>
      <c r="GJ157" s="9">
        <v>1553766.01</v>
      </c>
      <c r="GK157" s="9">
        <v>11992228.060000001</v>
      </c>
      <c r="GL157" s="9">
        <v>985719.45</v>
      </c>
      <c r="GM157">
        <v>1392.1</v>
      </c>
      <c r="GO157" s="6"/>
      <c r="GP157" s="6"/>
      <c r="GQ157" s="6"/>
    </row>
    <row r="158" spans="1:199" x14ac:dyDescent="0.2">
      <c r="A158" s="8">
        <v>2013</v>
      </c>
      <c r="B158" s="8" t="s">
        <v>407</v>
      </c>
      <c r="C158" s="8" t="s">
        <v>408</v>
      </c>
      <c r="D158" s="9"/>
      <c r="E158" s="9"/>
      <c r="F158" s="9"/>
      <c r="G158" s="9"/>
      <c r="H158" s="9"/>
      <c r="I158" s="9"/>
      <c r="J158" s="9"/>
      <c r="K158" s="9"/>
      <c r="L158" s="9"/>
      <c r="M158" s="9"/>
      <c r="N158" s="9"/>
      <c r="O158" s="9"/>
      <c r="P158" s="9"/>
      <c r="Q158" s="9"/>
      <c r="R158" s="9"/>
      <c r="S158" s="9"/>
      <c r="T158" s="9"/>
      <c r="U158" s="9"/>
      <c r="V158" s="9"/>
      <c r="W158" s="9"/>
      <c r="X158" s="9"/>
      <c r="Y158" s="9"/>
      <c r="Z158" s="9"/>
      <c r="AA158" s="9"/>
      <c r="AB158" s="9"/>
      <c r="AC158" s="9"/>
      <c r="AD158" s="9"/>
      <c r="AE158" s="9"/>
      <c r="AF158" s="9"/>
      <c r="AG158" s="9"/>
      <c r="AH158" s="9"/>
      <c r="AI158" s="9"/>
      <c r="AJ158" s="9"/>
      <c r="AK158" s="9"/>
      <c r="AL158" s="9"/>
      <c r="AM158" s="9"/>
      <c r="AN158" s="9"/>
      <c r="AO158" s="9"/>
      <c r="AP158" s="9"/>
      <c r="AQ158" s="9"/>
      <c r="AR158" s="9"/>
      <c r="AS158" s="9"/>
      <c r="AT158" s="9"/>
      <c r="AU158" s="9"/>
      <c r="AV158" s="9"/>
      <c r="AW158" s="9"/>
      <c r="AX158" s="9"/>
      <c r="AY158" s="9"/>
      <c r="AZ158" s="9"/>
      <c r="BA158" s="9"/>
      <c r="BB158" s="9"/>
      <c r="BC158" s="9"/>
      <c r="BD158" s="9"/>
      <c r="BE158" s="9"/>
      <c r="BF158" s="9"/>
      <c r="BG158" s="9"/>
      <c r="BH158" s="9"/>
      <c r="BI158" s="9"/>
      <c r="BJ158" s="9"/>
      <c r="BK158" s="9"/>
      <c r="BL158" s="9"/>
      <c r="BM158" s="9"/>
      <c r="BN158" s="9">
        <v>345694.6</v>
      </c>
      <c r="BO158" s="9">
        <v>295957.40000000002</v>
      </c>
      <c r="BP158" s="9">
        <v>67064.600000000006</v>
      </c>
      <c r="BQ158" s="9">
        <v>39411.599999999999</v>
      </c>
      <c r="BR158" s="9">
        <v>27653</v>
      </c>
      <c r="BS158" s="9">
        <v>52404.2</v>
      </c>
      <c r="BT158" s="9">
        <v>90029</v>
      </c>
      <c r="BU158" s="9">
        <v>28549.5</v>
      </c>
      <c r="BV158" s="9">
        <v>43120.7</v>
      </c>
      <c r="BW158" s="9">
        <v>266081.2</v>
      </c>
      <c r="BX158" s="9">
        <v>235</v>
      </c>
      <c r="BY158" s="9">
        <v>38788.800000000003</v>
      </c>
      <c r="BZ158" s="9">
        <v>101228.5</v>
      </c>
      <c r="CA158" s="9">
        <v>7203.3</v>
      </c>
      <c r="CB158" s="9">
        <v>4757.2</v>
      </c>
      <c r="CC158" s="9">
        <v>114103.5</v>
      </c>
      <c r="CD158" s="9">
        <v>0</v>
      </c>
      <c r="CE158" s="9">
        <v>875.9</v>
      </c>
      <c r="CF158" s="9">
        <v>1579287.1000079741</v>
      </c>
      <c r="CG158" s="9">
        <v>7338852.6205152748</v>
      </c>
      <c r="CH158" s="9"/>
      <c r="CI158" s="9"/>
      <c r="CJ158" s="9">
        <v>18.899999999999999</v>
      </c>
      <c r="CK158" s="9">
        <v>13.6</v>
      </c>
      <c r="CL158" s="9">
        <v>12.5</v>
      </c>
      <c r="CM158" s="9">
        <v>79.758654476700002</v>
      </c>
      <c r="CN158" s="9">
        <v>24.4351223219</v>
      </c>
      <c r="CO158" s="9">
        <v>3.1761172213000002</v>
      </c>
      <c r="CP158" s="9">
        <v>13.3995627994</v>
      </c>
      <c r="CQ158" s="9">
        <v>9.6785372951999999</v>
      </c>
      <c r="CR158" s="9">
        <v>3.5158476673000001</v>
      </c>
      <c r="CS158" s="9">
        <v>2.5397024606</v>
      </c>
      <c r="CT158" s="9">
        <v>9.4488951317000005</v>
      </c>
      <c r="CU158" s="9">
        <v>2.763135573</v>
      </c>
      <c r="CV158" s="9">
        <v>1.8740974985000001</v>
      </c>
      <c r="CW158" s="9">
        <v>3.7959604947000001</v>
      </c>
      <c r="CX158" s="9">
        <v>2.2040106086</v>
      </c>
      <c r="CY158" s="9">
        <v>2.9276654043999999</v>
      </c>
      <c r="CZ158" s="9">
        <v>282</v>
      </c>
      <c r="DA158" s="9">
        <v>261</v>
      </c>
      <c r="DB158" s="9">
        <v>14</v>
      </c>
      <c r="DC158" s="9">
        <v>71</v>
      </c>
      <c r="DD158" s="9">
        <v>32</v>
      </c>
      <c r="DE158" s="9">
        <v>15</v>
      </c>
      <c r="DF158" s="9">
        <v>88</v>
      </c>
      <c r="DG158" s="9">
        <v>34</v>
      </c>
      <c r="DH158" s="9">
        <v>12</v>
      </c>
      <c r="DI158" s="9">
        <v>1</v>
      </c>
      <c r="DJ158" s="9">
        <v>7</v>
      </c>
      <c r="DK158" s="9">
        <v>4</v>
      </c>
      <c r="DL158" s="9">
        <v>2</v>
      </c>
      <c r="DM158" s="9">
        <v>7</v>
      </c>
      <c r="DN158" s="9">
        <v>0</v>
      </c>
      <c r="DO158" s="9">
        <v>497.28</v>
      </c>
      <c r="DP158" s="9">
        <v>107.73</v>
      </c>
      <c r="DQ158" s="9">
        <v>53.58</v>
      </c>
      <c r="DR158" s="9">
        <v>54.15</v>
      </c>
      <c r="DS158" s="9">
        <v>32.1</v>
      </c>
      <c r="DT158" s="9">
        <v>0.57999999999999996</v>
      </c>
      <c r="DU158" s="9">
        <v>160.34</v>
      </c>
      <c r="DV158" s="9">
        <v>117.57</v>
      </c>
      <c r="DW158" s="9">
        <v>27.33</v>
      </c>
      <c r="DX158" s="9">
        <v>197.09</v>
      </c>
      <c r="DY158" s="9">
        <v>129.06</v>
      </c>
      <c r="DZ158" s="9">
        <v>44.44</v>
      </c>
      <c r="EA158" s="9">
        <v>-475.20100000000002</v>
      </c>
      <c r="EB158" s="9">
        <v>-246.96700000000001</v>
      </c>
      <c r="EC158" s="9">
        <v>-153.34100000000001</v>
      </c>
      <c r="ED158" s="9">
        <v>-81.826999999999998</v>
      </c>
      <c r="EE158" s="9">
        <v>6.9333229999999997</v>
      </c>
      <c r="EF158" s="9">
        <v>10.11708</v>
      </c>
      <c r="EG158" s="9">
        <v>-356.07</v>
      </c>
      <c r="EH158" s="9">
        <v>-280.52199999999999</v>
      </c>
      <c r="EI158" s="9">
        <v>-8.3256999999999994</v>
      </c>
      <c r="EJ158" s="9">
        <v>0</v>
      </c>
      <c r="EK158" s="9">
        <v>-67.222800000000007</v>
      </c>
      <c r="EL158" s="9">
        <v>37.243079999999999</v>
      </c>
      <c r="EM158" s="9">
        <v>-71.771000000000001</v>
      </c>
      <c r="EN158" s="9">
        <v>4080.9</v>
      </c>
      <c r="EO158" s="9"/>
      <c r="EP158" s="9"/>
      <c r="EQ158" s="9"/>
      <c r="ER158" s="9"/>
      <c r="ES158" s="9"/>
      <c r="ET158" s="9"/>
      <c r="EU158">
        <v>1392.76</v>
      </c>
      <c r="EV158" s="9"/>
      <c r="EW158" s="9"/>
      <c r="EX158" s="9"/>
      <c r="EY158" s="9"/>
      <c r="EZ158" s="9"/>
      <c r="FA158" s="9"/>
      <c r="FB158" s="9">
        <v>96.952110389599994</v>
      </c>
      <c r="FC158" s="9">
        <v>112.92869565220001</v>
      </c>
      <c r="FD158" s="9">
        <v>8053.7386363635997</v>
      </c>
      <c r="FE158" s="9">
        <v>150.4909090909</v>
      </c>
      <c r="FF158" s="9">
        <v>1670.9545454546001</v>
      </c>
      <c r="FG158" s="9">
        <v>7092594.5099999998</v>
      </c>
      <c r="FH158" s="9">
        <v>104533.84</v>
      </c>
      <c r="FI158" s="9">
        <v>306126.19</v>
      </c>
      <c r="FJ158" s="9">
        <v>3149728.36</v>
      </c>
      <c r="FK158" s="9">
        <v>26590.33</v>
      </c>
      <c r="FL158" s="9">
        <v>42549.08</v>
      </c>
      <c r="FM158" s="9"/>
      <c r="FN158" s="9"/>
      <c r="FO158" s="9"/>
      <c r="FP158" s="9"/>
      <c r="FQ158" s="9"/>
      <c r="FR158" s="9"/>
      <c r="FS158" s="9"/>
      <c r="FT158" s="9">
        <v>3942821.49</v>
      </c>
      <c r="FU158" s="9">
        <v>77943.509999999995</v>
      </c>
      <c r="FV158" s="9">
        <v>263532.45000000013</v>
      </c>
      <c r="FW158" s="9"/>
      <c r="FX158" s="9"/>
      <c r="FY158" s="9"/>
      <c r="FZ158" s="9">
        <v>21584.6</v>
      </c>
      <c r="GA158" s="9">
        <v>6313216.1899999985</v>
      </c>
      <c r="GB158" s="9">
        <v>1870160.05</v>
      </c>
      <c r="GC158" s="9">
        <v>4443056.1399999997</v>
      </c>
      <c r="GD158" s="9">
        <v>4250048.7699999996</v>
      </c>
      <c r="GE158" s="9">
        <v>414518.23</v>
      </c>
      <c r="GF158" s="9">
        <v>3835530.540000001</v>
      </c>
      <c r="GG158" s="9">
        <v>2063167.42</v>
      </c>
      <c r="GH158" s="9">
        <v>1455641.82</v>
      </c>
      <c r="GI158" s="9">
        <v>607525.6</v>
      </c>
      <c r="GJ158" s="9">
        <v>1481567.79</v>
      </c>
      <c r="GK158" s="9">
        <v>12215208.51</v>
      </c>
      <c r="GL158" s="9">
        <v>1050788.4099999999</v>
      </c>
      <c r="GM158">
        <v>1392.56</v>
      </c>
      <c r="GO158" s="6"/>
      <c r="GP158" s="6"/>
      <c r="GQ158" s="6"/>
    </row>
    <row r="159" spans="1:199" x14ac:dyDescent="0.2">
      <c r="A159" s="8">
        <v>2013</v>
      </c>
      <c r="B159" s="8" t="s">
        <v>407</v>
      </c>
      <c r="C159" s="8" t="s">
        <v>409</v>
      </c>
      <c r="D159" s="9"/>
      <c r="E159" s="9"/>
      <c r="F159" s="9"/>
      <c r="G159" s="9"/>
      <c r="H159" s="9"/>
      <c r="I159" s="9"/>
      <c r="J159" s="9"/>
      <c r="K159" s="9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9"/>
      <c r="AA159" s="9"/>
      <c r="AB159" s="9"/>
      <c r="AC159" s="9"/>
      <c r="AD159" s="9"/>
      <c r="AE159" s="9"/>
      <c r="AF159" s="9"/>
      <c r="AG159" s="9"/>
      <c r="AH159" s="9"/>
      <c r="AI159" s="9"/>
      <c r="AJ159" s="9"/>
      <c r="AK159" s="9"/>
      <c r="AL159" s="9"/>
      <c r="AM159" s="9"/>
      <c r="AN159" s="9"/>
      <c r="AO159" s="9"/>
      <c r="AP159" s="9"/>
      <c r="AQ159" s="9"/>
      <c r="AR159" s="9"/>
      <c r="AS159" s="9"/>
      <c r="AT159" s="9"/>
      <c r="AU159" s="9"/>
      <c r="AV159" s="9"/>
      <c r="AW159" s="9"/>
      <c r="AX159" s="9"/>
      <c r="AY159" s="9"/>
      <c r="AZ159" s="9"/>
      <c r="BA159" s="9"/>
      <c r="BB159" s="9"/>
      <c r="BC159" s="9"/>
      <c r="BD159" s="9"/>
      <c r="BE159" s="9"/>
      <c r="BF159" s="9"/>
      <c r="BG159" s="9"/>
      <c r="BH159" s="9"/>
      <c r="BI159" s="9"/>
      <c r="BJ159" s="9"/>
      <c r="BK159" s="9"/>
      <c r="BL159" s="9"/>
      <c r="BM159" s="9"/>
      <c r="BN159" s="9">
        <v>359481.4</v>
      </c>
      <c r="BO159" s="9">
        <v>330543.40000000002</v>
      </c>
      <c r="BP159" s="9">
        <v>118380.6</v>
      </c>
      <c r="BQ159" s="9">
        <v>78602.3</v>
      </c>
      <c r="BR159" s="9">
        <v>39778.300000000003</v>
      </c>
      <c r="BS159" s="9">
        <v>56276.3</v>
      </c>
      <c r="BT159" s="9">
        <v>92610.8</v>
      </c>
      <c r="BU159" s="9">
        <v>28700.9</v>
      </c>
      <c r="BV159" s="9">
        <v>28505.1</v>
      </c>
      <c r="BW159" s="9">
        <v>333847.09999999998</v>
      </c>
      <c r="BX159" s="9">
        <v>-7342</v>
      </c>
      <c r="BY159" s="9">
        <v>57754.3</v>
      </c>
      <c r="BZ159" s="9">
        <v>110187.3</v>
      </c>
      <c r="CA159" s="9">
        <v>2655.8</v>
      </c>
      <c r="CB159" s="9">
        <v>21214.9</v>
      </c>
      <c r="CC159" s="9">
        <v>142034.70000000001</v>
      </c>
      <c r="CD159" s="9">
        <v>0</v>
      </c>
      <c r="CE159" s="9">
        <v>21641.9</v>
      </c>
      <c r="CF159" s="9">
        <v>1480260.118565867</v>
      </c>
      <c r="CG159" s="9">
        <v>7236123.780088556</v>
      </c>
      <c r="CH159" s="9"/>
      <c r="CI159" s="9"/>
      <c r="CJ159" s="9">
        <v>19.100000000000001</v>
      </c>
      <c r="CK159" s="9">
        <v>13.1</v>
      </c>
      <c r="CL159" s="9">
        <v>12.5</v>
      </c>
      <c r="CM159" s="9">
        <v>80.562088907200007</v>
      </c>
      <c r="CN159" s="9">
        <v>25.2044674403</v>
      </c>
      <c r="CO159" s="9">
        <v>3.1901470407999999</v>
      </c>
      <c r="CP159" s="9">
        <v>13.4595812824</v>
      </c>
      <c r="CQ159" s="9">
        <v>9.5844528459999996</v>
      </c>
      <c r="CR159" s="9">
        <v>3.5338167957</v>
      </c>
      <c r="CS159" s="9">
        <v>2.5472073143</v>
      </c>
      <c r="CT159" s="9">
        <v>9.4707260324</v>
      </c>
      <c r="CU159" s="9">
        <v>2.7597957028</v>
      </c>
      <c r="CV159" s="9">
        <v>1.8727687105999999</v>
      </c>
      <c r="CW159" s="9">
        <v>3.7959604947000001</v>
      </c>
      <c r="CX159" s="9">
        <v>2.2095079686000001</v>
      </c>
      <c r="CY159" s="9">
        <v>2.9336572785000001</v>
      </c>
      <c r="CZ159" s="9">
        <v>225</v>
      </c>
      <c r="DA159" s="9">
        <v>211</v>
      </c>
      <c r="DB159" s="9">
        <v>15</v>
      </c>
      <c r="DC159" s="9">
        <v>65</v>
      </c>
      <c r="DD159" s="9">
        <v>53</v>
      </c>
      <c r="DE159" s="9">
        <v>12</v>
      </c>
      <c r="DF159" s="9">
        <v>35</v>
      </c>
      <c r="DG159" s="9">
        <v>25</v>
      </c>
      <c r="DH159" s="9">
        <v>8</v>
      </c>
      <c r="DI159" s="9">
        <v>0</v>
      </c>
      <c r="DJ159" s="9">
        <v>3</v>
      </c>
      <c r="DK159" s="9">
        <v>3</v>
      </c>
      <c r="DL159" s="9">
        <v>1</v>
      </c>
      <c r="DM159" s="9">
        <v>5</v>
      </c>
      <c r="DN159" s="9">
        <v>0</v>
      </c>
      <c r="DO159" s="9">
        <v>313.52</v>
      </c>
      <c r="DP159" s="9">
        <v>84.02</v>
      </c>
      <c r="DQ159" s="9">
        <v>41.92</v>
      </c>
      <c r="DR159" s="9">
        <v>42.1</v>
      </c>
      <c r="DS159" s="9">
        <v>23.24</v>
      </c>
      <c r="DT159" s="9">
        <v>3.61</v>
      </c>
      <c r="DU159" s="9">
        <v>116.69</v>
      </c>
      <c r="DV159" s="9">
        <v>88.9</v>
      </c>
      <c r="DW159" s="9">
        <v>17.97</v>
      </c>
      <c r="DX159" s="9">
        <v>89.48</v>
      </c>
      <c r="DY159" s="9">
        <v>62.28</v>
      </c>
      <c r="DZ159" s="9">
        <v>15.17</v>
      </c>
      <c r="EA159" s="9">
        <v>-294.48099999999999</v>
      </c>
      <c r="EB159" s="9">
        <v>-119.15</v>
      </c>
      <c r="EC159" s="9">
        <v>-107.453</v>
      </c>
      <c r="ED159" s="9">
        <v>-77.400899999999993</v>
      </c>
      <c r="EE159" s="9">
        <v>9.5225500000000007</v>
      </c>
      <c r="EF159" s="9">
        <v>9.6137060000000005</v>
      </c>
      <c r="EG159" s="9">
        <v>-226.148</v>
      </c>
      <c r="EH159" s="9">
        <v>-280.73599999999999</v>
      </c>
      <c r="EI159" s="9">
        <v>-6.0994400000000004</v>
      </c>
      <c r="EJ159" s="9">
        <v>0</v>
      </c>
      <c r="EK159" s="9">
        <v>60.688279999999999</v>
      </c>
      <c r="EL159" s="9">
        <v>-69.118799999999993</v>
      </c>
      <c r="EM159" s="9">
        <v>-127.83799999999999</v>
      </c>
      <c r="EN159" s="9">
        <v>4011.8</v>
      </c>
      <c r="EO159" s="9"/>
      <c r="EP159" s="9"/>
      <c r="EQ159" s="9"/>
      <c r="ER159" s="9"/>
      <c r="ES159" s="9"/>
      <c r="ET159" s="9"/>
      <c r="EU159">
        <v>1393.9</v>
      </c>
      <c r="EV159" s="9"/>
      <c r="EW159" s="9"/>
      <c r="EX159" s="9"/>
      <c r="EY159" s="9"/>
      <c r="EZ159" s="9"/>
      <c r="FA159" s="9"/>
      <c r="FB159" s="9">
        <v>100.3473214286</v>
      </c>
      <c r="FC159" s="9">
        <v>116.455</v>
      </c>
      <c r="FD159" s="9">
        <v>8060.9250000000002</v>
      </c>
      <c r="FE159" s="9">
        <v>154.6388888889</v>
      </c>
      <c r="FF159" s="9">
        <v>1627.5875000000001</v>
      </c>
      <c r="FG159" s="9">
        <v>7121233.9199999999</v>
      </c>
      <c r="FH159" s="9">
        <v>109610.9</v>
      </c>
      <c r="FI159" s="9">
        <v>304879.02</v>
      </c>
      <c r="FJ159" s="9">
        <v>3193434.1</v>
      </c>
      <c r="FK159" s="9">
        <v>30404</v>
      </c>
      <c r="FL159" s="9">
        <v>45435.51</v>
      </c>
      <c r="FM159" s="9"/>
      <c r="FN159" s="9"/>
      <c r="FO159" s="9"/>
      <c r="FP159" s="9"/>
      <c r="FQ159" s="9"/>
      <c r="FR159" s="9"/>
      <c r="FS159" s="9"/>
      <c r="FT159" s="9">
        <v>3927757.39</v>
      </c>
      <c r="FU159" s="9">
        <v>79206.899999999994</v>
      </c>
      <c r="FV159" s="9">
        <v>259401.08</v>
      </c>
      <c r="FW159" s="9"/>
      <c r="FX159" s="9"/>
      <c r="FY159" s="9"/>
      <c r="FZ159" s="9">
        <v>21602.62</v>
      </c>
      <c r="GA159" s="9">
        <v>6331355.8999999994</v>
      </c>
      <c r="GB159" s="9">
        <v>1799100.26</v>
      </c>
      <c r="GC159" s="9">
        <v>4532255.6399999997</v>
      </c>
      <c r="GD159" s="9">
        <v>4342642.3599999994</v>
      </c>
      <c r="GE159" s="9">
        <v>415582.09</v>
      </c>
      <c r="GF159" s="9">
        <v>3927060.27</v>
      </c>
      <c r="GG159" s="9">
        <v>1988713.54</v>
      </c>
      <c r="GH159" s="9">
        <v>1383518.17</v>
      </c>
      <c r="GI159" s="9">
        <v>605195.37</v>
      </c>
      <c r="GJ159" s="9">
        <v>1421582.32</v>
      </c>
      <c r="GK159" s="9">
        <v>12560689.07</v>
      </c>
      <c r="GL159" s="9">
        <v>1018534.57</v>
      </c>
      <c r="GM159">
        <v>1402.15</v>
      </c>
      <c r="GO159" s="6"/>
      <c r="GP159" s="6"/>
      <c r="GQ159" s="6"/>
    </row>
    <row r="160" spans="1:199" x14ac:dyDescent="0.2">
      <c r="A160" s="8">
        <v>2013</v>
      </c>
      <c r="B160" s="8" t="s">
        <v>407</v>
      </c>
      <c r="C160" s="8" t="s">
        <v>410</v>
      </c>
      <c r="D160" s="9">
        <v>3508102.4</v>
      </c>
      <c r="E160" s="9">
        <v>107940.7</v>
      </c>
      <c r="F160" s="9">
        <v>681872.6</v>
      </c>
      <c r="G160" s="9">
        <v>301469.5</v>
      </c>
      <c r="H160" s="9">
        <v>98112.9</v>
      </c>
      <c r="I160" s="9">
        <v>34141.800000000003</v>
      </c>
      <c r="J160" s="9">
        <v>370417.7</v>
      </c>
      <c r="K160" s="9">
        <v>190602.2</v>
      </c>
      <c r="L160" s="9">
        <v>100674.7</v>
      </c>
      <c r="M160" s="9">
        <v>1176776.3999999999</v>
      </c>
      <c r="N160" s="9">
        <v>446093.7</v>
      </c>
      <c r="O160" s="9">
        <v>3792399.9510462792</v>
      </c>
      <c r="P160" s="9">
        <v>105428.2950994579</v>
      </c>
      <c r="Q160" s="9">
        <v>715331.74057623767</v>
      </c>
      <c r="R160" s="9">
        <v>265582.20804286242</v>
      </c>
      <c r="S160" s="9">
        <v>137718.16844005079</v>
      </c>
      <c r="T160" s="9">
        <v>32853.222053318197</v>
      </c>
      <c r="U160" s="9">
        <v>453613.72249392472</v>
      </c>
      <c r="V160" s="9">
        <v>220886.15307680721</v>
      </c>
      <c r="W160" s="9">
        <v>111422.92000378419</v>
      </c>
      <c r="X160" s="9">
        <v>1220516.202688501</v>
      </c>
      <c r="Y160" s="9">
        <v>529047.3185713347</v>
      </c>
      <c r="Z160" s="9">
        <v>3333854.5</v>
      </c>
      <c r="AA160" s="9">
        <v>2223543.2000000002</v>
      </c>
      <c r="AB160" s="9">
        <v>536407.80000000005</v>
      </c>
      <c r="AC160" s="9">
        <v>1131192</v>
      </c>
      <c r="AD160" s="9">
        <v>231767.1</v>
      </c>
      <c r="AE160" s="9">
        <v>1239271.2</v>
      </c>
      <c r="AF160" s="9">
        <v>2028326.9</v>
      </c>
      <c r="AG160" s="9">
        <v>3591969.2653785492</v>
      </c>
      <c r="AH160" s="9">
        <v>2378227.0378032168</v>
      </c>
      <c r="AI160" s="9">
        <v>614487.31642238656</v>
      </c>
      <c r="AJ160" s="9">
        <v>1072364.684722594</v>
      </c>
      <c r="AK160" s="9">
        <v>268744.78683274332</v>
      </c>
      <c r="AL160" s="9">
        <v>1017542.856839304</v>
      </c>
      <c r="AM160" s="9">
        <v>1759397.417241696</v>
      </c>
      <c r="AN160" s="9">
        <v>1032454</v>
      </c>
      <c r="AO160" s="9">
        <v>545712</v>
      </c>
      <c r="AP160" s="9">
        <v>486742</v>
      </c>
      <c r="AQ160" s="9">
        <v>106072</v>
      </c>
      <c r="AR160" s="9">
        <v>53700</v>
      </c>
      <c r="AS160" s="9">
        <v>52372</v>
      </c>
      <c r="AT160" s="9">
        <v>711394</v>
      </c>
      <c r="AU160" s="9">
        <v>279727</v>
      </c>
      <c r="AV160" s="9">
        <v>431667</v>
      </c>
      <c r="AW160" s="9">
        <v>692.3</v>
      </c>
      <c r="AX160" s="9">
        <v>302.60000000000002</v>
      </c>
      <c r="AY160" s="9">
        <v>1050.2</v>
      </c>
      <c r="AZ160" s="9">
        <v>591.6</v>
      </c>
      <c r="BA160" s="9">
        <v>774.5</v>
      </c>
      <c r="BB160" s="9">
        <v>517.5</v>
      </c>
      <c r="BC160" s="9">
        <v>581.29999999999995</v>
      </c>
      <c r="BD160" s="9">
        <v>703.1</v>
      </c>
      <c r="BE160" s="9">
        <v>794.3</v>
      </c>
      <c r="BF160" s="9">
        <v>489.1</v>
      </c>
      <c r="BG160" s="9">
        <v>752.5</v>
      </c>
      <c r="BH160" s="9">
        <v>1346</v>
      </c>
      <c r="BI160" s="9">
        <v>606.4</v>
      </c>
      <c r="BJ160" s="9">
        <v>641.79999999999995</v>
      </c>
      <c r="BK160" s="9">
        <v>653</v>
      </c>
      <c r="BL160" s="9">
        <v>529.4</v>
      </c>
      <c r="BM160" s="9">
        <v>423.9</v>
      </c>
      <c r="BN160" s="9">
        <v>412891.3</v>
      </c>
      <c r="BO160" s="9">
        <v>356565.5</v>
      </c>
      <c r="BP160" s="9">
        <v>68221.100000000006</v>
      </c>
      <c r="BQ160" s="9">
        <v>37604.400000000001</v>
      </c>
      <c r="BR160" s="9">
        <v>30616.7</v>
      </c>
      <c r="BS160" s="9">
        <v>67402.899999999994</v>
      </c>
      <c r="BT160" s="9">
        <v>109918.5</v>
      </c>
      <c r="BU160" s="9">
        <v>28374.1</v>
      </c>
      <c r="BV160" s="9">
        <v>48551.199999999997</v>
      </c>
      <c r="BW160" s="9">
        <v>386972.9</v>
      </c>
      <c r="BX160" s="9">
        <v>2706</v>
      </c>
      <c r="BY160" s="9">
        <v>67964.600000000006</v>
      </c>
      <c r="BZ160" s="9">
        <v>114809.8</v>
      </c>
      <c r="CA160" s="9">
        <v>10596.3</v>
      </c>
      <c r="CB160" s="9">
        <v>32162.799999999999</v>
      </c>
      <c r="CC160" s="9">
        <v>161439.5</v>
      </c>
      <c r="CD160" s="9">
        <v>0</v>
      </c>
      <c r="CE160" s="9">
        <v>14701</v>
      </c>
      <c r="CF160" s="9">
        <v>1589074.686737082</v>
      </c>
      <c r="CG160" s="9">
        <v>7298742.3656497011</v>
      </c>
      <c r="CH160" s="9"/>
      <c r="CI160" s="9"/>
      <c r="CJ160" s="9">
        <v>19.564002104299998</v>
      </c>
      <c r="CK160" s="9">
        <v>14.163243895000001</v>
      </c>
      <c r="CL160" s="9">
        <v>12.5</v>
      </c>
      <c r="CM160" s="9">
        <v>81.112180930700006</v>
      </c>
      <c r="CN160" s="9">
        <v>25.5399048423</v>
      </c>
      <c r="CO160" s="9">
        <v>3.1971310824999999</v>
      </c>
      <c r="CP160" s="9">
        <v>13.530551090599999</v>
      </c>
      <c r="CQ160" s="9">
        <v>9.5452147587000002</v>
      </c>
      <c r="CR160" s="9">
        <v>3.570128102</v>
      </c>
      <c r="CS160" s="9">
        <v>2.5952401123</v>
      </c>
      <c r="CT160" s="9">
        <v>9.4983922942000003</v>
      </c>
      <c r="CU160" s="9">
        <v>2.7592089605000001</v>
      </c>
      <c r="CV160" s="9">
        <v>1.8719138637999999</v>
      </c>
      <c r="CW160" s="9">
        <v>3.7959604947000001</v>
      </c>
      <c r="CX160" s="9">
        <v>2.2524646222000002</v>
      </c>
      <c r="CY160" s="9">
        <v>2.9560707069999999</v>
      </c>
      <c r="CZ160" s="9">
        <v>303</v>
      </c>
      <c r="DA160" s="9">
        <v>277</v>
      </c>
      <c r="DB160" s="9">
        <v>14</v>
      </c>
      <c r="DC160" s="9">
        <v>73</v>
      </c>
      <c r="DD160" s="9">
        <v>41</v>
      </c>
      <c r="DE160" s="9">
        <v>16</v>
      </c>
      <c r="DF160" s="9">
        <v>86</v>
      </c>
      <c r="DG160" s="9">
        <v>36</v>
      </c>
      <c r="DH160" s="9">
        <v>10</v>
      </c>
      <c r="DI160" s="9">
        <v>0</v>
      </c>
      <c r="DJ160" s="9">
        <v>5</v>
      </c>
      <c r="DK160" s="9">
        <v>2</v>
      </c>
      <c r="DL160" s="9">
        <v>1</v>
      </c>
      <c r="DM160" s="9">
        <v>16</v>
      </c>
      <c r="DN160" s="9">
        <v>0</v>
      </c>
      <c r="DO160" s="9">
        <v>394.74</v>
      </c>
      <c r="DP160" s="9">
        <v>110.34</v>
      </c>
      <c r="DQ160" s="9">
        <v>56.56</v>
      </c>
      <c r="DR160" s="9">
        <v>53.78</v>
      </c>
      <c r="DS160" s="9">
        <v>32.71</v>
      </c>
      <c r="DT160" s="9">
        <v>3.63</v>
      </c>
      <c r="DU160" s="9">
        <v>206.42</v>
      </c>
      <c r="DV160" s="9">
        <v>152.35</v>
      </c>
      <c r="DW160" s="9">
        <v>40.85</v>
      </c>
      <c r="DX160" s="9">
        <v>45.06</v>
      </c>
      <c r="DY160" s="9">
        <v>28.41</v>
      </c>
      <c r="DZ160" s="9">
        <v>6.82</v>
      </c>
      <c r="EA160" s="9">
        <v>-363.19499999999999</v>
      </c>
      <c r="EB160" s="9">
        <v>-128.71</v>
      </c>
      <c r="EC160" s="9">
        <v>-161.77500000000001</v>
      </c>
      <c r="ED160" s="9">
        <v>-85.355900000000005</v>
      </c>
      <c r="EE160" s="9">
        <v>12.645339999999999</v>
      </c>
      <c r="EF160" s="9">
        <v>9.1240679999999994</v>
      </c>
      <c r="EG160" s="9">
        <v>-37.762</v>
      </c>
      <c r="EH160" s="9">
        <v>-278.62200000000001</v>
      </c>
      <c r="EI160" s="9">
        <v>11.22706</v>
      </c>
      <c r="EJ160" s="9">
        <v>0</v>
      </c>
      <c r="EK160" s="9">
        <v>229.6327</v>
      </c>
      <c r="EL160" s="9">
        <v>118.15689999999999</v>
      </c>
      <c r="EM160" s="9">
        <v>-198.15199999999999</v>
      </c>
      <c r="EN160" s="9">
        <v>3796.6</v>
      </c>
      <c r="EO160" s="9"/>
      <c r="EP160" s="9"/>
      <c r="EQ160" s="9"/>
      <c r="ER160" s="9"/>
      <c r="ES160" s="9"/>
      <c r="ET160" s="9"/>
      <c r="EU160">
        <v>1404.39</v>
      </c>
      <c r="EV160" s="9">
        <v>17922.189999999999</v>
      </c>
      <c r="EW160" s="9">
        <v>3523.95</v>
      </c>
      <c r="EX160" s="9">
        <v>528.29</v>
      </c>
      <c r="EY160" s="9">
        <v>1213.55</v>
      </c>
      <c r="EZ160" s="9">
        <v>2926.16</v>
      </c>
      <c r="FA160" s="9">
        <v>9730.24</v>
      </c>
      <c r="FB160" s="9">
        <v>97.316785714299996</v>
      </c>
      <c r="FC160" s="9">
        <v>109.24</v>
      </c>
      <c r="FD160" s="9">
        <v>7652.375</v>
      </c>
      <c r="FE160" s="9">
        <v>139.87</v>
      </c>
      <c r="FF160" s="9">
        <v>1592.8625</v>
      </c>
      <c r="FG160" s="9">
        <v>7336370.3799999999</v>
      </c>
      <c r="FH160" s="9">
        <v>98591.84</v>
      </c>
      <c r="FI160" s="9">
        <v>307516.78999999998</v>
      </c>
      <c r="FJ160" s="9">
        <v>3321720.88</v>
      </c>
      <c r="FK160" s="9">
        <v>30049.79</v>
      </c>
      <c r="FL160" s="9">
        <v>47075.05</v>
      </c>
      <c r="FM160" s="9"/>
      <c r="FN160" s="9"/>
      <c r="FO160" s="9"/>
      <c r="FP160" s="9"/>
      <c r="FQ160" s="9"/>
      <c r="FR160" s="9"/>
      <c r="FS160" s="9"/>
      <c r="FT160" s="9">
        <v>4014609.25</v>
      </c>
      <c r="FU160" s="9">
        <v>68542.05</v>
      </c>
      <c r="FV160" s="9">
        <v>260401.49</v>
      </c>
      <c r="FW160" s="9"/>
      <c r="FX160" s="9"/>
      <c r="FY160" s="9"/>
      <c r="FZ160" s="9">
        <v>20820.64</v>
      </c>
      <c r="GA160" s="9">
        <v>6408507.6600000001</v>
      </c>
      <c r="GB160" s="9">
        <v>1908402.82</v>
      </c>
      <c r="GC160" s="9">
        <v>4500104.84</v>
      </c>
      <c r="GD160" s="9">
        <v>4347460.3499999996</v>
      </c>
      <c r="GE160" s="9">
        <v>416697.49</v>
      </c>
      <c r="GF160" s="9">
        <v>3930762.86</v>
      </c>
      <c r="GG160" s="9">
        <v>2061047.31</v>
      </c>
      <c r="GH160" s="9">
        <v>1491705.33</v>
      </c>
      <c r="GI160" s="9">
        <v>569341.98</v>
      </c>
      <c r="GJ160" s="9">
        <v>1406092.46</v>
      </c>
      <c r="GK160" s="9">
        <v>13286021.869999999</v>
      </c>
      <c r="GL160" s="9">
        <v>1026459.96</v>
      </c>
      <c r="GM160">
        <v>1410.32</v>
      </c>
      <c r="GO160" s="6"/>
      <c r="GP160" s="6"/>
      <c r="GQ160" s="6"/>
    </row>
    <row r="161" spans="1:199" x14ac:dyDescent="0.2">
      <c r="A161" s="8">
        <v>2013</v>
      </c>
      <c r="B161" s="8" t="s">
        <v>411</v>
      </c>
      <c r="C161" s="8" t="s">
        <v>412</v>
      </c>
      <c r="D161" s="9"/>
      <c r="E161" s="9"/>
      <c r="F161" s="9"/>
      <c r="G161" s="9"/>
      <c r="H161" s="9"/>
      <c r="I161" s="9"/>
      <c r="J161" s="9"/>
      <c r="K161" s="9"/>
      <c r="L161" s="9"/>
      <c r="M161" s="9"/>
      <c r="N161" s="9"/>
      <c r="O161" s="9"/>
      <c r="P161" s="9"/>
      <c r="Q161" s="9"/>
      <c r="R161" s="9"/>
      <c r="S161" s="9"/>
      <c r="T161" s="9"/>
      <c r="U161" s="9"/>
      <c r="V161" s="9"/>
      <c r="W161" s="9"/>
      <c r="X161" s="9"/>
      <c r="Y161" s="9"/>
      <c r="Z161" s="9"/>
      <c r="AA161" s="9"/>
      <c r="AB161" s="9"/>
      <c r="AC161" s="9"/>
      <c r="AD161" s="9"/>
      <c r="AE161" s="9"/>
      <c r="AF161" s="9"/>
      <c r="AG161" s="9"/>
      <c r="AH161" s="9"/>
      <c r="AI161" s="9"/>
      <c r="AJ161" s="9"/>
      <c r="AK161" s="9"/>
      <c r="AL161" s="9"/>
      <c r="AM161" s="9"/>
      <c r="AN161" s="9"/>
      <c r="AO161" s="9"/>
      <c r="AP161" s="9"/>
      <c r="AQ161" s="9"/>
      <c r="AR161" s="9"/>
      <c r="AS161" s="9"/>
      <c r="AT161" s="9"/>
      <c r="AU161" s="9"/>
      <c r="AV161" s="9"/>
      <c r="AW161" s="9"/>
      <c r="AX161" s="9"/>
      <c r="AY161" s="9"/>
      <c r="AZ161" s="9"/>
      <c r="BA161" s="9"/>
      <c r="BB161" s="9"/>
      <c r="BC161" s="9"/>
      <c r="BD161" s="9"/>
      <c r="BE161" s="9"/>
      <c r="BF161" s="9"/>
      <c r="BG161" s="9"/>
      <c r="BH161" s="9"/>
      <c r="BI161" s="9"/>
      <c r="BJ161" s="9"/>
      <c r="BK161" s="9"/>
      <c r="BL161" s="9"/>
      <c r="BM161" s="9"/>
      <c r="BN161" s="9">
        <v>490701.3</v>
      </c>
      <c r="BO161" s="9">
        <v>439456.8</v>
      </c>
      <c r="BP161" s="9">
        <v>108242.8</v>
      </c>
      <c r="BQ161" s="9">
        <v>78121.399999999994</v>
      </c>
      <c r="BR161" s="9">
        <v>30121.4</v>
      </c>
      <c r="BS161" s="9">
        <v>83401.399999999994</v>
      </c>
      <c r="BT161" s="9">
        <v>105760</v>
      </c>
      <c r="BU161" s="9">
        <v>30125.4</v>
      </c>
      <c r="BV161" s="9">
        <v>46493.5</v>
      </c>
      <c r="BW161" s="9">
        <v>362240.9</v>
      </c>
      <c r="BX161" s="9">
        <v>4769</v>
      </c>
      <c r="BY161" s="9">
        <v>72678.600000000006</v>
      </c>
      <c r="BZ161" s="9">
        <v>113067.6</v>
      </c>
      <c r="CA161" s="9">
        <v>8243.7000000000007</v>
      </c>
      <c r="CB161" s="9">
        <v>5316.6</v>
      </c>
      <c r="CC161" s="9">
        <v>162934.20000000001</v>
      </c>
      <c r="CD161" s="9">
        <v>0</v>
      </c>
      <c r="CE161" s="9">
        <v>66633.2</v>
      </c>
      <c r="CF161" s="9">
        <v>1668191.383183552</v>
      </c>
      <c r="CG161" s="9">
        <v>7182082.0356264133</v>
      </c>
      <c r="CH161" s="9"/>
      <c r="CI161" s="9"/>
      <c r="CJ161" s="9">
        <v>19.100000000000001</v>
      </c>
      <c r="CK161" s="9">
        <v>13.2</v>
      </c>
      <c r="CL161" s="9">
        <v>11.5</v>
      </c>
      <c r="CM161" s="9">
        <v>82.045995530400006</v>
      </c>
      <c r="CN161" s="9">
        <v>26.273970188</v>
      </c>
      <c r="CO161" s="9">
        <v>3.2120747412999999</v>
      </c>
      <c r="CP161" s="9">
        <v>13.622675232100001</v>
      </c>
      <c r="CQ161" s="9">
        <v>9.5730066267999998</v>
      </c>
      <c r="CR161" s="9">
        <v>3.5872900326999999</v>
      </c>
      <c r="CS161" s="9">
        <v>2.6021224116999999</v>
      </c>
      <c r="CT161" s="9">
        <v>9.4958056746999997</v>
      </c>
      <c r="CU161" s="9">
        <v>2.7586179194999998</v>
      </c>
      <c r="CV161" s="9">
        <v>1.8779200907</v>
      </c>
      <c r="CW161" s="9">
        <v>3.7959604947000001</v>
      </c>
      <c r="CX161" s="9">
        <v>2.2715707710999999</v>
      </c>
      <c r="CY161" s="9">
        <v>2.9749813471</v>
      </c>
      <c r="CZ161" s="9">
        <v>407</v>
      </c>
      <c r="DA161" s="9">
        <v>359</v>
      </c>
      <c r="DB161" s="9">
        <v>12</v>
      </c>
      <c r="DC161" s="9">
        <v>67</v>
      </c>
      <c r="DD161" s="9">
        <v>97</v>
      </c>
      <c r="DE161" s="9">
        <v>5</v>
      </c>
      <c r="DF161" s="9">
        <v>130</v>
      </c>
      <c r="DG161" s="9">
        <v>41</v>
      </c>
      <c r="DH161" s="9">
        <v>36</v>
      </c>
      <c r="DI161" s="9">
        <v>0</v>
      </c>
      <c r="DJ161" s="9">
        <v>2</v>
      </c>
      <c r="DK161" s="9">
        <v>33</v>
      </c>
      <c r="DL161" s="9">
        <v>1</v>
      </c>
      <c r="DM161" s="9">
        <v>10</v>
      </c>
      <c r="DN161" s="9">
        <v>0</v>
      </c>
      <c r="DO161" s="9">
        <v>535.77</v>
      </c>
      <c r="DP161" s="9">
        <v>127.27</v>
      </c>
      <c r="DQ161" s="9">
        <v>60.03</v>
      </c>
      <c r="DR161" s="9">
        <v>67.239999999999995</v>
      </c>
      <c r="DS161" s="9">
        <v>37.24</v>
      </c>
      <c r="DT161" s="9">
        <v>1.71</v>
      </c>
      <c r="DU161" s="9">
        <v>291.79000000000002</v>
      </c>
      <c r="DV161" s="9">
        <v>208.22</v>
      </c>
      <c r="DW161" s="9">
        <v>65.239999999999995</v>
      </c>
      <c r="DX161" s="9">
        <v>79.069999999999993</v>
      </c>
      <c r="DY161" s="9">
        <v>39.11</v>
      </c>
      <c r="DZ161" s="9">
        <v>24.32</v>
      </c>
      <c r="EA161" s="9">
        <v>-387.21300000000002</v>
      </c>
      <c r="EB161" s="9">
        <v>-208.756</v>
      </c>
      <c r="EC161" s="9">
        <v>-115.517</v>
      </c>
      <c r="ED161" s="9">
        <v>-72.588899999999995</v>
      </c>
      <c r="EE161" s="9">
        <v>9.6490550000000006</v>
      </c>
      <c r="EF161" s="9">
        <v>10.541399999999999</v>
      </c>
      <c r="EG161" s="9">
        <v>-287.49</v>
      </c>
      <c r="EH161" s="9">
        <v>-152.01599999999999</v>
      </c>
      <c r="EI161" s="9">
        <v>-4.9172599999999997</v>
      </c>
      <c r="EJ161" s="9">
        <v>0</v>
      </c>
      <c r="EK161" s="9">
        <v>-130.55699999999999</v>
      </c>
      <c r="EL161" s="9">
        <v>-166.85400000000001</v>
      </c>
      <c r="EM161" s="9">
        <v>-256.036</v>
      </c>
      <c r="EN161" s="9">
        <v>3512.3</v>
      </c>
      <c r="EO161" s="9"/>
      <c r="EP161" s="9"/>
      <c r="EQ161" s="9"/>
      <c r="ER161" s="9"/>
      <c r="ES161" s="9"/>
      <c r="ET161" s="9"/>
      <c r="EU161">
        <v>1417.41</v>
      </c>
      <c r="EV161" s="9"/>
      <c r="EW161" s="9"/>
      <c r="EX161" s="9"/>
      <c r="EY161" s="9"/>
      <c r="EZ161" s="9"/>
      <c r="FA161" s="9"/>
      <c r="FB161" s="9">
        <v>93.233163265300007</v>
      </c>
      <c r="FC161" s="9">
        <v>102.87545454550001</v>
      </c>
      <c r="FD161" s="9">
        <v>7221.1619047618997</v>
      </c>
      <c r="FE161" s="9">
        <v>137.39090909090001</v>
      </c>
      <c r="FF161" s="9">
        <v>1485.0833333333001</v>
      </c>
      <c r="FG161" s="9">
        <v>7716802.6100000003</v>
      </c>
      <c r="FH161" s="9">
        <v>109612.81</v>
      </c>
      <c r="FI161" s="9">
        <v>309411.76</v>
      </c>
      <c r="FJ161" s="9">
        <v>3449585.59</v>
      </c>
      <c r="FK161" s="9">
        <v>31495.72</v>
      </c>
      <c r="FL161" s="9">
        <v>47551.4</v>
      </c>
      <c r="FM161" s="9"/>
      <c r="FN161" s="9"/>
      <c r="FO161" s="9"/>
      <c r="FP161" s="9"/>
      <c r="FQ161" s="9"/>
      <c r="FR161" s="9"/>
      <c r="FS161" s="9"/>
      <c r="FT161" s="9">
        <v>4267179.01</v>
      </c>
      <c r="FU161" s="9">
        <v>78117.09</v>
      </c>
      <c r="FV161" s="9">
        <v>261822.34</v>
      </c>
      <c r="FW161" s="9"/>
      <c r="FX161" s="9"/>
      <c r="FY161" s="9"/>
      <c r="FZ161" s="9">
        <v>20866.62</v>
      </c>
      <c r="GA161" s="9">
        <v>6268173.79</v>
      </c>
      <c r="GB161" s="9">
        <v>1932769.95</v>
      </c>
      <c r="GC161" s="9">
        <v>4335403.84</v>
      </c>
      <c r="GD161" s="9">
        <v>4404702.4800000004</v>
      </c>
      <c r="GE161" s="9">
        <v>453236.89</v>
      </c>
      <c r="GF161" s="9">
        <v>3951465.59</v>
      </c>
      <c r="GG161" s="9">
        <v>1863471.31</v>
      </c>
      <c r="GH161" s="9">
        <v>1479533.06</v>
      </c>
      <c r="GI161" s="9">
        <v>383938.25</v>
      </c>
      <c r="GJ161" s="9">
        <v>1449316.44</v>
      </c>
      <c r="GK161" s="9">
        <v>13331684.5</v>
      </c>
      <c r="GL161" s="9">
        <v>1052979.02</v>
      </c>
      <c r="GM161">
        <v>1436.12</v>
      </c>
      <c r="GO161" s="6"/>
      <c r="GP161" s="6"/>
      <c r="GQ161" s="6"/>
    </row>
    <row r="162" spans="1:199" x14ac:dyDescent="0.2">
      <c r="A162" s="8">
        <v>2013</v>
      </c>
      <c r="B162" s="8" t="s">
        <v>411</v>
      </c>
      <c r="C162" s="8" t="s">
        <v>413</v>
      </c>
      <c r="D162" s="9"/>
      <c r="E162" s="9"/>
      <c r="F162" s="9"/>
      <c r="G162" s="9"/>
      <c r="H162" s="9"/>
      <c r="I162" s="9"/>
      <c r="J162" s="9"/>
      <c r="K162" s="9"/>
      <c r="L162" s="9"/>
      <c r="M162" s="9"/>
      <c r="N162" s="9"/>
      <c r="O162" s="9"/>
      <c r="P162" s="9"/>
      <c r="Q162" s="9"/>
      <c r="R162" s="9"/>
      <c r="S162" s="9"/>
      <c r="T162" s="9"/>
      <c r="U162" s="9"/>
      <c r="V162" s="9"/>
      <c r="W162" s="9"/>
      <c r="X162" s="9"/>
      <c r="Y162" s="9"/>
      <c r="Z162" s="9"/>
      <c r="AA162" s="9"/>
      <c r="AB162" s="9"/>
      <c r="AC162" s="9"/>
      <c r="AD162" s="9"/>
      <c r="AE162" s="9"/>
      <c r="AF162" s="9"/>
      <c r="AG162" s="9"/>
      <c r="AH162" s="9"/>
      <c r="AI162" s="9"/>
      <c r="AJ162" s="9"/>
      <c r="AK162" s="9"/>
      <c r="AL162" s="9"/>
      <c r="AM162" s="9"/>
      <c r="AN162" s="9"/>
      <c r="AO162" s="9"/>
      <c r="AP162" s="9"/>
      <c r="AQ162" s="9"/>
      <c r="AR162" s="9"/>
      <c r="AS162" s="9"/>
      <c r="AT162" s="9"/>
      <c r="AU162" s="9"/>
      <c r="AV162" s="9"/>
      <c r="AW162" s="9"/>
      <c r="AX162" s="9"/>
      <c r="AY162" s="9"/>
      <c r="AZ162" s="9"/>
      <c r="BA162" s="9"/>
      <c r="BB162" s="9"/>
      <c r="BC162" s="9"/>
      <c r="BD162" s="9"/>
      <c r="BE162" s="9"/>
      <c r="BF162" s="9"/>
      <c r="BG162" s="9"/>
      <c r="BH162" s="9"/>
      <c r="BI162" s="9"/>
      <c r="BJ162" s="9"/>
      <c r="BK162" s="9"/>
      <c r="BL162" s="9"/>
      <c r="BM162" s="9"/>
      <c r="BN162" s="9">
        <v>428494.6</v>
      </c>
      <c r="BO162" s="9">
        <v>371103.5</v>
      </c>
      <c r="BP162" s="9">
        <v>65428.3</v>
      </c>
      <c r="BQ162" s="9">
        <v>32502.400000000001</v>
      </c>
      <c r="BR162" s="9">
        <v>32925.9</v>
      </c>
      <c r="BS162" s="9">
        <v>49469.3</v>
      </c>
      <c r="BT162" s="9">
        <v>115373</v>
      </c>
      <c r="BU162" s="9">
        <v>41949.4</v>
      </c>
      <c r="BV162" s="9">
        <v>50887.5</v>
      </c>
      <c r="BW162" s="9">
        <v>346143.4</v>
      </c>
      <c r="BX162" s="9">
        <v>2794.4</v>
      </c>
      <c r="BY162" s="9">
        <v>80076.100000000006</v>
      </c>
      <c r="BZ162" s="9">
        <v>117187.6</v>
      </c>
      <c r="CA162" s="9">
        <v>15911.7</v>
      </c>
      <c r="CB162" s="9">
        <v>-5316.6</v>
      </c>
      <c r="CC162" s="9">
        <v>-162934.20000000001</v>
      </c>
      <c r="CD162" s="9">
        <v>0</v>
      </c>
      <c r="CE162" s="9">
        <v>69785.399999999994</v>
      </c>
      <c r="CF162" s="9">
        <v>1779072.487795477</v>
      </c>
      <c r="CG162" s="9">
        <v>7906682.829696482</v>
      </c>
      <c r="CH162" s="9"/>
      <c r="CI162" s="9"/>
      <c r="CJ162" s="9">
        <v>18.476896765999999</v>
      </c>
      <c r="CK162" s="9">
        <v>13.241955514200001</v>
      </c>
      <c r="CL162" s="9">
        <v>11.5</v>
      </c>
      <c r="CM162" s="9">
        <v>82.235299334299995</v>
      </c>
      <c r="CN162" s="9">
        <v>26.528779239999999</v>
      </c>
      <c r="CO162" s="9">
        <v>3.2209330971000001</v>
      </c>
      <c r="CP162" s="9">
        <v>13.730580648</v>
      </c>
      <c r="CQ162" s="9">
        <v>9.3116402848999993</v>
      </c>
      <c r="CR162" s="9">
        <v>3.6034290667</v>
      </c>
      <c r="CS162" s="9">
        <v>2.6328700932000002</v>
      </c>
      <c r="CT162" s="9">
        <v>9.5088712481000002</v>
      </c>
      <c r="CU162" s="9">
        <v>2.7583915601000002</v>
      </c>
      <c r="CV162" s="9">
        <v>1.8712017632</v>
      </c>
      <c r="CW162" s="9">
        <v>3.7959604947000001</v>
      </c>
      <c r="CX162" s="9">
        <v>2.2878214041999998</v>
      </c>
      <c r="CY162" s="9">
        <v>2.9848204341</v>
      </c>
      <c r="CZ162" s="9">
        <v>428</v>
      </c>
      <c r="DA162" s="9">
        <v>345</v>
      </c>
      <c r="DB162" s="9">
        <v>62</v>
      </c>
      <c r="DC162" s="9">
        <v>66</v>
      </c>
      <c r="DD162" s="9">
        <v>41</v>
      </c>
      <c r="DE162" s="9">
        <v>19</v>
      </c>
      <c r="DF162" s="9">
        <v>113</v>
      </c>
      <c r="DG162" s="9">
        <v>35</v>
      </c>
      <c r="DH162" s="9">
        <v>72</v>
      </c>
      <c r="DI162" s="9">
        <v>0</v>
      </c>
      <c r="DJ162" s="9">
        <v>2</v>
      </c>
      <c r="DK162" s="9">
        <v>67</v>
      </c>
      <c r="DL162" s="9">
        <v>1</v>
      </c>
      <c r="DM162" s="9">
        <v>11</v>
      </c>
      <c r="DN162" s="9">
        <v>0</v>
      </c>
      <c r="DO162" s="9">
        <v>744.5</v>
      </c>
      <c r="DP162" s="9">
        <v>141.4</v>
      </c>
      <c r="DQ162" s="9">
        <v>68.7</v>
      </c>
      <c r="DR162" s="9">
        <v>72.7</v>
      </c>
      <c r="DS162" s="9">
        <v>63.98</v>
      </c>
      <c r="DT162" s="9">
        <v>16.420000000000002</v>
      </c>
      <c r="DU162" s="9">
        <v>418.43</v>
      </c>
      <c r="DV162" s="9">
        <v>305.14</v>
      </c>
      <c r="DW162" s="9">
        <v>75.89</v>
      </c>
      <c r="DX162" s="9">
        <v>120.32</v>
      </c>
      <c r="DY162" s="9">
        <v>73.17</v>
      </c>
      <c r="DZ162" s="9">
        <v>25.68</v>
      </c>
      <c r="EA162" s="9">
        <v>-519.87300000000005</v>
      </c>
      <c r="EB162" s="9">
        <v>-355.34899999999999</v>
      </c>
      <c r="EC162" s="9">
        <v>-112.85599999999999</v>
      </c>
      <c r="ED162" s="9">
        <v>-66.556899999999999</v>
      </c>
      <c r="EE162" s="9">
        <v>14.88885</v>
      </c>
      <c r="EF162" s="9">
        <v>12.52985</v>
      </c>
      <c r="EG162" s="9">
        <v>-311.85199999999998</v>
      </c>
      <c r="EH162" s="9">
        <v>-113.91500000000001</v>
      </c>
      <c r="EI162" s="9">
        <v>-11.332599999999999</v>
      </c>
      <c r="EJ162" s="9">
        <v>0</v>
      </c>
      <c r="EK162" s="9">
        <v>-186.60400000000001</v>
      </c>
      <c r="EL162" s="9">
        <v>110.1707</v>
      </c>
      <c r="EM162" s="9">
        <v>-85.319900000000004</v>
      </c>
      <c r="EN162" s="9">
        <v>3387.7</v>
      </c>
      <c r="EO162" s="9"/>
      <c r="EP162" s="9"/>
      <c r="EQ162" s="9"/>
      <c r="ER162" s="9"/>
      <c r="ES162" s="9"/>
      <c r="ET162" s="9"/>
      <c r="EU162">
        <v>1438.27</v>
      </c>
      <c r="EV162" s="9"/>
      <c r="EW162" s="9"/>
      <c r="EX162" s="9"/>
      <c r="EY162" s="9"/>
      <c r="EZ162" s="9"/>
      <c r="FA162" s="9"/>
      <c r="FB162" s="9">
        <v>93.126020408200006</v>
      </c>
      <c r="FC162" s="9">
        <v>103.0269565217</v>
      </c>
      <c r="FD162" s="9">
        <v>7248.7142857142999</v>
      </c>
      <c r="FE162" s="9">
        <v>124.0095238095</v>
      </c>
      <c r="FF162" s="9">
        <v>1413.5</v>
      </c>
      <c r="FG162" s="9">
        <v>8172160.29</v>
      </c>
      <c r="FH162" s="9">
        <v>145104.19</v>
      </c>
      <c r="FI162" s="9">
        <v>316684.36</v>
      </c>
      <c r="FJ162" s="9">
        <v>3618956.61</v>
      </c>
      <c r="FK162" s="9">
        <v>30335.96</v>
      </c>
      <c r="FL162" s="9">
        <v>47451.519999999997</v>
      </c>
      <c r="FM162" s="9"/>
      <c r="FN162" s="9"/>
      <c r="FO162" s="9"/>
      <c r="FP162" s="9"/>
      <c r="FQ162" s="9"/>
      <c r="FR162" s="9"/>
      <c r="FS162" s="9"/>
      <c r="FT162" s="9">
        <v>4553142.04</v>
      </c>
      <c r="FU162" s="9">
        <v>114768.22</v>
      </c>
      <c r="FV162" s="9">
        <v>269171.23</v>
      </c>
      <c r="FW162" s="9"/>
      <c r="FX162" s="9"/>
      <c r="FY162" s="9"/>
      <c r="FZ162" s="9">
        <v>20961.89</v>
      </c>
      <c r="GA162" s="9">
        <v>6519622.9900000002</v>
      </c>
      <c r="GB162" s="9">
        <v>2141327.4900000002</v>
      </c>
      <c r="GC162" s="9">
        <v>4378295.5</v>
      </c>
      <c r="GD162" s="9">
        <v>4470118.96</v>
      </c>
      <c r="GE162" s="9">
        <v>465026.01</v>
      </c>
      <c r="GF162" s="9">
        <v>4005092.95</v>
      </c>
      <c r="GG162" s="9">
        <v>2049504.03</v>
      </c>
      <c r="GH162" s="9">
        <v>1676301.48</v>
      </c>
      <c r="GI162" s="9">
        <v>373202.55</v>
      </c>
      <c r="GJ162" s="9">
        <v>1918506.8</v>
      </c>
      <c r="GK162" s="9">
        <v>14660117.890000001</v>
      </c>
      <c r="GL162" s="9">
        <v>1076140.55</v>
      </c>
      <c r="GM162">
        <v>1442.2</v>
      </c>
      <c r="GO162" s="6"/>
      <c r="GP162" s="6"/>
      <c r="GQ162" s="6"/>
    </row>
    <row r="163" spans="1:199" x14ac:dyDescent="0.2">
      <c r="A163" s="8">
        <v>2013</v>
      </c>
      <c r="B163" s="8" t="s">
        <v>411</v>
      </c>
      <c r="C163" s="8" t="s">
        <v>414</v>
      </c>
      <c r="D163" s="9">
        <v>5077543.4000000004</v>
      </c>
      <c r="E163" s="9">
        <v>1075101.5</v>
      </c>
      <c r="F163" s="9">
        <v>692317.3</v>
      </c>
      <c r="G163" s="9">
        <v>400174.3</v>
      </c>
      <c r="H163" s="9">
        <v>76231</v>
      </c>
      <c r="I163" s="9">
        <v>247456.7</v>
      </c>
      <c r="J163" s="9">
        <v>410616.6</v>
      </c>
      <c r="K163" s="9">
        <v>212222</v>
      </c>
      <c r="L163" s="9">
        <v>100704.7</v>
      </c>
      <c r="M163" s="9">
        <v>1296717.2</v>
      </c>
      <c r="N163" s="9">
        <v>566002</v>
      </c>
      <c r="O163" s="9">
        <v>5489028.8668869408</v>
      </c>
      <c r="P163" s="9">
        <v>1077278.9564839569</v>
      </c>
      <c r="Q163" s="9">
        <v>745102.8009695129</v>
      </c>
      <c r="R163" s="9">
        <v>361669.21693899482</v>
      </c>
      <c r="S163" s="9">
        <v>109775.0131332343</v>
      </c>
      <c r="T163" s="9">
        <v>244285.40887936251</v>
      </c>
      <c r="U163" s="9">
        <v>515866.95759469602</v>
      </c>
      <c r="V163" s="9">
        <v>252311.9039893522</v>
      </c>
      <c r="W163" s="9">
        <v>114343.2907314671</v>
      </c>
      <c r="X163" s="9">
        <v>1379753.88570123</v>
      </c>
      <c r="Y163" s="9">
        <v>688641.43246513384</v>
      </c>
      <c r="Z163" s="9">
        <v>5075523.7</v>
      </c>
      <c r="AA163" s="9">
        <v>2930891.4</v>
      </c>
      <c r="AB163" s="9">
        <v>625060.9</v>
      </c>
      <c r="AC163" s="9">
        <v>2054756.2</v>
      </c>
      <c r="AD163" s="9">
        <v>626685.69999999995</v>
      </c>
      <c r="AE163" s="9">
        <v>1950935.7</v>
      </c>
      <c r="AF163" s="9">
        <v>3112806.3</v>
      </c>
      <c r="AG163" s="9">
        <v>5468482.5435844352</v>
      </c>
      <c r="AH163" s="9">
        <v>3158635.7110689259</v>
      </c>
      <c r="AI163" s="9">
        <v>721493.20534575661</v>
      </c>
      <c r="AJ163" s="9">
        <v>1962720.9206499821</v>
      </c>
      <c r="AK163" s="9">
        <v>732200.66761982115</v>
      </c>
      <c r="AL163" s="9">
        <v>1614066.346851673</v>
      </c>
      <c r="AM163" s="9">
        <v>2720634.3079517232</v>
      </c>
      <c r="AN163" s="9">
        <v>1135294</v>
      </c>
      <c r="AO163" s="9">
        <v>578722</v>
      </c>
      <c r="AP163" s="9">
        <v>556572</v>
      </c>
      <c r="AQ163" s="9">
        <v>88867</v>
      </c>
      <c r="AR163" s="9">
        <v>42935</v>
      </c>
      <c r="AS163" s="9">
        <v>45932</v>
      </c>
      <c r="AT163" s="9">
        <v>696532</v>
      </c>
      <c r="AU163" s="9">
        <v>285403</v>
      </c>
      <c r="AV163" s="9">
        <v>411129</v>
      </c>
      <c r="AW163" s="9">
        <v>741.25</v>
      </c>
      <c r="AX163" s="9">
        <v>308</v>
      </c>
      <c r="AY163" s="9">
        <v>1486.1</v>
      </c>
      <c r="AZ163" s="9">
        <v>646.79999999999995</v>
      </c>
      <c r="BA163" s="9">
        <v>1031.9000000000001</v>
      </c>
      <c r="BB163" s="9">
        <v>545.9</v>
      </c>
      <c r="BC163" s="9">
        <v>630.1</v>
      </c>
      <c r="BD163" s="9">
        <v>726.9</v>
      </c>
      <c r="BE163" s="9">
        <v>818.9</v>
      </c>
      <c r="BF163" s="9">
        <v>656.9</v>
      </c>
      <c r="BG163" s="9">
        <v>888.6</v>
      </c>
      <c r="BH163" s="9">
        <v>1150</v>
      </c>
      <c r="BI163" s="9">
        <v>558.4</v>
      </c>
      <c r="BJ163" s="9">
        <v>717.6</v>
      </c>
      <c r="BK163" s="9">
        <v>706.1</v>
      </c>
      <c r="BL163" s="9">
        <v>560</v>
      </c>
      <c r="BM163" s="9">
        <v>427.8</v>
      </c>
      <c r="BN163" s="9">
        <v>500404.3</v>
      </c>
      <c r="BO163" s="9">
        <v>378637.7</v>
      </c>
      <c r="BP163" s="9">
        <v>58970.3</v>
      </c>
      <c r="BQ163" s="9">
        <v>24574.2</v>
      </c>
      <c r="BR163" s="9">
        <v>34396.1</v>
      </c>
      <c r="BS163" s="9">
        <v>76850.899999999994</v>
      </c>
      <c r="BT163" s="9">
        <v>118820.6</v>
      </c>
      <c r="BU163" s="9">
        <v>36289.300000000003</v>
      </c>
      <c r="BV163" s="9">
        <v>114686.9</v>
      </c>
      <c r="BW163" s="9">
        <v>658530.19999999995</v>
      </c>
      <c r="BX163" s="9">
        <v>28027.7</v>
      </c>
      <c r="BY163" s="9">
        <v>254631.5</v>
      </c>
      <c r="BZ163" s="9">
        <v>154889.4</v>
      </c>
      <c r="CA163" s="9">
        <v>47692.5</v>
      </c>
      <c r="CB163" s="9">
        <v>36460.6</v>
      </c>
      <c r="CC163" s="9">
        <v>466075.1</v>
      </c>
      <c r="CD163" s="9">
        <v>0</v>
      </c>
      <c r="CE163" s="9">
        <v>79252.800000000003</v>
      </c>
      <c r="CF163" s="9">
        <v>2026397.694636727</v>
      </c>
      <c r="CG163" s="9">
        <v>8001585.6113694068</v>
      </c>
      <c r="CH163" s="9"/>
      <c r="CI163" s="9"/>
      <c r="CJ163" s="9">
        <v>17.9133745731</v>
      </c>
      <c r="CK163" s="9">
        <v>12.3369267932</v>
      </c>
      <c r="CL163" s="9">
        <v>10.5</v>
      </c>
      <c r="CM163" s="9">
        <v>81.957763418200003</v>
      </c>
      <c r="CN163" s="9">
        <v>26.2502168368</v>
      </c>
      <c r="CO163" s="9">
        <v>3.2417097256999998</v>
      </c>
      <c r="CP163" s="9">
        <v>13.7998097504</v>
      </c>
      <c r="CQ163" s="9">
        <v>9.2472791833999999</v>
      </c>
      <c r="CR163" s="9">
        <v>3.6287558018000001</v>
      </c>
      <c r="CS163" s="9">
        <v>2.6510794169</v>
      </c>
      <c r="CT163" s="9">
        <v>9.4269765179</v>
      </c>
      <c r="CU163" s="9">
        <v>2.7595865187999999</v>
      </c>
      <c r="CV163" s="9">
        <v>1.8583415409999999</v>
      </c>
      <c r="CW163" s="9">
        <v>3.7959604947000001</v>
      </c>
      <c r="CX163" s="9">
        <v>2.3079424778000002</v>
      </c>
      <c r="CY163" s="9">
        <v>2.9901051531</v>
      </c>
      <c r="CZ163" s="9">
        <v>371</v>
      </c>
      <c r="DA163" s="9">
        <v>303</v>
      </c>
      <c r="DB163" s="9">
        <v>9</v>
      </c>
      <c r="DC163" s="9">
        <v>62</v>
      </c>
      <c r="DD163" s="9">
        <v>87</v>
      </c>
      <c r="DE163" s="9">
        <v>8</v>
      </c>
      <c r="DF163" s="9">
        <v>91</v>
      </c>
      <c r="DG163" s="9">
        <v>33</v>
      </c>
      <c r="DH163" s="9">
        <v>57</v>
      </c>
      <c r="DI163" s="9">
        <v>0</v>
      </c>
      <c r="DJ163" s="9">
        <v>1</v>
      </c>
      <c r="DK163" s="9">
        <v>54</v>
      </c>
      <c r="DL163" s="9">
        <v>1</v>
      </c>
      <c r="DM163" s="9">
        <v>11</v>
      </c>
      <c r="DN163" s="9">
        <v>0</v>
      </c>
      <c r="DO163" s="9">
        <v>585.22</v>
      </c>
      <c r="DP163" s="9">
        <v>143.30000000000001</v>
      </c>
      <c r="DQ163" s="9">
        <v>68</v>
      </c>
      <c r="DR163" s="9">
        <v>75.3</v>
      </c>
      <c r="DS163" s="9">
        <v>51.05</v>
      </c>
      <c r="DT163" s="9">
        <v>7.88</v>
      </c>
      <c r="DU163" s="9">
        <v>272</v>
      </c>
      <c r="DV163" s="9">
        <v>165.07</v>
      </c>
      <c r="DW163" s="9">
        <v>82.57</v>
      </c>
      <c r="DX163" s="9">
        <v>118.78</v>
      </c>
      <c r="DY163" s="9">
        <v>62.75</v>
      </c>
      <c r="DZ163" s="9">
        <v>38.799999999999997</v>
      </c>
      <c r="EA163" s="9">
        <v>-412.06200000000001</v>
      </c>
      <c r="EB163" s="9">
        <v>-275.50700000000001</v>
      </c>
      <c r="EC163" s="9">
        <v>-91.031199999999998</v>
      </c>
      <c r="ED163" s="9">
        <v>-54.016100000000002</v>
      </c>
      <c r="EE163" s="9">
        <v>8.492801</v>
      </c>
      <c r="EF163" s="9">
        <v>9.4406239999999997</v>
      </c>
      <c r="EG163" s="9">
        <v>-183.43199999999999</v>
      </c>
      <c r="EH163" s="9">
        <v>-125.61499999999999</v>
      </c>
      <c r="EI163" s="9">
        <v>33.017919999999997</v>
      </c>
      <c r="EJ163" s="9">
        <v>0</v>
      </c>
      <c r="EK163" s="9">
        <v>-90.834400000000002</v>
      </c>
      <c r="EL163" s="9">
        <v>-24.8843</v>
      </c>
      <c r="EM163" s="9">
        <v>-244.07400000000001</v>
      </c>
      <c r="EN163" s="9">
        <v>3107.5</v>
      </c>
      <c r="EO163" s="9"/>
      <c r="EP163" s="9"/>
      <c r="EQ163" s="9"/>
      <c r="ER163" s="9"/>
      <c r="ES163" s="9"/>
      <c r="ET163" s="9"/>
      <c r="EU163">
        <v>1437.78</v>
      </c>
      <c r="EV163" s="9">
        <v>18443.650000000001</v>
      </c>
      <c r="EW163" s="9">
        <v>3542.55</v>
      </c>
      <c r="EX163" s="9">
        <v>590.75</v>
      </c>
      <c r="EY163" s="9">
        <v>1296.1600000000001</v>
      </c>
      <c r="EZ163" s="9">
        <v>2866.84</v>
      </c>
      <c r="FA163" s="9">
        <v>10147.35</v>
      </c>
      <c r="FB163" s="9">
        <v>89.642678571399998</v>
      </c>
      <c r="FC163" s="9">
        <v>103.11</v>
      </c>
      <c r="FD163" s="9">
        <v>7000.2375000000002</v>
      </c>
      <c r="FE163" s="9">
        <v>114.815</v>
      </c>
      <c r="FF163" s="9">
        <v>1342.3625</v>
      </c>
      <c r="FG163" s="9">
        <v>8553473.8499999996</v>
      </c>
      <c r="FH163" s="9">
        <v>148420.20000000001</v>
      </c>
      <c r="FI163" s="9">
        <v>315255.75</v>
      </c>
      <c r="FJ163" s="9">
        <v>3757091.38</v>
      </c>
      <c r="FK163" s="9">
        <v>33145.730000000003</v>
      </c>
      <c r="FL163" s="9">
        <v>47967.47</v>
      </c>
      <c r="FM163" s="9"/>
      <c r="FN163" s="9"/>
      <c r="FO163" s="9"/>
      <c r="FP163" s="9"/>
      <c r="FQ163" s="9"/>
      <c r="FR163" s="9"/>
      <c r="FS163" s="9"/>
      <c r="FT163" s="9">
        <v>4796348.8900000006</v>
      </c>
      <c r="FU163" s="9">
        <v>115274.46</v>
      </c>
      <c r="FV163" s="9">
        <v>267254.68999999989</v>
      </c>
      <c r="FW163" s="9"/>
      <c r="FX163" s="9"/>
      <c r="FY163" s="9"/>
      <c r="FZ163" s="9">
        <v>20976.12</v>
      </c>
      <c r="GA163" s="9">
        <v>6773923.54</v>
      </c>
      <c r="GB163" s="9">
        <v>2332723.2400000002</v>
      </c>
      <c r="GC163" s="9">
        <v>4441200.3</v>
      </c>
      <c r="GD163" s="9">
        <v>4550986.42</v>
      </c>
      <c r="GE163" s="9">
        <v>499968.56</v>
      </c>
      <c r="GF163" s="9">
        <v>4051017.86</v>
      </c>
      <c r="GG163" s="9">
        <v>2222937.12</v>
      </c>
      <c r="GH163" s="9">
        <v>1832754.68</v>
      </c>
      <c r="GI163" s="9">
        <v>390182.44</v>
      </c>
      <c r="GJ163" s="9">
        <v>1787196.51</v>
      </c>
      <c r="GK163" s="9">
        <v>15940911.130000001</v>
      </c>
      <c r="GL163" s="9">
        <v>1140178.3400000001</v>
      </c>
      <c r="GM163">
        <v>1446.17</v>
      </c>
      <c r="GO163" s="6"/>
      <c r="GP163" s="6"/>
      <c r="GQ163" s="6"/>
    </row>
    <row r="164" spans="1:199" x14ac:dyDescent="0.2">
      <c r="A164" s="8">
        <v>2013</v>
      </c>
      <c r="B164" s="8" t="s">
        <v>415</v>
      </c>
      <c r="C164" s="8" t="s">
        <v>416</v>
      </c>
      <c r="D164" s="9"/>
      <c r="E164" s="9"/>
      <c r="F164" s="9"/>
      <c r="G164" s="9"/>
      <c r="H164" s="9"/>
      <c r="I164" s="9"/>
      <c r="J164" s="9"/>
      <c r="K164" s="9"/>
      <c r="L164" s="9"/>
      <c r="M164" s="9"/>
      <c r="N164" s="9"/>
      <c r="O164" s="9"/>
      <c r="P164" s="9"/>
      <c r="Q164" s="9"/>
      <c r="R164" s="9"/>
      <c r="S164" s="9"/>
      <c r="T164" s="9"/>
      <c r="U164" s="9"/>
      <c r="V164" s="9"/>
      <c r="W164" s="9"/>
      <c r="X164" s="9"/>
      <c r="Y164" s="9"/>
      <c r="Z164" s="9"/>
      <c r="AA164" s="9"/>
      <c r="AB164" s="9"/>
      <c r="AC164" s="9"/>
      <c r="AD164" s="9"/>
      <c r="AE164" s="9"/>
      <c r="AF164" s="9"/>
      <c r="AG164" s="9"/>
      <c r="AH164" s="9"/>
      <c r="AI164" s="9"/>
      <c r="AJ164" s="9"/>
      <c r="AK164" s="9"/>
      <c r="AL164" s="9"/>
      <c r="AM164" s="9"/>
      <c r="AN164" s="9"/>
      <c r="AO164" s="9"/>
      <c r="AP164" s="9"/>
      <c r="AQ164" s="9"/>
      <c r="AR164" s="9"/>
      <c r="AS164" s="9"/>
      <c r="AT164" s="9"/>
      <c r="AU164" s="9"/>
      <c r="AV164" s="9"/>
      <c r="AW164" s="9"/>
      <c r="AX164" s="9"/>
      <c r="AY164" s="9"/>
      <c r="AZ164" s="9"/>
      <c r="BA164" s="9"/>
      <c r="BB164" s="9"/>
      <c r="BC164" s="9"/>
      <c r="BD164" s="9"/>
      <c r="BE164" s="9"/>
      <c r="BF164" s="9"/>
      <c r="BG164" s="9"/>
      <c r="BH164" s="9"/>
      <c r="BI164" s="9"/>
      <c r="BJ164" s="9"/>
      <c r="BK164" s="9"/>
      <c r="BL164" s="9"/>
      <c r="BM164" s="9"/>
      <c r="BN164" s="9">
        <v>536077.19999999995</v>
      </c>
      <c r="BO164" s="9">
        <v>460961.2</v>
      </c>
      <c r="BP164" s="9">
        <v>105712.3</v>
      </c>
      <c r="BQ164" s="9">
        <v>64061.1</v>
      </c>
      <c r="BR164" s="9">
        <v>41651.199999999997</v>
      </c>
      <c r="BS164" s="9">
        <v>80184.600000000006</v>
      </c>
      <c r="BT164" s="9">
        <v>129106.2</v>
      </c>
      <c r="BU164" s="9">
        <v>44908</v>
      </c>
      <c r="BV164" s="9">
        <v>74019.100000000006</v>
      </c>
      <c r="BW164" s="9">
        <v>177444.8</v>
      </c>
      <c r="BX164" s="9">
        <v>37740</v>
      </c>
      <c r="BY164" s="9">
        <v>-89662.1</v>
      </c>
      <c r="BZ164" s="9">
        <v>98489</v>
      </c>
      <c r="CA164" s="9">
        <v>31371.4</v>
      </c>
      <c r="CB164" s="9">
        <v>9799.2999999999993</v>
      </c>
      <c r="CC164" s="9">
        <v>127447.3</v>
      </c>
      <c r="CD164" s="9">
        <v>0</v>
      </c>
      <c r="CE164" s="9">
        <v>332600.59999999998</v>
      </c>
      <c r="CF164" s="9">
        <v>1927089.833170841</v>
      </c>
      <c r="CG164" s="9">
        <v>8086233.6936807251</v>
      </c>
      <c r="CH164" s="9"/>
      <c r="CI164" s="9"/>
      <c r="CJ164" s="9">
        <v>17.3</v>
      </c>
      <c r="CK164" s="9">
        <v>12.8</v>
      </c>
      <c r="CL164" s="9">
        <v>10.5</v>
      </c>
      <c r="CM164" s="9">
        <v>82.109259908400006</v>
      </c>
      <c r="CN164" s="9">
        <v>26.1448471195</v>
      </c>
      <c r="CO164" s="9">
        <v>3.2499258429000002</v>
      </c>
      <c r="CP164" s="9">
        <v>13.867244681200001</v>
      </c>
      <c r="CQ164" s="9">
        <v>9.4152271622000008</v>
      </c>
      <c r="CR164" s="9">
        <v>3.6656380917</v>
      </c>
      <c r="CS164" s="9">
        <v>2.6822767398999998</v>
      </c>
      <c r="CT164" s="9">
        <v>9.3517902385999996</v>
      </c>
      <c r="CU164" s="9">
        <v>2.7582130978000001</v>
      </c>
      <c r="CV164" s="9">
        <v>1.8612588462999999</v>
      </c>
      <c r="CW164" s="9">
        <v>3.7959604947000001</v>
      </c>
      <c r="CX164" s="9">
        <v>2.3105052393999999</v>
      </c>
      <c r="CY164" s="9">
        <v>3.0063723540999998</v>
      </c>
      <c r="CZ164" s="9">
        <v>339</v>
      </c>
      <c r="DA164" s="9">
        <v>283</v>
      </c>
      <c r="DB164" s="9">
        <v>69</v>
      </c>
      <c r="DC164" s="9">
        <v>66</v>
      </c>
      <c r="DD164" s="9">
        <v>31</v>
      </c>
      <c r="DE164" s="9">
        <v>1</v>
      </c>
      <c r="DF164" s="9">
        <v>53</v>
      </c>
      <c r="DG164" s="9">
        <v>47</v>
      </c>
      <c r="DH164" s="9">
        <v>46</v>
      </c>
      <c r="DI164" s="9">
        <v>0</v>
      </c>
      <c r="DJ164" s="9">
        <v>1</v>
      </c>
      <c r="DK164" s="9">
        <v>43</v>
      </c>
      <c r="DL164" s="9">
        <v>1</v>
      </c>
      <c r="DM164" s="9">
        <v>10</v>
      </c>
      <c r="DN164" s="9">
        <v>0</v>
      </c>
      <c r="DO164" s="9">
        <v>616.09</v>
      </c>
      <c r="DP164" s="9">
        <v>156.69</v>
      </c>
      <c r="DQ164" s="9">
        <v>75.33</v>
      </c>
      <c r="DR164" s="9">
        <v>81.36</v>
      </c>
      <c r="DS164" s="9">
        <v>66.209999999999994</v>
      </c>
      <c r="DT164" s="9">
        <v>7.49</v>
      </c>
      <c r="DU164" s="9">
        <v>278.68</v>
      </c>
      <c r="DV164" s="9">
        <v>155.06</v>
      </c>
      <c r="DW164" s="9">
        <v>97.28</v>
      </c>
      <c r="DX164" s="9">
        <v>114.36</v>
      </c>
      <c r="DY164" s="9">
        <v>70.73</v>
      </c>
      <c r="DZ164" s="9">
        <v>24.13</v>
      </c>
      <c r="EA164" s="9">
        <v>-399.09500000000003</v>
      </c>
      <c r="EB164" s="9">
        <v>-310.01</v>
      </c>
      <c r="EC164" s="9">
        <v>-32.544899999999998</v>
      </c>
      <c r="ED164" s="9">
        <v>-72.969800000000006</v>
      </c>
      <c r="EE164" s="9">
        <v>16.429490000000001</v>
      </c>
      <c r="EF164" s="9">
        <v>11.67698</v>
      </c>
      <c r="EG164" s="9">
        <v>-294.04000000000002</v>
      </c>
      <c r="EH164" s="9">
        <v>-124.901</v>
      </c>
      <c r="EI164" s="9">
        <v>7.4792149999999999</v>
      </c>
      <c r="EJ164" s="9">
        <v>0</v>
      </c>
      <c r="EK164" s="9">
        <v>-176.61799999999999</v>
      </c>
      <c r="EL164" s="9">
        <v>-6.3598100000000004</v>
      </c>
      <c r="EM164" s="9">
        <v>-99.738200000000006</v>
      </c>
      <c r="EN164" s="9">
        <v>3012.7</v>
      </c>
      <c r="EO164" s="9"/>
      <c r="EP164" s="9"/>
      <c r="EQ164" s="9"/>
      <c r="ER164" s="9"/>
      <c r="ES164" s="9"/>
      <c r="ET164" s="9"/>
      <c r="EU164">
        <v>1474.07</v>
      </c>
      <c r="EV164" s="9"/>
      <c r="EW164" s="9"/>
      <c r="EX164" s="9"/>
      <c r="EY164" s="9"/>
      <c r="EZ164" s="9"/>
      <c r="FA164" s="9"/>
      <c r="FB164" s="9">
        <v>82.222360248399994</v>
      </c>
      <c r="FC164" s="9">
        <v>107.71608695650001</v>
      </c>
      <c r="FD164" s="9">
        <v>6906.6413043477996</v>
      </c>
      <c r="FE164" s="9">
        <v>127.1913043478</v>
      </c>
      <c r="FF164" s="9">
        <v>1286.7239130435</v>
      </c>
      <c r="FG164" s="9">
        <v>9062907.5899999999</v>
      </c>
      <c r="FH164" s="9">
        <v>159957.1</v>
      </c>
      <c r="FI164" s="9">
        <v>451383.1</v>
      </c>
      <c r="FJ164" s="9">
        <v>3962304.31</v>
      </c>
      <c r="FK164" s="9">
        <v>36023.29</v>
      </c>
      <c r="FL164" s="9">
        <v>48012.08</v>
      </c>
      <c r="FM164" s="9"/>
      <c r="FN164" s="9"/>
      <c r="FO164" s="9"/>
      <c r="FP164" s="9"/>
      <c r="FQ164" s="9"/>
      <c r="FR164" s="9"/>
      <c r="FS164" s="9"/>
      <c r="FT164" s="9">
        <v>5100571.7000000011</v>
      </c>
      <c r="FU164" s="9">
        <v>123933.81</v>
      </c>
      <c r="FV164" s="9">
        <v>403339.42</v>
      </c>
      <c r="FW164" s="9"/>
      <c r="FX164" s="9"/>
      <c r="FY164" s="9"/>
      <c r="FZ164" s="9">
        <v>21083.89</v>
      </c>
      <c r="GA164" s="9">
        <v>6713382.8399999999</v>
      </c>
      <c r="GB164" s="9">
        <v>2222826.69</v>
      </c>
      <c r="GC164" s="9">
        <v>4490556.1500000004</v>
      </c>
      <c r="GD164" s="9">
        <v>4590744.1500000004</v>
      </c>
      <c r="GE164" s="9">
        <v>509517.14</v>
      </c>
      <c r="GF164" s="9">
        <v>4081227.01</v>
      </c>
      <c r="GG164" s="9">
        <v>2122638.69</v>
      </c>
      <c r="GH164" s="9">
        <v>1713309.55</v>
      </c>
      <c r="GI164" s="9">
        <v>409329.14</v>
      </c>
      <c r="GJ164" s="9">
        <v>1989168.53</v>
      </c>
      <c r="GK164" s="9">
        <v>16097312.859999999</v>
      </c>
      <c r="GL164" s="9">
        <v>1036788.73</v>
      </c>
      <c r="GM164">
        <v>1499.6</v>
      </c>
      <c r="GO164" s="6"/>
      <c r="GP164" s="6"/>
      <c r="GQ164" s="6"/>
    </row>
    <row r="165" spans="1:199" x14ac:dyDescent="0.2">
      <c r="A165" s="8">
        <v>2013</v>
      </c>
      <c r="B165" s="8" t="s">
        <v>415</v>
      </c>
      <c r="C165" s="8" t="s">
        <v>417</v>
      </c>
      <c r="D165" s="9"/>
      <c r="E165" s="9"/>
      <c r="F165" s="9"/>
      <c r="G165" s="9"/>
      <c r="H165" s="9"/>
      <c r="I165" s="9"/>
      <c r="J165" s="9"/>
      <c r="K165" s="9"/>
      <c r="L165" s="9"/>
      <c r="M165" s="9"/>
      <c r="N165" s="9"/>
      <c r="O165" s="9"/>
      <c r="P165" s="9"/>
      <c r="Q165" s="9"/>
      <c r="R165" s="9"/>
      <c r="S165" s="9"/>
      <c r="T165" s="9"/>
      <c r="U165" s="9"/>
      <c r="V165" s="9"/>
      <c r="W165" s="9"/>
      <c r="X165" s="9"/>
      <c r="Y165" s="9"/>
      <c r="Z165" s="9"/>
      <c r="AA165" s="9"/>
      <c r="AB165" s="9"/>
      <c r="AC165" s="9"/>
      <c r="AD165" s="9"/>
      <c r="AE165" s="9"/>
      <c r="AF165" s="9"/>
      <c r="AG165" s="9"/>
      <c r="AH165" s="9"/>
      <c r="AI165" s="9"/>
      <c r="AJ165" s="9"/>
      <c r="AK165" s="9"/>
      <c r="AL165" s="9"/>
      <c r="AM165" s="9"/>
      <c r="AN165" s="9"/>
      <c r="AO165" s="9"/>
      <c r="AP165" s="9"/>
      <c r="AQ165" s="9"/>
      <c r="AR165" s="9"/>
      <c r="AS165" s="9"/>
      <c r="AT165" s="9"/>
      <c r="AU165" s="9"/>
      <c r="AV165" s="9"/>
      <c r="AW165" s="9"/>
      <c r="AX165" s="9"/>
      <c r="AY165" s="9"/>
      <c r="AZ165" s="9"/>
      <c r="BA165" s="9"/>
      <c r="BB165" s="9"/>
      <c r="BC165" s="9"/>
      <c r="BD165" s="9"/>
      <c r="BE165" s="9"/>
      <c r="BF165" s="9"/>
      <c r="BG165" s="9"/>
      <c r="BH165" s="9"/>
      <c r="BI165" s="9"/>
      <c r="BJ165" s="9"/>
      <c r="BK165" s="9"/>
      <c r="BL165" s="9"/>
      <c r="BM165" s="9"/>
      <c r="BN165" s="9">
        <v>410713.5</v>
      </c>
      <c r="BO165" s="9">
        <v>397348</v>
      </c>
      <c r="BP165" s="9">
        <v>80014</v>
      </c>
      <c r="BQ165" s="9">
        <v>46896.2</v>
      </c>
      <c r="BR165" s="9">
        <v>33117.800000000003</v>
      </c>
      <c r="BS165" s="9">
        <v>62395.9</v>
      </c>
      <c r="BT165" s="9">
        <v>112023.6</v>
      </c>
      <c r="BU165" s="9">
        <v>41231.9</v>
      </c>
      <c r="BV165" s="9">
        <v>12663.5</v>
      </c>
      <c r="BW165" s="9">
        <v>284768.09999999998</v>
      </c>
      <c r="BX165" s="9">
        <v>-21582.7</v>
      </c>
      <c r="BY165" s="9">
        <v>60008.7</v>
      </c>
      <c r="BZ165" s="9">
        <v>88153.3</v>
      </c>
      <c r="CA165" s="9">
        <v>4802.3999999999996</v>
      </c>
      <c r="CB165" s="9">
        <v>10911</v>
      </c>
      <c r="CC165" s="9">
        <v>120892.6</v>
      </c>
      <c r="CD165" s="9">
        <v>0</v>
      </c>
      <c r="CE165" s="9">
        <v>132549</v>
      </c>
      <c r="CF165" s="9">
        <v>1949375.0261093327</v>
      </c>
      <c r="CG165" s="9">
        <v>8406731.7606165726</v>
      </c>
      <c r="CH165" s="9"/>
      <c r="CI165" s="9"/>
      <c r="CJ165" s="9">
        <v>18.899999999999999</v>
      </c>
      <c r="CK165" s="9">
        <v>12.5</v>
      </c>
      <c r="CL165" s="9">
        <v>10.5</v>
      </c>
      <c r="CM165" s="9">
        <v>83.383148829600003</v>
      </c>
      <c r="CN165" s="9">
        <v>25.367335727899999</v>
      </c>
      <c r="CO165" s="9">
        <v>3.2718487382000001</v>
      </c>
      <c r="CP165" s="9">
        <v>14.172425372699999</v>
      </c>
      <c r="CQ165" s="9">
        <v>9.8027638931999999</v>
      </c>
      <c r="CR165" s="9">
        <v>3.7325050970000002</v>
      </c>
      <c r="CS165" s="9">
        <v>2.6920579063000001</v>
      </c>
      <c r="CT165" s="9">
        <v>9.4386999702000001</v>
      </c>
      <c r="CU165" s="9">
        <v>2.7566416251999999</v>
      </c>
      <c r="CV165" s="9">
        <v>1.8652155864</v>
      </c>
      <c r="CW165" s="9">
        <v>4.8265478172999998</v>
      </c>
      <c r="CX165" s="9">
        <v>2.3779426439</v>
      </c>
      <c r="CY165" s="9">
        <v>3.0791644513</v>
      </c>
      <c r="CZ165" s="9">
        <v>349</v>
      </c>
      <c r="DA165" s="9">
        <v>315</v>
      </c>
      <c r="DB165" s="9">
        <v>0</v>
      </c>
      <c r="DC165" s="9">
        <v>92</v>
      </c>
      <c r="DD165" s="9">
        <v>60</v>
      </c>
      <c r="DE165" s="9">
        <v>4</v>
      </c>
      <c r="DF165" s="9">
        <v>98</v>
      </c>
      <c r="DG165" s="9">
        <v>48</v>
      </c>
      <c r="DH165" s="9">
        <v>13</v>
      </c>
      <c r="DI165" s="9">
        <v>0</v>
      </c>
      <c r="DJ165" s="9">
        <v>3</v>
      </c>
      <c r="DK165" s="9">
        <v>8</v>
      </c>
      <c r="DL165" s="9">
        <v>1</v>
      </c>
      <c r="DM165" s="9">
        <v>21</v>
      </c>
      <c r="DN165" s="9">
        <v>0</v>
      </c>
      <c r="DO165" s="9">
        <v>571.71</v>
      </c>
      <c r="DP165" s="9">
        <v>133.61000000000001</v>
      </c>
      <c r="DQ165" s="9">
        <v>66.38</v>
      </c>
      <c r="DR165" s="9">
        <v>67.23</v>
      </c>
      <c r="DS165" s="9">
        <v>68.77</v>
      </c>
      <c r="DT165" s="9">
        <v>15.01</v>
      </c>
      <c r="DU165" s="9">
        <v>278.97000000000003</v>
      </c>
      <c r="DV165" s="9">
        <v>154.82</v>
      </c>
      <c r="DW165" s="9">
        <v>100.44</v>
      </c>
      <c r="DX165" s="9">
        <v>89.11</v>
      </c>
      <c r="DY165" s="9">
        <v>60.66</v>
      </c>
      <c r="DZ165" s="9">
        <v>18.54</v>
      </c>
      <c r="EA165" s="9">
        <v>-440.79399999999998</v>
      </c>
      <c r="EB165" s="9">
        <v>-283.59399999999999</v>
      </c>
      <c r="EC165" s="9">
        <v>-104.526</v>
      </c>
      <c r="ED165" s="9">
        <v>-73.125900000000001</v>
      </c>
      <c r="EE165" s="9">
        <v>20.45224</v>
      </c>
      <c r="EF165" s="9">
        <v>14.471080000000001</v>
      </c>
      <c r="EG165" s="9">
        <v>-86.837400000000002</v>
      </c>
      <c r="EH165" s="9">
        <v>-137.39400000000001</v>
      </c>
      <c r="EI165" s="9">
        <v>-11.9742</v>
      </c>
      <c r="EJ165" s="9">
        <v>0</v>
      </c>
      <c r="EK165" s="9">
        <v>62.531210000000002</v>
      </c>
      <c r="EL165" s="9">
        <v>2.496855</v>
      </c>
      <c r="EM165" s="9">
        <v>-336.98899999999998</v>
      </c>
      <c r="EN165" s="9">
        <v>2725.5</v>
      </c>
      <c r="EO165" s="9"/>
      <c r="EP165" s="9"/>
      <c r="EQ165" s="9"/>
      <c r="ER165" s="9"/>
      <c r="ES165" s="9"/>
      <c r="ET165" s="9"/>
      <c r="EU165">
        <v>1570.43</v>
      </c>
      <c r="EV165" s="9"/>
      <c r="EW165" s="9"/>
      <c r="EX165" s="9"/>
      <c r="EY165" s="9"/>
      <c r="EZ165" s="9"/>
      <c r="FA165" s="9"/>
      <c r="FB165" s="9">
        <v>82.221428571399997</v>
      </c>
      <c r="FC165" s="9">
        <v>110.965</v>
      </c>
      <c r="FD165" s="9">
        <v>7186.25</v>
      </c>
      <c r="FE165" s="9">
        <v>137.05500000000001</v>
      </c>
      <c r="FF165" s="9">
        <v>1347.0952380952001</v>
      </c>
      <c r="FG165" s="9">
        <v>9728320.2400000002</v>
      </c>
      <c r="FH165" s="9">
        <v>185052.98</v>
      </c>
      <c r="FI165" s="9">
        <v>463269.99</v>
      </c>
      <c r="FJ165" s="9">
        <v>4310267.3499999996</v>
      </c>
      <c r="FK165" s="9">
        <v>39257.120000000003</v>
      </c>
      <c r="FL165" s="9">
        <v>48852.37</v>
      </c>
      <c r="FM165" s="9"/>
      <c r="FN165" s="9"/>
      <c r="FO165" s="9"/>
      <c r="FP165" s="9"/>
      <c r="FQ165" s="9"/>
      <c r="FR165" s="9"/>
      <c r="FS165" s="9"/>
      <c r="FT165" s="9">
        <v>5418023.3599999994</v>
      </c>
      <c r="FU165" s="9">
        <v>145795.85</v>
      </c>
      <c r="FV165" s="9">
        <v>414388.09</v>
      </c>
      <c r="FW165" s="9"/>
      <c r="FX165" s="9"/>
      <c r="FY165" s="9"/>
      <c r="FZ165" s="9">
        <v>21248.959999999999</v>
      </c>
      <c r="GA165" s="9">
        <v>6942966.7199999988</v>
      </c>
      <c r="GB165" s="9">
        <v>2368226.5699999998</v>
      </c>
      <c r="GC165" s="9">
        <v>4574740.1499999994</v>
      </c>
      <c r="GD165" s="9">
        <v>4691698.37</v>
      </c>
      <c r="GE165" s="9">
        <v>540820.74</v>
      </c>
      <c r="GF165" s="9">
        <v>4150877.63</v>
      </c>
      <c r="GG165" s="9">
        <v>2251268.35</v>
      </c>
      <c r="GH165" s="9">
        <v>1827405.83</v>
      </c>
      <c r="GI165" s="9">
        <v>423862.52</v>
      </c>
      <c r="GJ165" s="9">
        <v>2055504.06</v>
      </c>
      <c r="GK165" s="9">
        <v>16928419.960000001</v>
      </c>
      <c r="GL165" s="9">
        <v>1098100.2</v>
      </c>
      <c r="GM165">
        <v>1616.98</v>
      </c>
      <c r="GO165" s="6"/>
      <c r="GP165" s="6"/>
      <c r="GQ165" s="6"/>
    </row>
    <row r="166" spans="1:199" x14ac:dyDescent="0.2">
      <c r="A166" s="8">
        <v>2013</v>
      </c>
      <c r="B166" s="8" t="s">
        <v>415</v>
      </c>
      <c r="C166" s="8" t="s">
        <v>418</v>
      </c>
      <c r="D166" s="9">
        <v>5281732.4000000004</v>
      </c>
      <c r="E166" s="9">
        <v>736581.6</v>
      </c>
      <c r="F166" s="9">
        <v>838033.2</v>
      </c>
      <c r="G166" s="9">
        <v>435077.4</v>
      </c>
      <c r="H166" s="9">
        <v>67479.199999999997</v>
      </c>
      <c r="I166" s="9">
        <v>497801.9</v>
      </c>
      <c r="J166" s="9">
        <v>605381.19999999995</v>
      </c>
      <c r="K166" s="9">
        <v>141000.5</v>
      </c>
      <c r="L166" s="9">
        <v>99705.8</v>
      </c>
      <c r="M166" s="9">
        <v>1209925</v>
      </c>
      <c r="N166" s="9">
        <v>650746.69999999995</v>
      </c>
      <c r="O166" s="9">
        <v>5709765.3977260031</v>
      </c>
      <c r="P166" s="9">
        <v>733883.71611138189</v>
      </c>
      <c r="Q166" s="9">
        <v>896808.90700247453</v>
      </c>
      <c r="R166" s="9">
        <v>390981.81051462208</v>
      </c>
      <c r="S166" s="9">
        <v>96620.545010687696</v>
      </c>
      <c r="T166" s="9">
        <v>488632.71119537798</v>
      </c>
      <c r="U166" s="9">
        <v>756236.81434910803</v>
      </c>
      <c r="V166" s="9">
        <v>166684.6730071721</v>
      </c>
      <c r="W166" s="9">
        <v>112566.469727024</v>
      </c>
      <c r="X166" s="9">
        <v>1280095.8264151949</v>
      </c>
      <c r="Y166" s="9">
        <v>787253.92439296003</v>
      </c>
      <c r="Z166" s="9">
        <v>4999228.7</v>
      </c>
      <c r="AA166" s="9">
        <v>2617459.4</v>
      </c>
      <c r="AB166" s="9">
        <v>611219.69999999995</v>
      </c>
      <c r="AC166" s="9">
        <v>2696721.2</v>
      </c>
      <c r="AD166" s="9">
        <v>542144.30000000005</v>
      </c>
      <c r="AE166" s="9">
        <v>2070386.5</v>
      </c>
      <c r="AF166" s="9">
        <v>3538702.4</v>
      </c>
      <c r="AG166" s="9">
        <v>5386280.6073265523</v>
      </c>
      <c r="AH166" s="9">
        <v>2836934.180307345</v>
      </c>
      <c r="AI166" s="9">
        <v>709539.77717720473</v>
      </c>
      <c r="AJ166" s="9">
        <v>2590620.4695144752</v>
      </c>
      <c r="AK166" s="9">
        <v>637037.09611315117</v>
      </c>
      <c r="AL166" s="9">
        <v>1722659.110007589</v>
      </c>
      <c r="AM166" s="9">
        <v>3110510.0257932129</v>
      </c>
      <c r="AN166" s="9">
        <v>1086455</v>
      </c>
      <c r="AO166" s="9">
        <v>575713</v>
      </c>
      <c r="AP166" s="9">
        <v>510742</v>
      </c>
      <c r="AQ166" s="9">
        <v>89545</v>
      </c>
      <c r="AR166" s="9">
        <v>42702</v>
      </c>
      <c r="AS166" s="9">
        <v>46843</v>
      </c>
      <c r="AT166" s="9">
        <v>718523</v>
      </c>
      <c r="AU166" s="9">
        <v>280171</v>
      </c>
      <c r="AV166" s="9">
        <v>438352</v>
      </c>
      <c r="AW166" s="9">
        <v>743.375</v>
      </c>
      <c r="AX166" s="9">
        <v>318.8</v>
      </c>
      <c r="AY166" s="9">
        <v>1516.3</v>
      </c>
      <c r="AZ166" s="9">
        <v>556.6</v>
      </c>
      <c r="BA166" s="9">
        <v>988.5</v>
      </c>
      <c r="BB166" s="9">
        <v>539.70000000000005</v>
      </c>
      <c r="BC166" s="9">
        <v>752</v>
      </c>
      <c r="BD166" s="9">
        <v>739.7</v>
      </c>
      <c r="BE166" s="9">
        <v>854.1</v>
      </c>
      <c r="BF166" s="9">
        <v>586.9</v>
      </c>
      <c r="BG166" s="9">
        <v>895</v>
      </c>
      <c r="BH166" s="9">
        <v>1176.7</v>
      </c>
      <c r="BI166" s="9">
        <v>609.79999999999995</v>
      </c>
      <c r="BJ166" s="9">
        <v>588.6</v>
      </c>
      <c r="BK166" s="9">
        <v>715.8</v>
      </c>
      <c r="BL166" s="9">
        <v>592.20000000000005</v>
      </c>
      <c r="BM166" s="9">
        <v>463.3</v>
      </c>
      <c r="BN166" s="9">
        <v>489894.40000000002</v>
      </c>
      <c r="BO166" s="9">
        <v>444709.2</v>
      </c>
      <c r="BP166" s="9">
        <v>63093.599999999999</v>
      </c>
      <c r="BQ166" s="9">
        <v>24781.599999999999</v>
      </c>
      <c r="BR166" s="9">
        <v>38312</v>
      </c>
      <c r="BS166" s="9">
        <v>78709.5</v>
      </c>
      <c r="BT166" s="9">
        <v>139318.39999999999</v>
      </c>
      <c r="BU166" s="9">
        <v>48041.2</v>
      </c>
      <c r="BV166" s="9">
        <v>41861.300000000003</v>
      </c>
      <c r="BW166" s="9">
        <v>350822.1</v>
      </c>
      <c r="BX166" s="9">
        <v>55360.7</v>
      </c>
      <c r="BY166" s="9">
        <v>79085.8</v>
      </c>
      <c r="BZ166" s="9">
        <v>120096.9</v>
      </c>
      <c r="CA166" s="9">
        <v>10462.799999999999</v>
      </c>
      <c r="CB166" s="9">
        <v>8950.7000000000007</v>
      </c>
      <c r="CC166" s="9">
        <v>132225.9</v>
      </c>
      <c r="CD166" s="9">
        <v>0</v>
      </c>
      <c r="CE166" s="9">
        <v>80034.7</v>
      </c>
      <c r="CF166" s="9">
        <v>2013511.227658808</v>
      </c>
      <c r="CG166" s="9">
        <v>8476620.0608781278</v>
      </c>
      <c r="CH166" s="9"/>
      <c r="CI166" s="9"/>
      <c r="CJ166" s="9">
        <v>19</v>
      </c>
      <c r="CK166" s="9">
        <v>12.1</v>
      </c>
      <c r="CL166" s="9">
        <v>10.5</v>
      </c>
      <c r="CM166" s="9">
        <v>84.479694144199996</v>
      </c>
      <c r="CN166" s="9">
        <v>25.397945181899999</v>
      </c>
      <c r="CO166" s="9">
        <v>3.4310831515000002</v>
      </c>
      <c r="CP166" s="9">
        <v>14.5224754686</v>
      </c>
      <c r="CQ166" s="9">
        <v>9.9772389806999993</v>
      </c>
      <c r="CR166" s="9">
        <v>3.8678038378999999</v>
      </c>
      <c r="CS166" s="9">
        <v>2.7653002099999999</v>
      </c>
      <c r="CT166" s="9">
        <v>9.5075543254999992</v>
      </c>
      <c r="CU166" s="9">
        <v>2.7543120527</v>
      </c>
      <c r="CV166" s="9">
        <v>1.8634520259</v>
      </c>
      <c r="CW166" s="9">
        <v>4.8265712222000001</v>
      </c>
      <c r="CX166" s="9">
        <v>2.3891523347999999</v>
      </c>
      <c r="CY166" s="9">
        <v>3.1768053525000002</v>
      </c>
      <c r="CZ166" s="9">
        <v>395</v>
      </c>
      <c r="DA166" s="9">
        <v>365</v>
      </c>
      <c r="DB166" s="9">
        <v>51</v>
      </c>
      <c r="DC166" s="9">
        <v>117</v>
      </c>
      <c r="DD166" s="9">
        <v>36</v>
      </c>
      <c r="DE166" s="9">
        <v>9</v>
      </c>
      <c r="DF166" s="9">
        <v>90</v>
      </c>
      <c r="DG166" s="9">
        <v>51</v>
      </c>
      <c r="DH166" s="9">
        <v>14</v>
      </c>
      <c r="DI166" s="9">
        <v>0</v>
      </c>
      <c r="DJ166" s="9">
        <v>3</v>
      </c>
      <c r="DK166" s="9">
        <v>9</v>
      </c>
      <c r="DL166" s="9">
        <v>1</v>
      </c>
      <c r="DM166" s="9">
        <v>15</v>
      </c>
      <c r="DN166" s="9">
        <v>0</v>
      </c>
      <c r="DO166" s="9">
        <v>567.24</v>
      </c>
      <c r="DP166" s="9">
        <v>122.13</v>
      </c>
      <c r="DQ166" s="9">
        <v>64.849999999999994</v>
      </c>
      <c r="DR166" s="9">
        <v>57.27</v>
      </c>
      <c r="DS166" s="9">
        <v>59.74</v>
      </c>
      <c r="DT166" s="9">
        <v>9.6</v>
      </c>
      <c r="DU166" s="9">
        <v>236.79</v>
      </c>
      <c r="DV166" s="9">
        <v>117.69</v>
      </c>
      <c r="DW166" s="9">
        <v>93.2</v>
      </c>
      <c r="DX166" s="9">
        <v>148.43</v>
      </c>
      <c r="DY166" s="9">
        <v>94.32</v>
      </c>
      <c r="DZ166" s="9">
        <v>27.07</v>
      </c>
      <c r="EA166" s="9">
        <v>-389.48</v>
      </c>
      <c r="EB166" s="9">
        <v>-233.821</v>
      </c>
      <c r="EC166" s="9">
        <v>-109.441</v>
      </c>
      <c r="ED166" s="9">
        <v>-59.188200000000002</v>
      </c>
      <c r="EE166" s="9">
        <v>12.97011</v>
      </c>
      <c r="EF166" s="9">
        <v>10.379619999999999</v>
      </c>
      <c r="EG166" s="9">
        <v>-266.25200000000001</v>
      </c>
      <c r="EH166" s="9">
        <v>-104.842</v>
      </c>
      <c r="EI166" s="9">
        <v>17.75404</v>
      </c>
      <c r="EJ166" s="9">
        <v>0</v>
      </c>
      <c r="EK166" s="9">
        <v>-179.16399999999999</v>
      </c>
      <c r="EL166" s="9">
        <v>113.74769999999999</v>
      </c>
      <c r="EM166" s="9">
        <v>0.89970899999999998</v>
      </c>
      <c r="EN166" s="9">
        <v>2679.6</v>
      </c>
      <c r="EO166" s="9"/>
      <c r="EP166" s="9"/>
      <c r="EQ166" s="9"/>
      <c r="ER166" s="9"/>
      <c r="ES166" s="9"/>
      <c r="ET166" s="9"/>
      <c r="EU166">
        <v>1662.45</v>
      </c>
      <c r="EV166" s="9">
        <v>19106.86</v>
      </c>
      <c r="EW166" s="9">
        <v>3541.02</v>
      </c>
      <c r="EX166" s="9">
        <v>979.93</v>
      </c>
      <c r="EY166" s="9">
        <v>1283.42</v>
      </c>
      <c r="EZ166" s="9">
        <v>3042.12</v>
      </c>
      <c r="FA166" s="9">
        <v>10260.370000000001</v>
      </c>
      <c r="FB166" s="9">
        <v>83.295918367300004</v>
      </c>
      <c r="FC166" s="9">
        <v>111.6214285714</v>
      </c>
      <c r="FD166" s="9">
        <v>7159.2690476191001</v>
      </c>
      <c r="FE166" s="9">
        <v>134.18571428569999</v>
      </c>
      <c r="FF166" s="9">
        <v>1348.7976190475999</v>
      </c>
      <c r="FG166" s="9">
        <v>10098616.779999999</v>
      </c>
      <c r="FH166" s="9">
        <v>152085.72</v>
      </c>
      <c r="FI166" s="9">
        <v>535597.15999999992</v>
      </c>
      <c r="FJ166" s="9">
        <v>4512644.71</v>
      </c>
      <c r="FK166" s="9">
        <v>40374.07</v>
      </c>
      <c r="FL166" s="9">
        <v>50168.44</v>
      </c>
      <c r="FM166" s="9"/>
      <c r="FN166" s="9"/>
      <c r="FO166" s="9"/>
      <c r="FP166" s="9"/>
      <c r="FQ166" s="9"/>
      <c r="FR166" s="9"/>
      <c r="FS166" s="9"/>
      <c r="FT166" s="9">
        <v>5585944.7599999988</v>
      </c>
      <c r="FU166" s="9">
        <v>111711.64</v>
      </c>
      <c r="FV166" s="9">
        <v>485401.42</v>
      </c>
      <c r="FW166" s="9"/>
      <c r="FX166" s="9"/>
      <c r="FY166" s="9"/>
      <c r="FZ166" s="9">
        <v>22035.61</v>
      </c>
      <c r="GA166" s="9">
        <v>7129431.3599999994</v>
      </c>
      <c r="GB166" s="9">
        <v>2494430.29</v>
      </c>
      <c r="GC166" s="9">
        <v>4635001.0699999994</v>
      </c>
      <c r="GD166" s="9">
        <v>4797167.2699999996</v>
      </c>
      <c r="GE166" s="9">
        <v>531649.03</v>
      </c>
      <c r="GF166" s="9">
        <v>4265518.24</v>
      </c>
      <c r="GG166" s="9">
        <v>2332264.09</v>
      </c>
      <c r="GH166" s="9">
        <v>1962781.26</v>
      </c>
      <c r="GI166" s="9">
        <v>369482.83</v>
      </c>
      <c r="GJ166" s="9">
        <v>2070208.37</v>
      </c>
      <c r="GK166" s="9">
        <v>18155548.699999999</v>
      </c>
      <c r="GL166" s="9">
        <v>1210609.17</v>
      </c>
      <c r="GM166">
        <v>1646.48</v>
      </c>
      <c r="GO166" s="6"/>
      <c r="GP166" s="6"/>
      <c r="GQ166" s="6"/>
    </row>
    <row r="167" spans="1:199" x14ac:dyDescent="0.2">
      <c r="A167" s="8">
        <v>2013</v>
      </c>
      <c r="B167" s="8" t="s">
        <v>419</v>
      </c>
      <c r="C167" s="8" t="s">
        <v>420</v>
      </c>
      <c r="D167" s="9"/>
      <c r="E167" s="9"/>
      <c r="F167" s="9"/>
      <c r="G167" s="9"/>
      <c r="H167" s="9"/>
      <c r="I167" s="9"/>
      <c r="J167" s="9"/>
      <c r="K167" s="9"/>
      <c r="L167" s="9"/>
      <c r="M167" s="9"/>
      <c r="N167" s="9"/>
      <c r="O167" s="9"/>
      <c r="P167" s="9"/>
      <c r="Q167" s="9"/>
      <c r="R167" s="9"/>
      <c r="S167" s="9"/>
      <c r="T167" s="9"/>
      <c r="U167" s="9"/>
      <c r="V167" s="9"/>
      <c r="W167" s="9"/>
      <c r="X167" s="9"/>
      <c r="Y167" s="9"/>
      <c r="Z167" s="9"/>
      <c r="AA167" s="9"/>
      <c r="AB167" s="9"/>
      <c r="AC167" s="9"/>
      <c r="AD167" s="9"/>
      <c r="AE167" s="9"/>
      <c r="AF167" s="9"/>
      <c r="AG167" s="9"/>
      <c r="AH167" s="9"/>
      <c r="AI167" s="9"/>
      <c r="AJ167" s="9"/>
      <c r="AK167" s="9"/>
      <c r="AL167" s="9"/>
      <c r="AM167" s="9"/>
      <c r="AN167" s="9"/>
      <c r="AO167" s="9"/>
      <c r="AP167" s="9"/>
      <c r="AQ167" s="9"/>
      <c r="AR167" s="9"/>
      <c r="AS167" s="9"/>
      <c r="AT167" s="9"/>
      <c r="AU167" s="9"/>
      <c r="AV167" s="9"/>
      <c r="AW167" s="9"/>
      <c r="AX167" s="9"/>
      <c r="AY167" s="9"/>
      <c r="AZ167" s="9"/>
      <c r="BA167" s="9"/>
      <c r="BB167" s="9"/>
      <c r="BC167" s="9"/>
      <c r="BD167" s="9"/>
      <c r="BE167" s="9"/>
      <c r="BF167" s="9"/>
      <c r="BG167" s="9"/>
      <c r="BH167" s="9"/>
      <c r="BI167" s="9"/>
      <c r="BJ167" s="9"/>
      <c r="BK167" s="9"/>
      <c r="BL167" s="9"/>
      <c r="BM167" s="9"/>
      <c r="BN167" s="9">
        <v>523437.1</v>
      </c>
      <c r="BO167" s="9">
        <v>462993.9</v>
      </c>
      <c r="BP167" s="9">
        <v>128189.7</v>
      </c>
      <c r="BQ167" s="9">
        <v>82844.399999999994</v>
      </c>
      <c r="BR167" s="9">
        <v>45345.3</v>
      </c>
      <c r="BS167" s="9">
        <v>72951.199999999997</v>
      </c>
      <c r="BT167" s="9">
        <v>114772.3</v>
      </c>
      <c r="BU167" s="9">
        <v>38919.599999999999</v>
      </c>
      <c r="BV167" s="9">
        <v>59003.7</v>
      </c>
      <c r="BW167" s="9">
        <v>372191.4</v>
      </c>
      <c r="BX167" s="9">
        <v>23148.3</v>
      </c>
      <c r="BY167" s="9">
        <v>98462.8</v>
      </c>
      <c r="BZ167" s="9">
        <v>116420.3</v>
      </c>
      <c r="CA167" s="9">
        <v>19299</v>
      </c>
      <c r="CB167" s="9">
        <v>9222.1</v>
      </c>
      <c r="CC167" s="9">
        <v>128787.2</v>
      </c>
      <c r="CD167" s="9">
        <v>0</v>
      </c>
      <c r="CE167" s="9">
        <v>178833.1</v>
      </c>
      <c r="CF167" s="9">
        <v>1936549.896318733</v>
      </c>
      <c r="CG167" s="9">
        <v>8712044.4912143946</v>
      </c>
      <c r="CH167" s="9"/>
      <c r="CI167" s="9"/>
      <c r="CJ167" s="9">
        <v>18.8203457549</v>
      </c>
      <c r="CK167" s="9">
        <v>12.021278281200001</v>
      </c>
      <c r="CL167" s="9">
        <v>10.5</v>
      </c>
      <c r="CM167" s="9">
        <v>85.810237530799995</v>
      </c>
      <c r="CN167" s="9">
        <v>25.488135519299998</v>
      </c>
      <c r="CO167" s="9">
        <v>3.4927625180000001</v>
      </c>
      <c r="CP167" s="9">
        <v>14.9894784295</v>
      </c>
      <c r="CQ167" s="9">
        <v>10.357024450500001</v>
      </c>
      <c r="CR167" s="9">
        <v>3.9600429497</v>
      </c>
      <c r="CS167" s="9">
        <v>2.8079414515000001</v>
      </c>
      <c r="CT167" s="9">
        <v>9.5326110194999991</v>
      </c>
      <c r="CU167" s="9">
        <v>2.7541580946000002</v>
      </c>
      <c r="CV167" s="9">
        <v>1.8681153291999999</v>
      </c>
      <c r="CW167" s="9">
        <v>4.8265712222000001</v>
      </c>
      <c r="CX167" s="9">
        <v>2.4566981871000002</v>
      </c>
      <c r="CY167" s="9">
        <v>3.2766983597000001</v>
      </c>
      <c r="CZ167" s="9">
        <v>400</v>
      </c>
      <c r="DA167" s="9">
        <v>368</v>
      </c>
      <c r="DB167" s="9">
        <v>50</v>
      </c>
      <c r="DC167" s="9">
        <v>71</v>
      </c>
      <c r="DD167" s="9">
        <v>70</v>
      </c>
      <c r="DE167" s="9">
        <v>13</v>
      </c>
      <c r="DF167" s="9">
        <v>100</v>
      </c>
      <c r="DG167" s="9">
        <v>51</v>
      </c>
      <c r="DH167" s="9">
        <v>12</v>
      </c>
      <c r="DI167" s="9">
        <v>0</v>
      </c>
      <c r="DJ167" s="9">
        <v>2</v>
      </c>
      <c r="DK167" s="9">
        <v>9</v>
      </c>
      <c r="DL167" s="9">
        <v>1</v>
      </c>
      <c r="DM167" s="9">
        <v>19</v>
      </c>
      <c r="DN167" s="9">
        <v>0</v>
      </c>
      <c r="DO167" s="9">
        <v>537.80999999999995</v>
      </c>
      <c r="DP167" s="9">
        <v>134.15</v>
      </c>
      <c r="DQ167" s="9">
        <v>74.12</v>
      </c>
      <c r="DR167" s="9">
        <v>60.03</v>
      </c>
      <c r="DS167" s="9">
        <v>56.5</v>
      </c>
      <c r="DT167" s="9">
        <v>15.13</v>
      </c>
      <c r="DU167" s="9">
        <v>227.67</v>
      </c>
      <c r="DV167" s="9">
        <v>132.46</v>
      </c>
      <c r="DW167" s="9">
        <v>68.17</v>
      </c>
      <c r="DX167" s="9">
        <v>119.24</v>
      </c>
      <c r="DY167" s="9">
        <v>82.27</v>
      </c>
      <c r="DZ167" s="9">
        <v>24.85</v>
      </c>
      <c r="EA167" s="9">
        <v>-377.26499999999999</v>
      </c>
      <c r="EB167" s="9">
        <v>-181.709</v>
      </c>
      <c r="EC167" s="9">
        <v>-102.602</v>
      </c>
      <c r="ED167" s="9">
        <v>-103.267</v>
      </c>
      <c r="EE167" s="9">
        <v>10.312620000000001</v>
      </c>
      <c r="EF167" s="9">
        <v>13.600210000000001</v>
      </c>
      <c r="EG167" s="9">
        <v>-118.068</v>
      </c>
      <c r="EH167" s="9">
        <v>-129.17099999999999</v>
      </c>
      <c r="EI167" s="9">
        <v>135.96</v>
      </c>
      <c r="EJ167" s="9">
        <v>0</v>
      </c>
      <c r="EK167" s="9">
        <v>-124.857</v>
      </c>
      <c r="EL167" s="9">
        <v>1.1089469999999999</v>
      </c>
      <c r="EM167" s="9">
        <v>-244.488</v>
      </c>
      <c r="EN167" s="9">
        <v>2389.1999999999998</v>
      </c>
      <c r="EO167" s="9"/>
      <c r="EP167" s="9"/>
      <c r="EQ167" s="9"/>
      <c r="ER167" s="9"/>
      <c r="ES167" s="9"/>
      <c r="ET167" s="9"/>
      <c r="EU167">
        <v>1687.62</v>
      </c>
      <c r="EV167" s="9"/>
      <c r="EW167" s="9"/>
      <c r="EX167" s="9"/>
      <c r="EY167" s="9"/>
      <c r="EZ167" s="9"/>
      <c r="FA167" s="9"/>
      <c r="FB167" s="9">
        <v>85.4436335404</v>
      </c>
      <c r="FC167" s="9">
        <v>109.4791304348</v>
      </c>
      <c r="FD167" s="9">
        <v>7203.0217391304004</v>
      </c>
      <c r="FE167" s="9">
        <v>132.57272727270001</v>
      </c>
      <c r="FF167" s="9">
        <v>1316.1847826087001</v>
      </c>
      <c r="FG167" s="9">
        <v>10435093.109999999</v>
      </c>
      <c r="FH167" s="9">
        <v>168361.31</v>
      </c>
      <c r="FI167" s="9">
        <v>558816.82999999996</v>
      </c>
      <c r="FJ167" s="9">
        <v>4692821.9700000007</v>
      </c>
      <c r="FK167" s="9">
        <v>44640.95</v>
      </c>
      <c r="FL167" s="9">
        <v>56593.760000000002</v>
      </c>
      <c r="FM167" s="9"/>
      <c r="FN167" s="9"/>
      <c r="FO167" s="9"/>
      <c r="FP167" s="9"/>
      <c r="FQ167" s="9"/>
      <c r="FR167" s="9"/>
      <c r="FS167" s="9"/>
      <c r="FT167" s="9">
        <v>5742245.9400000004</v>
      </c>
      <c r="FU167" s="9">
        <v>123720.35</v>
      </c>
      <c r="FV167" s="9">
        <v>502197.86999999988</v>
      </c>
      <c r="FW167" s="9"/>
      <c r="FX167" s="9"/>
      <c r="FY167" s="9"/>
      <c r="FZ167" s="9">
        <v>4320.6099999999997</v>
      </c>
      <c r="GA167" s="9">
        <v>7190951.8099999987</v>
      </c>
      <c r="GB167" s="9">
        <v>2386490.94</v>
      </c>
      <c r="GC167" s="9">
        <v>4804460.8699999992</v>
      </c>
      <c r="GD167" s="9">
        <v>4871756.1800000006</v>
      </c>
      <c r="GE167" s="9">
        <v>535481.10000000009</v>
      </c>
      <c r="GF167" s="9">
        <v>4336275.08</v>
      </c>
      <c r="GG167" s="9">
        <v>2319195.63</v>
      </c>
      <c r="GH167" s="9">
        <v>1851009.84</v>
      </c>
      <c r="GI167" s="9">
        <v>468185.79</v>
      </c>
      <c r="GJ167" s="9">
        <v>2318530.84</v>
      </c>
      <c r="GK167" s="9">
        <v>18635416.100000001</v>
      </c>
      <c r="GL167" s="9">
        <v>1241911.55</v>
      </c>
      <c r="GM167">
        <v>1716.28</v>
      </c>
      <c r="GO167" s="6"/>
      <c r="GP167" s="6"/>
      <c r="GQ167" s="6"/>
    </row>
    <row r="168" spans="1:199" x14ac:dyDescent="0.2">
      <c r="A168" s="8">
        <v>2013</v>
      </c>
      <c r="B168" s="8" t="s">
        <v>419</v>
      </c>
      <c r="C168" s="8" t="s">
        <v>421</v>
      </c>
      <c r="D168" s="9"/>
      <c r="E168" s="9"/>
      <c r="F168" s="9"/>
      <c r="G168" s="9"/>
      <c r="H168" s="9"/>
      <c r="I168" s="9"/>
      <c r="J168" s="9"/>
      <c r="K168" s="9"/>
      <c r="L168" s="9"/>
      <c r="M168" s="9"/>
      <c r="N168" s="9"/>
      <c r="O168" s="9"/>
      <c r="P168" s="9"/>
      <c r="Q168" s="9"/>
      <c r="R168" s="9"/>
      <c r="S168" s="9"/>
      <c r="T168" s="9"/>
      <c r="U168" s="9"/>
      <c r="V168" s="9"/>
      <c r="W168" s="9"/>
      <c r="X168" s="9"/>
      <c r="Y168" s="9"/>
      <c r="Z168" s="9"/>
      <c r="AA168" s="9"/>
      <c r="AB168" s="9"/>
      <c r="AC168" s="9"/>
      <c r="AD168" s="9"/>
      <c r="AE168" s="9"/>
      <c r="AF168" s="9"/>
      <c r="AG168" s="9"/>
      <c r="AH168" s="9"/>
      <c r="AI168" s="9"/>
      <c r="AJ168" s="9"/>
      <c r="AK168" s="9"/>
      <c r="AL168" s="9"/>
      <c r="AM168" s="9"/>
      <c r="AN168" s="9"/>
      <c r="AO168" s="9"/>
      <c r="AP168" s="9"/>
      <c r="AQ168" s="9"/>
      <c r="AR168" s="9"/>
      <c r="AS168" s="9"/>
      <c r="AT168" s="9"/>
      <c r="AU168" s="9"/>
      <c r="AV168" s="9"/>
      <c r="AW168" s="9"/>
      <c r="AX168" s="9"/>
      <c r="AY168" s="9"/>
      <c r="AZ168" s="9"/>
      <c r="BA168" s="9"/>
      <c r="BB168" s="9"/>
      <c r="BC168" s="9"/>
      <c r="BD168" s="9"/>
      <c r="BE168" s="9"/>
      <c r="BF168" s="9"/>
      <c r="BG168" s="9"/>
      <c r="BH168" s="9"/>
      <c r="BI168" s="9"/>
      <c r="BJ168" s="9"/>
      <c r="BK168" s="9"/>
      <c r="BL168" s="9"/>
      <c r="BM168" s="9"/>
      <c r="BN168" s="9">
        <v>505427.63900000002</v>
      </c>
      <c r="BO168" s="9">
        <v>452645.61300000001</v>
      </c>
      <c r="BP168" s="9">
        <v>84305.234100000001</v>
      </c>
      <c r="BQ168" s="9">
        <v>47090.109600000003</v>
      </c>
      <c r="BR168" s="9">
        <v>37215.124499999998</v>
      </c>
      <c r="BS168" s="9">
        <v>74964.682700000005</v>
      </c>
      <c r="BT168" s="9">
        <v>128082.42600000001</v>
      </c>
      <c r="BU168" s="9">
        <v>42866.8678</v>
      </c>
      <c r="BV168" s="9">
        <v>49204.858800000002</v>
      </c>
      <c r="BW168" s="9">
        <v>371441.3</v>
      </c>
      <c r="BX168" s="9">
        <v>6756.2</v>
      </c>
      <c r="BY168" s="9">
        <v>97880.9</v>
      </c>
      <c r="BZ168" s="9">
        <v>118839.5</v>
      </c>
      <c r="CA168" s="9">
        <v>12545.9</v>
      </c>
      <c r="CB168" s="9">
        <v>7823.3</v>
      </c>
      <c r="CC168" s="9">
        <v>134351.79999999999</v>
      </c>
      <c r="CD168" s="9">
        <v>0</v>
      </c>
      <c r="CE168" s="9">
        <v>107556</v>
      </c>
      <c r="CF168" s="9">
        <v>1826732.2524461939</v>
      </c>
      <c r="CG168" s="9">
        <v>9099215.762733236</v>
      </c>
      <c r="CH168" s="9"/>
      <c r="CI168" s="9"/>
      <c r="CJ168" s="9">
        <v>17.329999999999998</v>
      </c>
      <c r="CK168" s="9">
        <v>12.287635481300001</v>
      </c>
      <c r="CL168" s="9">
        <v>10.5</v>
      </c>
      <c r="CM168" s="9">
        <v>86.931704445500003</v>
      </c>
      <c r="CN168" s="9">
        <v>25.868490276100001</v>
      </c>
      <c r="CO168" s="9">
        <v>3.5227549522000001</v>
      </c>
      <c r="CP168" s="9">
        <v>15.337291150900001</v>
      </c>
      <c r="CQ168" s="9">
        <v>10.4288911887</v>
      </c>
      <c r="CR168" s="9">
        <v>4.0400906124000002</v>
      </c>
      <c r="CS168" s="9">
        <v>2.8264122558999998</v>
      </c>
      <c r="CT168" s="9">
        <v>9.5608768482999995</v>
      </c>
      <c r="CU168" s="9">
        <v>2.7546909787999998</v>
      </c>
      <c r="CV168" s="9">
        <v>1.8758561740999999</v>
      </c>
      <c r="CW168" s="9">
        <v>4.8265712222000001</v>
      </c>
      <c r="CX168" s="9">
        <v>2.5056338852</v>
      </c>
      <c r="CY168" s="9">
        <v>3.3841449009</v>
      </c>
      <c r="CZ168" s="9">
        <v>364</v>
      </c>
      <c r="DA168" s="9">
        <v>339</v>
      </c>
      <c r="DB168" s="9">
        <v>8</v>
      </c>
      <c r="DC168" s="9">
        <v>100</v>
      </c>
      <c r="DD168" s="9">
        <v>44</v>
      </c>
      <c r="DE168" s="9">
        <v>8</v>
      </c>
      <c r="DF168" s="9">
        <v>119</v>
      </c>
      <c r="DG168" s="9">
        <v>47</v>
      </c>
      <c r="DH168" s="9">
        <v>12</v>
      </c>
      <c r="DI168" s="9">
        <v>2</v>
      </c>
      <c r="DJ168" s="9">
        <v>1</v>
      </c>
      <c r="DK168" s="9">
        <v>7</v>
      </c>
      <c r="DL168" s="9">
        <v>1</v>
      </c>
      <c r="DM168" s="9">
        <v>12</v>
      </c>
      <c r="DN168" s="9">
        <v>0</v>
      </c>
      <c r="DO168" s="9">
        <v>492.04</v>
      </c>
      <c r="DP168" s="9">
        <v>138.30000000000001</v>
      </c>
      <c r="DQ168" s="9">
        <v>79.31</v>
      </c>
      <c r="DR168" s="9">
        <v>58.99</v>
      </c>
      <c r="DS168" s="9">
        <v>46.25</v>
      </c>
      <c r="DT168" s="9">
        <v>11.04</v>
      </c>
      <c r="DU168" s="9">
        <v>169.24</v>
      </c>
      <c r="DV168" s="9">
        <v>96.62</v>
      </c>
      <c r="DW168" s="9">
        <v>49.69</v>
      </c>
      <c r="DX168" s="9">
        <v>138.13</v>
      </c>
      <c r="DY168" s="9">
        <v>81.88</v>
      </c>
      <c r="DZ168" s="9">
        <v>36.020000000000003</v>
      </c>
      <c r="EA168" s="9">
        <v>-314.30599999999998</v>
      </c>
      <c r="EB168" s="9">
        <v>-141.255</v>
      </c>
      <c r="EC168" s="9">
        <v>-89.206800000000001</v>
      </c>
      <c r="ED168" s="9">
        <v>-94.696299999999994</v>
      </c>
      <c r="EE168" s="9">
        <v>10.852679999999999</v>
      </c>
      <c r="EF168" s="9">
        <v>13.235340000000001</v>
      </c>
      <c r="EG168" s="9">
        <v>-331.59399999999999</v>
      </c>
      <c r="EH168" s="9">
        <v>-149.374</v>
      </c>
      <c r="EI168" s="9">
        <v>-6.7760899999999999</v>
      </c>
      <c r="EJ168" s="9">
        <v>0</v>
      </c>
      <c r="EK168" s="9">
        <v>-175.44399999999999</v>
      </c>
      <c r="EL168" s="9">
        <v>-141.322</v>
      </c>
      <c r="EM168" s="9">
        <v>-110.798</v>
      </c>
      <c r="EN168" s="9">
        <v>2309.6</v>
      </c>
      <c r="EO168" s="9"/>
      <c r="EP168" s="9"/>
      <c r="EQ168" s="9"/>
      <c r="ER168" s="9"/>
      <c r="ES168" s="9"/>
      <c r="ET168" s="9"/>
      <c r="EU168">
        <v>1733.47</v>
      </c>
      <c r="EV168" s="9"/>
      <c r="EW168" s="9"/>
      <c r="EX168" s="9"/>
      <c r="EY168" s="9"/>
      <c r="EZ168" s="9"/>
      <c r="FA168" s="9"/>
      <c r="FB168" s="9">
        <v>88.363265306100004</v>
      </c>
      <c r="FC168" s="9">
        <v>108.07666666670001</v>
      </c>
      <c r="FD168" s="9">
        <v>7070.6547619047997</v>
      </c>
      <c r="FE168" s="9">
        <v>136.32380952380001</v>
      </c>
      <c r="FF168" s="9">
        <v>1275.8214285714</v>
      </c>
      <c r="FG168" s="9">
        <v>10768736.99</v>
      </c>
      <c r="FH168" s="9">
        <v>160048.28</v>
      </c>
      <c r="FI168" s="9">
        <v>570791.4</v>
      </c>
      <c r="FJ168" s="9">
        <v>4777983.870000001</v>
      </c>
      <c r="FK168" s="9">
        <v>47853.4</v>
      </c>
      <c r="FL168" s="9">
        <v>59174.89</v>
      </c>
      <c r="FM168" s="9"/>
      <c r="FN168" s="9"/>
      <c r="FO168" s="9"/>
      <c r="FP168" s="9"/>
      <c r="FQ168" s="9"/>
      <c r="FR168" s="9"/>
      <c r="FS168" s="9"/>
      <c r="FT168" s="9">
        <v>5990730.1199999992</v>
      </c>
      <c r="FU168" s="9">
        <v>112194.89</v>
      </c>
      <c r="FV168" s="9">
        <v>511593.52</v>
      </c>
      <c r="FW168" s="9"/>
      <c r="FX168" s="9"/>
      <c r="FY168" s="9"/>
      <c r="FZ168" s="9">
        <v>3292.96</v>
      </c>
      <c r="GA168" s="9">
        <v>7160259.5800000001</v>
      </c>
      <c r="GB168" s="9">
        <v>2327370.27</v>
      </c>
      <c r="GC168" s="9">
        <v>4832889.3099999996</v>
      </c>
      <c r="GD168" s="9">
        <v>4848884.71</v>
      </c>
      <c r="GE168" s="9">
        <v>495900.5</v>
      </c>
      <c r="GF168" s="9">
        <v>4352984.21</v>
      </c>
      <c r="GG168" s="9">
        <v>2311374.87</v>
      </c>
      <c r="GH168" s="9">
        <v>1831469.77</v>
      </c>
      <c r="GI168" s="9">
        <v>479905.1</v>
      </c>
      <c r="GJ168" s="9">
        <v>2757359.43</v>
      </c>
      <c r="GK168" s="9">
        <v>19476917.73</v>
      </c>
      <c r="GL168" s="9">
        <v>1252855.72</v>
      </c>
      <c r="GM168">
        <v>1741.71</v>
      </c>
      <c r="GO168" s="6"/>
      <c r="GP168" s="6"/>
      <c r="GQ168" s="6"/>
    </row>
    <row r="169" spans="1:199" x14ac:dyDescent="0.2">
      <c r="A169" s="8">
        <v>2013</v>
      </c>
      <c r="B169" s="8" t="s">
        <v>419</v>
      </c>
      <c r="C169" s="8" t="s">
        <v>422</v>
      </c>
      <c r="D169" s="9">
        <v>5306864.3</v>
      </c>
      <c r="E169" s="9">
        <v>652421</v>
      </c>
      <c r="F169" s="9">
        <v>637192.19999999995</v>
      </c>
      <c r="G169" s="9">
        <v>535591.9</v>
      </c>
      <c r="H169" s="9">
        <v>106225.1</v>
      </c>
      <c r="I169" s="9">
        <v>200288.5</v>
      </c>
      <c r="J169" s="9">
        <v>880815.6</v>
      </c>
      <c r="K169" s="9">
        <v>299792.7</v>
      </c>
      <c r="L169" s="9">
        <v>112861.2</v>
      </c>
      <c r="M169" s="9">
        <v>1365945.3</v>
      </c>
      <c r="N169" s="9">
        <v>515730.8</v>
      </c>
      <c r="O169" s="9">
        <v>5736933.9935827544</v>
      </c>
      <c r="P169" s="9">
        <v>641511.17260909651</v>
      </c>
      <c r="Q169" s="9">
        <v>672944.18857287895</v>
      </c>
      <c r="R169" s="9">
        <v>475000.35756018758</v>
      </c>
      <c r="S169" s="9">
        <v>150105.50284528409</v>
      </c>
      <c r="T169" s="9">
        <v>194022.41622934359</v>
      </c>
      <c r="U169" s="9">
        <v>1085884.891648957</v>
      </c>
      <c r="V169" s="9">
        <v>349756.64597124112</v>
      </c>
      <c r="W169" s="9">
        <v>125748.61042778489</v>
      </c>
      <c r="X169" s="9">
        <v>1426222.379024721</v>
      </c>
      <c r="Y169" s="9">
        <v>615737.82869325799</v>
      </c>
      <c r="Z169" s="9">
        <v>5765635.7000000002</v>
      </c>
      <c r="AA169" s="9">
        <v>2927080.4</v>
      </c>
      <c r="AB169" s="9">
        <v>807613.4</v>
      </c>
      <c r="AC169" s="9">
        <v>1645837.2</v>
      </c>
      <c r="AD169" s="9">
        <v>1286109.8999999999</v>
      </c>
      <c r="AE169" s="9">
        <v>2196315.2000000002</v>
      </c>
      <c r="AF169" s="9">
        <v>3097320.3</v>
      </c>
      <c r="AG169" s="9">
        <v>6212024.6188816391</v>
      </c>
      <c r="AH169" s="9">
        <v>3124620.5228731218</v>
      </c>
      <c r="AI169" s="9">
        <v>923371.02716933715</v>
      </c>
      <c r="AJ169" s="9">
        <v>1557212.7145509119</v>
      </c>
      <c r="AK169" s="9">
        <v>1488405.381746745</v>
      </c>
      <c r="AL169" s="9">
        <v>1799848.326648172</v>
      </c>
      <c r="AM169" s="9">
        <v>2681433.3541066488</v>
      </c>
      <c r="AN169" s="9">
        <v>1038232</v>
      </c>
      <c r="AO169" s="9">
        <v>551949</v>
      </c>
      <c r="AP169" s="9">
        <v>486283</v>
      </c>
      <c r="AQ169" s="9">
        <v>87246</v>
      </c>
      <c r="AR169" s="9">
        <v>46552</v>
      </c>
      <c r="AS169" s="9">
        <v>40694</v>
      </c>
      <c r="AT169" s="9">
        <v>721404</v>
      </c>
      <c r="AU169" s="9">
        <v>290118</v>
      </c>
      <c r="AV169" s="9">
        <v>431286</v>
      </c>
      <c r="AW169" s="9">
        <v>772.11249999999995</v>
      </c>
      <c r="AX169" s="9">
        <v>365.5</v>
      </c>
      <c r="AY169" s="9">
        <v>1521.4</v>
      </c>
      <c r="AZ169" s="9">
        <v>668.4</v>
      </c>
      <c r="BA169" s="9">
        <v>934.7</v>
      </c>
      <c r="BB169" s="9">
        <v>637.6</v>
      </c>
      <c r="BC169" s="9">
        <v>852.9</v>
      </c>
      <c r="BD169" s="9">
        <v>766.3</v>
      </c>
      <c r="BE169" s="9">
        <v>817.3</v>
      </c>
      <c r="BF169" s="9">
        <v>678.2</v>
      </c>
      <c r="BG169" s="9">
        <v>905.3</v>
      </c>
      <c r="BH169" s="9">
        <v>1151.8</v>
      </c>
      <c r="BI169" s="9">
        <v>603.4</v>
      </c>
      <c r="BJ169" s="9">
        <v>687.8</v>
      </c>
      <c r="BK169" s="9">
        <v>756.8</v>
      </c>
      <c r="BL169" s="9">
        <v>538.70000000000005</v>
      </c>
      <c r="BM169" s="9">
        <v>467.7</v>
      </c>
      <c r="BN169" s="9">
        <v>983707.86100000003</v>
      </c>
      <c r="BO169" s="9">
        <v>681871.08700000006</v>
      </c>
      <c r="BP169" s="9">
        <v>161582.3659</v>
      </c>
      <c r="BQ169" s="9">
        <v>103669.2904</v>
      </c>
      <c r="BR169" s="9">
        <v>57913.075499999999</v>
      </c>
      <c r="BS169" s="9">
        <v>119218.3173</v>
      </c>
      <c r="BT169" s="9">
        <v>179276.774</v>
      </c>
      <c r="BU169" s="9">
        <v>39454.1322</v>
      </c>
      <c r="BV169" s="9">
        <v>294882.24119999999</v>
      </c>
      <c r="BW169" s="9">
        <v>642123.30000000005</v>
      </c>
      <c r="BX169" s="9">
        <v>-11275.6</v>
      </c>
      <c r="BY169" s="9">
        <v>171973.4</v>
      </c>
      <c r="BZ169" s="9">
        <v>148161.70000000001</v>
      </c>
      <c r="CA169" s="9">
        <v>99657.3</v>
      </c>
      <c r="CB169" s="9">
        <v>34536.800000000003</v>
      </c>
      <c r="CC169" s="9">
        <v>187794</v>
      </c>
      <c r="CD169" s="9">
        <v>0</v>
      </c>
      <c r="CE169" s="9">
        <v>406278.1</v>
      </c>
      <c r="CF169" s="9">
        <v>2092734.915912813</v>
      </c>
      <c r="CG169" s="9">
        <v>9452551.8026870936</v>
      </c>
      <c r="CH169" s="9"/>
      <c r="CI169" s="9"/>
      <c r="CJ169" s="9">
        <v>17.399999999999999</v>
      </c>
      <c r="CK169" s="9">
        <v>12.7</v>
      </c>
      <c r="CL169" s="9">
        <v>10.5</v>
      </c>
      <c r="CM169" s="9">
        <v>88.041313025199997</v>
      </c>
      <c r="CN169" s="9">
        <v>26.369167728800001</v>
      </c>
      <c r="CO169" s="9">
        <v>3.5967671171000002</v>
      </c>
      <c r="CP169" s="9">
        <v>15.669875102000001</v>
      </c>
      <c r="CQ169" s="9">
        <v>10.494120135799999</v>
      </c>
      <c r="CR169" s="9">
        <v>4.1042056524000001</v>
      </c>
      <c r="CS169" s="9">
        <v>2.8556931248000001</v>
      </c>
      <c r="CT169" s="9">
        <v>9.5634888627999999</v>
      </c>
      <c r="CU169" s="9">
        <v>2.7546909787999998</v>
      </c>
      <c r="CV169" s="9">
        <v>1.8764556778999999</v>
      </c>
      <c r="CW169" s="9">
        <v>4.8265712222000001</v>
      </c>
      <c r="CX169" s="9">
        <v>2.5079237784999999</v>
      </c>
      <c r="CY169" s="9">
        <v>3.4223536442000002</v>
      </c>
      <c r="CZ169" s="9">
        <v>408</v>
      </c>
      <c r="DA169" s="9">
        <v>368</v>
      </c>
      <c r="DB169" s="9">
        <v>6</v>
      </c>
      <c r="DC169" s="9">
        <v>98</v>
      </c>
      <c r="DD169" s="9">
        <v>63</v>
      </c>
      <c r="DE169" s="9">
        <v>9</v>
      </c>
      <c r="DF169" s="9">
        <v>114</v>
      </c>
      <c r="DG169" s="9">
        <v>69</v>
      </c>
      <c r="DH169" s="9">
        <v>22</v>
      </c>
      <c r="DI169" s="9">
        <v>6</v>
      </c>
      <c r="DJ169" s="9">
        <v>5</v>
      </c>
      <c r="DK169" s="9">
        <v>9</v>
      </c>
      <c r="DL169" s="9">
        <v>4</v>
      </c>
      <c r="DM169" s="9">
        <v>12</v>
      </c>
      <c r="DN169" s="9">
        <v>0</v>
      </c>
      <c r="DO169" s="9">
        <v>501.89</v>
      </c>
      <c r="DP169" s="9">
        <v>127.05</v>
      </c>
      <c r="DQ169" s="9">
        <v>71.709999999999994</v>
      </c>
      <c r="DR169" s="9">
        <v>55.34</v>
      </c>
      <c r="DS169" s="9">
        <v>55.9</v>
      </c>
      <c r="DT169" s="9">
        <v>20.73</v>
      </c>
      <c r="DU169" s="9">
        <v>168.02</v>
      </c>
      <c r="DV169" s="9">
        <v>118.7</v>
      </c>
      <c r="DW169" s="9">
        <v>29.17</v>
      </c>
      <c r="DX169" s="9">
        <v>150.75</v>
      </c>
      <c r="DY169" s="9">
        <v>76.19</v>
      </c>
      <c r="DZ169" s="9">
        <v>39.630000000000003</v>
      </c>
      <c r="EA169" s="9">
        <v>-358.87799999999999</v>
      </c>
      <c r="EB169" s="9">
        <v>-123.274</v>
      </c>
      <c r="EC169" s="9">
        <v>-129.529</v>
      </c>
      <c r="ED169" s="9">
        <v>-121.851</v>
      </c>
      <c r="EE169" s="9">
        <v>15.77613</v>
      </c>
      <c r="EF169" s="9">
        <v>15.987360000000001</v>
      </c>
      <c r="EG169" s="9">
        <v>-308.38099999999997</v>
      </c>
      <c r="EH169" s="9">
        <v>-141.608</v>
      </c>
      <c r="EI169" s="9">
        <v>4.5904379999999998</v>
      </c>
      <c r="EJ169" s="9">
        <v>0</v>
      </c>
      <c r="EK169" s="9">
        <v>-171.364</v>
      </c>
      <c r="EL169" s="9">
        <v>-58.497999999999998</v>
      </c>
      <c r="EM169" s="9">
        <v>-93.007499999999993</v>
      </c>
      <c r="EN169" s="9">
        <v>2248</v>
      </c>
      <c r="EO169" s="9"/>
      <c r="EP169" s="9"/>
      <c r="EQ169" s="9"/>
      <c r="ER169" s="9"/>
      <c r="ES169" s="9"/>
      <c r="ET169" s="9"/>
      <c r="EU169">
        <v>1674.58</v>
      </c>
      <c r="EV169" s="9">
        <v>19829.66</v>
      </c>
      <c r="EW169" s="9">
        <v>3534.58</v>
      </c>
      <c r="EX169" s="9">
        <v>1130.46</v>
      </c>
      <c r="EY169" s="9">
        <v>1375.81</v>
      </c>
      <c r="EZ169" s="9">
        <v>3198.7</v>
      </c>
      <c r="FA169" s="9">
        <v>10590.12</v>
      </c>
      <c r="FB169" s="9">
        <v>89.444464285699993</v>
      </c>
      <c r="FC169" s="9">
        <v>110.6336363636</v>
      </c>
      <c r="FD169" s="9">
        <v>7214.9</v>
      </c>
      <c r="FE169" s="9">
        <v>135.79047619049999</v>
      </c>
      <c r="FF169" s="9">
        <v>1225.4027777778001</v>
      </c>
      <c r="FG169" s="9">
        <v>10715632.67</v>
      </c>
      <c r="FH169" s="9">
        <v>117146.61</v>
      </c>
      <c r="FI169" s="9">
        <v>564260.39</v>
      </c>
      <c r="FJ169" s="9">
        <v>4609741.9800000004</v>
      </c>
      <c r="FK169" s="9">
        <v>43750.13</v>
      </c>
      <c r="FL169" s="9">
        <v>56080.06</v>
      </c>
      <c r="FM169" s="9"/>
      <c r="FN169" s="9"/>
      <c r="FO169" s="9"/>
      <c r="FP169" s="9"/>
      <c r="FQ169" s="9"/>
      <c r="FR169" s="9"/>
      <c r="FS169" s="9"/>
      <c r="FT169" s="9">
        <v>6105869.9299999997</v>
      </c>
      <c r="FU169" s="9">
        <v>73396.479999999996</v>
      </c>
      <c r="FV169" s="9">
        <v>508159.56999999989</v>
      </c>
      <c r="FW169" s="9"/>
      <c r="FX169" s="9"/>
      <c r="FY169" s="9"/>
      <c r="FZ169" s="9">
        <v>3292.96</v>
      </c>
      <c r="GA169" s="9">
        <v>7506966.3399999999</v>
      </c>
      <c r="GB169" s="9">
        <v>2409753.4300000002</v>
      </c>
      <c r="GC169" s="9">
        <v>5097212.91</v>
      </c>
      <c r="GD169" s="9">
        <v>5101112.53</v>
      </c>
      <c r="GE169" s="9">
        <v>529910.40999999992</v>
      </c>
      <c r="GF169" s="9">
        <v>4571202.12</v>
      </c>
      <c r="GG169" s="9">
        <v>2405853.81</v>
      </c>
      <c r="GH169" s="9">
        <v>1879843.02</v>
      </c>
      <c r="GI169" s="9">
        <v>526010.79</v>
      </c>
      <c r="GJ169" s="9">
        <v>2641253.12</v>
      </c>
      <c r="GK169" s="9">
        <v>20883711.140000001</v>
      </c>
      <c r="GL169" s="9">
        <v>1381214.72</v>
      </c>
      <c r="GM169">
        <v>1659.34</v>
      </c>
      <c r="GO169" s="6"/>
      <c r="GP169" s="6"/>
      <c r="GQ169" s="6"/>
    </row>
    <row r="170" spans="1:199" x14ac:dyDescent="0.2">
      <c r="A170" s="8">
        <v>2014</v>
      </c>
      <c r="B170" s="8" t="s">
        <v>423</v>
      </c>
      <c r="C170" s="8" t="s">
        <v>424</v>
      </c>
      <c r="D170" s="9"/>
      <c r="E170" s="9"/>
      <c r="F170" s="9"/>
      <c r="G170" s="9"/>
      <c r="H170" s="9"/>
      <c r="I170" s="9"/>
      <c r="J170" s="9"/>
      <c r="K170" s="9"/>
      <c r="L170" s="9"/>
      <c r="M170" s="9"/>
      <c r="N170" s="9"/>
      <c r="O170" s="9"/>
      <c r="P170" s="9"/>
      <c r="Q170" s="9"/>
      <c r="R170" s="9"/>
      <c r="S170" s="9"/>
      <c r="T170" s="9"/>
      <c r="U170" s="9"/>
      <c r="V170" s="9"/>
      <c r="W170" s="9"/>
      <c r="X170" s="9"/>
      <c r="Y170" s="9"/>
      <c r="Z170" s="9"/>
      <c r="AA170" s="9"/>
      <c r="AB170" s="9"/>
      <c r="AC170" s="9"/>
      <c r="AD170" s="9"/>
      <c r="AE170" s="9"/>
      <c r="AF170" s="9"/>
      <c r="AG170" s="9"/>
      <c r="AH170" s="9"/>
      <c r="AI170" s="9"/>
      <c r="AJ170" s="9"/>
      <c r="AK170" s="9"/>
      <c r="AL170" s="9"/>
      <c r="AM170" s="9"/>
      <c r="AN170" s="9"/>
      <c r="AO170" s="9"/>
      <c r="AP170" s="9"/>
      <c r="AQ170" s="9"/>
      <c r="AR170" s="9"/>
      <c r="AS170" s="9"/>
      <c r="AT170" s="9"/>
      <c r="AU170" s="9"/>
      <c r="AV170" s="9"/>
      <c r="AW170" s="9"/>
      <c r="AX170" s="9"/>
      <c r="AY170" s="9"/>
      <c r="AZ170" s="9"/>
      <c r="BA170" s="9"/>
      <c r="BB170" s="9"/>
      <c r="BC170" s="9"/>
      <c r="BD170" s="9"/>
      <c r="BE170" s="9"/>
      <c r="BF170" s="9"/>
      <c r="BG170" s="9"/>
      <c r="BH170" s="9"/>
      <c r="BI170" s="9"/>
      <c r="BJ170" s="9"/>
      <c r="BK170" s="9"/>
      <c r="BL170" s="9"/>
      <c r="BM170" s="9"/>
      <c r="BN170" s="9">
        <v>353776.62910000002</v>
      </c>
      <c r="BO170" s="9">
        <v>300685.67019999999</v>
      </c>
      <c r="BP170" s="9">
        <v>53069.153720000002</v>
      </c>
      <c r="BQ170" s="9">
        <v>20154.54869</v>
      </c>
      <c r="BR170" s="9">
        <v>32489.960050000002</v>
      </c>
      <c r="BS170" s="9">
        <v>62134.542999999998</v>
      </c>
      <c r="BT170" s="9">
        <v>100195.8469</v>
      </c>
      <c r="BU170" s="9">
        <v>33138.630570000001</v>
      </c>
      <c r="BV170" s="9">
        <v>53090.958930000001</v>
      </c>
      <c r="BW170" s="9">
        <v>361958.2</v>
      </c>
      <c r="BX170" s="9">
        <v>-15229</v>
      </c>
      <c r="BY170" s="9">
        <v>20381.3</v>
      </c>
      <c r="BZ170" s="9">
        <v>108067.3</v>
      </c>
      <c r="CA170" s="9">
        <v>25272.799999999999</v>
      </c>
      <c r="CB170" s="9">
        <v>39011.199999999997</v>
      </c>
      <c r="CC170" s="9">
        <v>154473</v>
      </c>
      <c r="CD170" s="9">
        <v>58177.599999999999</v>
      </c>
      <c r="CE170" s="9">
        <v>66387.7</v>
      </c>
      <c r="CF170" s="9">
        <v>1962834.444973411</v>
      </c>
      <c r="CG170" s="9">
        <v>10019293.195640881</v>
      </c>
      <c r="CH170" s="9"/>
      <c r="CI170" s="9"/>
      <c r="CJ170" s="9">
        <v>18.899999999999999</v>
      </c>
      <c r="CK170" s="9">
        <v>12.4</v>
      </c>
      <c r="CL170" s="9">
        <v>10.5</v>
      </c>
      <c r="CM170" s="9">
        <v>89.570948780999998</v>
      </c>
      <c r="CN170" s="9">
        <v>27.277732226600001</v>
      </c>
      <c r="CO170" s="9">
        <v>3.6213432820999998</v>
      </c>
      <c r="CP170" s="9">
        <v>15.8252331381</v>
      </c>
      <c r="CQ170" s="9">
        <v>10.5746955173</v>
      </c>
      <c r="CR170" s="9">
        <v>4.1506219155000004</v>
      </c>
      <c r="CS170" s="9">
        <v>2.8754997265000002</v>
      </c>
      <c r="CT170" s="9">
        <v>9.8020504817000003</v>
      </c>
      <c r="CU170" s="9">
        <v>2.7551886601</v>
      </c>
      <c r="CV170" s="9">
        <v>1.8827604869000001</v>
      </c>
      <c r="CW170" s="9">
        <v>4.8265712222000001</v>
      </c>
      <c r="CX170" s="9">
        <v>2.5125931695000001</v>
      </c>
      <c r="CY170" s="9">
        <v>3.4666589545000002</v>
      </c>
      <c r="CZ170" s="9">
        <v>321</v>
      </c>
      <c r="DA170" s="9">
        <v>291</v>
      </c>
      <c r="DB170" s="9">
        <v>39</v>
      </c>
      <c r="DC170" s="9">
        <v>96</v>
      </c>
      <c r="DD170" s="9">
        <v>32</v>
      </c>
      <c r="DE170" s="9">
        <v>8</v>
      </c>
      <c r="DF170" s="9">
        <v>61</v>
      </c>
      <c r="DG170" s="9">
        <v>48</v>
      </c>
      <c r="DH170" s="9">
        <v>12</v>
      </c>
      <c r="DI170" s="9">
        <v>0</v>
      </c>
      <c r="DJ170" s="9">
        <v>6</v>
      </c>
      <c r="DK170" s="9">
        <v>5</v>
      </c>
      <c r="DL170" s="9">
        <v>7</v>
      </c>
      <c r="DM170" s="9">
        <v>10</v>
      </c>
      <c r="DN170" s="9">
        <v>0</v>
      </c>
      <c r="DO170" s="9">
        <v>331.84</v>
      </c>
      <c r="DP170" s="9">
        <v>109.18</v>
      </c>
      <c r="DQ170" s="9">
        <v>56.57</v>
      </c>
      <c r="DR170" s="9">
        <v>52.61</v>
      </c>
      <c r="DS170" s="9">
        <v>39.25</v>
      </c>
      <c r="DT170" s="9">
        <v>3.66</v>
      </c>
      <c r="DU170" s="9">
        <v>118.64</v>
      </c>
      <c r="DV170" s="9">
        <v>76.55</v>
      </c>
      <c r="DW170" s="9">
        <v>29.42</v>
      </c>
      <c r="DX170" s="9">
        <v>64.739999999999995</v>
      </c>
      <c r="DY170" s="9">
        <v>31.13</v>
      </c>
      <c r="DZ170" s="9">
        <v>22.21</v>
      </c>
      <c r="EA170" s="9">
        <v>-284.41199999999998</v>
      </c>
      <c r="EB170" s="9">
        <v>-46.584600000000002</v>
      </c>
      <c r="EC170" s="9">
        <v>-190.83699999999999</v>
      </c>
      <c r="ED170" s="9">
        <v>-54.9497</v>
      </c>
      <c r="EE170" s="9">
        <v>7.9590540000000001</v>
      </c>
      <c r="EF170" s="9">
        <v>14.94107</v>
      </c>
      <c r="EG170" s="9">
        <v>-526.22799999999995</v>
      </c>
      <c r="EH170" s="9">
        <v>-150.41900000000001</v>
      </c>
      <c r="EI170" s="9">
        <v>-403.90699999999998</v>
      </c>
      <c r="EJ170" s="9">
        <v>0.12549099999999999</v>
      </c>
      <c r="EK170" s="9">
        <v>27.972059999999999</v>
      </c>
      <c r="EL170" s="9">
        <v>-17.909099999999999</v>
      </c>
      <c r="EM170" s="9">
        <v>238.84819999999999</v>
      </c>
      <c r="EN170" s="9">
        <v>2446.3000000000002</v>
      </c>
      <c r="EO170" s="9"/>
      <c r="EP170" s="9"/>
      <c r="EQ170" s="9"/>
      <c r="ER170" s="9"/>
      <c r="ES170" s="9"/>
      <c r="ET170" s="9"/>
      <c r="EU170">
        <v>1714.26</v>
      </c>
      <c r="EV170" s="9"/>
      <c r="EW170" s="9"/>
      <c r="EX170" s="9"/>
      <c r="EY170" s="9"/>
      <c r="EZ170" s="9"/>
      <c r="FA170" s="9"/>
      <c r="FB170" s="9">
        <v>87.973538961000003</v>
      </c>
      <c r="FC170" s="9">
        <v>107.5704347826</v>
      </c>
      <c r="FD170" s="9">
        <v>7291.4659090908999</v>
      </c>
      <c r="FE170" s="9">
        <v>128.11904761900001</v>
      </c>
      <c r="FF170" s="9">
        <v>1244.7954545453999</v>
      </c>
      <c r="FG170" s="9">
        <v>10961226.880000001</v>
      </c>
      <c r="FH170" s="9">
        <v>151062.42000000001</v>
      </c>
      <c r="FI170" s="9">
        <v>580243.93999999994</v>
      </c>
      <c r="FJ170" s="9">
        <v>4804389.45</v>
      </c>
      <c r="FK170" s="9">
        <v>55202.61</v>
      </c>
      <c r="FL170" s="9">
        <v>57980</v>
      </c>
      <c r="FM170" s="9"/>
      <c r="FN170" s="9"/>
      <c r="FO170" s="9"/>
      <c r="FP170" s="9"/>
      <c r="FQ170" s="9"/>
      <c r="FR170" s="9"/>
      <c r="FS170" s="9"/>
      <c r="FT170" s="9">
        <v>6156818.8399999989</v>
      </c>
      <c r="FU170" s="9">
        <v>95859.81</v>
      </c>
      <c r="FV170" s="9">
        <v>522245.33</v>
      </c>
      <c r="FW170" s="9"/>
      <c r="FX170" s="9"/>
      <c r="FY170" s="9"/>
      <c r="FZ170" s="9">
        <v>3292.96</v>
      </c>
      <c r="GA170" s="9">
        <v>7584184.6299999999</v>
      </c>
      <c r="GB170" s="9">
        <v>2392086.8199999998</v>
      </c>
      <c r="GC170" s="9">
        <v>5192097.8100000015</v>
      </c>
      <c r="GD170" s="9">
        <v>5110917.62</v>
      </c>
      <c r="GE170" s="9">
        <v>487067.23</v>
      </c>
      <c r="GF170" s="9">
        <v>4623850.3899999997</v>
      </c>
      <c r="GG170" s="9">
        <v>2473267.0099999998</v>
      </c>
      <c r="GH170" s="9">
        <v>1905019.59</v>
      </c>
      <c r="GI170" s="9">
        <v>568247.41999999993</v>
      </c>
      <c r="GJ170" s="9">
        <v>3101624.36</v>
      </c>
      <c r="GK170" s="9">
        <v>20023630.690000001</v>
      </c>
      <c r="GL170" s="9">
        <v>1416430.41</v>
      </c>
      <c r="GM170">
        <v>1723.22</v>
      </c>
      <c r="GO170" s="6"/>
      <c r="GP170" s="6"/>
      <c r="GQ170" s="6"/>
    </row>
    <row r="171" spans="1:199" x14ac:dyDescent="0.2">
      <c r="A171" s="8">
        <v>2014</v>
      </c>
      <c r="B171" s="8" t="s">
        <v>423</v>
      </c>
      <c r="C171" s="8" t="s">
        <v>425</v>
      </c>
      <c r="D171" s="9"/>
      <c r="E171" s="9"/>
      <c r="F171" s="9"/>
      <c r="G171" s="9"/>
      <c r="H171" s="9"/>
      <c r="I171" s="9"/>
      <c r="J171" s="9"/>
      <c r="K171" s="9"/>
      <c r="L171" s="9"/>
      <c r="M171" s="9"/>
      <c r="N171" s="9"/>
      <c r="O171" s="9"/>
      <c r="P171" s="9"/>
      <c r="Q171" s="9"/>
      <c r="R171" s="9"/>
      <c r="S171" s="9"/>
      <c r="T171" s="9"/>
      <c r="U171" s="9"/>
      <c r="V171" s="9"/>
      <c r="W171" s="9"/>
      <c r="X171" s="9"/>
      <c r="Y171" s="9"/>
      <c r="Z171" s="9"/>
      <c r="AA171" s="9"/>
      <c r="AB171" s="9"/>
      <c r="AC171" s="9"/>
      <c r="AD171" s="9"/>
      <c r="AE171" s="9"/>
      <c r="AF171" s="9"/>
      <c r="AG171" s="9"/>
      <c r="AH171" s="9"/>
      <c r="AI171" s="9"/>
      <c r="AJ171" s="9"/>
      <c r="AK171" s="9"/>
      <c r="AL171" s="9"/>
      <c r="AM171" s="9"/>
      <c r="AN171" s="9"/>
      <c r="AO171" s="9"/>
      <c r="AP171" s="9"/>
      <c r="AQ171" s="9"/>
      <c r="AR171" s="9"/>
      <c r="AS171" s="9"/>
      <c r="AT171" s="9"/>
      <c r="AU171" s="9"/>
      <c r="AV171" s="9"/>
      <c r="AW171" s="9"/>
      <c r="AX171" s="9"/>
      <c r="AY171" s="9"/>
      <c r="AZ171" s="9"/>
      <c r="BA171" s="9"/>
      <c r="BB171" s="9"/>
      <c r="BC171" s="9"/>
      <c r="BD171" s="9"/>
      <c r="BE171" s="9"/>
      <c r="BF171" s="9"/>
      <c r="BG171" s="9"/>
      <c r="BH171" s="9"/>
      <c r="BI171" s="9"/>
      <c r="BJ171" s="9"/>
      <c r="BK171" s="9"/>
      <c r="BL171" s="9"/>
      <c r="BM171" s="9"/>
      <c r="BN171" s="9">
        <v>368265.2709</v>
      </c>
      <c r="BO171" s="9">
        <v>335897.92979999998</v>
      </c>
      <c r="BP171" s="9">
        <v>110583.5463</v>
      </c>
      <c r="BQ171" s="9">
        <v>71463.351309999998</v>
      </c>
      <c r="BR171" s="9">
        <v>39059.43995</v>
      </c>
      <c r="BS171" s="9">
        <v>53888.256999999998</v>
      </c>
      <c r="BT171" s="9">
        <v>79520.453099999999</v>
      </c>
      <c r="BU171" s="9">
        <v>29843.56943</v>
      </c>
      <c r="BV171" s="9">
        <v>19684.841069999999</v>
      </c>
      <c r="BW171" s="9">
        <v>350226.2</v>
      </c>
      <c r="BX171" s="9">
        <v>-910.4</v>
      </c>
      <c r="BY171" s="9">
        <v>23864.6</v>
      </c>
      <c r="BZ171" s="9">
        <v>114027.2</v>
      </c>
      <c r="CA171" s="9">
        <v>6321.3</v>
      </c>
      <c r="CB171" s="9">
        <v>13195.7</v>
      </c>
      <c r="CC171" s="9">
        <v>152061.20000000001</v>
      </c>
      <c r="CD171" s="9">
        <v>31057.5</v>
      </c>
      <c r="CE171" s="9">
        <v>39235.1</v>
      </c>
      <c r="CF171" s="9">
        <v>1755050.2867832831</v>
      </c>
      <c r="CG171" s="9">
        <v>9845623.626805082</v>
      </c>
      <c r="CH171" s="9"/>
      <c r="CI171" s="9"/>
      <c r="CJ171" s="9">
        <v>18.399999999999999</v>
      </c>
      <c r="CK171" s="9">
        <v>13.8</v>
      </c>
      <c r="CL171" s="9">
        <v>10.5</v>
      </c>
      <c r="CM171" s="9">
        <v>90.388896542500007</v>
      </c>
      <c r="CN171" s="9">
        <v>27.774860032199999</v>
      </c>
      <c r="CO171" s="9">
        <v>3.6387082631999998</v>
      </c>
      <c r="CP171" s="9">
        <v>15.959628820400001</v>
      </c>
      <c r="CQ171" s="9">
        <v>10.6003801097</v>
      </c>
      <c r="CR171" s="9">
        <v>4.1725360984000002</v>
      </c>
      <c r="CS171" s="9">
        <v>2.8850039140999999</v>
      </c>
      <c r="CT171" s="9">
        <v>9.8562644527999996</v>
      </c>
      <c r="CU171" s="9">
        <v>2.7550025606999999</v>
      </c>
      <c r="CV171" s="9">
        <v>1.8900735894</v>
      </c>
      <c r="CW171" s="9">
        <v>4.8265712222000001</v>
      </c>
      <c r="CX171" s="9">
        <v>2.5288103519999998</v>
      </c>
      <c r="CY171" s="9">
        <v>3.5010571272000002</v>
      </c>
      <c r="CZ171" s="9">
        <v>273</v>
      </c>
      <c r="DA171" s="9">
        <v>258</v>
      </c>
      <c r="DB171" s="9">
        <v>23</v>
      </c>
      <c r="DC171" s="9">
        <v>90</v>
      </c>
      <c r="DD171" s="9">
        <v>37</v>
      </c>
      <c r="DE171" s="9">
        <v>3</v>
      </c>
      <c r="DF171" s="9">
        <v>47</v>
      </c>
      <c r="DG171" s="9">
        <v>49</v>
      </c>
      <c r="DH171" s="9">
        <v>7</v>
      </c>
      <c r="DI171" s="9">
        <v>0</v>
      </c>
      <c r="DJ171" s="9">
        <v>3</v>
      </c>
      <c r="DK171" s="9">
        <v>1</v>
      </c>
      <c r="DL171" s="9">
        <v>3</v>
      </c>
      <c r="DM171" s="9">
        <v>5</v>
      </c>
      <c r="DN171" s="9">
        <v>0</v>
      </c>
      <c r="DO171" s="9">
        <v>281.88</v>
      </c>
      <c r="DP171" s="9">
        <v>83.79</v>
      </c>
      <c r="DQ171" s="9">
        <v>45.25</v>
      </c>
      <c r="DR171" s="9">
        <v>38.54</v>
      </c>
      <c r="DS171" s="9">
        <v>37.93</v>
      </c>
      <c r="DT171" s="9">
        <v>11.86</v>
      </c>
      <c r="DU171" s="9">
        <v>97</v>
      </c>
      <c r="DV171" s="9">
        <v>66.489999999999995</v>
      </c>
      <c r="DW171" s="9">
        <v>21.31</v>
      </c>
      <c r="DX171" s="9">
        <v>63.06</v>
      </c>
      <c r="DY171" s="9">
        <v>34.369999999999997</v>
      </c>
      <c r="DZ171" s="9">
        <v>18.829999999999998</v>
      </c>
      <c r="EA171" s="9">
        <v>-170.375</v>
      </c>
      <c r="EB171" s="9">
        <v>-25.1357</v>
      </c>
      <c r="EC171" s="9">
        <v>-114.705</v>
      </c>
      <c r="ED171" s="9">
        <v>-52.842399999999998</v>
      </c>
      <c r="EE171" s="9">
        <v>22.30847</v>
      </c>
      <c r="EF171" s="9">
        <v>9.4467219999999994</v>
      </c>
      <c r="EG171" s="9">
        <v>49.027990000000003</v>
      </c>
      <c r="EH171" s="9">
        <v>-67.4833</v>
      </c>
      <c r="EI171" s="9">
        <v>1.5024930000000001</v>
      </c>
      <c r="EJ171" s="9">
        <v>-0.1142</v>
      </c>
      <c r="EK171" s="9">
        <v>115.123</v>
      </c>
      <c r="EL171" s="9">
        <v>-23.319199999999999</v>
      </c>
      <c r="EM171" s="9">
        <v>-233.27500000000001</v>
      </c>
      <c r="EN171" s="9">
        <v>2195.3000000000002</v>
      </c>
      <c r="EO171" s="9"/>
      <c r="EP171" s="9"/>
      <c r="EQ171" s="9"/>
      <c r="ER171" s="9"/>
      <c r="ES171" s="9"/>
      <c r="ET171" s="9"/>
      <c r="EU171">
        <v>1752.1785</v>
      </c>
      <c r="EV171" s="9"/>
      <c r="EW171" s="9"/>
      <c r="EX171" s="9"/>
      <c r="EY171" s="9"/>
      <c r="EZ171" s="9"/>
      <c r="FA171" s="9"/>
      <c r="FB171" s="9">
        <v>83.027678571400003</v>
      </c>
      <c r="FC171" s="9">
        <v>108.812</v>
      </c>
      <c r="FD171" s="9">
        <v>7149.2124999999996</v>
      </c>
      <c r="FE171" s="9">
        <v>121.37</v>
      </c>
      <c r="FF171" s="9">
        <v>1300.9749999999999</v>
      </c>
      <c r="FG171" s="9">
        <v>11105377.050000001</v>
      </c>
      <c r="FH171" s="9">
        <v>197737.59</v>
      </c>
      <c r="FI171" s="9">
        <v>596338.66</v>
      </c>
      <c r="FJ171" s="9">
        <v>4876836.6099999994</v>
      </c>
      <c r="FK171" s="9">
        <v>58430.36</v>
      </c>
      <c r="FL171" s="9">
        <v>59110.41</v>
      </c>
      <c r="FM171" s="9"/>
      <c r="FN171" s="9"/>
      <c r="FO171" s="9"/>
      <c r="FP171" s="9"/>
      <c r="FQ171" s="9"/>
      <c r="FR171" s="9"/>
      <c r="FS171" s="9"/>
      <c r="FT171" s="9">
        <v>6228524.0499999998</v>
      </c>
      <c r="FU171" s="9">
        <v>139307.23000000001</v>
      </c>
      <c r="FV171" s="9">
        <v>537211.86</v>
      </c>
      <c r="FW171" s="9"/>
      <c r="FX171" s="9"/>
      <c r="FY171" s="9"/>
      <c r="FZ171" s="9">
        <v>3342.96</v>
      </c>
      <c r="GA171" s="9">
        <v>7587794.7399999984</v>
      </c>
      <c r="GB171" s="9">
        <v>2337501.0299999998</v>
      </c>
      <c r="GC171" s="9">
        <v>5250293.709999999</v>
      </c>
      <c r="GD171" s="9">
        <v>5153486.97</v>
      </c>
      <c r="GE171" s="9">
        <v>506136.33</v>
      </c>
      <c r="GF171" s="9">
        <v>4647350.6399999997</v>
      </c>
      <c r="GG171" s="9">
        <v>2434307.77</v>
      </c>
      <c r="GH171" s="9">
        <v>1831364.7</v>
      </c>
      <c r="GI171" s="9">
        <v>602943.06999999995</v>
      </c>
      <c r="GJ171" s="9">
        <v>3337794.23</v>
      </c>
      <c r="GK171" s="9">
        <v>20583836.530000001</v>
      </c>
      <c r="GL171" s="9">
        <v>1436543.3</v>
      </c>
      <c r="GM171">
        <v>1752.38</v>
      </c>
      <c r="GO171" s="6"/>
      <c r="GP171" s="6"/>
      <c r="GQ171" s="6"/>
    </row>
    <row r="172" spans="1:199" x14ac:dyDescent="0.2">
      <c r="A172" s="8">
        <v>2014</v>
      </c>
      <c r="B172" s="8" t="s">
        <v>423</v>
      </c>
      <c r="C172" s="8" t="s">
        <v>426</v>
      </c>
      <c r="D172" s="9">
        <v>4222086.5</v>
      </c>
      <c r="E172" s="9">
        <v>168526.7</v>
      </c>
      <c r="F172" s="9">
        <v>859448.1</v>
      </c>
      <c r="G172" s="9">
        <v>370974.3</v>
      </c>
      <c r="H172" s="9">
        <v>105792.4</v>
      </c>
      <c r="I172" s="9">
        <v>38228.300000000003</v>
      </c>
      <c r="J172" s="9">
        <v>381551.7</v>
      </c>
      <c r="K172" s="9">
        <v>259088.3</v>
      </c>
      <c r="L172" s="9">
        <v>103711.8</v>
      </c>
      <c r="M172" s="9">
        <v>1466471.7</v>
      </c>
      <c r="N172" s="9">
        <v>468293.2</v>
      </c>
      <c r="O172" s="9">
        <v>4247831.4494869001</v>
      </c>
      <c r="P172" s="9">
        <v>164565.1474397562</v>
      </c>
      <c r="Q172" s="9">
        <v>849496.75978849828</v>
      </c>
      <c r="R172" s="9">
        <v>295928.65459537797</v>
      </c>
      <c r="S172" s="9">
        <v>137888.95537384169</v>
      </c>
      <c r="T172" s="9">
        <v>35371.190173224197</v>
      </c>
      <c r="U172" s="9">
        <v>432290.90405915899</v>
      </c>
      <c r="V172" s="9">
        <v>265795.42819702212</v>
      </c>
      <c r="W172" s="9">
        <v>102537.5189668557</v>
      </c>
      <c r="X172" s="9">
        <v>1420711.5666282061</v>
      </c>
      <c r="Y172" s="9">
        <v>543245.32426495873</v>
      </c>
      <c r="Z172" s="9">
        <v>4164086.5</v>
      </c>
      <c r="AA172" s="9">
        <v>2656644.1</v>
      </c>
      <c r="AB172" s="9">
        <v>577031.19999999995</v>
      </c>
      <c r="AC172" s="9">
        <v>1159348.5</v>
      </c>
      <c r="AD172" s="9">
        <v>273328</v>
      </c>
      <c r="AE172" s="9">
        <v>1931148.3</v>
      </c>
      <c r="AF172" s="9">
        <v>2433413.6</v>
      </c>
      <c r="AG172" s="9">
        <v>4183025.7410942721</v>
      </c>
      <c r="AH172" s="9">
        <v>2700502.8199179829</v>
      </c>
      <c r="AI172" s="9">
        <v>695755.83298736555</v>
      </c>
      <c r="AJ172" s="9">
        <v>1073441.2509175653</v>
      </c>
      <c r="AK172" s="9">
        <v>274630.94712529349</v>
      </c>
      <c r="AL172" s="9">
        <v>1640387.8306886733</v>
      </c>
      <c r="AM172" s="9">
        <v>2201692.940542608</v>
      </c>
      <c r="AN172" s="9">
        <v>1051593</v>
      </c>
      <c r="AO172" s="9">
        <v>545977</v>
      </c>
      <c r="AP172" s="9">
        <v>505616</v>
      </c>
      <c r="AQ172" s="9">
        <v>108706</v>
      </c>
      <c r="AR172" s="9">
        <v>62202</v>
      </c>
      <c r="AS172" s="9">
        <v>46504</v>
      </c>
      <c r="AT172" s="9">
        <v>719347</v>
      </c>
      <c r="AU172" s="9">
        <v>292010</v>
      </c>
      <c r="AV172" s="9">
        <v>427337</v>
      </c>
      <c r="AW172" s="9">
        <v>762.9</v>
      </c>
      <c r="AX172" s="9">
        <v>772.2</v>
      </c>
      <c r="AY172" s="9">
        <v>1696.8</v>
      </c>
      <c r="AZ172" s="9">
        <v>763.9</v>
      </c>
      <c r="BA172" s="9">
        <v>1296.9000000000001</v>
      </c>
      <c r="BB172" s="9">
        <v>567.79999999999995</v>
      </c>
      <c r="BC172" s="9">
        <v>706.8</v>
      </c>
      <c r="BD172" s="9">
        <v>706.4</v>
      </c>
      <c r="BE172" s="9">
        <v>914</v>
      </c>
      <c r="BF172" s="9">
        <v>482.4</v>
      </c>
      <c r="BG172" s="9">
        <v>708.5</v>
      </c>
      <c r="BH172" s="9">
        <v>1099.0999999999999</v>
      </c>
      <c r="BI172" s="9">
        <v>785.9</v>
      </c>
      <c r="BJ172" s="9">
        <v>623.29999999999995</v>
      </c>
      <c r="BK172" s="9">
        <v>638.1</v>
      </c>
      <c r="BL172" s="9">
        <v>533.5</v>
      </c>
      <c r="BM172" s="9">
        <v>557.79999999999995</v>
      </c>
      <c r="BN172" s="9">
        <v>440045.7</v>
      </c>
      <c r="BO172" s="9">
        <v>375073.1</v>
      </c>
      <c r="BP172" s="9">
        <v>74483.199999999997</v>
      </c>
      <c r="BQ172" s="9">
        <v>34735</v>
      </c>
      <c r="BR172" s="9">
        <v>42728</v>
      </c>
      <c r="BS172" s="9">
        <v>91832.7</v>
      </c>
      <c r="BT172" s="9">
        <v>102073</v>
      </c>
      <c r="BU172" s="9">
        <v>35670.9</v>
      </c>
      <c r="BV172" s="9">
        <v>64972.6</v>
      </c>
      <c r="BW172" s="9">
        <v>430090.1</v>
      </c>
      <c r="BX172" s="9">
        <v>24377.9</v>
      </c>
      <c r="BY172" s="9">
        <v>40367</v>
      </c>
      <c r="BZ172" s="9">
        <v>125376.7</v>
      </c>
      <c r="CA172" s="9">
        <v>38077.599999999999</v>
      </c>
      <c r="CB172" s="9">
        <v>14591.7</v>
      </c>
      <c r="CC172" s="9">
        <v>166437.9</v>
      </c>
      <c r="CD172" s="9">
        <v>45431.1</v>
      </c>
      <c r="CE172" s="9">
        <v>30869.9</v>
      </c>
      <c r="CF172" s="9">
        <v>1737203.934716176</v>
      </c>
      <c r="CG172" s="9">
        <v>9947306.9475547075</v>
      </c>
      <c r="CH172" s="9"/>
      <c r="CI172" s="9"/>
      <c r="CJ172" s="9">
        <v>19.7</v>
      </c>
      <c r="CK172" s="9">
        <v>12.7</v>
      </c>
      <c r="CL172" s="9">
        <v>10.5</v>
      </c>
      <c r="CM172" s="9">
        <v>91.1569972044</v>
      </c>
      <c r="CN172" s="9">
        <v>28.234869076599999</v>
      </c>
      <c r="CO172" s="9">
        <v>3.64703658</v>
      </c>
      <c r="CP172" s="9">
        <v>16.148849528100001</v>
      </c>
      <c r="CQ172" s="9">
        <v>10.602433143200001</v>
      </c>
      <c r="CR172" s="9">
        <v>4.1984916239999999</v>
      </c>
      <c r="CS172" s="9">
        <v>2.8883101999999998</v>
      </c>
      <c r="CT172" s="9">
        <v>9.8875840037000007</v>
      </c>
      <c r="CU172" s="9">
        <v>2.7545435947999999</v>
      </c>
      <c r="CV172" s="9">
        <v>1.8968803928</v>
      </c>
      <c r="CW172" s="9">
        <v>4.8265760442000003</v>
      </c>
      <c r="CX172" s="9">
        <v>2.5553612629</v>
      </c>
      <c r="CY172" s="9">
        <v>3.5160617541999999</v>
      </c>
      <c r="CZ172" s="9">
        <v>382</v>
      </c>
      <c r="DA172" s="9">
        <v>361</v>
      </c>
      <c r="DB172" s="9">
        <v>27</v>
      </c>
      <c r="DC172" s="9">
        <v>162</v>
      </c>
      <c r="DD172" s="9">
        <v>13</v>
      </c>
      <c r="DE172" s="9">
        <v>3</v>
      </c>
      <c r="DF172" s="9">
        <v>97</v>
      </c>
      <c r="DG172" s="9">
        <v>51</v>
      </c>
      <c r="DH172" s="9">
        <v>13</v>
      </c>
      <c r="DI172" s="9">
        <v>0</v>
      </c>
      <c r="DJ172" s="9">
        <v>7</v>
      </c>
      <c r="DK172" s="9">
        <v>3</v>
      </c>
      <c r="DL172" s="9">
        <v>2</v>
      </c>
      <c r="DM172" s="9">
        <v>7</v>
      </c>
      <c r="DN172" s="9">
        <v>0</v>
      </c>
      <c r="DO172" s="9">
        <v>383.15</v>
      </c>
      <c r="DP172" s="9">
        <v>105</v>
      </c>
      <c r="DQ172" s="9">
        <v>56.39</v>
      </c>
      <c r="DR172" s="9">
        <v>48.61</v>
      </c>
      <c r="DS172" s="9">
        <v>40.26</v>
      </c>
      <c r="DT172" s="9">
        <v>9.4600000000000009</v>
      </c>
      <c r="DU172" s="9">
        <v>133.51</v>
      </c>
      <c r="DV172" s="9">
        <v>66.47</v>
      </c>
      <c r="DW172" s="9">
        <v>54.48</v>
      </c>
      <c r="DX172" s="9">
        <v>104.18</v>
      </c>
      <c r="DY172" s="9">
        <v>53.51</v>
      </c>
      <c r="DZ172" s="9">
        <v>36.74</v>
      </c>
      <c r="EA172" s="9">
        <v>-216.70099999999999</v>
      </c>
      <c r="EB172" s="9">
        <v>-26.337299999999999</v>
      </c>
      <c r="EC172" s="9">
        <v>-132.28399999999999</v>
      </c>
      <c r="ED172" s="9">
        <v>-68.471900000000005</v>
      </c>
      <c r="EE172" s="9">
        <v>10.391870000000001</v>
      </c>
      <c r="EF172" s="9">
        <v>9.9326229999999995</v>
      </c>
      <c r="EG172" s="9">
        <v>-43.347200000000001</v>
      </c>
      <c r="EH172" s="9">
        <v>-54.487699999999997</v>
      </c>
      <c r="EI172" s="9">
        <v>19.390789999999999</v>
      </c>
      <c r="EJ172" s="9">
        <v>-0.26432</v>
      </c>
      <c r="EK172" s="9">
        <v>-7.9859299999999998</v>
      </c>
      <c r="EL172" s="9">
        <v>-149.98099999999999</v>
      </c>
      <c r="EM172" s="9">
        <v>-313.40300000000002</v>
      </c>
      <c r="EN172" s="9">
        <v>1943.3</v>
      </c>
      <c r="EO172" s="9"/>
      <c r="EP172" s="9"/>
      <c r="EQ172" s="9"/>
      <c r="ER172" s="9"/>
      <c r="ES172" s="9"/>
      <c r="ET172" s="9"/>
      <c r="EU172">
        <v>1772.3047619048</v>
      </c>
      <c r="EV172" s="9">
        <v>20799.72</v>
      </c>
      <c r="EW172" s="9">
        <v>3535.15</v>
      </c>
      <c r="EX172" s="9">
        <v>1083.43</v>
      </c>
      <c r="EY172" s="9">
        <v>1554.52</v>
      </c>
      <c r="EZ172" s="9">
        <v>3679.04</v>
      </c>
      <c r="FA172" s="9">
        <v>10947.58</v>
      </c>
      <c r="FB172" s="9">
        <v>79.753061224500001</v>
      </c>
      <c r="FC172" s="9">
        <v>107.4057142857</v>
      </c>
      <c r="FD172" s="9">
        <v>6650.0357142857001</v>
      </c>
      <c r="FE172" s="9">
        <v>111.8333333333</v>
      </c>
      <c r="FF172" s="9">
        <v>1336.0833333333001</v>
      </c>
      <c r="FG172" s="9">
        <v>11332387.32</v>
      </c>
      <c r="FH172" s="9">
        <v>278377.98</v>
      </c>
      <c r="FI172" s="9">
        <v>592915.39999999991</v>
      </c>
      <c r="FJ172" s="9">
        <v>5030628.8900000025</v>
      </c>
      <c r="FK172" s="9">
        <v>59060.44</v>
      </c>
      <c r="FL172" s="9">
        <v>56532.82</v>
      </c>
      <c r="FM172" s="9"/>
      <c r="FN172" s="9"/>
      <c r="FO172" s="9"/>
      <c r="FP172" s="9"/>
      <c r="FQ172" s="9"/>
      <c r="FR172" s="9"/>
      <c r="FS172" s="9"/>
      <c r="FT172" s="9">
        <v>6301744.2300000004</v>
      </c>
      <c r="FU172" s="9">
        <v>219317.53</v>
      </c>
      <c r="FV172" s="9">
        <v>536368.39</v>
      </c>
      <c r="FW172" s="9"/>
      <c r="FX172" s="9"/>
      <c r="FY172" s="9"/>
      <c r="FZ172" s="9">
        <v>3292.96</v>
      </c>
      <c r="GA172" s="9">
        <v>7375987.6700000018</v>
      </c>
      <c r="GB172" s="9">
        <v>2175526.86</v>
      </c>
      <c r="GC172" s="9">
        <v>5200460.8100000015</v>
      </c>
      <c r="GD172" s="9">
        <v>5112774.75</v>
      </c>
      <c r="GE172" s="9">
        <v>496243.64</v>
      </c>
      <c r="GF172" s="9">
        <v>4616531.1099999994</v>
      </c>
      <c r="GG172" s="9">
        <v>2263212.92</v>
      </c>
      <c r="GH172" s="9">
        <v>1679283.22</v>
      </c>
      <c r="GI172" s="9">
        <v>583929.69999999984</v>
      </c>
      <c r="GJ172" s="9">
        <v>3632796.1</v>
      </c>
      <c r="GK172" s="9">
        <v>20708468.469999999</v>
      </c>
      <c r="GL172" s="9">
        <v>1536510.23</v>
      </c>
      <c r="GM172">
        <v>1782.01</v>
      </c>
      <c r="GO172" s="6"/>
      <c r="GP172" s="6"/>
      <c r="GQ172" s="6"/>
    </row>
    <row r="173" spans="1:199" x14ac:dyDescent="0.2">
      <c r="A173" s="8">
        <v>2014</v>
      </c>
      <c r="B173" s="8" t="s">
        <v>427</v>
      </c>
      <c r="C173" s="8" t="s">
        <v>428</v>
      </c>
      <c r="D173" s="9"/>
      <c r="E173" s="9"/>
      <c r="F173" s="9"/>
      <c r="G173" s="9"/>
      <c r="H173" s="9"/>
      <c r="I173" s="9"/>
      <c r="J173" s="9"/>
      <c r="K173" s="9"/>
      <c r="L173" s="9"/>
      <c r="M173" s="9"/>
      <c r="N173" s="9"/>
      <c r="O173" s="9"/>
      <c r="P173" s="9"/>
      <c r="Q173" s="9"/>
      <c r="R173" s="9"/>
      <c r="S173" s="9"/>
      <c r="T173" s="9"/>
      <c r="U173" s="9"/>
      <c r="V173" s="9"/>
      <c r="W173" s="9"/>
      <c r="X173" s="9"/>
      <c r="Y173" s="9"/>
      <c r="Z173" s="9"/>
      <c r="AA173" s="9"/>
      <c r="AB173" s="9"/>
      <c r="AC173" s="9"/>
      <c r="AD173" s="9"/>
      <c r="AE173" s="9"/>
      <c r="AF173" s="9"/>
      <c r="AG173" s="9"/>
      <c r="AH173" s="9"/>
      <c r="AI173" s="9"/>
      <c r="AJ173" s="9"/>
      <c r="AK173" s="9"/>
      <c r="AL173" s="9"/>
      <c r="AM173" s="9"/>
      <c r="AN173" s="9"/>
      <c r="AO173" s="9"/>
      <c r="AP173" s="9"/>
      <c r="AQ173" s="9"/>
      <c r="AR173" s="9"/>
      <c r="AS173" s="9"/>
      <c r="AT173" s="9"/>
      <c r="AU173" s="9"/>
      <c r="AV173" s="9"/>
      <c r="AW173" s="9"/>
      <c r="AX173" s="9"/>
      <c r="AY173" s="9"/>
      <c r="AZ173" s="9"/>
      <c r="BA173" s="9"/>
      <c r="BB173" s="9"/>
      <c r="BC173" s="9"/>
      <c r="BD173" s="9"/>
      <c r="BE173" s="9"/>
      <c r="BF173" s="9"/>
      <c r="BG173" s="9"/>
      <c r="BH173" s="9"/>
      <c r="BI173" s="9"/>
      <c r="BJ173" s="9"/>
      <c r="BK173" s="9"/>
      <c r="BL173" s="9"/>
      <c r="BM173" s="9"/>
      <c r="BN173" s="9">
        <v>527546.80000000005</v>
      </c>
      <c r="BO173" s="9">
        <v>428202.8</v>
      </c>
      <c r="BP173" s="9">
        <v>96631.1</v>
      </c>
      <c r="BQ173" s="9">
        <v>65116.1</v>
      </c>
      <c r="BR173" s="9">
        <v>40235.5</v>
      </c>
      <c r="BS173" s="9">
        <v>76604.399999999994</v>
      </c>
      <c r="BT173" s="9">
        <v>134544.70000000001</v>
      </c>
      <c r="BU173" s="9">
        <v>36728.400000000001</v>
      </c>
      <c r="BV173" s="9">
        <v>98236</v>
      </c>
      <c r="BW173" s="9">
        <v>457032.6</v>
      </c>
      <c r="BX173" s="9">
        <v>-2307.6</v>
      </c>
      <c r="BY173" s="9">
        <v>47254.1</v>
      </c>
      <c r="BZ173" s="9">
        <v>133224.5</v>
      </c>
      <c r="CA173" s="9">
        <v>39436.5</v>
      </c>
      <c r="CB173" s="9">
        <v>10046</v>
      </c>
      <c r="CC173" s="9">
        <v>179769</v>
      </c>
      <c r="CD173" s="9">
        <v>-3602.8</v>
      </c>
      <c r="CE173" s="9">
        <v>39760</v>
      </c>
      <c r="CF173" s="9">
        <v>1845641.2717099821</v>
      </c>
      <c r="CG173" s="9">
        <v>10201155.047521479</v>
      </c>
      <c r="CH173" s="9"/>
      <c r="CI173" s="9"/>
      <c r="CJ173" s="9">
        <v>19.399999999999999</v>
      </c>
      <c r="CK173" s="9">
        <v>12.1</v>
      </c>
      <c r="CL173" s="9">
        <v>10.5</v>
      </c>
      <c r="CM173" s="9">
        <v>92.100297375500006</v>
      </c>
      <c r="CN173" s="9">
        <v>28.8392997262</v>
      </c>
      <c r="CO173" s="9">
        <v>3.7177472696999998</v>
      </c>
      <c r="CP173" s="9">
        <v>16.257901677500001</v>
      </c>
      <c r="CQ173" s="9">
        <v>10.5741094966</v>
      </c>
      <c r="CR173" s="9">
        <v>4.2334184043</v>
      </c>
      <c r="CS173" s="9">
        <v>2.8933641981</v>
      </c>
      <c r="CT173" s="9">
        <v>9.9166190175000004</v>
      </c>
      <c r="CU173" s="9">
        <v>2.7537499849999998</v>
      </c>
      <c r="CV173" s="9">
        <v>1.8921699823</v>
      </c>
      <c r="CW173" s="9">
        <v>4.8265760442000003</v>
      </c>
      <c r="CX173" s="9">
        <v>2.6039892490000001</v>
      </c>
      <c r="CY173" s="9">
        <v>3.5913523249999999</v>
      </c>
      <c r="CZ173" s="9">
        <v>456</v>
      </c>
      <c r="DA173" s="9">
        <v>375</v>
      </c>
      <c r="DB173" s="9">
        <v>0</v>
      </c>
      <c r="DC173" s="9">
        <v>182</v>
      </c>
      <c r="DD173" s="9">
        <v>44</v>
      </c>
      <c r="DE173" s="9">
        <v>13</v>
      </c>
      <c r="DF173" s="9">
        <v>67</v>
      </c>
      <c r="DG173" s="9">
        <v>59</v>
      </c>
      <c r="DH173" s="9">
        <v>68</v>
      </c>
      <c r="DI173" s="9">
        <v>0</v>
      </c>
      <c r="DJ173" s="9">
        <v>4</v>
      </c>
      <c r="DK173" s="9">
        <v>62</v>
      </c>
      <c r="DL173" s="9">
        <v>1</v>
      </c>
      <c r="DM173" s="9">
        <v>12</v>
      </c>
      <c r="DN173" s="9">
        <v>0</v>
      </c>
      <c r="DO173" s="9">
        <v>528.14</v>
      </c>
      <c r="DP173" s="9">
        <v>129.11000000000001</v>
      </c>
      <c r="DQ173" s="9">
        <v>64.400000000000006</v>
      </c>
      <c r="DR173" s="9">
        <v>64.709999999999994</v>
      </c>
      <c r="DS173" s="9">
        <v>57.97</v>
      </c>
      <c r="DT173" s="9">
        <v>8.64</v>
      </c>
      <c r="DU173" s="9">
        <v>208.7</v>
      </c>
      <c r="DV173" s="9">
        <v>103.34</v>
      </c>
      <c r="DW173" s="9">
        <v>78.37</v>
      </c>
      <c r="DX173" s="9">
        <v>123.26</v>
      </c>
      <c r="DY173" s="9">
        <v>66.48</v>
      </c>
      <c r="DZ173" s="9">
        <v>38.89</v>
      </c>
      <c r="EA173" s="9">
        <v>-276.97399999999999</v>
      </c>
      <c r="EB173" s="9">
        <v>-106.431</v>
      </c>
      <c r="EC173" s="9">
        <v>-114.596</v>
      </c>
      <c r="ED173" s="9">
        <v>-84.456000000000003</v>
      </c>
      <c r="EE173" s="9">
        <v>28.5093</v>
      </c>
      <c r="EF173" s="9">
        <v>11.770289999999999</v>
      </c>
      <c r="EG173" s="9">
        <v>-41.642499999999998</v>
      </c>
      <c r="EH173" s="9">
        <v>-39.237000000000002</v>
      </c>
      <c r="EI173" s="9">
        <v>-17.997</v>
      </c>
      <c r="EJ173" s="9">
        <v>9.0600000000000003E-3</v>
      </c>
      <c r="EK173" s="9">
        <v>15.58243</v>
      </c>
      <c r="EL173" s="9">
        <v>111.98860000000001</v>
      </c>
      <c r="EM173" s="9">
        <v>-111.57299999999999</v>
      </c>
      <c r="EN173" s="9">
        <v>1821.7</v>
      </c>
      <c r="EO173" s="9"/>
      <c r="EP173" s="9"/>
      <c r="EQ173" s="9"/>
      <c r="ER173" s="9"/>
      <c r="ES173" s="9"/>
      <c r="ET173" s="9"/>
      <c r="EU173">
        <v>1784.1127272727001</v>
      </c>
      <c r="EV173" s="9"/>
      <c r="EW173" s="9"/>
      <c r="EX173" s="9"/>
      <c r="EY173" s="9"/>
      <c r="EZ173" s="9"/>
      <c r="FA173" s="9"/>
      <c r="FB173" s="9">
        <v>78.520714285699995</v>
      </c>
      <c r="FC173" s="9">
        <v>107.87545454550001</v>
      </c>
      <c r="FD173" s="9">
        <v>6673.5625</v>
      </c>
      <c r="FE173" s="9">
        <v>114.580952381</v>
      </c>
      <c r="FF173" s="9">
        <v>1299</v>
      </c>
      <c r="FG173" s="9">
        <v>11689209.310000001</v>
      </c>
      <c r="FH173" s="9">
        <v>297802.14</v>
      </c>
      <c r="FI173" s="9">
        <v>614610.94999999995</v>
      </c>
      <c r="FJ173" s="9">
        <v>5196839.1900000004</v>
      </c>
      <c r="FK173" s="9">
        <v>60132.15</v>
      </c>
      <c r="FL173" s="9">
        <v>60303.59</v>
      </c>
      <c r="FM173" s="9"/>
      <c r="FN173" s="9"/>
      <c r="FO173" s="9"/>
      <c r="FP173" s="9"/>
      <c r="FQ173" s="9"/>
      <c r="FR173" s="9"/>
      <c r="FS173" s="9"/>
      <c r="FT173" s="9">
        <v>6492358.1399999997</v>
      </c>
      <c r="FU173" s="9">
        <v>237669.99</v>
      </c>
      <c r="FV173" s="9">
        <v>554295.36</v>
      </c>
      <c r="FW173" s="9"/>
      <c r="FX173" s="9"/>
      <c r="FY173" s="9"/>
      <c r="FZ173" s="9">
        <v>3292.96</v>
      </c>
      <c r="GA173" s="9">
        <v>7560863.5300000003</v>
      </c>
      <c r="GB173" s="9">
        <v>2380671.9300000002</v>
      </c>
      <c r="GC173" s="9">
        <v>5180191.5999999996</v>
      </c>
      <c r="GD173" s="9">
        <v>5210629.99</v>
      </c>
      <c r="GE173" s="9">
        <v>539571.34</v>
      </c>
      <c r="GF173" s="9">
        <v>4671058.6500000004</v>
      </c>
      <c r="GG173" s="9">
        <v>2350233.54</v>
      </c>
      <c r="GH173" s="9">
        <v>1841100.59</v>
      </c>
      <c r="GI173" s="9">
        <v>509132.95</v>
      </c>
      <c r="GJ173" s="9">
        <v>3784463.01</v>
      </c>
      <c r="GK173" s="9">
        <v>21213291.149999999</v>
      </c>
      <c r="GL173" s="9">
        <v>1600981.97</v>
      </c>
      <c r="GM173">
        <v>1796.19</v>
      </c>
      <c r="GO173" s="6"/>
      <c r="GP173" s="6"/>
      <c r="GQ173" s="6"/>
    </row>
    <row r="174" spans="1:199" x14ac:dyDescent="0.2">
      <c r="A174" s="8">
        <v>2014</v>
      </c>
      <c r="B174" s="8" t="s">
        <v>427</v>
      </c>
      <c r="C174" s="8" t="s">
        <v>429</v>
      </c>
      <c r="D174" s="9"/>
      <c r="E174" s="9"/>
      <c r="F174" s="9"/>
      <c r="G174" s="9"/>
      <c r="H174" s="9"/>
      <c r="I174" s="9"/>
      <c r="J174" s="9"/>
      <c r="K174" s="9"/>
      <c r="L174" s="9"/>
      <c r="M174" s="9"/>
      <c r="N174" s="9"/>
      <c r="O174" s="9"/>
      <c r="P174" s="9"/>
      <c r="Q174" s="9"/>
      <c r="R174" s="9"/>
      <c r="S174" s="9"/>
      <c r="T174" s="9"/>
      <c r="U174" s="9"/>
      <c r="V174" s="9"/>
      <c r="W174" s="9"/>
      <c r="X174" s="9"/>
      <c r="Y174" s="9"/>
      <c r="Z174" s="9"/>
      <c r="AA174" s="9"/>
      <c r="AB174" s="9"/>
      <c r="AC174" s="9"/>
      <c r="AD174" s="9"/>
      <c r="AE174" s="9"/>
      <c r="AF174" s="9"/>
      <c r="AG174" s="9"/>
      <c r="AH174" s="9"/>
      <c r="AI174" s="9"/>
      <c r="AJ174" s="9"/>
      <c r="AK174" s="9"/>
      <c r="AL174" s="9"/>
      <c r="AM174" s="9"/>
      <c r="AN174" s="9"/>
      <c r="AO174" s="9"/>
      <c r="AP174" s="9"/>
      <c r="AQ174" s="9"/>
      <c r="AR174" s="9"/>
      <c r="AS174" s="9"/>
      <c r="AT174" s="9"/>
      <c r="AU174" s="9"/>
      <c r="AV174" s="9"/>
      <c r="AW174" s="9"/>
      <c r="AX174" s="9"/>
      <c r="AY174" s="9"/>
      <c r="AZ174" s="9"/>
      <c r="BA174" s="9"/>
      <c r="BB174" s="9"/>
      <c r="BC174" s="9"/>
      <c r="BD174" s="9"/>
      <c r="BE174" s="9"/>
      <c r="BF174" s="9"/>
      <c r="BG174" s="9"/>
      <c r="BH174" s="9"/>
      <c r="BI174" s="9"/>
      <c r="BJ174" s="9"/>
      <c r="BK174" s="9"/>
      <c r="BL174" s="9"/>
      <c r="BM174" s="9"/>
      <c r="BN174" s="9">
        <v>504368.6</v>
      </c>
      <c r="BO174" s="9">
        <v>437019.8</v>
      </c>
      <c r="BP174" s="9">
        <v>78862.2</v>
      </c>
      <c r="BQ174" s="9">
        <v>49448.6</v>
      </c>
      <c r="BR174" s="9">
        <v>38015.800000000003</v>
      </c>
      <c r="BS174" s="9">
        <v>75461.2</v>
      </c>
      <c r="BT174" s="9">
        <v>102793.2</v>
      </c>
      <c r="BU174" s="9">
        <v>41236.800000000003</v>
      </c>
      <c r="BV174" s="9">
        <v>64665.3</v>
      </c>
      <c r="BW174" s="9">
        <v>412951.7</v>
      </c>
      <c r="BX174" s="9">
        <v>362.9</v>
      </c>
      <c r="BY174" s="9">
        <v>53492.2</v>
      </c>
      <c r="BZ174" s="9">
        <v>127126.2</v>
      </c>
      <c r="CA174" s="9">
        <v>11639.6</v>
      </c>
      <c r="CB174" s="9">
        <v>-10046</v>
      </c>
      <c r="CC174" s="9">
        <v>162229.6</v>
      </c>
      <c r="CD174" s="9">
        <v>30303.7</v>
      </c>
      <c r="CE174" s="9">
        <v>89649.600000000006</v>
      </c>
      <c r="CF174" s="9">
        <v>1826301.2650926027</v>
      </c>
      <c r="CG174" s="9">
        <v>10238368.343794361</v>
      </c>
      <c r="CH174" s="9"/>
      <c r="CI174" s="9"/>
      <c r="CJ174" s="9">
        <v>19.100000000000001</v>
      </c>
      <c r="CK174" s="9">
        <v>12.1</v>
      </c>
      <c r="CL174" s="9">
        <v>10.5</v>
      </c>
      <c r="CM174" s="9">
        <v>93.477069457799999</v>
      </c>
      <c r="CN174" s="9">
        <v>29.632679785499999</v>
      </c>
      <c r="CO174" s="9">
        <v>3.7660164188</v>
      </c>
      <c r="CP174" s="9">
        <v>16.510736224799999</v>
      </c>
      <c r="CQ174" s="9">
        <v>10.536239485899999</v>
      </c>
      <c r="CR174" s="9">
        <v>4.2897139415999996</v>
      </c>
      <c r="CS174" s="9">
        <v>2.9330482930000001</v>
      </c>
      <c r="CT174" s="9">
        <v>10.004333171100001</v>
      </c>
      <c r="CU174" s="9">
        <v>2.7563108627999999</v>
      </c>
      <c r="CV174" s="9">
        <v>1.906585534</v>
      </c>
      <c r="CW174" s="9">
        <v>4.8265760442000003</v>
      </c>
      <c r="CX174" s="9">
        <v>2.6707351963999999</v>
      </c>
      <c r="CY174" s="9">
        <v>3.6440944998</v>
      </c>
      <c r="CZ174" s="9">
        <v>507</v>
      </c>
      <c r="DA174" s="9">
        <v>388</v>
      </c>
      <c r="DB174" s="9">
        <v>0</v>
      </c>
      <c r="DC174" s="9">
        <v>198</v>
      </c>
      <c r="DD174" s="9">
        <v>29</v>
      </c>
      <c r="DE174" s="9">
        <v>9</v>
      </c>
      <c r="DF174" s="9">
        <v>88</v>
      </c>
      <c r="DG174" s="9">
        <v>54</v>
      </c>
      <c r="DH174" s="9">
        <v>84</v>
      </c>
      <c r="DI174" s="9">
        <v>0</v>
      </c>
      <c r="DJ174" s="9">
        <v>1</v>
      </c>
      <c r="DK174" s="9">
        <v>81</v>
      </c>
      <c r="DL174" s="9">
        <v>1</v>
      </c>
      <c r="DM174" s="9">
        <v>34</v>
      </c>
      <c r="DN174" s="9">
        <v>0</v>
      </c>
      <c r="DO174" s="9">
        <v>576.42999999999995</v>
      </c>
      <c r="DP174" s="9">
        <v>130.03</v>
      </c>
      <c r="DQ174" s="9">
        <v>69.48</v>
      </c>
      <c r="DR174" s="9">
        <v>60.55</v>
      </c>
      <c r="DS174" s="9">
        <v>58.1</v>
      </c>
      <c r="DT174" s="9">
        <v>13.39</v>
      </c>
      <c r="DU174" s="9">
        <v>302.14999999999998</v>
      </c>
      <c r="DV174" s="9">
        <v>198.28</v>
      </c>
      <c r="DW174" s="9">
        <v>78.48</v>
      </c>
      <c r="DX174" s="9">
        <v>85.9</v>
      </c>
      <c r="DY174" s="9">
        <v>51.55</v>
      </c>
      <c r="DZ174" s="9">
        <v>17.059999999999999</v>
      </c>
      <c r="EA174" s="9">
        <v>-279.07799999999997</v>
      </c>
      <c r="EB174" s="9">
        <v>-98.559100000000001</v>
      </c>
      <c r="EC174" s="9">
        <v>-115.61</v>
      </c>
      <c r="ED174" s="9">
        <v>-78.786299999999997</v>
      </c>
      <c r="EE174" s="9">
        <v>13.87693</v>
      </c>
      <c r="EF174" s="9">
        <v>13.452120000000001</v>
      </c>
      <c r="EG174" s="9">
        <v>98.106269999999995</v>
      </c>
      <c r="EH174" s="9">
        <v>0.68862599999999996</v>
      </c>
      <c r="EI174" s="9">
        <v>-2.7313999999999998</v>
      </c>
      <c r="EJ174" s="9">
        <v>4.9630000000000004E-3</v>
      </c>
      <c r="EK174" s="9">
        <v>100.14409999999999</v>
      </c>
      <c r="EL174" s="9">
        <v>137.14959999999999</v>
      </c>
      <c r="EM174" s="9">
        <v>-226.583</v>
      </c>
      <c r="EN174" s="9">
        <v>1604.5</v>
      </c>
      <c r="EO174" s="9"/>
      <c r="EP174" s="9"/>
      <c r="EQ174" s="9"/>
      <c r="ER174" s="9"/>
      <c r="ES174" s="9"/>
      <c r="ET174" s="9"/>
      <c r="EU174">
        <v>1813.0822727273001</v>
      </c>
      <c r="EV174" s="9"/>
      <c r="EW174" s="9"/>
      <c r="EX174" s="9"/>
      <c r="EY174" s="9"/>
      <c r="EZ174" s="9"/>
      <c r="FA174" s="9"/>
      <c r="FB174" s="9">
        <v>78.834642857099993</v>
      </c>
      <c r="FC174" s="9">
        <v>109.67590909090001</v>
      </c>
      <c r="FD174" s="9">
        <v>6891.125</v>
      </c>
      <c r="FE174" s="9">
        <v>100.56</v>
      </c>
      <c r="FF174" s="9">
        <v>1287.5250000000001</v>
      </c>
      <c r="FG174" s="9">
        <v>12004820.43</v>
      </c>
      <c r="FH174" s="9">
        <v>379380.32</v>
      </c>
      <c r="FI174" s="9">
        <v>618124.32000000007</v>
      </c>
      <c r="FJ174" s="9">
        <v>5363318.3500000006</v>
      </c>
      <c r="FK174" s="9">
        <v>62510.69</v>
      </c>
      <c r="FL174" s="9">
        <v>57402.63</v>
      </c>
      <c r="FM174" s="9"/>
      <c r="FN174" s="9"/>
      <c r="FO174" s="9"/>
      <c r="FP174" s="9"/>
      <c r="FQ174" s="9"/>
      <c r="FR174" s="9"/>
      <c r="FS174" s="9"/>
      <c r="FT174" s="9">
        <v>6641492.3100000015</v>
      </c>
      <c r="FU174" s="9">
        <v>316869.65000000002</v>
      </c>
      <c r="FV174" s="9">
        <v>560711.9</v>
      </c>
      <c r="FW174" s="9"/>
      <c r="FX174" s="9"/>
      <c r="FY174" s="9"/>
      <c r="FZ174" s="9">
        <v>3292.96</v>
      </c>
      <c r="GA174" s="9">
        <v>7680175.9399999985</v>
      </c>
      <c r="GB174" s="9">
        <v>2472606.23</v>
      </c>
      <c r="GC174" s="9">
        <v>5207569.71</v>
      </c>
      <c r="GD174" s="9">
        <v>5260188.5</v>
      </c>
      <c r="GE174" s="9">
        <v>542580.4</v>
      </c>
      <c r="GF174" s="9">
        <v>4717608.0999999996</v>
      </c>
      <c r="GG174" s="9">
        <v>2419987.44</v>
      </c>
      <c r="GH174" s="9">
        <v>1930025.83</v>
      </c>
      <c r="GI174" s="9">
        <v>489961.61</v>
      </c>
      <c r="GJ174" s="9">
        <v>3704239.4</v>
      </c>
      <c r="GK174" s="9">
        <v>21159590.77</v>
      </c>
      <c r="GL174" s="9">
        <v>1621469.49</v>
      </c>
      <c r="GM174">
        <v>1818.65</v>
      </c>
      <c r="GO174" s="6"/>
      <c r="GP174" s="6"/>
      <c r="GQ174" s="6"/>
    </row>
    <row r="175" spans="1:199" x14ac:dyDescent="0.2">
      <c r="A175" s="8">
        <v>2014</v>
      </c>
      <c r="B175" s="8" t="s">
        <v>427</v>
      </c>
      <c r="C175" s="8" t="s">
        <v>430</v>
      </c>
      <c r="D175" s="9">
        <v>5970325.2999999998</v>
      </c>
      <c r="E175" s="9">
        <v>1343042.9</v>
      </c>
      <c r="F175" s="9">
        <v>809090.2</v>
      </c>
      <c r="G175" s="9">
        <v>457749</v>
      </c>
      <c r="H175" s="9">
        <v>79461.3</v>
      </c>
      <c r="I175" s="9">
        <v>244737.1</v>
      </c>
      <c r="J175" s="9">
        <v>470434.3</v>
      </c>
      <c r="K175" s="9">
        <v>299202.40000000002</v>
      </c>
      <c r="L175" s="9">
        <v>107018.4</v>
      </c>
      <c r="M175" s="9">
        <v>1577312.7</v>
      </c>
      <c r="N175" s="9">
        <v>582276.9</v>
      </c>
      <c r="O175" s="9">
        <v>6006730.4573241957</v>
      </c>
      <c r="P175" s="9">
        <v>1322715.2058799581</v>
      </c>
      <c r="Q175" s="9">
        <v>806577.91466097103</v>
      </c>
      <c r="R175" s="9">
        <v>368279.81329506001</v>
      </c>
      <c r="S175" s="9">
        <v>104457.1066533416</v>
      </c>
      <c r="T175" s="9">
        <v>228387.2271385949</v>
      </c>
      <c r="U175" s="9">
        <v>537562.54121137212</v>
      </c>
      <c r="V175" s="9">
        <v>309579.42728288512</v>
      </c>
      <c r="W175" s="9">
        <v>106713.75480713219</v>
      </c>
      <c r="X175" s="9">
        <v>1541194.123687776</v>
      </c>
      <c r="Y175" s="9">
        <v>681263.34270710556</v>
      </c>
      <c r="Z175" s="9">
        <v>5843536.0999999996</v>
      </c>
      <c r="AA175" s="9">
        <v>3641702.7</v>
      </c>
      <c r="AB175" s="9">
        <v>765939.6</v>
      </c>
      <c r="AC175" s="9">
        <v>1565151.5</v>
      </c>
      <c r="AD175" s="9">
        <v>600944.6</v>
      </c>
      <c r="AE175" s="9">
        <v>2956004.1</v>
      </c>
      <c r="AF175" s="9">
        <v>3686206.4</v>
      </c>
      <c r="AG175" s="9">
        <v>5870113.8713889904</v>
      </c>
      <c r="AH175" s="9">
        <v>3711957.493694765</v>
      </c>
      <c r="AI175" s="9">
        <v>926060.44047684758</v>
      </c>
      <c r="AJ175" s="9">
        <v>1453141.502741165</v>
      </c>
      <c r="AK175" s="9">
        <v>605462.20319142938</v>
      </c>
      <c r="AL175" s="9">
        <v>2517811.3878971911</v>
      </c>
      <c r="AM175" s="9">
        <v>3344319.1566124079</v>
      </c>
      <c r="AN175" s="9">
        <v>1102786</v>
      </c>
      <c r="AO175" s="9">
        <v>583427</v>
      </c>
      <c r="AP175" s="9">
        <v>519359</v>
      </c>
      <c r="AQ175" s="9">
        <v>101434</v>
      </c>
      <c r="AR175" s="9">
        <v>57968</v>
      </c>
      <c r="AS175" s="9">
        <v>43466</v>
      </c>
      <c r="AT175" s="9">
        <v>704475</v>
      </c>
      <c r="AU175" s="9">
        <v>285789</v>
      </c>
      <c r="AV175" s="9">
        <v>418686</v>
      </c>
      <c r="AW175" s="9">
        <v>786.7</v>
      </c>
      <c r="AX175" s="9">
        <v>749.8</v>
      </c>
      <c r="AY175" s="9">
        <v>1544</v>
      </c>
      <c r="AZ175" s="9">
        <v>733.6</v>
      </c>
      <c r="BA175" s="9">
        <v>1028.0999999999999</v>
      </c>
      <c r="BB175" s="9">
        <v>580.70000000000005</v>
      </c>
      <c r="BC175" s="9">
        <v>615.9</v>
      </c>
      <c r="BD175" s="9">
        <v>699.4</v>
      </c>
      <c r="BE175" s="9">
        <v>930.9</v>
      </c>
      <c r="BF175" s="9">
        <v>532.5</v>
      </c>
      <c r="BG175" s="9">
        <v>765.8</v>
      </c>
      <c r="BH175" s="9">
        <v>1007</v>
      </c>
      <c r="BI175" s="9">
        <v>692.4</v>
      </c>
      <c r="BJ175" s="9">
        <v>796.5</v>
      </c>
      <c r="BK175" s="9">
        <v>713.5</v>
      </c>
      <c r="BL175" s="9">
        <v>554.29999999999995</v>
      </c>
      <c r="BM175" s="9">
        <v>575.4</v>
      </c>
      <c r="BN175" s="9">
        <v>555759.6</v>
      </c>
      <c r="BO175" s="9">
        <v>445498.5</v>
      </c>
      <c r="BP175" s="9">
        <v>71961.3</v>
      </c>
      <c r="BQ175" s="9">
        <v>26427.9</v>
      </c>
      <c r="BR175" s="9">
        <v>46799.3</v>
      </c>
      <c r="BS175" s="9">
        <v>93718.3</v>
      </c>
      <c r="BT175" s="9">
        <v>117440.9</v>
      </c>
      <c r="BU175" s="9">
        <v>43338.6</v>
      </c>
      <c r="BV175" s="9">
        <v>106339.7</v>
      </c>
      <c r="BW175" s="9">
        <v>561729.4</v>
      </c>
      <c r="BX175" s="9">
        <v>3619.8</v>
      </c>
      <c r="BY175" s="9">
        <v>53257.5</v>
      </c>
      <c r="BZ175" s="9">
        <v>179971.7</v>
      </c>
      <c r="CA175" s="9">
        <v>84276.7</v>
      </c>
      <c r="CB175" s="9">
        <v>35984.699999999997</v>
      </c>
      <c r="CC175" s="9">
        <v>194362.5</v>
      </c>
      <c r="CD175" s="9">
        <v>60460.5</v>
      </c>
      <c r="CE175" s="9">
        <v>120179.6</v>
      </c>
      <c r="CF175" s="9">
        <v>1862125.694781804</v>
      </c>
      <c r="CG175" s="9">
        <v>10104895.525706699</v>
      </c>
      <c r="CH175" s="9"/>
      <c r="CI175" s="9"/>
      <c r="CJ175" s="9">
        <v>18.8</v>
      </c>
      <c r="CK175" s="9">
        <v>12.4</v>
      </c>
      <c r="CL175" s="9">
        <v>10.5</v>
      </c>
      <c r="CM175" s="9">
        <v>93.963568900599995</v>
      </c>
      <c r="CN175" s="9">
        <v>29.844291769800002</v>
      </c>
      <c r="CO175" s="9">
        <v>3.7716630014999999</v>
      </c>
      <c r="CP175" s="9">
        <v>16.681118983299999</v>
      </c>
      <c r="CQ175" s="9">
        <v>10.407682014200001</v>
      </c>
      <c r="CR175" s="9">
        <v>4.3182571891999997</v>
      </c>
      <c r="CS175" s="9">
        <v>3.0146927392</v>
      </c>
      <c r="CT175" s="9">
        <v>10.0634666381</v>
      </c>
      <c r="CU175" s="9">
        <v>2.7585354363999999</v>
      </c>
      <c r="CV175" s="9">
        <v>1.9151424953</v>
      </c>
      <c r="CW175" s="9">
        <v>4.8265760442000003</v>
      </c>
      <c r="CX175" s="9">
        <v>2.6748714082</v>
      </c>
      <c r="CY175" s="9">
        <v>3.6872711812999999</v>
      </c>
      <c r="CZ175" s="9">
        <v>545</v>
      </c>
      <c r="DA175" s="9">
        <v>480</v>
      </c>
      <c r="DB175" s="9">
        <v>0</v>
      </c>
      <c r="DC175" s="9">
        <v>258</v>
      </c>
      <c r="DD175" s="9">
        <v>53</v>
      </c>
      <c r="DE175" s="9">
        <v>12</v>
      </c>
      <c r="DF175" s="9">
        <v>90</v>
      </c>
      <c r="DG175" s="9">
        <v>59</v>
      </c>
      <c r="DH175" s="9">
        <v>57</v>
      </c>
      <c r="DI175" s="9">
        <v>0</v>
      </c>
      <c r="DJ175" s="9">
        <v>0</v>
      </c>
      <c r="DK175" s="9">
        <v>55</v>
      </c>
      <c r="DL175" s="9">
        <v>1</v>
      </c>
      <c r="DM175" s="9">
        <v>7</v>
      </c>
      <c r="DN175" s="9">
        <v>0</v>
      </c>
      <c r="DO175" s="9">
        <v>498.07</v>
      </c>
      <c r="DP175" s="9">
        <v>134.79</v>
      </c>
      <c r="DQ175" s="9">
        <v>70.41</v>
      </c>
      <c r="DR175" s="9">
        <v>64.38</v>
      </c>
      <c r="DS175" s="9">
        <v>56.7</v>
      </c>
      <c r="DT175" s="9">
        <v>9.6300000000000008</v>
      </c>
      <c r="DU175" s="9">
        <v>209.38</v>
      </c>
      <c r="DV175" s="9">
        <v>99.18</v>
      </c>
      <c r="DW175" s="9">
        <v>91.95</v>
      </c>
      <c r="DX175" s="9">
        <v>97.02</v>
      </c>
      <c r="DY175" s="9">
        <v>63.82</v>
      </c>
      <c r="DZ175" s="9">
        <v>19.920000000000002</v>
      </c>
      <c r="EA175" s="9">
        <v>-163.30699999999999</v>
      </c>
      <c r="EB175" s="9">
        <v>11.869160000000001</v>
      </c>
      <c r="EC175" s="9">
        <v>-93.567300000000003</v>
      </c>
      <c r="ED175" s="9">
        <v>-90.690100000000001</v>
      </c>
      <c r="EE175" s="9">
        <v>9.0809099999999994</v>
      </c>
      <c r="EF175" s="9">
        <v>7.5340129999999998</v>
      </c>
      <c r="EG175" s="9">
        <v>108.753</v>
      </c>
      <c r="EH175" s="9">
        <v>-12.738799999999999</v>
      </c>
      <c r="EI175" s="9">
        <v>11.114470000000001</v>
      </c>
      <c r="EJ175" s="9">
        <v>0.14049400000000001</v>
      </c>
      <c r="EK175" s="9">
        <v>110.2368</v>
      </c>
      <c r="EL175" s="9">
        <v>-4.6369300000000004</v>
      </c>
      <c r="EM175" s="9">
        <v>-269.16300000000001</v>
      </c>
      <c r="EN175" s="9">
        <v>1317.5</v>
      </c>
      <c r="EO175" s="9"/>
      <c r="EP175" s="9"/>
      <c r="EQ175" s="9"/>
      <c r="ER175" s="9"/>
      <c r="ES175" s="9"/>
      <c r="ET175" s="9"/>
      <c r="EU175">
        <v>1824.6352380952001</v>
      </c>
      <c r="EV175" s="9">
        <v>20914.37</v>
      </c>
      <c r="EW175" s="9">
        <v>3611.88</v>
      </c>
      <c r="EX175" s="9">
        <v>1058.07</v>
      </c>
      <c r="EY175" s="9">
        <v>1551.38</v>
      </c>
      <c r="EZ175" s="9">
        <v>3682.67</v>
      </c>
      <c r="FA175" s="9">
        <v>11010.37</v>
      </c>
      <c r="FB175" s="9">
        <v>77.348469387799994</v>
      </c>
      <c r="FC175" s="9">
        <v>111.86857142860001</v>
      </c>
      <c r="FD175" s="9">
        <v>6821.1428571428996</v>
      </c>
      <c r="FE175" s="9">
        <v>92.852380952399997</v>
      </c>
      <c r="FF175" s="9">
        <v>1279.0952380952001</v>
      </c>
      <c r="FG175" s="9">
        <v>12241976.4</v>
      </c>
      <c r="FH175" s="9">
        <v>436418.72</v>
      </c>
      <c r="FI175" s="9">
        <v>565318.23</v>
      </c>
      <c r="FJ175" s="9">
        <v>5542360.9000000013</v>
      </c>
      <c r="FK175" s="9">
        <v>64607.72</v>
      </c>
      <c r="FL175" s="9">
        <v>49489.97</v>
      </c>
      <c r="FM175" s="9"/>
      <c r="FN175" s="9"/>
      <c r="FO175" s="9"/>
      <c r="FP175" s="9"/>
      <c r="FQ175" s="9"/>
      <c r="FR175" s="9"/>
      <c r="FS175" s="9"/>
      <c r="FT175" s="9">
        <v>6699607.9100000001</v>
      </c>
      <c r="FU175" s="9">
        <v>371811</v>
      </c>
      <c r="FV175" s="9">
        <v>515820.67</v>
      </c>
      <c r="FW175" s="9"/>
      <c r="FX175" s="9"/>
      <c r="FY175" s="9"/>
      <c r="FZ175" s="9">
        <v>7440.96</v>
      </c>
      <c r="GA175" s="9">
        <v>7616338.6399999997</v>
      </c>
      <c r="GB175" s="9">
        <v>2347522.75</v>
      </c>
      <c r="GC175" s="9">
        <v>5268815.8899999997</v>
      </c>
      <c r="GD175" s="9">
        <v>5350684.63</v>
      </c>
      <c r="GE175" s="9">
        <v>577616.37</v>
      </c>
      <c r="GF175" s="9">
        <v>4773068.26</v>
      </c>
      <c r="GG175" s="9">
        <v>2265654.0099999998</v>
      </c>
      <c r="GH175" s="9">
        <v>1769906.38</v>
      </c>
      <c r="GI175" s="9">
        <v>495747.63</v>
      </c>
      <c r="GJ175" s="9">
        <v>3673046.67</v>
      </c>
      <c r="GK175" s="9">
        <v>21419492.41</v>
      </c>
      <c r="GL175" s="9">
        <v>1793894.73</v>
      </c>
      <c r="GM175">
        <v>1825.74</v>
      </c>
      <c r="GO175" s="6"/>
      <c r="GP175" s="6"/>
      <c r="GQ175" s="6"/>
    </row>
    <row r="176" spans="1:199" x14ac:dyDescent="0.2">
      <c r="A176" s="8">
        <v>2014</v>
      </c>
      <c r="B176" s="8" t="s">
        <v>431</v>
      </c>
      <c r="C176" s="8" t="s">
        <v>432</v>
      </c>
      <c r="D176" s="9"/>
      <c r="E176" s="9"/>
      <c r="F176" s="9"/>
      <c r="G176" s="9"/>
      <c r="H176" s="9"/>
      <c r="I176" s="9"/>
      <c r="J176" s="9"/>
      <c r="K176" s="9"/>
      <c r="L176" s="9"/>
      <c r="M176" s="9"/>
      <c r="N176" s="9"/>
      <c r="O176" s="9"/>
      <c r="P176" s="9"/>
      <c r="Q176" s="9"/>
      <c r="R176" s="9"/>
      <c r="S176" s="9"/>
      <c r="T176" s="9"/>
      <c r="U176" s="9"/>
      <c r="V176" s="9"/>
      <c r="W176" s="9"/>
      <c r="X176" s="9"/>
      <c r="Y176" s="9"/>
      <c r="Z176" s="9"/>
      <c r="AA176" s="9"/>
      <c r="AB176" s="9"/>
      <c r="AC176" s="9"/>
      <c r="AD176" s="9"/>
      <c r="AE176" s="9"/>
      <c r="AF176" s="9"/>
      <c r="AG176" s="9"/>
      <c r="AH176" s="9"/>
      <c r="AI176" s="9"/>
      <c r="AJ176" s="9"/>
      <c r="AK176" s="9"/>
      <c r="AL176" s="9"/>
      <c r="AM176" s="9"/>
      <c r="AN176" s="9"/>
      <c r="AO176" s="9"/>
      <c r="AP176" s="9"/>
      <c r="AQ176" s="9"/>
      <c r="AR176" s="9"/>
      <c r="AS176" s="9"/>
      <c r="AT176" s="9"/>
      <c r="AU176" s="9"/>
      <c r="AV176" s="9"/>
      <c r="AW176" s="9"/>
      <c r="AX176" s="9"/>
      <c r="AY176" s="9"/>
      <c r="AZ176" s="9"/>
      <c r="BA176" s="9"/>
      <c r="BB176" s="9"/>
      <c r="BC176" s="9"/>
      <c r="BD176" s="9"/>
      <c r="BE176" s="9"/>
      <c r="BF176" s="9"/>
      <c r="BG176" s="9"/>
      <c r="BH176" s="9"/>
      <c r="BI176" s="9"/>
      <c r="BJ176" s="9"/>
      <c r="BK176" s="9"/>
      <c r="BL176" s="9"/>
      <c r="BM176" s="9"/>
      <c r="BN176" s="9">
        <v>578420.80000000005</v>
      </c>
      <c r="BO176" s="9">
        <v>495155.5</v>
      </c>
      <c r="BP176" s="9">
        <v>96092</v>
      </c>
      <c r="BQ176" s="9">
        <v>61594.7</v>
      </c>
      <c r="BR176" s="9">
        <v>39820.1</v>
      </c>
      <c r="BS176" s="9">
        <v>72117.100000000006</v>
      </c>
      <c r="BT176" s="9">
        <v>136365.20000000001</v>
      </c>
      <c r="BU176" s="9">
        <v>43480.5</v>
      </c>
      <c r="BV176" s="9">
        <v>80677.8</v>
      </c>
      <c r="BW176" s="9">
        <v>347858.9</v>
      </c>
      <c r="BX176" s="9">
        <v>-2330</v>
      </c>
      <c r="BY176" s="9">
        <v>46358.3</v>
      </c>
      <c r="BZ176" s="9">
        <v>102406.5</v>
      </c>
      <c r="CA176" s="9">
        <v>29860.3</v>
      </c>
      <c r="CB176" s="9">
        <v>6952.8</v>
      </c>
      <c r="CC176" s="9">
        <v>139560.29999999999</v>
      </c>
      <c r="CD176" s="9">
        <v>16111.9</v>
      </c>
      <c r="CE176" s="9">
        <v>150607.5</v>
      </c>
      <c r="CF176" s="9">
        <v>1698457.1835208987</v>
      </c>
      <c r="CG176" s="9">
        <v>10076029.27987165</v>
      </c>
      <c r="CH176" s="9"/>
      <c r="CI176" s="9"/>
      <c r="CJ176" s="9">
        <v>19.2</v>
      </c>
      <c r="CK176" s="9">
        <v>13.3</v>
      </c>
      <c r="CL176" s="9">
        <v>12</v>
      </c>
      <c r="CM176" s="9">
        <v>94.381862391400006</v>
      </c>
      <c r="CN176" s="9">
        <v>29.569619337399999</v>
      </c>
      <c r="CO176" s="9">
        <v>3.8048828534000001</v>
      </c>
      <c r="CP176" s="9">
        <v>16.7574486834</v>
      </c>
      <c r="CQ176" s="9">
        <v>10.6711427942</v>
      </c>
      <c r="CR176" s="9">
        <v>4.3674022196999998</v>
      </c>
      <c r="CS176" s="9">
        <v>3.0411237576999999</v>
      </c>
      <c r="CT176" s="9">
        <v>10.264976649899999</v>
      </c>
      <c r="CU176" s="9">
        <v>2.7551833791</v>
      </c>
      <c r="CV176" s="9">
        <v>1.9163340203000001</v>
      </c>
      <c r="CW176" s="9">
        <v>4.8265760442000003</v>
      </c>
      <c r="CX176" s="9">
        <v>2.6884057703000002</v>
      </c>
      <c r="CY176" s="9">
        <v>3.7187668817000001</v>
      </c>
      <c r="CZ176" s="9">
        <v>461</v>
      </c>
      <c r="DA176" s="9">
        <v>412</v>
      </c>
      <c r="DB176" s="9">
        <v>42</v>
      </c>
      <c r="DC176" s="9">
        <v>200</v>
      </c>
      <c r="DD176" s="9">
        <v>31</v>
      </c>
      <c r="DE176" s="9">
        <v>9</v>
      </c>
      <c r="DF176" s="9">
        <v>52</v>
      </c>
      <c r="DG176" s="9">
        <v>60</v>
      </c>
      <c r="DH176" s="9">
        <v>32</v>
      </c>
      <c r="DI176" s="9">
        <v>0</v>
      </c>
      <c r="DJ176" s="9">
        <v>1</v>
      </c>
      <c r="DK176" s="9">
        <v>30</v>
      </c>
      <c r="DL176" s="9">
        <v>1</v>
      </c>
      <c r="DM176" s="9">
        <v>15</v>
      </c>
      <c r="DN176" s="9">
        <v>0</v>
      </c>
      <c r="DO176" s="9">
        <v>525.04</v>
      </c>
      <c r="DP176" s="9">
        <v>130.31</v>
      </c>
      <c r="DQ176" s="9">
        <v>68.709999999999994</v>
      </c>
      <c r="DR176" s="9">
        <v>61.6</v>
      </c>
      <c r="DS176" s="9">
        <v>57.11</v>
      </c>
      <c r="DT176" s="9">
        <v>12.21</v>
      </c>
      <c r="DU176" s="9">
        <v>224.36</v>
      </c>
      <c r="DV176" s="9">
        <v>93.96</v>
      </c>
      <c r="DW176" s="9">
        <v>95.46</v>
      </c>
      <c r="DX176" s="9">
        <v>112.69</v>
      </c>
      <c r="DY176" s="9">
        <v>66.83</v>
      </c>
      <c r="DZ176" s="9">
        <v>25.28</v>
      </c>
      <c r="EA176" s="9">
        <v>-239.273</v>
      </c>
      <c r="EB176" s="9">
        <v>-83.998099999999994</v>
      </c>
      <c r="EC176" s="9">
        <v>-69.4636</v>
      </c>
      <c r="ED176" s="9">
        <v>-89.692300000000003</v>
      </c>
      <c r="EE176" s="9">
        <v>3.8812509999999998</v>
      </c>
      <c r="EF176" s="9">
        <v>15.671099999999999</v>
      </c>
      <c r="EG176" s="9">
        <v>-278.67700000000002</v>
      </c>
      <c r="EH176" s="9">
        <v>-55.483899999999998</v>
      </c>
      <c r="EI176" s="9">
        <v>6.6057740000000003</v>
      </c>
      <c r="EJ176" s="9">
        <v>-0.13058</v>
      </c>
      <c r="EK176" s="9">
        <v>-229.66800000000001</v>
      </c>
      <c r="EL176" s="9">
        <v>-75.130099999999999</v>
      </c>
      <c r="EM176" s="9">
        <v>-20.0548</v>
      </c>
      <c r="EN176" s="9">
        <v>1349.3</v>
      </c>
      <c r="EO176" s="9"/>
      <c r="EP176" s="9"/>
      <c r="EQ176" s="9"/>
      <c r="ER176" s="9"/>
      <c r="ES176" s="9"/>
      <c r="ET176" s="9"/>
      <c r="EU176">
        <v>1844.066</v>
      </c>
      <c r="EV176" s="9"/>
      <c r="EW176" s="9"/>
      <c r="EX176" s="9"/>
      <c r="EY176" s="9"/>
      <c r="EZ176" s="9"/>
      <c r="FA176" s="9"/>
      <c r="FB176" s="9">
        <v>74.038043478299997</v>
      </c>
      <c r="FC176" s="9">
        <v>106.9830434783</v>
      </c>
      <c r="FD176" s="9">
        <v>7113.3804347825999</v>
      </c>
      <c r="FE176" s="9">
        <v>96.260869565199997</v>
      </c>
      <c r="FF176" s="9">
        <v>1310.9673913044001</v>
      </c>
      <c r="FG176" s="9">
        <v>12165328.310000001</v>
      </c>
      <c r="FH176" s="9">
        <v>548279.4</v>
      </c>
      <c r="FI176" s="9">
        <v>598061.65</v>
      </c>
      <c r="FJ176" s="9">
        <v>5433384.3400000017</v>
      </c>
      <c r="FK176" s="9">
        <v>97682.15</v>
      </c>
      <c r="FL176" s="9">
        <v>52481.68</v>
      </c>
      <c r="FM176" s="9"/>
      <c r="FN176" s="9"/>
      <c r="FO176" s="9"/>
      <c r="FP176" s="9"/>
      <c r="FQ176" s="9"/>
      <c r="FR176" s="9"/>
      <c r="FS176" s="9"/>
      <c r="FT176" s="9">
        <v>6731938.5800000001</v>
      </c>
      <c r="FU176" s="9">
        <v>450597.25</v>
      </c>
      <c r="FV176" s="9">
        <v>545574.56999999995</v>
      </c>
      <c r="FW176" s="9"/>
      <c r="FX176" s="9"/>
      <c r="FY176" s="9"/>
      <c r="FZ176" s="9">
        <v>7449.02</v>
      </c>
      <c r="GA176" s="9">
        <v>7748382.209999999</v>
      </c>
      <c r="GB176" s="9">
        <v>2463251.2599999998</v>
      </c>
      <c r="GC176" s="9">
        <v>5285130.9499999993</v>
      </c>
      <c r="GD176" s="9">
        <v>5401364.0699999994</v>
      </c>
      <c r="GE176" s="9">
        <v>593181.11</v>
      </c>
      <c r="GF176" s="9">
        <v>4808182.96</v>
      </c>
      <c r="GG176" s="9">
        <v>2347018.14</v>
      </c>
      <c r="GH176" s="9">
        <v>1870070.15</v>
      </c>
      <c r="GI176" s="9">
        <v>476947.99</v>
      </c>
      <c r="GJ176" s="9">
        <v>3619097.15</v>
      </c>
      <c r="GK176" s="9">
        <v>20969192.030000001</v>
      </c>
      <c r="GL176" s="9">
        <v>1858608.61</v>
      </c>
      <c r="GM176">
        <v>1870.92</v>
      </c>
      <c r="GO176" s="6"/>
      <c r="GP176" s="6"/>
      <c r="GQ176" s="6"/>
    </row>
    <row r="177" spans="1:199" x14ac:dyDescent="0.2">
      <c r="A177" s="8">
        <v>2014</v>
      </c>
      <c r="B177" s="8" t="s">
        <v>431</v>
      </c>
      <c r="C177" s="8" t="s">
        <v>433</v>
      </c>
      <c r="D177" s="9"/>
      <c r="E177" s="9"/>
      <c r="F177" s="9"/>
      <c r="G177" s="9"/>
      <c r="H177" s="9"/>
      <c r="I177" s="9"/>
      <c r="J177" s="9"/>
      <c r="K177" s="9"/>
      <c r="L177" s="9"/>
      <c r="M177" s="9"/>
      <c r="N177" s="9"/>
      <c r="O177" s="9"/>
      <c r="P177" s="9"/>
      <c r="Q177" s="9"/>
      <c r="R177" s="9"/>
      <c r="S177" s="9"/>
      <c r="T177" s="9"/>
      <c r="U177" s="9"/>
      <c r="V177" s="9"/>
      <c r="W177" s="9"/>
      <c r="X177" s="9"/>
      <c r="Y177" s="9"/>
      <c r="Z177" s="9"/>
      <c r="AA177" s="9"/>
      <c r="AB177" s="9"/>
      <c r="AC177" s="9"/>
      <c r="AD177" s="9"/>
      <c r="AE177" s="9"/>
      <c r="AF177" s="9"/>
      <c r="AG177" s="9"/>
      <c r="AH177" s="9"/>
      <c r="AI177" s="9"/>
      <c r="AJ177" s="9"/>
      <c r="AK177" s="9"/>
      <c r="AL177" s="9"/>
      <c r="AM177" s="9"/>
      <c r="AN177" s="9"/>
      <c r="AO177" s="9"/>
      <c r="AP177" s="9"/>
      <c r="AQ177" s="9"/>
      <c r="AR177" s="9"/>
      <c r="AS177" s="9"/>
      <c r="AT177" s="9"/>
      <c r="AU177" s="9"/>
      <c r="AV177" s="9"/>
      <c r="AW177" s="9"/>
      <c r="AX177" s="9"/>
      <c r="AY177" s="9"/>
      <c r="AZ177" s="9"/>
      <c r="BA177" s="9"/>
      <c r="BB177" s="9"/>
      <c r="BC177" s="9"/>
      <c r="BD177" s="9"/>
      <c r="BE177" s="9"/>
      <c r="BF177" s="9"/>
      <c r="BG177" s="9"/>
      <c r="BH177" s="9"/>
      <c r="BI177" s="9"/>
      <c r="BJ177" s="9"/>
      <c r="BK177" s="9"/>
      <c r="BL177" s="9"/>
      <c r="BM177" s="9"/>
      <c r="BN177" s="9">
        <v>513860.8</v>
      </c>
      <c r="BO177" s="9">
        <v>416028.4</v>
      </c>
      <c r="BP177" s="9">
        <v>52292.1</v>
      </c>
      <c r="BQ177" s="9">
        <v>19201.599999999999</v>
      </c>
      <c r="BR177" s="9">
        <v>33872.400000000001</v>
      </c>
      <c r="BS177" s="9">
        <v>74160.399999999994</v>
      </c>
      <c r="BT177" s="9">
        <v>110888.5</v>
      </c>
      <c r="BU177" s="9">
        <v>36234.699999999997</v>
      </c>
      <c r="BV177" s="9">
        <v>76776.2</v>
      </c>
      <c r="BW177" s="9">
        <v>317030.59999999998</v>
      </c>
      <c r="BX177" s="9">
        <v>-4176.3999999999996</v>
      </c>
      <c r="BY177" s="9">
        <v>38456.6</v>
      </c>
      <c r="BZ177" s="9">
        <v>96600.2</v>
      </c>
      <c r="CA177" s="9">
        <v>9792.9</v>
      </c>
      <c r="CB177" s="9">
        <v>8704.4</v>
      </c>
      <c r="CC177" s="9">
        <v>138278.39999999999</v>
      </c>
      <c r="CD177" s="9">
        <v>9338.9</v>
      </c>
      <c r="CE177" s="9">
        <v>172039.1</v>
      </c>
      <c r="CF177" s="9">
        <v>1874665.4754646311</v>
      </c>
      <c r="CG177" s="9">
        <v>10133834.491924159</v>
      </c>
      <c r="CH177" s="9"/>
      <c r="CI177" s="9"/>
      <c r="CJ177" s="9">
        <v>19.5585278221</v>
      </c>
      <c r="CK177" s="9">
        <v>13.5</v>
      </c>
      <c r="CL177" s="9">
        <v>12</v>
      </c>
      <c r="CM177" s="9">
        <v>94.779871528499996</v>
      </c>
      <c r="CN177" s="9">
        <v>28.5123430748</v>
      </c>
      <c r="CO177" s="9">
        <v>3.8194939975</v>
      </c>
      <c r="CP177" s="9">
        <v>17.021390007099999</v>
      </c>
      <c r="CQ177" s="9">
        <v>10.834860019900001</v>
      </c>
      <c r="CR177" s="9">
        <v>4.4219158046000002</v>
      </c>
      <c r="CS177" s="9">
        <v>3.0477149763</v>
      </c>
      <c r="CT177" s="9">
        <v>10.2831550373</v>
      </c>
      <c r="CU177" s="9">
        <v>2.7555858677999998</v>
      </c>
      <c r="CV177" s="9">
        <v>1.9973017903000001</v>
      </c>
      <c r="CW177" s="9">
        <v>5.6362653512999996</v>
      </c>
      <c r="CX177" s="9">
        <v>2.6946900829999998</v>
      </c>
      <c r="CY177" s="9">
        <v>3.7551555186000001</v>
      </c>
      <c r="CZ177" s="9">
        <v>632</v>
      </c>
      <c r="DA177" s="9">
        <v>592</v>
      </c>
      <c r="DB177" s="9">
        <v>82</v>
      </c>
      <c r="DC177" s="9">
        <v>264</v>
      </c>
      <c r="DD177" s="9">
        <v>50</v>
      </c>
      <c r="DE177" s="9">
        <v>19</v>
      </c>
      <c r="DF177" s="9">
        <v>85</v>
      </c>
      <c r="DG177" s="9">
        <v>63</v>
      </c>
      <c r="DH177" s="9">
        <v>18</v>
      </c>
      <c r="DI177" s="9">
        <v>0</v>
      </c>
      <c r="DJ177" s="9">
        <v>1</v>
      </c>
      <c r="DK177" s="9">
        <v>15</v>
      </c>
      <c r="DL177" s="9">
        <v>1</v>
      </c>
      <c r="DM177" s="9">
        <v>20</v>
      </c>
      <c r="DN177" s="9">
        <v>0</v>
      </c>
      <c r="DO177" s="9">
        <v>450.44</v>
      </c>
      <c r="DP177" s="9">
        <v>97.02</v>
      </c>
      <c r="DQ177" s="9">
        <v>55.55</v>
      </c>
      <c r="DR177" s="9">
        <v>41.47</v>
      </c>
      <c r="DS177" s="9">
        <v>48.52</v>
      </c>
      <c r="DT177" s="9">
        <v>11.86</v>
      </c>
      <c r="DU177" s="9">
        <v>203.47</v>
      </c>
      <c r="DV177" s="9">
        <v>88.56</v>
      </c>
      <c r="DW177" s="9">
        <v>96.75</v>
      </c>
      <c r="DX177" s="9">
        <v>100.84</v>
      </c>
      <c r="DY177" s="9">
        <v>53</v>
      </c>
      <c r="DZ177" s="9">
        <v>34.78</v>
      </c>
      <c r="EA177" s="9">
        <v>4.63537</v>
      </c>
      <c r="EB177" s="9">
        <v>140.56469999999999</v>
      </c>
      <c r="EC177" s="9">
        <v>-71.585800000000006</v>
      </c>
      <c r="ED177" s="9">
        <v>-82.969099999999997</v>
      </c>
      <c r="EE177" s="9">
        <v>18.625599999999999</v>
      </c>
      <c r="EF177" s="9">
        <v>11.288180000000001</v>
      </c>
      <c r="EG177" s="9">
        <v>-126.547</v>
      </c>
      <c r="EH177" s="9">
        <v>-52.438899999999997</v>
      </c>
      <c r="EI177" s="9">
        <v>-24.182500000000001</v>
      </c>
      <c r="EJ177" s="9">
        <v>2.0480000000000002E-2</v>
      </c>
      <c r="EK177" s="9">
        <v>-49.945999999999998</v>
      </c>
      <c r="EL177" s="9">
        <v>-127.575</v>
      </c>
      <c r="EM177" s="9">
        <v>14.895350000000001</v>
      </c>
      <c r="EN177" s="9">
        <v>1360.7</v>
      </c>
      <c r="EO177" s="9"/>
      <c r="EP177" s="9"/>
      <c r="EQ177" s="9"/>
      <c r="ER177" s="9"/>
      <c r="ES177" s="9"/>
      <c r="ET177" s="9"/>
      <c r="EU177">
        <v>1862.17</v>
      </c>
      <c r="EV177" s="9"/>
      <c r="EW177" s="9"/>
      <c r="EX177" s="9"/>
      <c r="EY177" s="9"/>
      <c r="EZ177" s="9"/>
      <c r="FA177" s="9"/>
      <c r="FB177" s="9">
        <v>74.248392857100001</v>
      </c>
      <c r="FC177" s="9">
        <v>101.9223809524</v>
      </c>
      <c r="FD177" s="9">
        <v>7001.8374999999996</v>
      </c>
      <c r="FE177" s="9">
        <v>94.142857142899999</v>
      </c>
      <c r="FF177" s="9">
        <v>1295.9875</v>
      </c>
      <c r="FG177" s="9">
        <v>12278012.460000001</v>
      </c>
      <c r="FH177" s="9">
        <v>525251.69999999995</v>
      </c>
      <c r="FI177" s="9">
        <v>618186.65</v>
      </c>
      <c r="FJ177" s="9">
        <v>5601307.0099999998</v>
      </c>
      <c r="FK177" s="9">
        <v>89463.58</v>
      </c>
      <c r="FL177" s="9">
        <v>57929.440000000002</v>
      </c>
      <c r="FM177" s="9"/>
      <c r="FN177" s="9"/>
      <c r="FO177" s="9"/>
      <c r="FP177" s="9"/>
      <c r="FQ177" s="9"/>
      <c r="FR177" s="9"/>
      <c r="FS177" s="9"/>
      <c r="FT177" s="9">
        <v>6676705.4499999993</v>
      </c>
      <c r="FU177" s="9">
        <v>435788.10999999993</v>
      </c>
      <c r="FV177" s="9">
        <v>560257.21</v>
      </c>
      <c r="FW177" s="9"/>
      <c r="FX177" s="9"/>
      <c r="FY177" s="9"/>
      <c r="FZ177" s="9">
        <v>83721.05</v>
      </c>
      <c r="GA177" s="9">
        <v>7742161.1600000001</v>
      </c>
      <c r="GB177" s="9">
        <v>2522146.0299999998</v>
      </c>
      <c r="GC177" s="9">
        <v>5220015.13</v>
      </c>
      <c r="GD177" s="9">
        <v>5276671.6500000004</v>
      </c>
      <c r="GE177" s="9">
        <v>558851.57999999996</v>
      </c>
      <c r="GF177" s="9">
        <v>4717820.07</v>
      </c>
      <c r="GG177" s="9">
        <v>2465489.5099999998</v>
      </c>
      <c r="GH177" s="9">
        <v>1963294.45</v>
      </c>
      <c r="GI177" s="9">
        <v>502195.06</v>
      </c>
      <c r="GJ177" s="9">
        <v>3576252.36</v>
      </c>
      <c r="GK177" s="9">
        <v>20752401.649999999</v>
      </c>
      <c r="GL177" s="9">
        <v>1856568.14</v>
      </c>
      <c r="GM177">
        <v>1811.03</v>
      </c>
      <c r="GO177" s="6"/>
      <c r="GP177" s="6"/>
      <c r="GQ177" s="6"/>
    </row>
    <row r="178" spans="1:199" x14ac:dyDescent="0.2">
      <c r="A178" s="8">
        <v>2014</v>
      </c>
      <c r="B178" s="8" t="s">
        <v>431</v>
      </c>
      <c r="C178" s="8" t="s">
        <v>434</v>
      </c>
      <c r="D178" s="9">
        <v>6366832.2999999998</v>
      </c>
      <c r="E178" s="9">
        <v>899316</v>
      </c>
      <c r="F178" s="9">
        <v>1144153.3</v>
      </c>
      <c r="G178" s="9">
        <v>605932</v>
      </c>
      <c r="H178" s="9">
        <v>77136.2</v>
      </c>
      <c r="I178" s="9">
        <v>430739.5</v>
      </c>
      <c r="J178" s="9">
        <v>675528.9</v>
      </c>
      <c r="K178" s="9">
        <v>291216.7</v>
      </c>
      <c r="L178" s="9">
        <v>160979.6</v>
      </c>
      <c r="M178" s="9">
        <v>1455251.9</v>
      </c>
      <c r="N178" s="9">
        <v>626578.30000000005</v>
      </c>
      <c r="O178" s="9">
        <v>6405655.2317317547</v>
      </c>
      <c r="P178" s="9">
        <v>885663.01029747596</v>
      </c>
      <c r="Q178" s="9">
        <v>1140547.373008427</v>
      </c>
      <c r="R178" s="9">
        <v>487476.99410454958</v>
      </c>
      <c r="S178" s="9">
        <v>101395.8761281741</v>
      </c>
      <c r="T178" s="9">
        <v>401944.81197182642</v>
      </c>
      <c r="U178" s="9">
        <v>771886.91387862468</v>
      </c>
      <c r="V178" s="9">
        <v>301302.69870742608</v>
      </c>
      <c r="W178" s="9">
        <v>160513.85202684329</v>
      </c>
      <c r="X178" s="9">
        <v>1421861.991401281</v>
      </c>
      <c r="Y178" s="9">
        <v>733061.71020712575</v>
      </c>
      <c r="Z178" s="9">
        <v>6164711.7999999998</v>
      </c>
      <c r="AA178" s="9">
        <v>3499946.7</v>
      </c>
      <c r="AB178" s="9">
        <v>598054.80000000005</v>
      </c>
      <c r="AC178" s="9">
        <v>1831284.3</v>
      </c>
      <c r="AD178" s="9">
        <v>408821.6</v>
      </c>
      <c r="AE178" s="9">
        <v>3251993.8</v>
      </c>
      <c r="AF178" s="9">
        <v>3425389.2</v>
      </c>
      <c r="AG178" s="9">
        <v>6192750.3537276667</v>
      </c>
      <c r="AH178" s="9">
        <v>3642669.5641362439</v>
      </c>
      <c r="AI178" s="9">
        <v>738321.69379367598</v>
      </c>
      <c r="AJ178" s="9">
        <v>1736069.6197755069</v>
      </c>
      <c r="AK178" s="9">
        <v>420577.73097825801</v>
      </c>
      <c r="AL178" s="9">
        <v>2828314.5683086561</v>
      </c>
      <c r="AM178" s="9">
        <v>3173202.8232646771</v>
      </c>
      <c r="AN178" s="9">
        <v>1148825</v>
      </c>
      <c r="AO178" s="9">
        <v>600852</v>
      </c>
      <c r="AP178" s="9">
        <v>547973</v>
      </c>
      <c r="AQ178" s="9">
        <v>78148</v>
      </c>
      <c r="AR178" s="9">
        <v>43534</v>
      </c>
      <c r="AS178" s="9">
        <v>34614</v>
      </c>
      <c r="AT178" s="9">
        <v>698317</v>
      </c>
      <c r="AU178" s="9">
        <v>277831</v>
      </c>
      <c r="AV178" s="9">
        <v>420486</v>
      </c>
      <c r="AW178" s="9">
        <v>792.8</v>
      </c>
      <c r="AX178" s="9">
        <v>760.7</v>
      </c>
      <c r="AY178" s="9">
        <v>1483</v>
      </c>
      <c r="AZ178" s="9">
        <v>770.3</v>
      </c>
      <c r="BA178" s="9">
        <v>1105.2</v>
      </c>
      <c r="BB178" s="9">
        <v>603.29999999999995</v>
      </c>
      <c r="BC178" s="9">
        <v>677</v>
      </c>
      <c r="BD178" s="9">
        <v>736.4</v>
      </c>
      <c r="BE178" s="9">
        <v>952.7</v>
      </c>
      <c r="BF178" s="9">
        <v>553</v>
      </c>
      <c r="BG178" s="9">
        <v>780.9</v>
      </c>
      <c r="BH178" s="9">
        <v>1076.5999999999999</v>
      </c>
      <c r="BI178" s="9">
        <v>782.3</v>
      </c>
      <c r="BJ178" s="9">
        <v>635.6</v>
      </c>
      <c r="BK178" s="9">
        <v>746.6</v>
      </c>
      <c r="BL178" s="9">
        <v>608.6</v>
      </c>
      <c r="BM178" s="9">
        <v>618.9</v>
      </c>
      <c r="BN178" s="9">
        <v>513697.3</v>
      </c>
      <c r="BO178" s="9">
        <v>432225.9</v>
      </c>
      <c r="BP178" s="9">
        <v>71170.3</v>
      </c>
      <c r="BQ178" s="9">
        <v>27826.1</v>
      </c>
      <c r="BR178" s="9">
        <v>42570.2</v>
      </c>
      <c r="BS178" s="9">
        <v>93195.6</v>
      </c>
      <c r="BT178" s="9">
        <v>128265.5</v>
      </c>
      <c r="BU178" s="9">
        <v>46210.400000000001</v>
      </c>
      <c r="BV178" s="9">
        <v>81471.3</v>
      </c>
      <c r="BW178" s="9">
        <v>408417.1</v>
      </c>
      <c r="BX178" s="9">
        <v>4020.5</v>
      </c>
      <c r="BY178" s="9">
        <v>53550.1</v>
      </c>
      <c r="BZ178" s="9">
        <v>131596.29999999999</v>
      </c>
      <c r="CA178" s="9">
        <v>15781.7</v>
      </c>
      <c r="CB178" s="9">
        <v>8431.6</v>
      </c>
      <c r="CC178" s="9">
        <v>153976</v>
      </c>
      <c r="CD178" s="9">
        <v>24713.3</v>
      </c>
      <c r="CE178" s="9">
        <v>140714.29999999999</v>
      </c>
      <c r="CF178" s="9">
        <v>1836348.3303803101</v>
      </c>
      <c r="CG178" s="9">
        <v>10072141.27133444</v>
      </c>
      <c r="CH178" s="9"/>
      <c r="CI178" s="9"/>
      <c r="CJ178" s="9">
        <v>18.2603107266</v>
      </c>
      <c r="CK178" s="9">
        <v>13.7506311501</v>
      </c>
      <c r="CL178" s="9">
        <v>12</v>
      </c>
      <c r="CM178" s="9">
        <v>95.487548816200004</v>
      </c>
      <c r="CN178" s="9">
        <v>28.375546158399999</v>
      </c>
      <c r="CO178" s="9">
        <v>3.8500719377000001</v>
      </c>
      <c r="CP178" s="9">
        <v>17.2313312528</v>
      </c>
      <c r="CQ178" s="9">
        <v>11.2891448123</v>
      </c>
      <c r="CR178" s="9">
        <v>4.4855743002999997</v>
      </c>
      <c r="CS178" s="9">
        <v>3.0579388233999998</v>
      </c>
      <c r="CT178" s="9">
        <v>10.3160043124</v>
      </c>
      <c r="CU178" s="9">
        <v>2.7572803309</v>
      </c>
      <c r="CV178" s="9">
        <v>2.0066814858000002</v>
      </c>
      <c r="CW178" s="9">
        <v>5.6362653601000003</v>
      </c>
      <c r="CX178" s="9">
        <v>2.7019098983999998</v>
      </c>
      <c r="CY178" s="9">
        <v>3.7798001437000002</v>
      </c>
      <c r="CZ178" s="9">
        <v>446</v>
      </c>
      <c r="DA178" s="9">
        <v>398</v>
      </c>
      <c r="DB178" s="9">
        <v>0</v>
      </c>
      <c r="DC178" s="9">
        <v>234</v>
      </c>
      <c r="DD178" s="9">
        <v>25</v>
      </c>
      <c r="DE178" s="9">
        <v>14</v>
      </c>
      <c r="DF178" s="9">
        <v>45</v>
      </c>
      <c r="DG178" s="9">
        <v>56</v>
      </c>
      <c r="DH178" s="9">
        <v>16</v>
      </c>
      <c r="DI178" s="9">
        <v>1</v>
      </c>
      <c r="DJ178" s="9">
        <v>2</v>
      </c>
      <c r="DK178" s="9">
        <v>10</v>
      </c>
      <c r="DL178" s="9">
        <v>1</v>
      </c>
      <c r="DM178" s="9">
        <v>30</v>
      </c>
      <c r="DN178" s="9">
        <v>0</v>
      </c>
      <c r="DO178" s="9">
        <v>470.53</v>
      </c>
      <c r="DP178" s="9">
        <v>102.88</v>
      </c>
      <c r="DQ178" s="9">
        <v>59.79</v>
      </c>
      <c r="DR178" s="9">
        <v>43.09</v>
      </c>
      <c r="DS178" s="9">
        <v>58.33</v>
      </c>
      <c r="DT178" s="9">
        <v>12.1</v>
      </c>
      <c r="DU178" s="9">
        <v>196.03</v>
      </c>
      <c r="DV178" s="9">
        <v>85.72</v>
      </c>
      <c r="DW178" s="9">
        <v>89.13</v>
      </c>
      <c r="DX178" s="9">
        <v>112.73</v>
      </c>
      <c r="DY178" s="9">
        <v>60.05</v>
      </c>
      <c r="DZ178" s="9">
        <v>33.11</v>
      </c>
      <c r="EA178" s="9">
        <v>-227.56399999999999</v>
      </c>
      <c r="EB178" s="9">
        <v>-46.181600000000003</v>
      </c>
      <c r="EC178" s="9">
        <v>-106.733</v>
      </c>
      <c r="ED178" s="9">
        <v>-90.893500000000003</v>
      </c>
      <c r="EE178" s="9">
        <v>16.244050000000001</v>
      </c>
      <c r="EF178" s="9">
        <v>20.645579999999999</v>
      </c>
      <c r="EG178" s="9">
        <v>-418.25599999999997</v>
      </c>
      <c r="EH178" s="9">
        <v>-44.264499999999998</v>
      </c>
      <c r="EI178" s="9">
        <v>26.34036</v>
      </c>
      <c r="EJ178" s="9">
        <v>-0.97697000000000001</v>
      </c>
      <c r="EK178" s="9">
        <v>-399.35500000000002</v>
      </c>
      <c r="EL178" s="9">
        <v>-34.136400000000002</v>
      </c>
      <c r="EM178" s="9">
        <v>177.20099999999999</v>
      </c>
      <c r="EN178" s="9">
        <v>1542.7</v>
      </c>
      <c r="EO178" s="9"/>
      <c r="EP178" s="9"/>
      <c r="EQ178" s="9"/>
      <c r="ER178" s="9"/>
      <c r="ES178" s="9"/>
      <c r="ET178" s="9"/>
      <c r="EU178">
        <v>1835.7449999999999</v>
      </c>
      <c r="EV178" s="9">
        <v>22010.3</v>
      </c>
      <c r="EW178" s="9">
        <v>3618.1</v>
      </c>
      <c r="EX178" s="9">
        <v>1443.41</v>
      </c>
      <c r="EY178" s="9">
        <v>1652.97</v>
      </c>
      <c r="EZ178" s="9">
        <v>4118.46</v>
      </c>
      <c r="FA178" s="9">
        <v>11177.35</v>
      </c>
      <c r="FB178" s="9">
        <v>71.525649350600006</v>
      </c>
      <c r="FC178" s="9">
        <v>97.336363636399994</v>
      </c>
      <c r="FD178" s="9">
        <v>6872.2159090908999</v>
      </c>
      <c r="FE178" s="9">
        <v>84.522727272699996</v>
      </c>
      <c r="FF178" s="9">
        <v>1238.8181818181999</v>
      </c>
      <c r="FG178" s="9">
        <v>12551158.66</v>
      </c>
      <c r="FH178" s="9">
        <v>462745.23</v>
      </c>
      <c r="FI178" s="9">
        <v>588623.71</v>
      </c>
      <c r="FJ178" s="9">
        <v>5717966.3399999999</v>
      </c>
      <c r="FK178" s="9">
        <v>88140.22</v>
      </c>
      <c r="FL178" s="9">
        <v>63358.3</v>
      </c>
      <c r="FM178" s="9"/>
      <c r="FN178" s="9"/>
      <c r="FO178" s="9"/>
      <c r="FP178" s="9"/>
      <c r="FQ178" s="9"/>
      <c r="FR178" s="9"/>
      <c r="FS178" s="9"/>
      <c r="FT178" s="9">
        <v>6833192.3300000001</v>
      </c>
      <c r="FU178" s="9">
        <v>374605.01</v>
      </c>
      <c r="FV178" s="9">
        <v>525265.40999999992</v>
      </c>
      <c r="FW178" s="9"/>
      <c r="FX178" s="9"/>
      <c r="FY178" s="9"/>
      <c r="FZ178" s="9">
        <v>85267.839999999997</v>
      </c>
      <c r="GA178" s="9">
        <v>7792654</v>
      </c>
      <c r="GB178" s="9">
        <v>2522615.08</v>
      </c>
      <c r="GC178" s="9">
        <v>5270038.92</v>
      </c>
      <c r="GD178" s="9">
        <v>5301607.76</v>
      </c>
      <c r="GE178" s="9">
        <v>542171.27</v>
      </c>
      <c r="GF178" s="9">
        <v>4759436.49</v>
      </c>
      <c r="GG178" s="9">
        <v>2491046.2400000002</v>
      </c>
      <c r="GH178" s="9">
        <v>1980443.81</v>
      </c>
      <c r="GI178" s="9">
        <v>510602.43</v>
      </c>
      <c r="GJ178" s="9">
        <v>3595775.04</v>
      </c>
      <c r="GK178" s="9">
        <v>20937808.34</v>
      </c>
      <c r="GL178" s="9">
        <v>1907198.36</v>
      </c>
      <c r="GM178">
        <v>1840.91</v>
      </c>
      <c r="GO178" s="6"/>
      <c r="GP178" s="6"/>
      <c r="GQ178" s="6"/>
    </row>
    <row r="179" spans="1:199" x14ac:dyDescent="0.2">
      <c r="A179" s="8">
        <v>2014</v>
      </c>
      <c r="B179" s="8" t="s">
        <v>435</v>
      </c>
      <c r="C179" s="8" t="s">
        <v>436</v>
      </c>
      <c r="D179" s="9"/>
      <c r="E179" s="9"/>
      <c r="F179" s="9"/>
      <c r="G179" s="9"/>
      <c r="H179" s="9"/>
      <c r="I179" s="9"/>
      <c r="J179" s="9"/>
      <c r="K179" s="9"/>
      <c r="L179" s="9"/>
      <c r="M179" s="9"/>
      <c r="N179" s="9"/>
      <c r="O179" s="9"/>
      <c r="P179" s="9"/>
      <c r="Q179" s="9"/>
      <c r="R179" s="9"/>
      <c r="S179" s="9"/>
      <c r="T179" s="9"/>
      <c r="U179" s="9"/>
      <c r="V179" s="9"/>
      <c r="W179" s="9"/>
      <c r="X179" s="9"/>
      <c r="Y179" s="9"/>
      <c r="Z179" s="9"/>
      <c r="AA179" s="9"/>
      <c r="AB179" s="9"/>
      <c r="AC179" s="9"/>
      <c r="AD179" s="9"/>
      <c r="AE179" s="9"/>
      <c r="AF179" s="9"/>
      <c r="AG179" s="9"/>
      <c r="AH179" s="9"/>
      <c r="AI179" s="9"/>
      <c r="AJ179" s="9"/>
      <c r="AK179" s="9"/>
      <c r="AL179" s="9"/>
      <c r="AM179" s="9"/>
      <c r="AN179" s="9"/>
      <c r="AO179" s="9"/>
      <c r="AP179" s="9"/>
      <c r="AQ179" s="9"/>
      <c r="AR179" s="9"/>
      <c r="AS179" s="9"/>
      <c r="AT179" s="9"/>
      <c r="AU179" s="9"/>
      <c r="AV179" s="9"/>
      <c r="AW179" s="9"/>
      <c r="AX179" s="9"/>
      <c r="AY179" s="9"/>
      <c r="AZ179" s="9"/>
      <c r="BA179" s="9"/>
      <c r="BB179" s="9"/>
      <c r="BC179" s="9"/>
      <c r="BD179" s="9"/>
      <c r="BE179" s="9"/>
      <c r="BF179" s="9"/>
      <c r="BG179" s="9"/>
      <c r="BH179" s="9"/>
      <c r="BI179" s="9"/>
      <c r="BJ179" s="9"/>
      <c r="BK179" s="9"/>
      <c r="BL179" s="9"/>
      <c r="BM179" s="9"/>
      <c r="BN179" s="9">
        <v>542166.30000000005</v>
      </c>
      <c r="BO179" s="9">
        <v>485337.4</v>
      </c>
      <c r="BP179" s="9">
        <v>134864.20000000001</v>
      </c>
      <c r="BQ179" s="9">
        <v>88368.5</v>
      </c>
      <c r="BR179" s="9">
        <v>45996.7</v>
      </c>
      <c r="BS179" s="9">
        <v>90177.3</v>
      </c>
      <c r="BT179" s="9">
        <v>118945.5</v>
      </c>
      <c r="BU179" s="9">
        <v>34670.9</v>
      </c>
      <c r="BV179" s="9">
        <v>53131.4</v>
      </c>
      <c r="BW179" s="9">
        <v>475363.9</v>
      </c>
      <c r="BX179" s="9">
        <v>18134.5</v>
      </c>
      <c r="BY179" s="9">
        <v>40533.300000000003</v>
      </c>
      <c r="BZ179" s="9">
        <v>139308.79999999999</v>
      </c>
      <c r="CA179" s="9">
        <v>81429.5</v>
      </c>
      <c r="CB179" s="9">
        <v>18879.900000000001</v>
      </c>
      <c r="CC179" s="9">
        <v>159861.5</v>
      </c>
      <c r="CD179" s="9">
        <v>25863.4</v>
      </c>
      <c r="CE179" s="9">
        <v>130984.9</v>
      </c>
      <c r="CF179" s="9">
        <v>1751742.1013698741</v>
      </c>
      <c r="CG179" s="9">
        <v>9972084.7395988815</v>
      </c>
      <c r="CH179" s="9"/>
      <c r="CI179" s="9"/>
      <c r="CJ179" s="9">
        <v>18.9157470317</v>
      </c>
      <c r="CK179" s="9">
        <v>12.4862960319</v>
      </c>
      <c r="CL179" s="9">
        <v>12</v>
      </c>
      <c r="CM179" s="9">
        <v>96.222406349500005</v>
      </c>
      <c r="CN179" s="9">
        <v>28.214546114600001</v>
      </c>
      <c r="CO179" s="9">
        <v>3.8740948234000001</v>
      </c>
      <c r="CP179" s="9">
        <v>17.4011333433</v>
      </c>
      <c r="CQ179" s="9">
        <v>11.891705358599999</v>
      </c>
      <c r="CR179" s="9">
        <v>4.5205538652000001</v>
      </c>
      <c r="CS179" s="9">
        <v>3.0658909087000001</v>
      </c>
      <c r="CT179" s="9">
        <v>10.340808188800001</v>
      </c>
      <c r="CU179" s="9">
        <v>2.7547769996000002</v>
      </c>
      <c r="CV179" s="9">
        <v>2.0228299815000002</v>
      </c>
      <c r="CW179" s="9">
        <v>5.6362653601000003</v>
      </c>
      <c r="CX179" s="9">
        <v>2.7036627226999999</v>
      </c>
      <c r="CY179" s="9">
        <v>3.7961386831000001</v>
      </c>
      <c r="CZ179" s="9">
        <v>581</v>
      </c>
      <c r="DA179" s="9">
        <v>540</v>
      </c>
      <c r="DB179" s="9">
        <v>110</v>
      </c>
      <c r="DC179" s="9">
        <v>248</v>
      </c>
      <c r="DD179" s="9">
        <v>53</v>
      </c>
      <c r="DE179" s="9">
        <v>8</v>
      </c>
      <c r="DF179" s="9">
        <v>50</v>
      </c>
      <c r="DG179" s="9">
        <v>55</v>
      </c>
      <c r="DH179" s="9">
        <v>20</v>
      </c>
      <c r="DI179" s="9">
        <v>3</v>
      </c>
      <c r="DJ179" s="9">
        <v>3</v>
      </c>
      <c r="DK179" s="9">
        <v>13</v>
      </c>
      <c r="DL179" s="9">
        <v>1</v>
      </c>
      <c r="DM179" s="9">
        <v>19</v>
      </c>
      <c r="DN179" s="9">
        <v>0</v>
      </c>
      <c r="DO179" s="9">
        <v>427.6</v>
      </c>
      <c r="DP179" s="9">
        <v>113.56</v>
      </c>
      <c r="DQ179" s="9">
        <v>69.55</v>
      </c>
      <c r="DR179" s="9">
        <v>44</v>
      </c>
      <c r="DS179" s="9">
        <v>48.79</v>
      </c>
      <c r="DT179" s="9">
        <v>10.71</v>
      </c>
      <c r="DU179" s="9">
        <v>164.99</v>
      </c>
      <c r="DV179" s="9">
        <v>88.27</v>
      </c>
      <c r="DW179" s="9">
        <v>61.22</v>
      </c>
      <c r="DX179" s="9">
        <v>99.57</v>
      </c>
      <c r="DY179" s="9">
        <v>55.75</v>
      </c>
      <c r="DZ179" s="9">
        <v>25.54</v>
      </c>
      <c r="EA179" s="9">
        <v>-42.159100000000002</v>
      </c>
      <c r="EB179" s="9">
        <v>120.79179999999999</v>
      </c>
      <c r="EC179" s="9">
        <v>-82.539400000000001</v>
      </c>
      <c r="ED179" s="9">
        <v>-86.946200000000005</v>
      </c>
      <c r="EE179" s="9">
        <v>6.5347840000000001</v>
      </c>
      <c r="EF179" s="9">
        <v>8.1898579999999992</v>
      </c>
      <c r="EG179" s="9">
        <v>211.94499999999999</v>
      </c>
      <c r="EH179" s="9">
        <v>114.4016</v>
      </c>
      <c r="EI179" s="9">
        <v>101.7186</v>
      </c>
      <c r="EJ179" s="9">
        <v>0.177819</v>
      </c>
      <c r="EK179" s="9">
        <v>-4.35304</v>
      </c>
      <c r="EL179" s="9">
        <v>171.4579</v>
      </c>
      <c r="EM179" s="9">
        <v>-74.456299999999999</v>
      </c>
      <c r="EN179" s="9">
        <v>1398.1</v>
      </c>
      <c r="EO179" s="9"/>
      <c r="EP179" s="9"/>
      <c r="EQ179" s="9"/>
      <c r="ER179" s="9"/>
      <c r="ES179" s="9"/>
      <c r="ET179" s="9"/>
      <c r="EU179">
        <v>1849.94</v>
      </c>
      <c r="EV179" s="9"/>
      <c r="EW179" s="9"/>
      <c r="EX179" s="9"/>
      <c r="EY179" s="9"/>
      <c r="EZ179" s="9"/>
      <c r="FA179" s="9"/>
      <c r="FB179" s="9">
        <v>68.984627329199995</v>
      </c>
      <c r="FC179" s="9">
        <v>87.2695652174</v>
      </c>
      <c r="FD179" s="9">
        <v>6737.4782608695996</v>
      </c>
      <c r="FE179" s="9">
        <v>81.304347826099999</v>
      </c>
      <c r="FF179" s="9">
        <v>1222.4891304348</v>
      </c>
      <c r="FG179" s="9">
        <v>12771857.92</v>
      </c>
      <c r="FH179" s="9">
        <v>448883.34</v>
      </c>
      <c r="FI179" s="9">
        <v>604539.46</v>
      </c>
      <c r="FJ179" s="9">
        <v>5834321.3300000001</v>
      </c>
      <c r="FK179" s="9">
        <v>116305.79</v>
      </c>
      <c r="FL179" s="9">
        <v>67259.600000000006</v>
      </c>
      <c r="FM179" s="9"/>
      <c r="FN179" s="9"/>
      <c r="FO179" s="9"/>
      <c r="FP179" s="9"/>
      <c r="FQ179" s="9"/>
      <c r="FR179" s="9"/>
      <c r="FS179" s="9"/>
      <c r="FT179" s="9">
        <v>6937536.5799999991</v>
      </c>
      <c r="FU179" s="9">
        <v>332577.53999999998</v>
      </c>
      <c r="FV179" s="9">
        <v>537279.86999999988</v>
      </c>
      <c r="FW179" s="9"/>
      <c r="FX179" s="9"/>
      <c r="FY179" s="9"/>
      <c r="FZ179" s="9">
        <v>86437.31</v>
      </c>
      <c r="GA179" s="9">
        <v>7959841.9699999997</v>
      </c>
      <c r="GB179" s="9">
        <v>2678547.73</v>
      </c>
      <c r="GC179" s="9">
        <v>5281294.24</v>
      </c>
      <c r="GD179" s="9">
        <v>5336070.7799999993</v>
      </c>
      <c r="GE179" s="9">
        <v>560128.76</v>
      </c>
      <c r="GF179" s="9">
        <v>4775942.0199999996</v>
      </c>
      <c r="GG179" s="9">
        <v>2623771.19</v>
      </c>
      <c r="GH179" s="9">
        <v>2118418.9700000002</v>
      </c>
      <c r="GI179" s="9">
        <v>505352.22</v>
      </c>
      <c r="GJ179" s="9">
        <v>3366884.73</v>
      </c>
      <c r="GK179" s="9">
        <v>20976823.109999999</v>
      </c>
      <c r="GL179" s="9">
        <v>1915298.09</v>
      </c>
      <c r="GM179">
        <v>1862.36</v>
      </c>
      <c r="GO179" s="6"/>
      <c r="GP179" s="6"/>
      <c r="GQ179" s="6"/>
    </row>
    <row r="180" spans="1:199" x14ac:dyDescent="0.2">
      <c r="A180" s="8">
        <v>2014</v>
      </c>
      <c r="B180" s="8" t="s">
        <v>435</v>
      </c>
      <c r="C180" s="8" t="s">
        <v>437</v>
      </c>
      <c r="D180" s="9"/>
      <c r="E180" s="9"/>
      <c r="F180" s="9"/>
      <c r="G180" s="9"/>
      <c r="H180" s="9"/>
      <c r="I180" s="9"/>
      <c r="J180" s="9"/>
      <c r="K180" s="9"/>
      <c r="L180" s="9"/>
      <c r="M180" s="9"/>
      <c r="N180" s="9"/>
      <c r="O180" s="9"/>
      <c r="P180" s="9"/>
      <c r="Q180" s="9"/>
      <c r="R180" s="9"/>
      <c r="S180" s="9"/>
      <c r="T180" s="9"/>
      <c r="U180" s="9"/>
      <c r="V180" s="9"/>
      <c r="W180" s="9"/>
      <c r="X180" s="9"/>
      <c r="Y180" s="9"/>
      <c r="Z180" s="9"/>
      <c r="AA180" s="9"/>
      <c r="AB180" s="9"/>
      <c r="AC180" s="9"/>
      <c r="AD180" s="9"/>
      <c r="AE180" s="9"/>
      <c r="AF180" s="9"/>
      <c r="AG180" s="9"/>
      <c r="AH180" s="9"/>
      <c r="AI180" s="9"/>
      <c r="AJ180" s="9"/>
      <c r="AK180" s="9"/>
      <c r="AL180" s="9"/>
      <c r="AM180" s="9"/>
      <c r="AN180" s="9"/>
      <c r="AO180" s="9"/>
      <c r="AP180" s="9"/>
      <c r="AQ180" s="9"/>
      <c r="AR180" s="9"/>
      <c r="AS180" s="9"/>
      <c r="AT180" s="9"/>
      <c r="AU180" s="9"/>
      <c r="AV180" s="9"/>
      <c r="AW180" s="9"/>
      <c r="AX180" s="9"/>
      <c r="AY180" s="9"/>
      <c r="AZ180" s="9"/>
      <c r="BA180" s="9"/>
      <c r="BB180" s="9"/>
      <c r="BC180" s="9"/>
      <c r="BD180" s="9"/>
      <c r="BE180" s="9"/>
      <c r="BF180" s="9"/>
      <c r="BG180" s="9"/>
      <c r="BH180" s="9"/>
      <c r="BI180" s="9"/>
      <c r="BJ180" s="9"/>
      <c r="BK180" s="9"/>
      <c r="BL180" s="9"/>
      <c r="BM180" s="9"/>
      <c r="BN180" s="9">
        <v>417595.5</v>
      </c>
      <c r="BO180" s="9">
        <v>371565.1</v>
      </c>
      <c r="BP180" s="9">
        <v>96058.6</v>
      </c>
      <c r="BQ180" s="9">
        <v>58793.5</v>
      </c>
      <c r="BR180" s="9">
        <v>37325.199999999997</v>
      </c>
      <c r="BS180" s="9">
        <v>74259</v>
      </c>
      <c r="BT180" s="9">
        <v>100622.5</v>
      </c>
      <c r="BU180" s="9">
        <v>32661.1</v>
      </c>
      <c r="BV180" s="9">
        <v>46030.3</v>
      </c>
      <c r="BW180" s="9">
        <v>388566.8</v>
      </c>
      <c r="BX180" s="9">
        <v>3392</v>
      </c>
      <c r="BY180" s="9">
        <v>34266.800000000003</v>
      </c>
      <c r="BZ180" s="9">
        <v>139067.70000000001</v>
      </c>
      <c r="CA180" s="9">
        <v>10013.6</v>
      </c>
      <c r="CB180" s="9">
        <v>6157.7</v>
      </c>
      <c r="CC180" s="9">
        <v>152274.20000000001</v>
      </c>
      <c r="CD180" s="9">
        <v>13902.5</v>
      </c>
      <c r="CE180" s="9">
        <v>187691.4</v>
      </c>
      <c r="CF180" s="9">
        <v>1689726.21588591</v>
      </c>
      <c r="CG180" s="9">
        <v>9926954.8534210697</v>
      </c>
      <c r="CH180" s="9"/>
      <c r="CI180" s="9"/>
      <c r="CJ180" s="9">
        <v>18.6307439112</v>
      </c>
      <c r="CK180" s="9">
        <v>12.689517396099999</v>
      </c>
      <c r="CL180" s="9">
        <v>12</v>
      </c>
      <c r="CM180" s="9">
        <v>96.918027687199995</v>
      </c>
      <c r="CN180" s="9">
        <v>28.279378214299999</v>
      </c>
      <c r="CO180" s="9">
        <v>3.8952990755000001</v>
      </c>
      <c r="CP180" s="9">
        <v>17.636927865000001</v>
      </c>
      <c r="CQ180" s="9">
        <v>12.141087798099999</v>
      </c>
      <c r="CR180" s="9">
        <v>4.5582822768</v>
      </c>
      <c r="CS180" s="9">
        <v>3.0987122649000001</v>
      </c>
      <c r="CT180" s="9">
        <v>10.3728614479</v>
      </c>
      <c r="CU180" s="9">
        <v>2.7545415754000002</v>
      </c>
      <c r="CV180" s="9">
        <v>2.0241299636000001</v>
      </c>
      <c r="CW180" s="9">
        <v>5.6362653601000003</v>
      </c>
      <c r="CX180" s="9">
        <v>2.7143983838999999</v>
      </c>
      <c r="CY180" s="9">
        <v>3.8061434618000001</v>
      </c>
      <c r="CZ180" s="9">
        <v>587</v>
      </c>
      <c r="DA180" s="9">
        <v>553</v>
      </c>
      <c r="DB180" s="9">
        <v>19</v>
      </c>
      <c r="DC180" s="9">
        <v>356</v>
      </c>
      <c r="DD180" s="9">
        <v>34</v>
      </c>
      <c r="DE180" s="9">
        <v>7</v>
      </c>
      <c r="DF180" s="9">
        <v>76</v>
      </c>
      <c r="DG180" s="9">
        <v>47</v>
      </c>
      <c r="DH180" s="9">
        <v>13</v>
      </c>
      <c r="DI180" s="9">
        <v>0</v>
      </c>
      <c r="DJ180" s="9">
        <v>3</v>
      </c>
      <c r="DK180" s="9">
        <v>9</v>
      </c>
      <c r="DL180" s="9">
        <v>4</v>
      </c>
      <c r="DM180" s="9">
        <v>17</v>
      </c>
      <c r="DN180" s="9">
        <v>0</v>
      </c>
      <c r="DO180" s="9">
        <v>365.92</v>
      </c>
      <c r="DP180" s="9">
        <v>116.6</v>
      </c>
      <c r="DQ180" s="9">
        <v>69.45</v>
      </c>
      <c r="DR180" s="9">
        <v>47.15</v>
      </c>
      <c r="DS180" s="9">
        <v>33.26</v>
      </c>
      <c r="DT180" s="9">
        <v>2.4300000000000002</v>
      </c>
      <c r="DU180" s="9">
        <v>127.89</v>
      </c>
      <c r="DV180" s="9">
        <v>77.650000000000006</v>
      </c>
      <c r="DW180" s="9">
        <v>34.82</v>
      </c>
      <c r="DX180" s="9">
        <v>87.72</v>
      </c>
      <c r="DY180" s="9">
        <v>55.15</v>
      </c>
      <c r="DZ180" s="9">
        <v>21.87</v>
      </c>
      <c r="EA180" s="9">
        <v>3.9195139999999999</v>
      </c>
      <c r="EB180" s="9">
        <v>185.03550000000001</v>
      </c>
      <c r="EC180" s="9">
        <v>-105.06</v>
      </c>
      <c r="ED180" s="9">
        <v>-84.557400000000001</v>
      </c>
      <c r="EE180" s="9">
        <v>8.5011019999999995</v>
      </c>
      <c r="EF180" s="9">
        <v>6.1164589999999999</v>
      </c>
      <c r="EG180" s="9">
        <v>-203.119</v>
      </c>
      <c r="EH180" s="9">
        <v>126.69970000000001</v>
      </c>
      <c r="EI180" s="9">
        <v>-18.579499999999999</v>
      </c>
      <c r="EJ180" s="9">
        <v>-5.1130000000000002E-2</v>
      </c>
      <c r="EK180" s="9">
        <v>-311.18799999999999</v>
      </c>
      <c r="EL180" s="9">
        <v>-216.09200000000001</v>
      </c>
      <c r="EM180" s="9">
        <v>-2.93641</v>
      </c>
      <c r="EN180" s="9">
        <v>1352.1</v>
      </c>
      <c r="EO180" s="9"/>
      <c r="EP180" s="9"/>
      <c r="EQ180" s="9"/>
      <c r="ER180" s="9"/>
      <c r="ES180" s="9"/>
      <c r="ET180" s="9"/>
      <c r="EU180">
        <v>1879.77</v>
      </c>
      <c r="EV180" s="9"/>
      <c r="EW180" s="9"/>
      <c r="EX180" s="9"/>
      <c r="EY180" s="9"/>
      <c r="EZ180" s="9"/>
      <c r="FA180" s="9"/>
      <c r="FB180" s="9">
        <v>67.330714285699997</v>
      </c>
      <c r="FC180" s="9">
        <v>78.438000000000002</v>
      </c>
      <c r="FD180" s="9">
        <v>6712.85</v>
      </c>
      <c r="FE180" s="9">
        <v>74.424999999999997</v>
      </c>
      <c r="FF180" s="9">
        <v>1176.3</v>
      </c>
      <c r="FG180" s="9">
        <v>12586772.09</v>
      </c>
      <c r="FH180" s="9">
        <v>442973.74</v>
      </c>
      <c r="FI180" s="9">
        <v>618265.62</v>
      </c>
      <c r="FJ180" s="9">
        <v>5580933.1000000006</v>
      </c>
      <c r="FK180" s="9">
        <v>120486.17</v>
      </c>
      <c r="FL180" s="9">
        <v>75999.960000000006</v>
      </c>
      <c r="FM180" s="9"/>
      <c r="FN180" s="9"/>
      <c r="FO180" s="9"/>
      <c r="FP180" s="9"/>
      <c r="FQ180" s="9"/>
      <c r="FR180" s="9"/>
      <c r="FS180" s="9"/>
      <c r="FT180" s="9">
        <v>7005838.9999999991</v>
      </c>
      <c r="FU180" s="9">
        <v>322487.57</v>
      </c>
      <c r="FV180" s="9">
        <v>542265.66999999993</v>
      </c>
      <c r="FW180" s="9"/>
      <c r="FX180" s="9"/>
      <c r="FY180" s="9"/>
      <c r="FZ180" s="9">
        <v>88171.08</v>
      </c>
      <c r="GA180" s="9">
        <v>8051095.8399999999</v>
      </c>
      <c r="GB180" s="9">
        <v>2593299.4500000002</v>
      </c>
      <c r="GC180" s="9">
        <v>5457796.3899999997</v>
      </c>
      <c r="GD180" s="9">
        <v>5364688.0999999996</v>
      </c>
      <c r="GE180" s="9">
        <v>526003.51</v>
      </c>
      <c r="GF180" s="9">
        <v>4838684.59</v>
      </c>
      <c r="GG180" s="9">
        <v>2686407.7400000012</v>
      </c>
      <c r="GH180" s="9">
        <v>2067295.94</v>
      </c>
      <c r="GI180" s="9">
        <v>619111.79999999993</v>
      </c>
      <c r="GJ180" s="9">
        <v>3239307.56</v>
      </c>
      <c r="GK180" s="9">
        <v>20603801.07</v>
      </c>
      <c r="GL180" s="9">
        <v>1930372.75</v>
      </c>
      <c r="GM180">
        <v>1895.17</v>
      </c>
      <c r="GO180" s="6"/>
      <c r="GP180" s="6"/>
      <c r="GQ180" s="6"/>
    </row>
    <row r="181" spans="1:199" x14ac:dyDescent="0.2">
      <c r="A181" s="8">
        <v>2014</v>
      </c>
      <c r="B181" s="8" t="s">
        <v>435</v>
      </c>
      <c r="C181" s="8" t="s">
        <v>438</v>
      </c>
      <c r="D181" s="9">
        <v>5667810.2000000002</v>
      </c>
      <c r="E181" s="9">
        <v>554474.80000000005</v>
      </c>
      <c r="F181" s="9">
        <v>848339.5</v>
      </c>
      <c r="G181" s="9">
        <v>516278.5</v>
      </c>
      <c r="H181" s="9">
        <v>137678.29999999999</v>
      </c>
      <c r="I181" s="9">
        <v>275255.8</v>
      </c>
      <c r="J181" s="9">
        <v>1017246.5</v>
      </c>
      <c r="K181" s="9">
        <v>259647.1</v>
      </c>
      <c r="L181" s="9">
        <v>120414.5</v>
      </c>
      <c r="M181" s="9">
        <v>1540296.8</v>
      </c>
      <c r="N181" s="9">
        <v>398178.3</v>
      </c>
      <c r="O181" s="9">
        <v>5702370.7158256089</v>
      </c>
      <c r="P181" s="9">
        <v>539959.78547838004</v>
      </c>
      <c r="Q181" s="9">
        <v>836223.20796035381</v>
      </c>
      <c r="R181" s="9">
        <v>410712.28360736358</v>
      </c>
      <c r="S181" s="9">
        <v>178957.9364934176</v>
      </c>
      <c r="T181" s="9">
        <v>253987.07892948951</v>
      </c>
      <c r="U181" s="9">
        <v>1149368.698748281</v>
      </c>
      <c r="V181" s="9">
        <v>265640.10194842541</v>
      </c>
      <c r="W181" s="9">
        <v>118725.4642422429</v>
      </c>
      <c r="X181" s="9">
        <v>1488151.340058557</v>
      </c>
      <c r="Y181" s="9">
        <v>460644.8183590984</v>
      </c>
      <c r="Z181" s="9">
        <v>6054719.7999999998</v>
      </c>
      <c r="AA181" s="9">
        <v>2789333.3</v>
      </c>
      <c r="AB181" s="9">
        <v>952272.4</v>
      </c>
      <c r="AC181" s="9">
        <v>1795320.6</v>
      </c>
      <c r="AD181" s="9">
        <v>184233.5</v>
      </c>
      <c r="AE181" s="9">
        <v>3474267.2</v>
      </c>
      <c r="AF181" s="9">
        <v>3140707.1</v>
      </c>
      <c r="AG181" s="9">
        <v>6082258.0843393048</v>
      </c>
      <c r="AH181" s="9">
        <v>2903033.426316103</v>
      </c>
      <c r="AI181" s="9">
        <v>1175598.774080347</v>
      </c>
      <c r="AJ181" s="9">
        <v>1701949.453035882</v>
      </c>
      <c r="AK181" s="9">
        <v>189528.41086165831</v>
      </c>
      <c r="AL181" s="9">
        <v>3021582.776135358</v>
      </c>
      <c r="AM181" s="9">
        <v>2909434.756090045</v>
      </c>
      <c r="AN181" s="9">
        <v>1040711</v>
      </c>
      <c r="AO181" s="9">
        <v>555058</v>
      </c>
      <c r="AP181" s="9">
        <v>485653</v>
      </c>
      <c r="AQ181" s="9">
        <v>87028</v>
      </c>
      <c r="AR181" s="9">
        <v>49149</v>
      </c>
      <c r="AS181" s="9">
        <v>37879</v>
      </c>
      <c r="AT181" s="9">
        <v>742467</v>
      </c>
      <c r="AU181" s="9">
        <v>285100</v>
      </c>
      <c r="AV181" s="9">
        <v>457367</v>
      </c>
      <c r="AW181" s="9">
        <v>844</v>
      </c>
      <c r="AX181" s="9">
        <v>729</v>
      </c>
      <c r="AY181" s="9">
        <v>1479.2</v>
      </c>
      <c r="AZ181" s="9">
        <v>793.1</v>
      </c>
      <c r="BA181" s="9">
        <v>1101.9000000000001</v>
      </c>
      <c r="BB181" s="9">
        <v>684.6</v>
      </c>
      <c r="BC181" s="9">
        <v>715.2</v>
      </c>
      <c r="BD181" s="9">
        <v>752.5</v>
      </c>
      <c r="BE181" s="9">
        <v>900.3</v>
      </c>
      <c r="BF181" s="9">
        <v>563</v>
      </c>
      <c r="BG181" s="9">
        <v>844.3</v>
      </c>
      <c r="BH181" s="9">
        <v>1087.5</v>
      </c>
      <c r="BI181" s="9">
        <v>818.9</v>
      </c>
      <c r="BJ181" s="9">
        <v>765.6</v>
      </c>
      <c r="BK181" s="9">
        <v>801.8</v>
      </c>
      <c r="BL181" s="9">
        <v>691.1</v>
      </c>
      <c r="BM181" s="9">
        <v>652.6</v>
      </c>
      <c r="BN181" s="9">
        <v>1001019.3</v>
      </c>
      <c r="BO181" s="9">
        <v>634334.4</v>
      </c>
      <c r="BP181" s="9">
        <v>164962.5</v>
      </c>
      <c r="BQ181" s="9">
        <v>98107.1</v>
      </c>
      <c r="BR181" s="9">
        <v>68952</v>
      </c>
      <c r="BS181" s="9">
        <v>60041</v>
      </c>
      <c r="BT181" s="9">
        <v>140070.1</v>
      </c>
      <c r="BU181" s="9">
        <v>41175.800000000003</v>
      </c>
      <c r="BV181" s="9">
        <v>374507.9</v>
      </c>
      <c r="BW181" s="9">
        <v>782136.1</v>
      </c>
      <c r="BX181" s="9">
        <v>51182.9</v>
      </c>
      <c r="BY181" s="9">
        <v>-105853.4</v>
      </c>
      <c r="BZ181" s="9">
        <v>189646.4</v>
      </c>
      <c r="CA181" s="9">
        <v>148448.70000000001</v>
      </c>
      <c r="CB181" s="9">
        <v>26105.200000000001</v>
      </c>
      <c r="CC181" s="9">
        <v>257372.2</v>
      </c>
      <c r="CD181" s="9">
        <v>103627.8</v>
      </c>
      <c r="CE181" s="9">
        <v>602950.1</v>
      </c>
      <c r="CF181" s="9">
        <v>1816387.05282907</v>
      </c>
      <c r="CG181" s="9">
        <v>10634330.6949705</v>
      </c>
      <c r="CH181" s="9"/>
      <c r="CI181" s="9"/>
      <c r="CJ181" s="9">
        <v>19.5401486791</v>
      </c>
      <c r="CK181" s="9">
        <v>12.944418657</v>
      </c>
      <c r="CL181" s="9">
        <v>12</v>
      </c>
      <c r="CM181" s="9">
        <v>97.703550816299995</v>
      </c>
      <c r="CN181" s="9">
        <v>28.576819687299999</v>
      </c>
      <c r="CO181" s="9">
        <v>3.9665849699</v>
      </c>
      <c r="CP181" s="9">
        <v>17.903403143599999</v>
      </c>
      <c r="CQ181" s="9">
        <v>12.209797062</v>
      </c>
      <c r="CR181" s="9">
        <v>4.5748816179</v>
      </c>
      <c r="CS181" s="9">
        <v>3.1160434125999998</v>
      </c>
      <c r="CT181" s="9">
        <v>10.3880242162</v>
      </c>
      <c r="CU181" s="9">
        <v>2.7542689792999999</v>
      </c>
      <c r="CV181" s="9">
        <v>2.0287343960999999</v>
      </c>
      <c r="CW181" s="9">
        <v>5.6362653601000003</v>
      </c>
      <c r="CX181" s="9">
        <v>2.7235368227999999</v>
      </c>
      <c r="CY181" s="9">
        <v>3.8251911486000001</v>
      </c>
      <c r="CZ181" s="9">
        <v>585</v>
      </c>
      <c r="DA181" s="9">
        <v>536</v>
      </c>
      <c r="DB181" s="9">
        <v>63</v>
      </c>
      <c r="DC181" s="9">
        <v>287</v>
      </c>
      <c r="DD181" s="9">
        <v>46</v>
      </c>
      <c r="DE181" s="9">
        <v>8</v>
      </c>
      <c r="DF181" s="9">
        <v>89</v>
      </c>
      <c r="DG181" s="9">
        <v>33</v>
      </c>
      <c r="DH181" s="9">
        <v>19</v>
      </c>
      <c r="DI181" s="9">
        <v>1</v>
      </c>
      <c r="DJ181" s="9">
        <v>4</v>
      </c>
      <c r="DK181" s="9">
        <v>12</v>
      </c>
      <c r="DL181" s="9">
        <v>7</v>
      </c>
      <c r="DM181" s="9">
        <v>22</v>
      </c>
      <c r="DN181" s="9">
        <v>0</v>
      </c>
      <c r="DO181" s="9">
        <v>397.65</v>
      </c>
      <c r="DP181" s="9">
        <v>126.88</v>
      </c>
      <c r="DQ181" s="9">
        <v>78.319999999999993</v>
      </c>
      <c r="DR181" s="9">
        <v>48.56</v>
      </c>
      <c r="DS181" s="9">
        <v>55.23</v>
      </c>
      <c r="DT181" s="9">
        <v>24.09</v>
      </c>
      <c r="DU181" s="9">
        <v>111.74</v>
      </c>
      <c r="DV181" s="9">
        <v>69.27</v>
      </c>
      <c r="DW181" s="9">
        <v>24.8</v>
      </c>
      <c r="DX181" s="9">
        <v>102.91</v>
      </c>
      <c r="DY181" s="9">
        <v>64.5</v>
      </c>
      <c r="DZ181" s="9">
        <v>25.86</v>
      </c>
      <c r="EA181" s="9">
        <v>-43.053800000000003</v>
      </c>
      <c r="EB181" s="9">
        <v>152.67750000000001</v>
      </c>
      <c r="EC181" s="9">
        <v>-92.228200000000001</v>
      </c>
      <c r="ED181" s="9">
        <v>-107.271</v>
      </c>
      <c r="EE181" s="9">
        <v>3.7679170000000002</v>
      </c>
      <c r="EF181" s="9">
        <v>6.592238</v>
      </c>
      <c r="EG181" s="9">
        <v>-333.815</v>
      </c>
      <c r="EH181" s="9">
        <v>4.0765859999999998</v>
      </c>
      <c r="EI181" s="9">
        <v>30.760300000000001</v>
      </c>
      <c r="EJ181" s="9">
        <v>-5.5100000000000003E-2</v>
      </c>
      <c r="EK181" s="9">
        <v>-368.59699999999998</v>
      </c>
      <c r="EL181" s="9">
        <v>52.067790000000002</v>
      </c>
      <c r="EM181" s="9">
        <v>349.42149999999998</v>
      </c>
      <c r="EN181" s="9">
        <v>1649.9</v>
      </c>
      <c r="EO181" s="9"/>
      <c r="EP181" s="9"/>
      <c r="EQ181" s="9"/>
      <c r="ER181" s="9"/>
      <c r="ES181" s="9"/>
      <c r="ET181" s="9"/>
      <c r="EU181">
        <v>1883</v>
      </c>
      <c r="EV181" s="9">
        <v>21850.52</v>
      </c>
      <c r="EW181" s="9">
        <v>3500.79</v>
      </c>
      <c r="EX181" s="9">
        <v>1570.36</v>
      </c>
      <c r="EY181" s="9">
        <v>1762.18</v>
      </c>
      <c r="EZ181" s="9">
        <v>3976.58</v>
      </c>
      <c r="FA181" s="9">
        <v>11040.61</v>
      </c>
      <c r="FB181" s="9">
        <v>67.162244897999997</v>
      </c>
      <c r="FC181" s="9">
        <v>62.163043478299997</v>
      </c>
      <c r="FD181" s="9">
        <v>6446.4523809523998</v>
      </c>
      <c r="FE181" s="9">
        <v>68.673913043499994</v>
      </c>
      <c r="FF181" s="9">
        <v>1202.2894736841999</v>
      </c>
      <c r="FG181" s="9">
        <v>12440925.890000001</v>
      </c>
      <c r="FH181" s="9">
        <v>267801.39</v>
      </c>
      <c r="FI181" s="9">
        <v>623937.93999999994</v>
      </c>
      <c r="FJ181" s="9">
        <v>5648914.4299999997</v>
      </c>
      <c r="FK181" s="9">
        <v>69176.13</v>
      </c>
      <c r="FL181" s="9">
        <v>69121.990000000005</v>
      </c>
      <c r="FM181" s="9"/>
      <c r="FN181" s="9"/>
      <c r="FO181" s="9"/>
      <c r="FP181" s="9"/>
      <c r="FQ181" s="9"/>
      <c r="FR181" s="9"/>
      <c r="FS181" s="9"/>
      <c r="FT181" s="9">
        <v>6792011.4800000004</v>
      </c>
      <c r="FU181" s="9">
        <v>198625.27</v>
      </c>
      <c r="FV181" s="9">
        <v>554815.97000000009</v>
      </c>
      <c r="FW181" s="9"/>
      <c r="FX181" s="9"/>
      <c r="FY181" s="9"/>
      <c r="FZ181" s="9">
        <v>87907.76</v>
      </c>
      <c r="GA181" s="9">
        <v>8502678.3200000003</v>
      </c>
      <c r="GB181" s="9">
        <v>2692141.24</v>
      </c>
      <c r="GC181" s="9">
        <v>5810537.0800000001</v>
      </c>
      <c r="GD181" s="9">
        <v>5654200.2400000002</v>
      </c>
      <c r="GE181" s="9">
        <v>552297.81000000006</v>
      </c>
      <c r="GF181" s="9">
        <v>5101902.43</v>
      </c>
      <c r="GG181" s="9">
        <v>2848478.08</v>
      </c>
      <c r="GH181" s="9">
        <v>2139843.4300000002</v>
      </c>
      <c r="GI181" s="9">
        <v>708634.65</v>
      </c>
      <c r="GJ181" s="9">
        <v>3160643.83</v>
      </c>
      <c r="GK181" s="9">
        <v>22582386.780000001</v>
      </c>
      <c r="GL181" s="9">
        <v>2134268.1800000002</v>
      </c>
      <c r="GM181">
        <v>1888.44</v>
      </c>
      <c r="GO181" s="6"/>
      <c r="GP181" s="6"/>
      <c r="GQ181" s="6"/>
    </row>
    <row r="182" spans="1:199" x14ac:dyDescent="0.2">
      <c r="A182" s="8">
        <v>2015</v>
      </c>
      <c r="B182" s="8" t="s">
        <v>439</v>
      </c>
      <c r="C182" s="8" t="s">
        <v>440</v>
      </c>
      <c r="D182" s="9"/>
      <c r="E182" s="9"/>
      <c r="F182" s="9"/>
      <c r="G182" s="9"/>
      <c r="H182" s="9"/>
      <c r="I182" s="9"/>
      <c r="J182" s="9"/>
      <c r="K182" s="9"/>
      <c r="L182" s="9"/>
      <c r="M182" s="9"/>
      <c r="N182" s="9"/>
      <c r="O182" s="9"/>
      <c r="P182" s="9"/>
      <c r="Q182" s="9"/>
      <c r="R182" s="9"/>
      <c r="S182" s="9"/>
      <c r="T182" s="9"/>
      <c r="U182" s="9"/>
      <c r="V182" s="9"/>
      <c r="W182" s="9"/>
      <c r="X182" s="9"/>
      <c r="Y182" s="9"/>
      <c r="Z182" s="9"/>
      <c r="AA182" s="9"/>
      <c r="AB182" s="9"/>
      <c r="AC182" s="9"/>
      <c r="AD182" s="9"/>
      <c r="AE182" s="9"/>
      <c r="AF182" s="9"/>
      <c r="AG182" s="9"/>
      <c r="AH182" s="9"/>
      <c r="AI182" s="9"/>
      <c r="AJ182" s="9"/>
      <c r="AK182" s="9"/>
      <c r="AL182" s="9"/>
      <c r="AM182" s="9"/>
      <c r="AN182" s="9"/>
      <c r="AO182" s="9"/>
      <c r="AP182" s="9"/>
      <c r="AQ182" s="9"/>
      <c r="AR182" s="9"/>
      <c r="AS182" s="9"/>
      <c r="AT182" s="9"/>
      <c r="AU182" s="9"/>
      <c r="AV182" s="9"/>
      <c r="AW182" s="9"/>
      <c r="AX182" s="9"/>
      <c r="AY182" s="9"/>
      <c r="AZ182" s="9"/>
      <c r="BA182" s="9"/>
      <c r="BB182" s="9"/>
      <c r="BC182" s="9"/>
      <c r="BD182" s="9"/>
      <c r="BE182" s="9"/>
      <c r="BF182" s="9"/>
      <c r="BG182" s="9"/>
      <c r="BH182" s="9"/>
      <c r="BI182" s="9"/>
      <c r="BJ182" s="9"/>
      <c r="BK182" s="9"/>
      <c r="BL182" s="9"/>
      <c r="BM182" s="9"/>
      <c r="BN182" s="9">
        <v>353562.1</v>
      </c>
      <c r="BO182" s="9">
        <v>317975.90000000002</v>
      </c>
      <c r="BP182" s="9">
        <v>49946.5</v>
      </c>
      <c r="BQ182" s="9">
        <v>25272.1</v>
      </c>
      <c r="BR182" s="9">
        <v>24567.9</v>
      </c>
      <c r="BS182" s="9">
        <v>70142.399999999994</v>
      </c>
      <c r="BT182" s="9">
        <v>63723.3</v>
      </c>
      <c r="BU182" s="9">
        <v>29725.8</v>
      </c>
      <c r="BV182" s="9">
        <v>35586.199999999997</v>
      </c>
      <c r="BW182" s="9">
        <v>316126.59999999998</v>
      </c>
      <c r="BX182" s="9">
        <v>-20189.099999999999</v>
      </c>
      <c r="BY182" s="9">
        <v>4261.6000000000004</v>
      </c>
      <c r="BZ182" s="9">
        <v>117525.9</v>
      </c>
      <c r="CA182" s="9">
        <v>30718.6</v>
      </c>
      <c r="CB182" s="9">
        <v>1539.1</v>
      </c>
      <c r="CC182" s="9">
        <v>138964.9</v>
      </c>
      <c r="CD182" s="9">
        <v>537.70000000000005</v>
      </c>
      <c r="CE182" s="9">
        <v>70419</v>
      </c>
      <c r="CF182" s="9">
        <v>1578694.488178927</v>
      </c>
      <c r="CG182" s="9">
        <v>10313103.58290595</v>
      </c>
      <c r="CH182" s="9"/>
      <c r="CI182" s="9"/>
      <c r="CJ182" s="9">
        <v>20.0356717399</v>
      </c>
      <c r="CK182" s="9">
        <v>13.6335873239</v>
      </c>
      <c r="CL182" s="9">
        <v>13</v>
      </c>
      <c r="CM182" s="9">
        <v>98.348914358399995</v>
      </c>
      <c r="CN182" s="9">
        <v>28.820508345899999</v>
      </c>
      <c r="CO182" s="9">
        <v>3.9744416207</v>
      </c>
      <c r="CP182" s="9">
        <v>18.0381576425</v>
      </c>
      <c r="CQ182" s="9">
        <v>12.2879714703</v>
      </c>
      <c r="CR182" s="9">
        <v>4.5948553061000004</v>
      </c>
      <c r="CS182" s="9">
        <v>3.1373174421000001</v>
      </c>
      <c r="CT182" s="9">
        <v>10.5010468786</v>
      </c>
      <c r="CU182" s="9">
        <v>2.7511082180000002</v>
      </c>
      <c r="CV182" s="9">
        <v>2.0369758390000001</v>
      </c>
      <c r="CW182" s="9">
        <v>5.6362653829999996</v>
      </c>
      <c r="CX182" s="9">
        <v>2.7308488713000001</v>
      </c>
      <c r="CY182" s="9">
        <v>3.8394173410999999</v>
      </c>
      <c r="CZ182" s="9">
        <v>472</v>
      </c>
      <c r="DA182" s="9">
        <v>421</v>
      </c>
      <c r="DB182" s="9">
        <v>40</v>
      </c>
      <c r="DC182" s="9">
        <v>268</v>
      </c>
      <c r="DD182" s="9">
        <v>21</v>
      </c>
      <c r="DE182" s="9">
        <v>11</v>
      </c>
      <c r="DF182" s="9">
        <v>38</v>
      </c>
      <c r="DG182" s="9">
        <v>33</v>
      </c>
      <c r="DH182" s="9">
        <v>13</v>
      </c>
      <c r="DI182" s="9">
        <v>1</v>
      </c>
      <c r="DJ182" s="9">
        <v>5</v>
      </c>
      <c r="DK182" s="9">
        <v>6</v>
      </c>
      <c r="DL182" s="9">
        <v>11</v>
      </c>
      <c r="DM182" s="9">
        <v>27</v>
      </c>
      <c r="DN182" s="9">
        <v>0</v>
      </c>
      <c r="DO182" s="9">
        <v>247.29</v>
      </c>
      <c r="DP182" s="9">
        <v>83.95</v>
      </c>
      <c r="DQ182" s="9">
        <v>47.05</v>
      </c>
      <c r="DR182" s="9">
        <v>36.909999999999997</v>
      </c>
      <c r="DS182" s="9">
        <v>34.24</v>
      </c>
      <c r="DT182" s="9">
        <v>8.81</v>
      </c>
      <c r="DU182" s="9">
        <v>67.430000000000007</v>
      </c>
      <c r="DV182" s="9">
        <v>40.47</v>
      </c>
      <c r="DW182" s="9">
        <v>16.59</v>
      </c>
      <c r="DX182" s="9">
        <v>61.1</v>
      </c>
      <c r="DY182" s="9">
        <v>28.5</v>
      </c>
      <c r="DZ182" s="9">
        <v>26.27</v>
      </c>
      <c r="EA182" s="9">
        <v>-34.988900000000001</v>
      </c>
      <c r="EB182" s="9">
        <v>129.16210000000001</v>
      </c>
      <c r="EC182" s="9">
        <v>-111.66800000000001</v>
      </c>
      <c r="ED182" s="9">
        <v>-58.090200000000003</v>
      </c>
      <c r="EE182" s="9">
        <v>5.6071499999999999</v>
      </c>
      <c r="EF182" s="9">
        <v>9.6638800000000007</v>
      </c>
      <c r="EG182" s="9">
        <v>270.3125</v>
      </c>
      <c r="EH182" s="9">
        <v>49.425280000000001</v>
      </c>
      <c r="EI182" s="9">
        <v>4.4172039999999999</v>
      </c>
      <c r="EJ182" s="9">
        <v>8.5422999999999999E-2</v>
      </c>
      <c r="EK182" s="9">
        <v>216.38460000000001</v>
      </c>
      <c r="EL182" s="9">
        <v>10.15868</v>
      </c>
      <c r="EM182" s="9">
        <v>-285.47899999999998</v>
      </c>
      <c r="EN182" s="9">
        <v>1327.8</v>
      </c>
      <c r="EO182" s="9"/>
      <c r="EP182" s="9"/>
      <c r="EQ182" s="9"/>
      <c r="ER182" s="9"/>
      <c r="ES182" s="9"/>
      <c r="ET182" s="9"/>
      <c r="EU182">
        <v>1932.7</v>
      </c>
      <c r="EV182" s="9"/>
      <c r="EW182" s="9"/>
      <c r="EX182" s="9"/>
      <c r="EY182" s="9"/>
      <c r="EZ182" s="9"/>
      <c r="FA182" s="9"/>
      <c r="FB182" s="9">
        <v>64.7163265306</v>
      </c>
      <c r="FC182" s="9">
        <v>48.416818181799997</v>
      </c>
      <c r="FD182" s="9">
        <v>5830.5357142857001</v>
      </c>
      <c r="FE182" s="9">
        <v>69.068181818200003</v>
      </c>
      <c r="FF182" s="9">
        <v>1251.8452380952001</v>
      </c>
      <c r="FG182" s="9">
        <v>12027220.74</v>
      </c>
      <c r="FH182" s="9">
        <v>316032.95</v>
      </c>
      <c r="FI182" s="9">
        <v>655653.36</v>
      </c>
      <c r="FJ182" s="9">
        <v>5300916.8199999994</v>
      </c>
      <c r="FK182" s="9">
        <v>114323.63</v>
      </c>
      <c r="FL182" s="9">
        <v>77791.759999999995</v>
      </c>
      <c r="FM182" s="9"/>
      <c r="FN182" s="9"/>
      <c r="FO182" s="9"/>
      <c r="FP182" s="9"/>
      <c r="FQ182" s="9"/>
      <c r="FR182" s="9"/>
      <c r="FS182" s="9"/>
      <c r="FT182" s="9">
        <v>6726303.8999999994</v>
      </c>
      <c r="FU182" s="9">
        <v>201709.31</v>
      </c>
      <c r="FV182" s="9">
        <v>577861.6</v>
      </c>
      <c r="FW182" s="9"/>
      <c r="FX182" s="9"/>
      <c r="FY182" s="9"/>
      <c r="FZ182" s="9">
        <v>90750.17</v>
      </c>
      <c r="GA182" s="9">
        <v>8229803.8499999996</v>
      </c>
      <c r="GB182" s="9">
        <v>2232848.89</v>
      </c>
      <c r="GC182" s="9">
        <v>5996954.96</v>
      </c>
      <c r="GD182" s="9">
        <v>5573011.1499999994</v>
      </c>
      <c r="GE182" s="9">
        <v>491768.22</v>
      </c>
      <c r="GF182" s="9">
        <v>5081242.93</v>
      </c>
      <c r="GG182" s="9">
        <v>2656792.7000000002</v>
      </c>
      <c r="GH182" s="9">
        <v>1741080.67</v>
      </c>
      <c r="GI182" s="9">
        <v>915712.03</v>
      </c>
      <c r="GJ182" s="9">
        <v>3110258.01</v>
      </c>
      <c r="GK182" s="9">
        <v>20623003.859999999</v>
      </c>
      <c r="GL182" s="9">
        <v>2151839.0299999998</v>
      </c>
      <c r="GM182">
        <v>1944.78</v>
      </c>
      <c r="GO182" s="6"/>
      <c r="GP182" s="6"/>
      <c r="GQ182" s="6"/>
    </row>
    <row r="183" spans="1:199" x14ac:dyDescent="0.2">
      <c r="A183" s="8">
        <v>2015</v>
      </c>
      <c r="B183" s="8" t="s">
        <v>439</v>
      </c>
      <c r="C183" s="8" t="s">
        <v>441</v>
      </c>
      <c r="D183" s="9"/>
      <c r="E183" s="9"/>
      <c r="F183" s="9"/>
      <c r="G183" s="9"/>
      <c r="H183" s="9"/>
      <c r="I183" s="9"/>
      <c r="J183" s="9"/>
      <c r="K183" s="9"/>
      <c r="L183" s="9"/>
      <c r="M183" s="9"/>
      <c r="N183" s="9"/>
      <c r="O183" s="9"/>
      <c r="P183" s="9"/>
      <c r="Q183" s="9"/>
      <c r="R183" s="9"/>
      <c r="S183" s="9"/>
      <c r="T183" s="9"/>
      <c r="U183" s="9"/>
      <c r="V183" s="9"/>
      <c r="W183" s="9"/>
      <c r="X183" s="9"/>
      <c r="Y183" s="9"/>
      <c r="Z183" s="9"/>
      <c r="AA183" s="9"/>
      <c r="AB183" s="9"/>
      <c r="AC183" s="9"/>
      <c r="AD183" s="9"/>
      <c r="AE183" s="9"/>
      <c r="AF183" s="9"/>
      <c r="AG183" s="9"/>
      <c r="AH183" s="9"/>
      <c r="AI183" s="9"/>
      <c r="AJ183" s="9"/>
      <c r="AK183" s="9"/>
      <c r="AL183" s="9"/>
      <c r="AM183" s="9"/>
      <c r="AN183" s="9"/>
      <c r="AO183" s="9"/>
      <c r="AP183" s="9"/>
      <c r="AQ183" s="9"/>
      <c r="AR183" s="9"/>
      <c r="AS183" s="9"/>
      <c r="AT183" s="9"/>
      <c r="AU183" s="9"/>
      <c r="AV183" s="9"/>
      <c r="AW183" s="9"/>
      <c r="AX183" s="9"/>
      <c r="AY183" s="9"/>
      <c r="AZ183" s="9"/>
      <c r="BA183" s="9"/>
      <c r="BB183" s="9"/>
      <c r="BC183" s="9"/>
      <c r="BD183" s="9"/>
      <c r="BE183" s="9"/>
      <c r="BF183" s="9"/>
      <c r="BG183" s="9"/>
      <c r="BH183" s="9"/>
      <c r="BI183" s="9"/>
      <c r="BJ183" s="9"/>
      <c r="BK183" s="9"/>
      <c r="BL183" s="9"/>
      <c r="BM183" s="9"/>
      <c r="BN183" s="9">
        <v>394404.1</v>
      </c>
      <c r="BO183" s="9">
        <v>336807.4</v>
      </c>
      <c r="BP183" s="9">
        <v>97304.2</v>
      </c>
      <c r="BQ183" s="9">
        <v>54292.7</v>
      </c>
      <c r="BR183" s="9">
        <v>42815.4</v>
      </c>
      <c r="BS183" s="9">
        <v>73084.800000000003</v>
      </c>
      <c r="BT183" s="9">
        <v>78114.3</v>
      </c>
      <c r="BU183" s="9">
        <v>45216.5</v>
      </c>
      <c r="BV183" s="9">
        <v>55263</v>
      </c>
      <c r="BW183" s="9">
        <v>471474.5</v>
      </c>
      <c r="BX183" s="9">
        <v>1181.2</v>
      </c>
      <c r="BY183" s="9">
        <v>13998.9</v>
      </c>
      <c r="BZ183" s="9">
        <v>139700.20000000001</v>
      </c>
      <c r="CA183" s="9">
        <v>8543.1</v>
      </c>
      <c r="CB183" s="9">
        <v>47397</v>
      </c>
      <c r="CC183" s="9">
        <v>191306.4</v>
      </c>
      <c r="CD183" s="9">
        <v>1238.0999999999999</v>
      </c>
      <c r="CE183" s="9">
        <v>91893.1</v>
      </c>
      <c r="CF183" s="9">
        <v>1586543.9278075199</v>
      </c>
      <c r="CG183" s="9">
        <v>10228988.899720071</v>
      </c>
      <c r="CH183" s="9"/>
      <c r="CI183" s="9"/>
      <c r="CJ183" s="9">
        <v>19.0024665165</v>
      </c>
      <c r="CK183" s="9">
        <v>14.1728222572</v>
      </c>
      <c r="CL183" s="9">
        <v>13</v>
      </c>
      <c r="CM183" s="9">
        <v>98.776441205400005</v>
      </c>
      <c r="CN183" s="9">
        <v>29.092236417599999</v>
      </c>
      <c r="CO183" s="9">
        <v>3.9824670203000001</v>
      </c>
      <c r="CP183" s="9">
        <v>18.114484941499999</v>
      </c>
      <c r="CQ183" s="9">
        <v>12.314260991499999</v>
      </c>
      <c r="CR183" s="9">
        <v>4.6145981475999998</v>
      </c>
      <c r="CS183" s="9">
        <v>3.1427379499999999</v>
      </c>
      <c r="CT183" s="9">
        <v>10.501743016200001</v>
      </c>
      <c r="CU183" s="9">
        <v>2.7522891275000001</v>
      </c>
      <c r="CV183" s="9">
        <v>2.0396407029999999</v>
      </c>
      <c r="CW183" s="9">
        <v>5.6362653601000003</v>
      </c>
      <c r="CX183" s="9">
        <v>2.7353580502999999</v>
      </c>
      <c r="CY183" s="9">
        <v>3.8503594796999998</v>
      </c>
      <c r="CZ183" s="9">
        <v>281</v>
      </c>
      <c r="DA183" s="9">
        <v>255</v>
      </c>
      <c r="DB183" s="9">
        <v>58</v>
      </c>
      <c r="DC183" s="9">
        <v>96</v>
      </c>
      <c r="DD183" s="9">
        <v>26</v>
      </c>
      <c r="DE183" s="9">
        <v>11</v>
      </c>
      <c r="DF183" s="9">
        <v>27</v>
      </c>
      <c r="DG183" s="9">
        <v>26</v>
      </c>
      <c r="DH183" s="9">
        <v>12</v>
      </c>
      <c r="DI183" s="9">
        <v>1</v>
      </c>
      <c r="DJ183" s="9">
        <v>3</v>
      </c>
      <c r="DK183" s="9">
        <v>6</v>
      </c>
      <c r="DL183" s="9">
        <v>4</v>
      </c>
      <c r="DM183" s="9">
        <v>9</v>
      </c>
      <c r="DN183" s="9">
        <v>0</v>
      </c>
      <c r="DO183" s="9">
        <v>215.2</v>
      </c>
      <c r="DP183" s="9">
        <v>73.64</v>
      </c>
      <c r="DQ183" s="9">
        <v>43.68</v>
      </c>
      <c r="DR183" s="9">
        <v>29.96</v>
      </c>
      <c r="DS183" s="9">
        <v>35.47</v>
      </c>
      <c r="DT183" s="9">
        <v>11.64</v>
      </c>
      <c r="DU183" s="9">
        <v>60.99</v>
      </c>
      <c r="DV183" s="9">
        <v>39.03</v>
      </c>
      <c r="DW183" s="9">
        <v>15.25</v>
      </c>
      <c r="DX183" s="9">
        <v>44.48</v>
      </c>
      <c r="DY183" s="9">
        <v>22.98</v>
      </c>
      <c r="DZ183" s="9">
        <v>14.06</v>
      </c>
      <c r="EA183" s="9">
        <v>-1.3957200000000001</v>
      </c>
      <c r="EB183" s="9">
        <v>139.47239999999999</v>
      </c>
      <c r="EC183" s="9">
        <v>-71.204099999999997</v>
      </c>
      <c r="ED183" s="9">
        <v>-75.360900000000001</v>
      </c>
      <c r="EE183" s="9">
        <v>5.6969539999999999</v>
      </c>
      <c r="EF183" s="9">
        <v>6.7919830000000001</v>
      </c>
      <c r="EG183" s="9">
        <v>-105.319</v>
      </c>
      <c r="EH183" s="9">
        <v>28.55058</v>
      </c>
      <c r="EI183" s="9">
        <v>-10.321400000000001</v>
      </c>
      <c r="EJ183" s="9">
        <v>7.8437000000000007E-2</v>
      </c>
      <c r="EK183" s="9">
        <v>-123.626</v>
      </c>
      <c r="EL183" s="9">
        <v>-66.5625</v>
      </c>
      <c r="EM183" s="9">
        <v>44.152560000000001</v>
      </c>
      <c r="EN183" s="9">
        <v>1362.5</v>
      </c>
      <c r="EO183" s="9"/>
      <c r="EP183" s="9"/>
      <c r="EQ183" s="9"/>
      <c r="ER183" s="9"/>
      <c r="ES183" s="9"/>
      <c r="ET183" s="9"/>
      <c r="EU183">
        <v>1961.75</v>
      </c>
      <c r="EV183" s="9"/>
      <c r="EW183" s="9"/>
      <c r="EX183" s="9"/>
      <c r="EY183" s="9"/>
      <c r="EZ183" s="9"/>
      <c r="FA183" s="9"/>
      <c r="FB183" s="9">
        <v>70.659107142899998</v>
      </c>
      <c r="FC183" s="9">
        <v>57.930500000000002</v>
      </c>
      <c r="FD183" s="9">
        <v>5729.2749999999996</v>
      </c>
      <c r="FE183" s="9">
        <v>63.8</v>
      </c>
      <c r="FF183" s="9">
        <v>1227.1875</v>
      </c>
      <c r="FG183" s="9">
        <v>12113251.310000001</v>
      </c>
      <c r="FH183" s="9">
        <v>395954.3</v>
      </c>
      <c r="FI183" s="9">
        <v>661272.76</v>
      </c>
      <c r="FJ183" s="9">
        <v>5391449.8699999992</v>
      </c>
      <c r="FK183" s="9">
        <v>139162.63</v>
      </c>
      <c r="FL183" s="9">
        <v>81731.06</v>
      </c>
      <c r="FM183" s="9"/>
      <c r="FN183" s="9"/>
      <c r="FO183" s="9"/>
      <c r="FP183" s="9"/>
      <c r="FQ183" s="9"/>
      <c r="FR183" s="9"/>
      <c r="FS183" s="9"/>
      <c r="FT183" s="9">
        <v>6721801.459999999</v>
      </c>
      <c r="FU183" s="9">
        <v>256791.67</v>
      </c>
      <c r="FV183" s="9">
        <v>579541.71000000008</v>
      </c>
      <c r="FW183" s="9"/>
      <c r="FX183" s="9"/>
      <c r="FY183" s="9"/>
      <c r="FZ183" s="9">
        <v>92356.2</v>
      </c>
      <c r="GA183" s="9">
        <v>8232997.5999999996</v>
      </c>
      <c r="GB183" s="9">
        <v>2168328.4700000002</v>
      </c>
      <c r="GC183" s="9">
        <v>6064669.1300000008</v>
      </c>
      <c r="GD183" s="9">
        <v>5704133.6200000001</v>
      </c>
      <c r="GE183" s="9">
        <v>536521.93999999994</v>
      </c>
      <c r="GF183" s="9">
        <v>5167611.68</v>
      </c>
      <c r="GG183" s="9">
        <v>2528863.98</v>
      </c>
      <c r="GH183" s="9">
        <v>1631806.53</v>
      </c>
      <c r="GI183" s="9">
        <v>897057.45</v>
      </c>
      <c r="GJ183" s="9">
        <v>3034094.49</v>
      </c>
      <c r="GK183" s="9">
        <v>20740445.609999999</v>
      </c>
      <c r="GL183" s="9">
        <v>2226861.54</v>
      </c>
      <c r="GM183">
        <v>1974.52</v>
      </c>
      <c r="GO183" s="6"/>
      <c r="GP183" s="6"/>
      <c r="GQ183" s="6"/>
    </row>
    <row r="184" spans="1:199" x14ac:dyDescent="0.2">
      <c r="A184" s="8">
        <v>2015</v>
      </c>
      <c r="B184" s="8" t="s">
        <v>439</v>
      </c>
      <c r="C184" s="8" t="s">
        <v>442</v>
      </c>
      <c r="D184" s="9">
        <v>4643453.5999999996</v>
      </c>
      <c r="E184" s="9">
        <v>169189.7</v>
      </c>
      <c r="F184" s="9">
        <v>879992.5</v>
      </c>
      <c r="G184" s="9">
        <v>439440.1</v>
      </c>
      <c r="H184" s="9">
        <v>128807.2</v>
      </c>
      <c r="I184" s="9">
        <v>48247.8</v>
      </c>
      <c r="J184" s="9">
        <v>386662.7</v>
      </c>
      <c r="K184" s="9">
        <v>296626.09999999998</v>
      </c>
      <c r="L184" s="9">
        <v>103698.2</v>
      </c>
      <c r="M184" s="9">
        <v>1748677</v>
      </c>
      <c r="N184" s="9">
        <v>442112.4</v>
      </c>
      <c r="O184" s="9">
        <v>4193642.47</v>
      </c>
      <c r="P184" s="9">
        <v>182414.20699999999</v>
      </c>
      <c r="Q184" s="9">
        <v>741298.18599999999</v>
      </c>
      <c r="R184" s="9">
        <v>285414.85800000001</v>
      </c>
      <c r="S184" s="9">
        <v>165180.25200000001</v>
      </c>
      <c r="T184" s="9">
        <v>46407.881000000001</v>
      </c>
      <c r="U184" s="9">
        <v>412983.62300000002</v>
      </c>
      <c r="V184" s="9">
        <v>260813.147</v>
      </c>
      <c r="W184" s="9">
        <v>112414.03</v>
      </c>
      <c r="X184" s="9">
        <v>1574337.3370000001</v>
      </c>
      <c r="Y184" s="9">
        <v>412378.94900000002</v>
      </c>
      <c r="Z184" s="9">
        <v>4559755.8</v>
      </c>
      <c r="AA184" s="9">
        <v>3006874.1</v>
      </c>
      <c r="AB184" s="9">
        <v>670584.80000000005</v>
      </c>
      <c r="AC184" s="9">
        <v>584309.80000000005</v>
      </c>
      <c r="AD184" s="9">
        <v>-17026.3</v>
      </c>
      <c r="AE184" s="9">
        <v>2300161.2000000002</v>
      </c>
      <c r="AF184" s="9">
        <v>1985147.8</v>
      </c>
      <c r="AG184" s="9">
        <v>4357192.7</v>
      </c>
      <c r="AH184" s="9">
        <v>3083016.4</v>
      </c>
      <c r="AI184" s="9">
        <v>744351.6</v>
      </c>
      <c r="AJ184" s="9">
        <v>516549.2</v>
      </c>
      <c r="AK184" s="9">
        <v>-262029.7</v>
      </c>
      <c r="AL184" s="9">
        <v>2375404.7999999998</v>
      </c>
      <c r="AM184" s="9">
        <v>2100099.7000000002</v>
      </c>
      <c r="AN184" s="9">
        <v>1116860</v>
      </c>
      <c r="AO184" s="9">
        <v>578452</v>
      </c>
      <c r="AP184" s="9">
        <v>538408</v>
      </c>
      <c r="AQ184" s="9">
        <v>88636</v>
      </c>
      <c r="AR184" s="9">
        <v>53612</v>
      </c>
      <c r="AS184" s="9">
        <v>35024</v>
      </c>
      <c r="AT184" s="9">
        <v>753387</v>
      </c>
      <c r="AU184" s="9">
        <v>289312</v>
      </c>
      <c r="AV184" s="9">
        <v>464075</v>
      </c>
      <c r="AW184" s="9">
        <v>851.4</v>
      </c>
      <c r="AX184" s="9">
        <v>697.7</v>
      </c>
      <c r="AY184" s="9">
        <v>1785.7</v>
      </c>
      <c r="AZ184" s="9">
        <v>776.6</v>
      </c>
      <c r="BA184" s="9">
        <v>1408.5</v>
      </c>
      <c r="BB184" s="9">
        <v>644.4</v>
      </c>
      <c r="BC184" s="9">
        <v>749.7</v>
      </c>
      <c r="BD184" s="9">
        <v>738.7</v>
      </c>
      <c r="BE184" s="9">
        <v>928.2</v>
      </c>
      <c r="BF184" s="9">
        <v>569.20000000000005</v>
      </c>
      <c r="BG184" s="9">
        <v>801.7</v>
      </c>
      <c r="BH184" s="9">
        <v>1157.2</v>
      </c>
      <c r="BI184" s="9">
        <v>831.9</v>
      </c>
      <c r="BJ184" s="9">
        <v>732.2</v>
      </c>
      <c r="BK184" s="9">
        <v>758.1</v>
      </c>
      <c r="BL184" s="9">
        <v>618.79999999999995</v>
      </c>
      <c r="BM184" s="9">
        <v>797.9</v>
      </c>
      <c r="BN184" s="9">
        <v>482826.8</v>
      </c>
      <c r="BO184" s="9">
        <v>436675.3</v>
      </c>
      <c r="BP184" s="9">
        <v>102596.3</v>
      </c>
      <c r="BQ184" s="9">
        <v>60202.8</v>
      </c>
      <c r="BR184" s="9">
        <v>45335.9</v>
      </c>
      <c r="BS184" s="9">
        <v>87114</v>
      </c>
      <c r="BT184" s="9">
        <v>76152.800000000003</v>
      </c>
      <c r="BU184" s="9">
        <v>51531.9</v>
      </c>
      <c r="BV184" s="9">
        <v>46151.5</v>
      </c>
      <c r="BW184" s="9">
        <v>454843.3</v>
      </c>
      <c r="BX184" s="9">
        <v>14806.8</v>
      </c>
      <c r="BY184" s="9">
        <v>15254.3</v>
      </c>
      <c r="BZ184" s="9">
        <v>142508.20000000001</v>
      </c>
      <c r="CA184" s="9">
        <v>25069.599999999999</v>
      </c>
      <c r="CB184" s="9">
        <v>10998.3</v>
      </c>
      <c r="CC184" s="9">
        <v>184613</v>
      </c>
      <c r="CD184" s="9">
        <v>1926.5</v>
      </c>
      <c r="CE184" s="9">
        <v>-26555.5</v>
      </c>
      <c r="CF184" s="9">
        <v>1445928.4815481347</v>
      </c>
      <c r="CG184" s="9">
        <v>9902262.2340744063</v>
      </c>
      <c r="CH184" s="9"/>
      <c r="CI184" s="9"/>
      <c r="CJ184" s="9">
        <v>19.095220851699999</v>
      </c>
      <c r="CK184" s="9">
        <v>11.676559899100001</v>
      </c>
      <c r="CL184" s="9">
        <v>13</v>
      </c>
      <c r="CM184" s="9">
        <v>99.593518309999993</v>
      </c>
      <c r="CN184" s="9">
        <v>29.8249267574</v>
      </c>
      <c r="CO184" s="9">
        <v>3.9928330991999998</v>
      </c>
      <c r="CP184" s="9">
        <v>18.220693537999999</v>
      </c>
      <c r="CQ184" s="9">
        <v>12.179556186599999</v>
      </c>
      <c r="CR184" s="9">
        <v>4.6432852579999997</v>
      </c>
      <c r="CS184" s="9">
        <v>3.1448896917</v>
      </c>
      <c r="CT184" s="9">
        <v>10.508545764400001</v>
      </c>
      <c r="CU184" s="9">
        <v>2.7498202676000001</v>
      </c>
      <c r="CV184" s="9">
        <v>2.0466562631</v>
      </c>
      <c r="CW184" s="9">
        <v>5.6362653829999996</v>
      </c>
      <c r="CX184" s="9">
        <v>2.7673671685999999</v>
      </c>
      <c r="CY184" s="9">
        <v>3.8786789325000002</v>
      </c>
      <c r="CZ184" s="9">
        <v>322</v>
      </c>
      <c r="DA184" s="9">
        <v>291</v>
      </c>
      <c r="DB184" s="9">
        <v>0</v>
      </c>
      <c r="DC184" s="9">
        <v>149</v>
      </c>
      <c r="DD184" s="9">
        <v>11</v>
      </c>
      <c r="DE184" s="9">
        <v>13</v>
      </c>
      <c r="DF184" s="9">
        <v>76</v>
      </c>
      <c r="DG184" s="9">
        <v>33</v>
      </c>
      <c r="DH184" s="9">
        <v>8</v>
      </c>
      <c r="DI184" s="9">
        <v>1</v>
      </c>
      <c r="DJ184" s="9">
        <v>3</v>
      </c>
      <c r="DK184" s="9">
        <v>1</v>
      </c>
      <c r="DL184" s="9">
        <v>3</v>
      </c>
      <c r="DM184" s="9">
        <v>20</v>
      </c>
      <c r="DN184" s="9">
        <v>0</v>
      </c>
      <c r="DO184" s="9">
        <v>239.76</v>
      </c>
      <c r="DP184" s="9">
        <v>72.849999999999994</v>
      </c>
      <c r="DQ184" s="9">
        <v>42.09</v>
      </c>
      <c r="DR184" s="9">
        <v>30.76</v>
      </c>
      <c r="DS184" s="9">
        <v>36.4</v>
      </c>
      <c r="DT184" s="9">
        <v>11.62</v>
      </c>
      <c r="DU184" s="9">
        <v>78.41</v>
      </c>
      <c r="DV184" s="9">
        <v>43.56</v>
      </c>
      <c r="DW184" s="9">
        <v>26.16</v>
      </c>
      <c r="DX184" s="9">
        <v>51.69</v>
      </c>
      <c r="DY184" s="9">
        <v>25.93</v>
      </c>
      <c r="DZ184" s="9">
        <v>19.54</v>
      </c>
      <c r="EA184" s="9">
        <v>-23.7788</v>
      </c>
      <c r="EB184" s="9">
        <v>115.6091</v>
      </c>
      <c r="EC184" s="9">
        <v>-54.011800000000001</v>
      </c>
      <c r="ED184" s="9">
        <v>-88.828900000000004</v>
      </c>
      <c r="EE184" s="9">
        <v>3.4527359999999998</v>
      </c>
      <c r="EF184" s="9">
        <v>5.1950269999999996</v>
      </c>
      <c r="EG184" s="9">
        <v>-135.96</v>
      </c>
      <c r="EH184" s="9">
        <v>35.484229999999997</v>
      </c>
      <c r="EI184" s="9">
        <v>20.69163</v>
      </c>
      <c r="EJ184" s="9">
        <v>1.7448999999999999E-2</v>
      </c>
      <c r="EK184" s="9">
        <v>-192.154</v>
      </c>
      <c r="EL184" s="9">
        <v>-147.14699999999999</v>
      </c>
      <c r="EM184" s="9">
        <v>-29.7699</v>
      </c>
      <c r="EN184" s="9">
        <v>1323.9</v>
      </c>
      <c r="EO184" s="9"/>
      <c r="EP184" s="9"/>
      <c r="EQ184" s="9"/>
      <c r="ER184" s="9"/>
      <c r="ES184" s="9"/>
      <c r="ET184" s="9"/>
      <c r="EU184">
        <v>1986.22</v>
      </c>
      <c r="EV184" s="9">
        <v>21678.14</v>
      </c>
      <c r="EW184" s="9">
        <v>3421.62</v>
      </c>
      <c r="EX184" s="9">
        <v>1876.27</v>
      </c>
      <c r="EY184" s="9">
        <v>1719.77</v>
      </c>
      <c r="EZ184" s="9">
        <v>3729.99</v>
      </c>
      <c r="FA184" s="9">
        <v>10930.49</v>
      </c>
      <c r="FB184" s="9">
        <v>68.344967532499993</v>
      </c>
      <c r="FC184" s="9">
        <v>55.7913636364</v>
      </c>
      <c r="FD184" s="9">
        <v>5939.6704545455004</v>
      </c>
      <c r="FE184" s="9">
        <v>58.181818181799997</v>
      </c>
      <c r="FF184" s="9">
        <v>1178.6295454545</v>
      </c>
      <c r="FG184" s="9">
        <v>12211911.300000001</v>
      </c>
      <c r="FH184" s="9">
        <v>557505.62</v>
      </c>
      <c r="FI184" s="9">
        <v>701393.36</v>
      </c>
      <c r="FJ184" s="9">
        <v>5480296.6000000006</v>
      </c>
      <c r="FK184" s="9">
        <v>107804.68</v>
      </c>
      <c r="FL184" s="9">
        <v>84580.81</v>
      </c>
      <c r="FM184" s="9"/>
      <c r="FN184" s="9"/>
      <c r="FO184" s="9"/>
      <c r="FP184" s="9"/>
      <c r="FQ184" s="9"/>
      <c r="FR184" s="9"/>
      <c r="FS184" s="9"/>
      <c r="FT184" s="9">
        <v>6731614.71</v>
      </c>
      <c r="FU184" s="9">
        <v>449700.95</v>
      </c>
      <c r="FV184" s="9">
        <v>616812.56000000006</v>
      </c>
      <c r="FW184" s="9"/>
      <c r="FX184" s="9"/>
      <c r="FY184" s="9"/>
      <c r="FZ184" s="9">
        <v>93820.47</v>
      </c>
      <c r="GA184" s="9">
        <v>8010082.7400000002</v>
      </c>
      <c r="GB184" s="9">
        <v>2060087.59</v>
      </c>
      <c r="GC184" s="9">
        <v>5949995.1499999994</v>
      </c>
      <c r="GD184" s="9">
        <v>5621321.209999999</v>
      </c>
      <c r="GE184" s="9">
        <v>494517.76000000001</v>
      </c>
      <c r="GF184" s="9">
        <v>5126803.4499999993</v>
      </c>
      <c r="GG184" s="9">
        <v>2388761.5299999998</v>
      </c>
      <c r="GH184" s="9">
        <v>1565569.83</v>
      </c>
      <c r="GI184" s="9">
        <v>823191.7</v>
      </c>
      <c r="GJ184" s="9">
        <v>2988070.39</v>
      </c>
      <c r="GK184" s="9">
        <v>20778313.359999999</v>
      </c>
      <c r="GL184" s="9">
        <v>2216805.9300000002</v>
      </c>
      <c r="GM184">
        <v>1984.69</v>
      </c>
      <c r="GO184" s="6"/>
      <c r="GP184" s="6"/>
      <c r="GQ184" s="6"/>
    </row>
    <row r="185" spans="1:199" x14ac:dyDescent="0.2">
      <c r="A185" s="8">
        <v>2015</v>
      </c>
      <c r="B185" s="8" t="s">
        <v>443</v>
      </c>
      <c r="C185" s="8" t="s">
        <v>444</v>
      </c>
      <c r="D185" s="9"/>
      <c r="E185" s="9"/>
      <c r="F185" s="9"/>
      <c r="G185" s="9"/>
      <c r="H185" s="9"/>
      <c r="I185" s="9"/>
      <c r="J185" s="9"/>
      <c r="K185" s="9"/>
      <c r="L185" s="9"/>
      <c r="M185" s="9"/>
      <c r="N185" s="9"/>
      <c r="O185" s="9"/>
      <c r="P185" s="9"/>
      <c r="Q185" s="9"/>
      <c r="R185" s="9"/>
      <c r="S185" s="9"/>
      <c r="T185" s="9"/>
      <c r="U185" s="9"/>
      <c r="V185" s="9"/>
      <c r="W185" s="9"/>
      <c r="X185" s="9"/>
      <c r="Y185" s="9"/>
      <c r="Z185" s="9"/>
      <c r="AA185" s="9"/>
      <c r="AB185" s="9"/>
      <c r="AC185" s="9"/>
      <c r="AD185" s="9"/>
      <c r="AE185" s="9"/>
      <c r="AF185" s="9"/>
      <c r="AG185" s="9"/>
      <c r="AH185" s="9"/>
      <c r="AI185" s="9"/>
      <c r="AJ185" s="9"/>
      <c r="AK185" s="9"/>
      <c r="AL185" s="9"/>
      <c r="AM185" s="9"/>
      <c r="AN185" s="9"/>
      <c r="AO185" s="9"/>
      <c r="AP185" s="9"/>
      <c r="AQ185" s="9"/>
      <c r="AR185" s="9"/>
      <c r="AS185" s="9"/>
      <c r="AT185" s="9"/>
      <c r="AU185" s="9"/>
      <c r="AV185" s="9"/>
      <c r="AW185" s="9"/>
      <c r="AX185" s="9"/>
      <c r="AY185" s="9"/>
      <c r="AZ185" s="9"/>
      <c r="BA185" s="9"/>
      <c r="BB185" s="9"/>
      <c r="BC185" s="9"/>
      <c r="BD185" s="9"/>
      <c r="BE185" s="9"/>
      <c r="BF185" s="9"/>
      <c r="BG185" s="9"/>
      <c r="BH185" s="9"/>
      <c r="BI185" s="9"/>
      <c r="BJ185" s="9"/>
      <c r="BK185" s="9"/>
      <c r="BL185" s="9"/>
      <c r="BM185" s="9"/>
      <c r="BN185" s="9">
        <v>446553.9</v>
      </c>
      <c r="BO185" s="9">
        <v>386730.3</v>
      </c>
      <c r="BP185" s="9">
        <v>90968.5</v>
      </c>
      <c r="BQ185" s="9">
        <v>56333.5</v>
      </c>
      <c r="BR185" s="9">
        <v>46830.9</v>
      </c>
      <c r="BS185" s="9">
        <v>77420.899999999994</v>
      </c>
      <c r="BT185" s="9">
        <v>83301.899999999994</v>
      </c>
      <c r="BU185" s="9">
        <v>40363</v>
      </c>
      <c r="BV185" s="9">
        <v>59823.6</v>
      </c>
      <c r="BW185" s="9">
        <v>477418.3</v>
      </c>
      <c r="BX185" s="9">
        <v>13205.4</v>
      </c>
      <c r="BY185" s="9">
        <v>15572</v>
      </c>
      <c r="BZ185" s="9">
        <v>147238.5</v>
      </c>
      <c r="CA185" s="9">
        <v>57614.7</v>
      </c>
      <c r="CB185" s="9">
        <v>5974.8</v>
      </c>
      <c r="CC185" s="9">
        <v>168474.5</v>
      </c>
      <c r="CD185" s="9">
        <v>893.6</v>
      </c>
      <c r="CE185" s="9">
        <v>55193.3</v>
      </c>
      <c r="CF185" s="9">
        <v>1480863.4123918733</v>
      </c>
      <c r="CG185" s="9">
        <v>9703583.0765152033</v>
      </c>
      <c r="CH185" s="9"/>
      <c r="CI185" s="9"/>
      <c r="CJ185" s="9">
        <v>20.243330201300001</v>
      </c>
      <c r="CK185" s="9">
        <v>12.924731678600001</v>
      </c>
      <c r="CL185" s="9">
        <v>13</v>
      </c>
      <c r="CM185" s="9">
        <v>100.5353781685</v>
      </c>
      <c r="CN185" s="9">
        <v>30.629143541800001</v>
      </c>
      <c r="CO185" s="9">
        <v>4.0002432679000002</v>
      </c>
      <c r="CP185" s="9">
        <v>18.3570422198</v>
      </c>
      <c r="CQ185" s="9">
        <v>12.054305252800001</v>
      </c>
      <c r="CR185" s="9">
        <v>4.6848622662999997</v>
      </c>
      <c r="CS185" s="9">
        <v>3.1619615218999999</v>
      </c>
      <c r="CT185" s="9">
        <v>10.528295440400001</v>
      </c>
      <c r="CU185" s="9">
        <v>2.7532107535999999</v>
      </c>
      <c r="CV185" s="9">
        <v>2.0679195275</v>
      </c>
      <c r="CW185" s="9">
        <v>5.6362653829999996</v>
      </c>
      <c r="CX185" s="9">
        <v>2.7690950050000001</v>
      </c>
      <c r="CY185" s="9">
        <v>3.8930339886000001</v>
      </c>
      <c r="CZ185" s="9">
        <v>376</v>
      </c>
      <c r="DA185" s="9">
        <v>326</v>
      </c>
      <c r="DB185" s="9">
        <v>35</v>
      </c>
      <c r="DC185" s="9">
        <v>155</v>
      </c>
      <c r="DD185" s="9">
        <v>23</v>
      </c>
      <c r="DE185" s="9">
        <v>18</v>
      </c>
      <c r="DF185" s="9">
        <v>53</v>
      </c>
      <c r="DG185" s="9">
        <v>32</v>
      </c>
      <c r="DH185" s="9">
        <v>37</v>
      </c>
      <c r="DI185" s="9">
        <v>1</v>
      </c>
      <c r="DJ185" s="9">
        <v>4</v>
      </c>
      <c r="DK185" s="9">
        <v>31</v>
      </c>
      <c r="DL185" s="9">
        <v>2</v>
      </c>
      <c r="DM185" s="9">
        <v>10</v>
      </c>
      <c r="DN185" s="9">
        <v>0</v>
      </c>
      <c r="DO185" s="9">
        <v>332.2</v>
      </c>
      <c r="DP185" s="9">
        <v>97.07</v>
      </c>
      <c r="DQ185" s="9">
        <v>54.79</v>
      </c>
      <c r="DR185" s="9">
        <v>42.28</v>
      </c>
      <c r="DS185" s="9">
        <v>48.74</v>
      </c>
      <c r="DT185" s="9">
        <v>10.06</v>
      </c>
      <c r="DU185" s="9">
        <v>137.94999999999999</v>
      </c>
      <c r="DV185" s="9">
        <v>75.510000000000005</v>
      </c>
      <c r="DW185" s="9">
        <v>53.36</v>
      </c>
      <c r="DX185" s="9">
        <v>47.84</v>
      </c>
      <c r="DY185" s="9">
        <v>25.88</v>
      </c>
      <c r="DZ185" s="9">
        <v>14.74</v>
      </c>
      <c r="EA185" s="9">
        <v>-135.13900000000001</v>
      </c>
      <c r="EB185" s="9">
        <v>37.311390000000003</v>
      </c>
      <c r="EC185" s="9">
        <v>-99.299300000000002</v>
      </c>
      <c r="ED185" s="9">
        <v>-83.747200000000007</v>
      </c>
      <c r="EE185" s="9">
        <v>10.59625</v>
      </c>
      <c r="EF185" s="9">
        <v>8.6809019999999997</v>
      </c>
      <c r="EG185" s="9">
        <v>-26.531700000000001</v>
      </c>
      <c r="EH185" s="9">
        <v>10.3322</v>
      </c>
      <c r="EI185" s="9">
        <v>14.619899999999999</v>
      </c>
      <c r="EJ185" s="9">
        <v>0.17657999999999999</v>
      </c>
      <c r="EK185" s="9">
        <v>-51.660299999999999</v>
      </c>
      <c r="EL185" s="9">
        <v>50.542850000000001</v>
      </c>
      <c r="EM185" s="9">
        <v>-49.383400000000002</v>
      </c>
      <c r="EN185" s="9">
        <v>1267.3</v>
      </c>
      <c r="EO185" s="9"/>
      <c r="EP185" s="9"/>
      <c r="EQ185" s="9"/>
      <c r="ER185" s="9"/>
      <c r="ES185" s="9"/>
      <c r="ET185" s="9"/>
      <c r="EU185">
        <v>1975.83</v>
      </c>
      <c r="EV185" s="9"/>
      <c r="EW185" s="9"/>
      <c r="EX185" s="9"/>
      <c r="EY185" s="9"/>
      <c r="EZ185" s="9"/>
      <c r="FA185" s="9"/>
      <c r="FB185" s="9">
        <v>61.197857142899998</v>
      </c>
      <c r="FC185" s="9">
        <v>59.389545454500002</v>
      </c>
      <c r="FD185" s="9">
        <v>6042.0874999999996</v>
      </c>
      <c r="FE185" s="9">
        <v>52.113636363600001</v>
      </c>
      <c r="FF185" s="9">
        <v>1197.9100000000001</v>
      </c>
      <c r="FG185" s="9">
        <v>12237222.529999999</v>
      </c>
      <c r="FH185" s="9">
        <v>585638.41</v>
      </c>
      <c r="FI185" s="9">
        <v>745479.39</v>
      </c>
      <c r="FJ185" s="9">
        <v>5550659.8399999999</v>
      </c>
      <c r="FK185" s="9">
        <v>112280.07</v>
      </c>
      <c r="FL185" s="9">
        <v>95637.96</v>
      </c>
      <c r="FM185" s="9"/>
      <c r="FN185" s="9"/>
      <c r="FO185" s="9"/>
      <c r="FP185" s="9"/>
      <c r="FQ185" s="9"/>
      <c r="FR185" s="9"/>
      <c r="FS185" s="9"/>
      <c r="FT185" s="9">
        <v>6686562.6999999993</v>
      </c>
      <c r="FU185" s="9">
        <v>473358.34</v>
      </c>
      <c r="FV185" s="9">
        <v>649841.42999999993</v>
      </c>
      <c r="FW185" s="9"/>
      <c r="FX185" s="9"/>
      <c r="FY185" s="9"/>
      <c r="FZ185" s="9">
        <v>93290.14</v>
      </c>
      <c r="GA185" s="9">
        <v>7819166.4000000004</v>
      </c>
      <c r="GB185" s="9">
        <v>2038677.9</v>
      </c>
      <c r="GC185" s="9">
        <v>5780488.5</v>
      </c>
      <c r="GD185" s="9">
        <v>5649186.0700000003</v>
      </c>
      <c r="GE185" s="9">
        <v>531871.81000000006</v>
      </c>
      <c r="GF185" s="9">
        <v>5117314.2600000007</v>
      </c>
      <c r="GG185" s="9">
        <v>2169980.33</v>
      </c>
      <c r="GH185" s="9">
        <v>1506806.09</v>
      </c>
      <c r="GI185" s="9">
        <v>663174.24</v>
      </c>
      <c r="GJ185" s="9">
        <v>2944453.8</v>
      </c>
      <c r="GK185" s="9">
        <v>20498826.760000002</v>
      </c>
      <c r="GL185" s="9">
        <v>2260055.84</v>
      </c>
      <c r="GM185">
        <v>1960.41</v>
      </c>
      <c r="GO185" s="6"/>
      <c r="GP185" s="6"/>
      <c r="GQ185" s="6"/>
    </row>
    <row r="186" spans="1:199" x14ac:dyDescent="0.2">
      <c r="A186" s="8">
        <v>2015</v>
      </c>
      <c r="B186" s="8" t="s">
        <v>443</v>
      </c>
      <c r="C186" s="8" t="s">
        <v>445</v>
      </c>
      <c r="D186" s="9"/>
      <c r="E186" s="9"/>
      <c r="F186" s="9"/>
      <c r="G186" s="9"/>
      <c r="H186" s="9"/>
      <c r="I186" s="9"/>
      <c r="J186" s="9"/>
      <c r="K186" s="9"/>
      <c r="L186" s="9"/>
      <c r="M186" s="9"/>
      <c r="N186" s="9"/>
      <c r="O186" s="9"/>
      <c r="P186" s="9"/>
      <c r="Q186" s="9"/>
      <c r="R186" s="9"/>
      <c r="S186" s="9"/>
      <c r="T186" s="9"/>
      <c r="U186" s="9"/>
      <c r="V186" s="9"/>
      <c r="W186" s="9"/>
      <c r="X186" s="9"/>
      <c r="Y186" s="9"/>
      <c r="Z186" s="9"/>
      <c r="AA186" s="9"/>
      <c r="AB186" s="9"/>
      <c r="AC186" s="9"/>
      <c r="AD186" s="9"/>
      <c r="AE186" s="9"/>
      <c r="AF186" s="9"/>
      <c r="AG186" s="9"/>
      <c r="AH186" s="9"/>
      <c r="AI186" s="9"/>
      <c r="AJ186" s="9"/>
      <c r="AK186" s="9"/>
      <c r="AL186" s="9"/>
      <c r="AM186" s="9"/>
      <c r="AN186" s="9"/>
      <c r="AO186" s="9"/>
      <c r="AP186" s="9"/>
      <c r="AQ186" s="9"/>
      <c r="AR186" s="9"/>
      <c r="AS186" s="9"/>
      <c r="AT186" s="9"/>
      <c r="AU186" s="9"/>
      <c r="AV186" s="9"/>
      <c r="AW186" s="9"/>
      <c r="AX186" s="9"/>
      <c r="AY186" s="9"/>
      <c r="AZ186" s="9"/>
      <c r="BA186" s="9"/>
      <c r="BB186" s="9"/>
      <c r="BC186" s="9"/>
      <c r="BD186" s="9"/>
      <c r="BE186" s="9"/>
      <c r="BF186" s="9"/>
      <c r="BG186" s="9"/>
      <c r="BH186" s="9"/>
      <c r="BI186" s="9"/>
      <c r="BJ186" s="9"/>
      <c r="BK186" s="9"/>
      <c r="BL186" s="9"/>
      <c r="BM186" s="9"/>
      <c r="BN186" s="9">
        <v>422888</v>
      </c>
      <c r="BO186" s="9">
        <v>368150.6</v>
      </c>
      <c r="BP186" s="9">
        <v>44497.5</v>
      </c>
      <c r="BQ186" s="9">
        <v>22042.7</v>
      </c>
      <c r="BR186" s="9">
        <v>39065.699999999997</v>
      </c>
      <c r="BS186" s="9">
        <v>99054.1</v>
      </c>
      <c r="BT186" s="9">
        <v>99296</v>
      </c>
      <c r="BU186" s="9">
        <v>48801.9</v>
      </c>
      <c r="BV186" s="9">
        <v>54737.5</v>
      </c>
      <c r="BW186" s="9">
        <v>425860.4</v>
      </c>
      <c r="BX186" s="9">
        <v>3418.4</v>
      </c>
      <c r="BY186" s="9">
        <v>16542.599999999999</v>
      </c>
      <c r="BZ186" s="9">
        <v>136280</v>
      </c>
      <c r="CA186" s="9">
        <v>19010.7</v>
      </c>
      <c r="CB186" s="9">
        <v>4732.2</v>
      </c>
      <c r="CC186" s="9">
        <v>178584.4</v>
      </c>
      <c r="CD186" s="9">
        <v>1043.7</v>
      </c>
      <c r="CE186" s="9">
        <v>96461.1</v>
      </c>
      <c r="CF186" s="9">
        <v>1689542.771029114</v>
      </c>
      <c r="CG186" s="9">
        <v>9844468.5994521789</v>
      </c>
      <c r="CH186" s="9"/>
      <c r="CI186" s="9"/>
      <c r="CJ186" s="9">
        <v>19.7522789436</v>
      </c>
      <c r="CK186" s="9">
        <v>12.868173065400001</v>
      </c>
      <c r="CL186" s="9">
        <v>13</v>
      </c>
      <c r="CM186" s="9">
        <v>100.9282750246</v>
      </c>
      <c r="CN186" s="9">
        <v>30.8819311972</v>
      </c>
      <c r="CO186" s="9">
        <v>4.0119871969999998</v>
      </c>
      <c r="CP186" s="9">
        <v>18.441726274600001</v>
      </c>
      <c r="CQ186" s="9">
        <v>12.013155620899999</v>
      </c>
      <c r="CR186" s="9">
        <v>4.7086428671</v>
      </c>
      <c r="CS186" s="9">
        <v>3.1758848811</v>
      </c>
      <c r="CT186" s="9">
        <v>10.504136383600001</v>
      </c>
      <c r="CU186" s="9">
        <v>2.7533683881000002</v>
      </c>
      <c r="CV186" s="9">
        <v>2.0761730297000001</v>
      </c>
      <c r="CW186" s="9">
        <v>5.6362653829999996</v>
      </c>
      <c r="CX186" s="9">
        <v>2.7998721578999999</v>
      </c>
      <c r="CY186" s="9">
        <v>3.9251316442999999</v>
      </c>
      <c r="CZ186" s="9">
        <v>417</v>
      </c>
      <c r="DA186" s="9">
        <v>337</v>
      </c>
      <c r="DB186" s="9">
        <v>0</v>
      </c>
      <c r="DC186" s="9">
        <v>220</v>
      </c>
      <c r="DD186" s="9">
        <v>15</v>
      </c>
      <c r="DE186" s="9">
        <v>10</v>
      </c>
      <c r="DF186" s="9">
        <v>44</v>
      </c>
      <c r="DG186" s="9">
        <v>38</v>
      </c>
      <c r="DH186" s="9">
        <v>61</v>
      </c>
      <c r="DI186" s="9">
        <v>0</v>
      </c>
      <c r="DJ186" s="9">
        <v>2</v>
      </c>
      <c r="DK186" s="9">
        <v>56</v>
      </c>
      <c r="DL186" s="9">
        <v>1</v>
      </c>
      <c r="DM186" s="9">
        <v>18</v>
      </c>
      <c r="DN186" s="9">
        <v>0</v>
      </c>
      <c r="DO186" s="9">
        <v>412.56</v>
      </c>
      <c r="DP186" s="9">
        <v>110.93</v>
      </c>
      <c r="DQ186" s="9">
        <v>59.29</v>
      </c>
      <c r="DR186" s="9">
        <v>51.64</v>
      </c>
      <c r="DS186" s="9">
        <v>54.6</v>
      </c>
      <c r="DT186" s="9">
        <v>10.99</v>
      </c>
      <c r="DU186" s="9">
        <v>169.35</v>
      </c>
      <c r="DV186" s="9">
        <v>71.45</v>
      </c>
      <c r="DW186" s="9">
        <v>71.239999999999995</v>
      </c>
      <c r="DX186" s="9">
        <v>64.489999999999995</v>
      </c>
      <c r="DY186" s="9">
        <v>36.380000000000003</v>
      </c>
      <c r="DZ186" s="9">
        <v>18.21</v>
      </c>
      <c r="EA186" s="9">
        <v>-226.63399999999999</v>
      </c>
      <c r="EB186" s="9">
        <v>-93.766599999999997</v>
      </c>
      <c r="EC186" s="9">
        <v>-57.021099999999997</v>
      </c>
      <c r="ED186" s="9">
        <v>-105.03</v>
      </c>
      <c r="EE186" s="9">
        <v>29.183769999999999</v>
      </c>
      <c r="EF186" s="9">
        <v>9.5889260000000007</v>
      </c>
      <c r="EG186" s="9">
        <v>-353.17899999999997</v>
      </c>
      <c r="EH186" s="9">
        <v>-39.163600000000002</v>
      </c>
      <c r="EI186" s="9">
        <v>-486.08600000000001</v>
      </c>
      <c r="EJ186" s="9">
        <v>-0.1106</v>
      </c>
      <c r="EK186" s="9">
        <v>172.1816</v>
      </c>
      <c r="EL186" s="9">
        <v>202.59100000000001</v>
      </c>
      <c r="EM186" s="9">
        <v>338.7244</v>
      </c>
      <c r="EN186" s="9">
        <v>1591</v>
      </c>
      <c r="EO186" s="9"/>
      <c r="EP186" s="9"/>
      <c r="EQ186" s="9"/>
      <c r="ER186" s="9"/>
      <c r="ES186" s="9"/>
      <c r="ET186" s="9"/>
      <c r="EU186">
        <v>1939.28</v>
      </c>
      <c r="EV186" s="9"/>
      <c r="EW186" s="9"/>
      <c r="EX186" s="9"/>
      <c r="EY186" s="9"/>
      <c r="EZ186" s="9"/>
      <c r="FA186" s="9"/>
      <c r="FB186" s="9">
        <v>65.671240601500003</v>
      </c>
      <c r="FC186" s="9">
        <v>64.5614285714</v>
      </c>
      <c r="FD186" s="9">
        <v>6294.7763157894997</v>
      </c>
      <c r="FE186" s="9">
        <v>60.428571428600002</v>
      </c>
      <c r="FF186" s="9">
        <v>1199.052631579</v>
      </c>
      <c r="FG186" s="9">
        <v>12110369.220000001</v>
      </c>
      <c r="FH186" s="9">
        <v>598441.52999999991</v>
      </c>
      <c r="FI186" s="9">
        <v>737032.42</v>
      </c>
      <c r="FJ186" s="9">
        <v>5612308.4500000002</v>
      </c>
      <c r="FK186" s="9">
        <v>115542.42</v>
      </c>
      <c r="FL186" s="9">
        <v>101573.28</v>
      </c>
      <c r="FM186" s="9"/>
      <c r="FN186" s="9"/>
      <c r="FO186" s="9"/>
      <c r="FP186" s="9"/>
      <c r="FQ186" s="9"/>
      <c r="FR186" s="9"/>
      <c r="FS186" s="9"/>
      <c r="FT186" s="9">
        <v>6497624.370000001</v>
      </c>
      <c r="FU186" s="9">
        <v>482899.11</v>
      </c>
      <c r="FV186" s="9">
        <v>635022.75</v>
      </c>
      <c r="FW186" s="9"/>
      <c r="FX186" s="9"/>
      <c r="FY186" s="9"/>
      <c r="FZ186" s="9">
        <v>91381.46</v>
      </c>
      <c r="GA186" s="9">
        <v>7795822.9699999997</v>
      </c>
      <c r="GB186" s="9">
        <v>2032671.94</v>
      </c>
      <c r="GC186" s="9">
        <v>5763151.0300000003</v>
      </c>
      <c r="GD186" s="9">
        <v>5604296.7300000004</v>
      </c>
      <c r="GE186" s="9">
        <v>501356.97</v>
      </c>
      <c r="GF186" s="9">
        <v>5102939.76</v>
      </c>
      <c r="GG186" s="9">
        <v>2191526.2400000002</v>
      </c>
      <c r="GH186" s="9">
        <v>1531314.97</v>
      </c>
      <c r="GI186" s="9">
        <v>660211.27</v>
      </c>
      <c r="GJ186" s="9">
        <v>2989789.42</v>
      </c>
      <c r="GK186" s="9">
        <v>21462990.760000002</v>
      </c>
      <c r="GL186" s="9">
        <v>2337068.21</v>
      </c>
      <c r="GM186">
        <v>1907.32</v>
      </c>
      <c r="GO186" s="6"/>
      <c r="GP186" s="6"/>
      <c r="GQ186" s="6"/>
    </row>
    <row r="187" spans="1:199" x14ac:dyDescent="0.2">
      <c r="A187" s="8">
        <v>2015</v>
      </c>
      <c r="B187" s="8" t="s">
        <v>443</v>
      </c>
      <c r="C187" s="8" t="s">
        <v>446</v>
      </c>
      <c r="D187" s="9">
        <v>6041806.5999999996</v>
      </c>
      <c r="E187" s="9">
        <v>1387507</v>
      </c>
      <c r="F187" s="9">
        <v>776807.5</v>
      </c>
      <c r="G187" s="9">
        <v>359163.9</v>
      </c>
      <c r="H187" s="9">
        <v>98878.6</v>
      </c>
      <c r="I187" s="9">
        <v>248033.2</v>
      </c>
      <c r="J187" s="9">
        <v>455972.5</v>
      </c>
      <c r="K187" s="9">
        <v>291051.3</v>
      </c>
      <c r="L187" s="9">
        <v>115946.3</v>
      </c>
      <c r="M187" s="9">
        <v>1776057</v>
      </c>
      <c r="N187" s="9">
        <v>532389.19999999995</v>
      </c>
      <c r="O187" s="9">
        <v>6296040.4380000001</v>
      </c>
      <c r="P187" s="9">
        <v>1462816.1240000001</v>
      </c>
      <c r="Q187" s="9">
        <v>884857.58900000004</v>
      </c>
      <c r="R187" s="9">
        <v>403655.17499999999</v>
      </c>
      <c r="S187" s="9">
        <v>109852.614</v>
      </c>
      <c r="T187" s="9">
        <v>249750.62100000001</v>
      </c>
      <c r="U187" s="9">
        <v>552690.005</v>
      </c>
      <c r="V187" s="9">
        <v>230347.242</v>
      </c>
      <c r="W187" s="9">
        <v>112802.292</v>
      </c>
      <c r="X187" s="9">
        <v>1609954.8489999999</v>
      </c>
      <c r="Y187" s="9">
        <v>679313.92700000003</v>
      </c>
      <c r="Z187" s="9">
        <v>6089978</v>
      </c>
      <c r="AA187" s="9">
        <v>3849706.1</v>
      </c>
      <c r="AB187" s="9">
        <v>843536.5</v>
      </c>
      <c r="AC187" s="9">
        <v>1140303.3</v>
      </c>
      <c r="AD187" s="9">
        <v>381022.9</v>
      </c>
      <c r="AE187" s="9">
        <v>2868306.9</v>
      </c>
      <c r="AF187" s="9">
        <v>2992897.7</v>
      </c>
      <c r="AG187" s="9">
        <v>5982719.9000000004</v>
      </c>
      <c r="AH187" s="9">
        <v>3943573.4</v>
      </c>
      <c r="AI187" s="9">
        <v>911334.5</v>
      </c>
      <c r="AJ187" s="9">
        <v>1032295.3</v>
      </c>
      <c r="AK187" s="9">
        <v>508975.2</v>
      </c>
      <c r="AL187" s="9">
        <v>2582393.9</v>
      </c>
      <c r="AM187" s="9">
        <v>2995852.5</v>
      </c>
      <c r="AN187" s="9">
        <v>1145341</v>
      </c>
      <c r="AO187" s="9">
        <v>599987</v>
      </c>
      <c r="AP187" s="9">
        <v>545354</v>
      </c>
      <c r="AQ187" s="9">
        <v>97290</v>
      </c>
      <c r="AR187" s="9">
        <v>58200</v>
      </c>
      <c r="AS187" s="9">
        <v>39090</v>
      </c>
      <c r="AT187" s="9">
        <v>735299</v>
      </c>
      <c r="AU187" s="9">
        <v>295458</v>
      </c>
      <c r="AV187" s="9">
        <v>439841</v>
      </c>
      <c r="AW187" s="9">
        <v>853.9</v>
      </c>
      <c r="AX187" s="9">
        <v>679.8</v>
      </c>
      <c r="AY187" s="9">
        <v>2008.8</v>
      </c>
      <c r="AZ187" s="9">
        <v>793.9</v>
      </c>
      <c r="BA187" s="9">
        <v>1121.4000000000001</v>
      </c>
      <c r="BB187" s="9">
        <v>670</v>
      </c>
      <c r="BC187" s="9">
        <v>699.4</v>
      </c>
      <c r="BD187" s="9">
        <v>730.3</v>
      </c>
      <c r="BE187" s="9">
        <v>929.3</v>
      </c>
      <c r="BF187" s="9">
        <v>556.9</v>
      </c>
      <c r="BG187" s="9">
        <v>887.2</v>
      </c>
      <c r="BH187" s="9">
        <v>1084.2</v>
      </c>
      <c r="BI187" s="9">
        <v>811.9</v>
      </c>
      <c r="BJ187" s="9">
        <v>858.5</v>
      </c>
      <c r="BK187" s="9">
        <v>799.3</v>
      </c>
      <c r="BL187" s="9">
        <v>630.6</v>
      </c>
      <c r="BM187" s="9">
        <v>796.2</v>
      </c>
      <c r="BN187" s="9">
        <v>542258.19999999995</v>
      </c>
      <c r="BO187" s="9">
        <v>495978.8</v>
      </c>
      <c r="BP187" s="9">
        <v>104889.8</v>
      </c>
      <c r="BQ187" s="9">
        <v>56534.1</v>
      </c>
      <c r="BR187" s="9">
        <v>49454.6</v>
      </c>
      <c r="BS187" s="9">
        <v>119102</v>
      </c>
      <c r="BT187" s="9">
        <v>109969.8</v>
      </c>
      <c r="BU187" s="9">
        <v>48536</v>
      </c>
      <c r="BV187" s="9">
        <v>46279.3</v>
      </c>
      <c r="BW187" s="9">
        <v>621175.69999999995</v>
      </c>
      <c r="BX187" s="9">
        <v>6077.9</v>
      </c>
      <c r="BY187" s="9">
        <v>15243.1</v>
      </c>
      <c r="BZ187" s="9">
        <v>198877</v>
      </c>
      <c r="CA187" s="9">
        <v>105449.60000000001</v>
      </c>
      <c r="CB187" s="9">
        <v>11781.7</v>
      </c>
      <c r="CC187" s="9">
        <v>215227.7</v>
      </c>
      <c r="CD187" s="9">
        <v>956.4</v>
      </c>
      <c r="CE187" s="9">
        <v>102211.6</v>
      </c>
      <c r="CF187" s="9">
        <v>1664079.8614780791</v>
      </c>
      <c r="CG187" s="9">
        <v>10039918.160648551</v>
      </c>
      <c r="CH187" s="9"/>
      <c r="CI187" s="9"/>
      <c r="CJ187" s="9">
        <v>19.817912575899999</v>
      </c>
      <c r="CK187" s="9">
        <v>11.797954079</v>
      </c>
      <c r="CL187" s="9">
        <v>13</v>
      </c>
      <c r="CM187" s="9">
        <v>100.8645563586</v>
      </c>
      <c r="CN187" s="9">
        <v>30.7462709526</v>
      </c>
      <c r="CO187" s="9">
        <v>4.0258238658999996</v>
      </c>
      <c r="CP187" s="9">
        <v>18.488357922999999</v>
      </c>
      <c r="CQ187" s="9">
        <v>11.982727200799999</v>
      </c>
      <c r="CR187" s="9">
        <v>4.7275154789</v>
      </c>
      <c r="CS187" s="9">
        <v>3.1736632303999999</v>
      </c>
      <c r="CT187" s="9">
        <v>10.517966900599999</v>
      </c>
      <c r="CU187" s="9">
        <v>2.7431392435999999</v>
      </c>
      <c r="CV187" s="9">
        <v>2.0602060442000001</v>
      </c>
      <c r="CW187" s="9">
        <v>5.6362653829999996</v>
      </c>
      <c r="CX187" s="9">
        <v>2.8136001875000001</v>
      </c>
      <c r="CY187" s="9">
        <v>3.9490199483000001</v>
      </c>
      <c r="CZ187" s="9">
        <v>501</v>
      </c>
      <c r="DA187" s="9">
        <v>429</v>
      </c>
      <c r="DB187" s="9">
        <v>25</v>
      </c>
      <c r="DC187" s="9">
        <v>260</v>
      </c>
      <c r="DD187" s="9">
        <v>18</v>
      </c>
      <c r="DE187" s="9">
        <v>8</v>
      </c>
      <c r="DF187" s="9">
        <v>70</v>
      </c>
      <c r="DG187" s="9">
        <v>36</v>
      </c>
      <c r="DH187" s="9">
        <v>55</v>
      </c>
      <c r="DI187" s="9">
        <v>2</v>
      </c>
      <c r="DJ187" s="9">
        <v>0</v>
      </c>
      <c r="DK187" s="9">
        <v>51</v>
      </c>
      <c r="DL187" s="9">
        <v>1</v>
      </c>
      <c r="DM187" s="9">
        <v>16</v>
      </c>
      <c r="DN187" s="9">
        <v>0</v>
      </c>
      <c r="DO187" s="9">
        <v>392.03</v>
      </c>
      <c r="DP187" s="9">
        <v>109.05</v>
      </c>
      <c r="DQ187" s="9">
        <v>56.85</v>
      </c>
      <c r="DR187" s="9">
        <v>52.2</v>
      </c>
      <c r="DS187" s="9">
        <v>49.77</v>
      </c>
      <c r="DT187" s="9">
        <v>11.76</v>
      </c>
      <c r="DU187" s="9">
        <v>171.06</v>
      </c>
      <c r="DV187" s="9">
        <v>90.65</v>
      </c>
      <c r="DW187" s="9">
        <v>57.66</v>
      </c>
      <c r="DX187" s="9">
        <v>61.56</v>
      </c>
      <c r="DY187" s="9">
        <v>36.17</v>
      </c>
      <c r="DZ187" s="9">
        <v>17.02</v>
      </c>
      <c r="EA187" s="9">
        <v>-96.566500000000005</v>
      </c>
      <c r="EB187" s="9">
        <v>71.522580000000005</v>
      </c>
      <c r="EC187" s="9">
        <v>-63.671100000000003</v>
      </c>
      <c r="ED187" s="9">
        <v>-126.732</v>
      </c>
      <c r="EE187" s="9">
        <v>22.313510000000001</v>
      </c>
      <c r="EF187" s="9">
        <v>11.23668</v>
      </c>
      <c r="EG187" s="9">
        <v>-131.92099999999999</v>
      </c>
      <c r="EH187" s="9">
        <v>-28.0762</v>
      </c>
      <c r="EI187" s="9">
        <v>-159.739</v>
      </c>
      <c r="EJ187" s="9">
        <v>-2.8459999999999999E-2</v>
      </c>
      <c r="EK187" s="9">
        <v>55.92351</v>
      </c>
      <c r="EL187" s="9">
        <v>18.381350000000001</v>
      </c>
      <c r="EM187" s="9">
        <v>64.971990000000005</v>
      </c>
      <c r="EN187" s="9">
        <v>1685.6</v>
      </c>
      <c r="EO187" s="9"/>
      <c r="EP187" s="9"/>
      <c r="EQ187" s="9"/>
      <c r="ER187" s="9"/>
      <c r="ES187" s="9"/>
      <c r="ET187" s="9"/>
      <c r="EU187">
        <v>1903.29</v>
      </c>
      <c r="EV187" s="9">
        <v>22428.560000000001</v>
      </c>
      <c r="EW187" s="9">
        <v>3673.69</v>
      </c>
      <c r="EX187" s="9">
        <v>1851.34</v>
      </c>
      <c r="EY187" s="9">
        <v>2241.11</v>
      </c>
      <c r="EZ187" s="9">
        <v>3798.42</v>
      </c>
      <c r="FA187" s="9">
        <v>10863.99</v>
      </c>
      <c r="FB187" s="9">
        <v>63.104707792200003</v>
      </c>
      <c r="FC187" s="9">
        <v>62.345909090900001</v>
      </c>
      <c r="FD187" s="9">
        <v>5833.0113636364003</v>
      </c>
      <c r="FE187" s="9">
        <v>61.840909090899999</v>
      </c>
      <c r="FF187" s="9">
        <v>1181.5045454545</v>
      </c>
      <c r="FG187" s="9">
        <v>11881967.27</v>
      </c>
      <c r="FH187" s="9">
        <v>601689.39</v>
      </c>
      <c r="FI187" s="9">
        <v>771939.88</v>
      </c>
      <c r="FJ187" s="9">
        <v>5392009.7600000007</v>
      </c>
      <c r="FK187" s="9">
        <v>108076.55</v>
      </c>
      <c r="FL187" s="9">
        <v>106024.18</v>
      </c>
      <c r="FM187" s="9"/>
      <c r="FN187" s="9"/>
      <c r="FO187" s="9"/>
      <c r="FP187" s="9"/>
      <c r="FQ187" s="9"/>
      <c r="FR187" s="9"/>
      <c r="FS187" s="9"/>
      <c r="FT187" s="9">
        <v>6489952.8200000003</v>
      </c>
      <c r="FU187" s="9">
        <v>493612.83</v>
      </c>
      <c r="FV187" s="9">
        <v>665911.02</v>
      </c>
      <c r="FW187" s="9"/>
      <c r="FX187" s="9"/>
      <c r="FY187" s="9"/>
      <c r="FZ187" s="9">
        <v>93605.24</v>
      </c>
      <c r="GA187" s="9">
        <v>8113221.7599999998</v>
      </c>
      <c r="GB187" s="9">
        <v>2183280.83</v>
      </c>
      <c r="GC187" s="9">
        <v>5929940.9299999997</v>
      </c>
      <c r="GD187" s="9">
        <v>5810193.6200000001</v>
      </c>
      <c r="GE187" s="9">
        <v>574351.72</v>
      </c>
      <c r="GF187" s="9">
        <v>5235841.9000000004</v>
      </c>
      <c r="GG187" s="9">
        <v>2303028.14</v>
      </c>
      <c r="GH187" s="9">
        <v>1608929.11</v>
      </c>
      <c r="GI187" s="9">
        <v>694099.02999999991</v>
      </c>
      <c r="GJ187" s="9">
        <v>2942231.12</v>
      </c>
      <c r="GK187" s="9">
        <v>21861631.640000001</v>
      </c>
      <c r="GL187" s="9">
        <v>2325888.11</v>
      </c>
      <c r="GM187">
        <v>1963.56</v>
      </c>
      <c r="GO187" s="6"/>
      <c r="GP187" s="6"/>
      <c r="GQ187" s="6"/>
    </row>
    <row r="188" spans="1:199" x14ac:dyDescent="0.2">
      <c r="A188" s="8">
        <v>2015</v>
      </c>
      <c r="B188" s="8" t="s">
        <v>447</v>
      </c>
      <c r="C188" s="8" t="s">
        <v>448</v>
      </c>
      <c r="D188" s="9"/>
      <c r="E188" s="9"/>
      <c r="F188" s="9"/>
      <c r="G188" s="9"/>
      <c r="H188" s="9"/>
      <c r="I188" s="9"/>
      <c r="J188" s="9"/>
      <c r="K188" s="9"/>
      <c r="L188" s="9"/>
      <c r="M188" s="9"/>
      <c r="N188" s="9"/>
      <c r="O188" s="9"/>
      <c r="P188" s="9"/>
      <c r="Q188" s="9"/>
      <c r="R188" s="9"/>
      <c r="S188" s="9"/>
      <c r="T188" s="9"/>
      <c r="U188" s="9"/>
      <c r="V188" s="9"/>
      <c r="W188" s="9"/>
      <c r="X188" s="9"/>
      <c r="Y188" s="9"/>
      <c r="Z188" s="9"/>
      <c r="AA188" s="9"/>
      <c r="AB188" s="9"/>
      <c r="AC188" s="9"/>
      <c r="AD188" s="9"/>
      <c r="AE188" s="9"/>
      <c r="AF188" s="9"/>
      <c r="AG188" s="9"/>
      <c r="AH188" s="9"/>
      <c r="AI188" s="9"/>
      <c r="AJ188" s="9"/>
      <c r="AK188" s="9"/>
      <c r="AL188" s="9"/>
      <c r="AM188" s="9"/>
      <c r="AN188" s="9"/>
      <c r="AO188" s="9"/>
      <c r="AP188" s="9"/>
      <c r="AQ188" s="9"/>
      <c r="AR188" s="9"/>
      <c r="AS188" s="9"/>
      <c r="AT188" s="9"/>
      <c r="AU188" s="9"/>
      <c r="AV188" s="9"/>
      <c r="AW188" s="9"/>
      <c r="AX188" s="9"/>
      <c r="AY188" s="9"/>
      <c r="AZ188" s="9"/>
      <c r="BA188" s="9"/>
      <c r="BB188" s="9"/>
      <c r="BC188" s="9"/>
      <c r="BD188" s="9"/>
      <c r="BE188" s="9"/>
      <c r="BF188" s="9"/>
      <c r="BG188" s="9"/>
      <c r="BH188" s="9"/>
      <c r="BI188" s="9"/>
      <c r="BJ188" s="9"/>
      <c r="BK188" s="9"/>
      <c r="BL188" s="9"/>
      <c r="BM188" s="9"/>
      <c r="BN188" s="9">
        <v>502727.9</v>
      </c>
      <c r="BO188" s="9">
        <v>404552.8</v>
      </c>
      <c r="BP188" s="9">
        <v>85294.7</v>
      </c>
      <c r="BQ188" s="9">
        <v>44874.8</v>
      </c>
      <c r="BR188" s="9">
        <v>39660.199999999997</v>
      </c>
      <c r="BS188" s="9">
        <v>71748.3</v>
      </c>
      <c r="BT188" s="9">
        <v>83527.399999999994</v>
      </c>
      <c r="BU188" s="9">
        <v>59708.4</v>
      </c>
      <c r="BV188" s="9">
        <v>98175.1</v>
      </c>
      <c r="BW188" s="9">
        <v>408613.1</v>
      </c>
      <c r="BX188" s="9">
        <v>5260.7</v>
      </c>
      <c r="BY188" s="9">
        <v>20817.400000000001</v>
      </c>
      <c r="BZ188" s="9">
        <v>115502.8</v>
      </c>
      <c r="CA188" s="9">
        <v>38369.5</v>
      </c>
      <c r="CB188" s="9">
        <v>7685.7</v>
      </c>
      <c r="CC188" s="9">
        <v>163589.5</v>
      </c>
      <c r="CD188" s="9">
        <v>1875.7</v>
      </c>
      <c r="CE188" s="9">
        <v>191818.7</v>
      </c>
      <c r="CF188" s="9">
        <v>1654159.846595241</v>
      </c>
      <c r="CG188" s="9">
        <v>9860650.2046720032</v>
      </c>
      <c r="CH188" s="9"/>
      <c r="CI188" s="9"/>
      <c r="CJ188" s="9">
        <v>19.412835985299999</v>
      </c>
      <c r="CK188" s="9">
        <v>12.569463665900001</v>
      </c>
      <c r="CL188" s="9">
        <v>13</v>
      </c>
      <c r="CM188" s="9">
        <v>100.8888349497</v>
      </c>
      <c r="CN188" s="9">
        <v>30.722213232200001</v>
      </c>
      <c r="CO188" s="9">
        <v>4.0284844406999998</v>
      </c>
      <c r="CP188" s="9">
        <v>18.4974774051</v>
      </c>
      <c r="CQ188" s="9">
        <v>11.949031852799999</v>
      </c>
      <c r="CR188" s="9">
        <v>4.7406863513999999</v>
      </c>
      <c r="CS188" s="9">
        <v>3.1893727166999999</v>
      </c>
      <c r="CT188" s="9">
        <v>10.522042919800001</v>
      </c>
      <c r="CU188" s="9">
        <v>2.7369015282000002</v>
      </c>
      <c r="CV188" s="9">
        <v>2.0634070478000002</v>
      </c>
      <c r="CW188" s="9">
        <v>5.6362653829999996</v>
      </c>
      <c r="CX188" s="9">
        <v>2.8160363899999998</v>
      </c>
      <c r="CY188" s="9">
        <v>3.9869156818999998</v>
      </c>
      <c r="CZ188" s="9">
        <v>443</v>
      </c>
      <c r="DA188" s="9">
        <v>352</v>
      </c>
      <c r="DB188" s="9">
        <v>22</v>
      </c>
      <c r="DC188" s="9">
        <v>206</v>
      </c>
      <c r="DD188" s="9">
        <v>20</v>
      </c>
      <c r="DE188" s="9">
        <v>10</v>
      </c>
      <c r="DF188" s="9">
        <v>44</v>
      </c>
      <c r="DG188" s="9">
        <v>38</v>
      </c>
      <c r="DH188" s="9">
        <v>60</v>
      </c>
      <c r="DI188" s="9">
        <v>0</v>
      </c>
      <c r="DJ188" s="9">
        <v>1</v>
      </c>
      <c r="DK188" s="9">
        <v>58</v>
      </c>
      <c r="DL188" s="9">
        <v>0</v>
      </c>
      <c r="DM188" s="9">
        <v>30</v>
      </c>
      <c r="DN188" s="9">
        <v>0</v>
      </c>
      <c r="DO188" s="9">
        <v>369.73</v>
      </c>
      <c r="DP188" s="9">
        <v>99.01</v>
      </c>
      <c r="DQ188" s="9">
        <v>55.71</v>
      </c>
      <c r="DR188" s="9">
        <v>43.31</v>
      </c>
      <c r="DS188" s="9">
        <v>49.48</v>
      </c>
      <c r="DT188" s="9">
        <v>11.37</v>
      </c>
      <c r="DU188" s="9">
        <v>136.35</v>
      </c>
      <c r="DV188" s="9">
        <v>58.12</v>
      </c>
      <c r="DW188" s="9">
        <v>56.79</v>
      </c>
      <c r="DX188" s="9">
        <v>84.18</v>
      </c>
      <c r="DY188" s="9">
        <v>48.57</v>
      </c>
      <c r="DZ188" s="9">
        <v>24.74</v>
      </c>
      <c r="EA188" s="9">
        <v>-118.89</v>
      </c>
      <c r="EB188" s="9">
        <v>21.889559999999999</v>
      </c>
      <c r="EC188" s="9">
        <v>-50.748899999999999</v>
      </c>
      <c r="ED188" s="9">
        <v>-104.752</v>
      </c>
      <c r="EE188" s="9">
        <v>14.721970000000001</v>
      </c>
      <c r="EF188" s="9">
        <v>13.647019999999999</v>
      </c>
      <c r="EG188" s="9">
        <v>-185.071</v>
      </c>
      <c r="EH188" s="9">
        <v>6.4477549999999999</v>
      </c>
      <c r="EI188" s="9">
        <v>8.6892560000000003</v>
      </c>
      <c r="EJ188" s="9">
        <v>7.7980000000000002E-3</v>
      </c>
      <c r="EK188" s="9">
        <v>-200.21600000000001</v>
      </c>
      <c r="EL188" s="9">
        <v>-80.748400000000004</v>
      </c>
      <c r="EM188" s="9">
        <v>-0.91993999999999998</v>
      </c>
      <c r="EN188" s="9">
        <v>1707.2</v>
      </c>
      <c r="EO188" s="9"/>
      <c r="EP188" s="9"/>
      <c r="EQ188" s="9"/>
      <c r="ER188" s="9"/>
      <c r="ES188" s="9"/>
      <c r="ET188" s="9"/>
      <c r="EU188">
        <v>1978.28</v>
      </c>
      <c r="EV188" s="9"/>
      <c r="EW188" s="9"/>
      <c r="EX188" s="9"/>
      <c r="EY188" s="9"/>
      <c r="EZ188" s="9"/>
      <c r="FA188" s="9"/>
      <c r="FB188" s="9">
        <v>64.483229813700007</v>
      </c>
      <c r="FC188" s="9">
        <v>55.865652173900003</v>
      </c>
      <c r="FD188" s="9">
        <v>5456.75</v>
      </c>
      <c r="FE188" s="9">
        <v>52.173913043500001</v>
      </c>
      <c r="FF188" s="9">
        <v>1130.0369565216999</v>
      </c>
      <c r="FG188" s="9">
        <v>11927125.08</v>
      </c>
      <c r="FH188" s="9">
        <v>714255.63</v>
      </c>
      <c r="FI188" s="9">
        <v>822666.20000000007</v>
      </c>
      <c r="FJ188" s="9">
        <v>5402127.1000000006</v>
      </c>
      <c r="FK188" s="9">
        <v>124294.07</v>
      </c>
      <c r="FL188" s="9">
        <v>117715.82</v>
      </c>
      <c r="FM188" s="9"/>
      <c r="FN188" s="9"/>
      <c r="FO188" s="9"/>
      <c r="FP188" s="9"/>
      <c r="FQ188" s="9"/>
      <c r="FR188" s="9"/>
      <c r="FS188" s="9"/>
      <c r="FT188" s="9">
        <v>6524993.669999999</v>
      </c>
      <c r="FU188" s="9">
        <v>589961.55000000005</v>
      </c>
      <c r="FV188" s="9">
        <v>704946.09000000008</v>
      </c>
      <c r="FW188" s="9"/>
      <c r="FX188" s="9"/>
      <c r="FY188" s="9"/>
      <c r="FZ188" s="9">
        <v>95336.47</v>
      </c>
      <c r="GA188" s="9">
        <v>8076758.3499999996</v>
      </c>
      <c r="GB188" s="9">
        <v>2144513.5099999998</v>
      </c>
      <c r="GC188" s="9">
        <v>5932244.8400000008</v>
      </c>
      <c r="GD188" s="9">
        <v>5859939.4700000007</v>
      </c>
      <c r="GE188" s="9">
        <v>566976.61</v>
      </c>
      <c r="GF188" s="9">
        <v>5292962.8599999994</v>
      </c>
      <c r="GG188" s="9">
        <v>2216818.88</v>
      </c>
      <c r="GH188" s="9">
        <v>1577536.9</v>
      </c>
      <c r="GI188" s="9">
        <v>639281.98</v>
      </c>
      <c r="GJ188" s="9">
        <v>2732129.34</v>
      </c>
      <c r="GK188" s="9">
        <v>21459233.949999999</v>
      </c>
      <c r="GL188" s="9">
        <v>2347535.9300000002</v>
      </c>
      <c r="GM188">
        <v>1985.06</v>
      </c>
      <c r="GO188" s="6"/>
      <c r="GP188" s="6"/>
      <c r="GQ188" s="6"/>
    </row>
    <row r="189" spans="1:199" x14ac:dyDescent="0.2">
      <c r="A189" s="8">
        <v>2015</v>
      </c>
      <c r="B189" s="8" t="s">
        <v>447</v>
      </c>
      <c r="C189" s="8" t="s">
        <v>449</v>
      </c>
      <c r="D189" s="9"/>
      <c r="E189" s="9"/>
      <c r="F189" s="9"/>
      <c r="G189" s="9"/>
      <c r="H189" s="9"/>
      <c r="I189" s="9"/>
      <c r="J189" s="9"/>
      <c r="K189" s="9"/>
      <c r="L189" s="9"/>
      <c r="M189" s="9"/>
      <c r="N189" s="9"/>
      <c r="O189" s="9"/>
      <c r="P189" s="9"/>
      <c r="Q189" s="9"/>
      <c r="R189" s="9"/>
      <c r="S189" s="9"/>
      <c r="T189" s="9"/>
      <c r="U189" s="9"/>
      <c r="V189" s="9"/>
      <c r="W189" s="9"/>
      <c r="X189" s="9"/>
      <c r="Y189" s="9"/>
      <c r="Z189" s="9"/>
      <c r="AA189" s="9"/>
      <c r="AB189" s="9"/>
      <c r="AC189" s="9"/>
      <c r="AD189" s="9"/>
      <c r="AE189" s="9"/>
      <c r="AF189" s="9"/>
      <c r="AG189" s="9"/>
      <c r="AH189" s="9"/>
      <c r="AI189" s="9"/>
      <c r="AJ189" s="9"/>
      <c r="AK189" s="9"/>
      <c r="AL189" s="9"/>
      <c r="AM189" s="9"/>
      <c r="AN189" s="9"/>
      <c r="AO189" s="9"/>
      <c r="AP189" s="9"/>
      <c r="AQ189" s="9"/>
      <c r="AR189" s="9"/>
      <c r="AS189" s="9"/>
      <c r="AT189" s="9"/>
      <c r="AU189" s="9"/>
      <c r="AV189" s="9"/>
      <c r="AW189" s="9"/>
      <c r="AX189" s="9"/>
      <c r="AY189" s="9"/>
      <c r="AZ189" s="9"/>
      <c r="BA189" s="9"/>
      <c r="BB189" s="9"/>
      <c r="BC189" s="9"/>
      <c r="BD189" s="9"/>
      <c r="BE189" s="9"/>
      <c r="BF189" s="9"/>
      <c r="BG189" s="9"/>
      <c r="BH189" s="9"/>
      <c r="BI189" s="9"/>
      <c r="BJ189" s="9"/>
      <c r="BK189" s="9"/>
      <c r="BL189" s="9"/>
      <c r="BM189" s="9"/>
      <c r="BN189" s="9">
        <v>433863.3</v>
      </c>
      <c r="BO189" s="9">
        <v>321479.7</v>
      </c>
      <c r="BP189" s="9">
        <v>64582</v>
      </c>
      <c r="BQ189" s="9">
        <v>33407.9</v>
      </c>
      <c r="BR189" s="9">
        <v>31796.6</v>
      </c>
      <c r="BS189" s="9">
        <v>72501.3</v>
      </c>
      <c r="BT189" s="9">
        <v>73632.7</v>
      </c>
      <c r="BU189" s="9">
        <v>39572.6</v>
      </c>
      <c r="BV189" s="9">
        <v>112383.6</v>
      </c>
      <c r="BW189" s="9">
        <v>434044.1</v>
      </c>
      <c r="BX189" s="9">
        <v>-917.8</v>
      </c>
      <c r="BY189" s="9">
        <v>12963.8</v>
      </c>
      <c r="BZ189" s="9">
        <v>105484.2</v>
      </c>
      <c r="CA189" s="9">
        <v>88195.5</v>
      </c>
      <c r="CB189" s="9">
        <v>6021.9</v>
      </c>
      <c r="CC189" s="9">
        <v>162871.29999999999</v>
      </c>
      <c r="CD189" s="9">
        <v>1652.6</v>
      </c>
      <c r="CE189" s="9">
        <v>132086.20000000001</v>
      </c>
      <c r="CF189" s="9">
        <v>1681847.4936949031</v>
      </c>
      <c r="CG189" s="9">
        <v>9963096.562649684</v>
      </c>
      <c r="CH189" s="9"/>
      <c r="CI189" s="9"/>
      <c r="CJ189" s="9">
        <v>20.054014079400002</v>
      </c>
      <c r="CK189" s="9">
        <v>12.2478530752</v>
      </c>
      <c r="CL189" s="9">
        <v>13</v>
      </c>
      <c r="CM189" s="9">
        <v>101.0000928171</v>
      </c>
      <c r="CN189" s="9">
        <v>29.401351322299998</v>
      </c>
      <c r="CO189" s="9">
        <v>4.0313203599999996</v>
      </c>
      <c r="CP189" s="9">
        <v>18.531752581300001</v>
      </c>
      <c r="CQ189" s="9">
        <v>12.0094031224</v>
      </c>
      <c r="CR189" s="9">
        <v>4.7542076747999999</v>
      </c>
      <c r="CS189" s="9">
        <v>3.1927357752000001</v>
      </c>
      <c r="CT189" s="9">
        <v>10.5176289824</v>
      </c>
      <c r="CU189" s="9">
        <v>2.737153357</v>
      </c>
      <c r="CV189" s="9">
        <v>2.0682836664000002</v>
      </c>
      <c r="CW189" s="9">
        <v>6.9377690183</v>
      </c>
      <c r="CX189" s="9">
        <v>2.8199829399</v>
      </c>
      <c r="CY189" s="9">
        <v>3.9985040171000001</v>
      </c>
      <c r="CZ189" s="9">
        <v>439</v>
      </c>
      <c r="DA189" s="9">
        <v>407</v>
      </c>
      <c r="DB189" s="9">
        <v>83</v>
      </c>
      <c r="DC189" s="9">
        <v>214</v>
      </c>
      <c r="DD189" s="9">
        <v>16</v>
      </c>
      <c r="DE189" s="9">
        <v>8</v>
      </c>
      <c r="DF189" s="9">
        <v>48</v>
      </c>
      <c r="DG189" s="9">
        <v>29</v>
      </c>
      <c r="DH189" s="9">
        <v>16</v>
      </c>
      <c r="DI189" s="9">
        <v>0</v>
      </c>
      <c r="DJ189" s="9">
        <v>1</v>
      </c>
      <c r="DK189" s="9">
        <v>12</v>
      </c>
      <c r="DL189" s="9">
        <v>0</v>
      </c>
      <c r="DM189" s="9">
        <v>16</v>
      </c>
      <c r="DN189" s="9">
        <v>0</v>
      </c>
      <c r="DO189" s="9">
        <v>337.85</v>
      </c>
      <c r="DP189" s="9">
        <v>85.48</v>
      </c>
      <c r="DQ189" s="9">
        <v>50.87</v>
      </c>
      <c r="DR189" s="9">
        <v>34.61</v>
      </c>
      <c r="DS189" s="9">
        <v>39.97</v>
      </c>
      <c r="DT189" s="9">
        <v>8.36</v>
      </c>
      <c r="DU189" s="9">
        <v>145.38</v>
      </c>
      <c r="DV189" s="9">
        <v>73.180000000000007</v>
      </c>
      <c r="DW189" s="9">
        <v>54.41</v>
      </c>
      <c r="DX189" s="9">
        <v>66.37</v>
      </c>
      <c r="DY189" s="9">
        <v>35.15</v>
      </c>
      <c r="DZ189" s="9">
        <v>20.78</v>
      </c>
      <c r="EA189" s="9">
        <v>26.645679999999999</v>
      </c>
      <c r="EB189" s="9">
        <v>83.083690000000004</v>
      </c>
      <c r="EC189" s="9">
        <v>0.42662899999999998</v>
      </c>
      <c r="ED189" s="9">
        <v>-69.557199999999995</v>
      </c>
      <c r="EE189" s="9">
        <v>12.692589999999999</v>
      </c>
      <c r="EF189" s="9">
        <v>8.5753550000000001</v>
      </c>
      <c r="EG189" s="9">
        <v>-91.482699999999994</v>
      </c>
      <c r="EH189" s="9">
        <v>-18.156099999999999</v>
      </c>
      <c r="EI189" s="9">
        <v>-18.241800000000001</v>
      </c>
      <c r="EJ189" s="9">
        <v>4.2640999999999998E-2</v>
      </c>
      <c r="EK189" s="9">
        <v>-55.127400000000002</v>
      </c>
      <c r="EL189" s="9">
        <v>-83.634299999999996</v>
      </c>
      <c r="EM189" s="9">
        <v>43.069400000000002</v>
      </c>
      <c r="EN189" s="9">
        <v>1728.7</v>
      </c>
      <c r="EO189" s="9"/>
      <c r="EP189" s="9"/>
      <c r="EQ189" s="9"/>
      <c r="ER189" s="9"/>
      <c r="ES189" s="9"/>
      <c r="ET189" s="9"/>
      <c r="EU189">
        <v>1990.48</v>
      </c>
      <c r="EV189" s="9"/>
      <c r="EW189" s="9"/>
      <c r="EX189" s="9"/>
      <c r="EY189" s="9"/>
      <c r="EZ189" s="9"/>
      <c r="FA189" s="9"/>
      <c r="FB189" s="9">
        <v>63.393214285699997</v>
      </c>
      <c r="FC189" s="9">
        <v>46.994285714299998</v>
      </c>
      <c r="FD189" s="9">
        <v>5127.3</v>
      </c>
      <c r="FE189" s="9">
        <v>57.333333333299997</v>
      </c>
      <c r="FF189" s="9">
        <v>1117.4749999999999</v>
      </c>
      <c r="FG189" s="9">
        <v>11775464.550000001</v>
      </c>
      <c r="FH189" s="9">
        <v>777996.7</v>
      </c>
      <c r="FI189" s="9">
        <v>863233.54</v>
      </c>
      <c r="FJ189" s="9">
        <v>5230662.41</v>
      </c>
      <c r="FK189" s="9">
        <v>136769.59</v>
      </c>
      <c r="FL189" s="9">
        <v>123639.6</v>
      </c>
      <c r="FM189" s="9"/>
      <c r="FN189" s="9"/>
      <c r="FO189" s="9"/>
      <c r="FP189" s="9"/>
      <c r="FQ189" s="9"/>
      <c r="FR189" s="9"/>
      <c r="FS189" s="9"/>
      <c r="FT189" s="9">
        <v>6544798.5999999987</v>
      </c>
      <c r="FU189" s="9">
        <v>641227.1100000001</v>
      </c>
      <c r="FV189" s="9">
        <v>739590.4</v>
      </c>
      <c r="FW189" s="9"/>
      <c r="FX189" s="9"/>
      <c r="FY189" s="9"/>
      <c r="FZ189" s="9">
        <v>95975.33</v>
      </c>
      <c r="GA189" s="9">
        <v>8214799.6399999997</v>
      </c>
      <c r="GB189" s="9">
        <v>2230268.89</v>
      </c>
      <c r="GC189" s="9">
        <v>5984530.75</v>
      </c>
      <c r="GD189" s="9">
        <v>5785279.8900000006</v>
      </c>
      <c r="GE189" s="9">
        <v>531469.53</v>
      </c>
      <c r="GF189" s="9">
        <v>5253810.3599999994</v>
      </c>
      <c r="GG189" s="9">
        <v>2429519.75</v>
      </c>
      <c r="GH189" s="9">
        <v>1698799.36</v>
      </c>
      <c r="GI189" s="9">
        <v>730720.3899999999</v>
      </c>
      <c r="GJ189" s="9">
        <v>2675259.33</v>
      </c>
      <c r="GK189" s="9">
        <v>21597132.149999999</v>
      </c>
      <c r="GL189" s="9">
        <v>2304444.7200000002</v>
      </c>
      <c r="GM189">
        <v>1991.49</v>
      </c>
      <c r="GO189" s="6"/>
      <c r="GP189" s="6"/>
      <c r="GQ189" s="6"/>
    </row>
    <row r="190" spans="1:199" x14ac:dyDescent="0.2">
      <c r="A190" s="8">
        <v>2015</v>
      </c>
      <c r="B190" s="8" t="s">
        <v>447</v>
      </c>
      <c r="C190" s="8" t="s">
        <v>450</v>
      </c>
      <c r="D190" s="9">
        <v>6463642.5999999996</v>
      </c>
      <c r="E190" s="9">
        <v>1013397.6</v>
      </c>
      <c r="F190" s="9">
        <v>1030331.3</v>
      </c>
      <c r="G190" s="9">
        <v>512592.4</v>
      </c>
      <c r="H190" s="9">
        <v>90390.2</v>
      </c>
      <c r="I190" s="9">
        <v>333686.40000000002</v>
      </c>
      <c r="J190" s="9">
        <v>651188.1</v>
      </c>
      <c r="K190" s="9">
        <v>375061.4</v>
      </c>
      <c r="L190" s="9">
        <v>157413.6</v>
      </c>
      <c r="M190" s="9">
        <v>1774573.1</v>
      </c>
      <c r="N190" s="9">
        <v>525008.5</v>
      </c>
      <c r="O190" s="9">
        <v>6303713.7089999998</v>
      </c>
      <c r="P190" s="9">
        <v>968459.72699999996</v>
      </c>
      <c r="Q190" s="9">
        <v>1192659.8419999999</v>
      </c>
      <c r="R190" s="9">
        <v>443425.65</v>
      </c>
      <c r="S190" s="9">
        <v>96209.413</v>
      </c>
      <c r="T190" s="9">
        <v>299362.141</v>
      </c>
      <c r="U190" s="9">
        <v>827594.45900000003</v>
      </c>
      <c r="V190" s="9">
        <v>266213.98</v>
      </c>
      <c r="W190" s="9">
        <v>127726.704</v>
      </c>
      <c r="X190" s="9">
        <v>1599944.9920000001</v>
      </c>
      <c r="Y190" s="9">
        <v>482116.80099999998</v>
      </c>
      <c r="Z190" s="9">
        <v>6564962.7999999998</v>
      </c>
      <c r="AA190" s="9">
        <v>3691564.6</v>
      </c>
      <c r="AB190" s="9">
        <v>677131.1</v>
      </c>
      <c r="AC190" s="9">
        <v>1618671.6</v>
      </c>
      <c r="AD190" s="9">
        <v>480536.2</v>
      </c>
      <c r="AE190" s="9">
        <v>2827316.1</v>
      </c>
      <c r="AF190" s="9">
        <v>2730256.7</v>
      </c>
      <c r="AG190" s="9">
        <v>6413404.2999999998</v>
      </c>
      <c r="AH190" s="9">
        <v>3790249.6</v>
      </c>
      <c r="AI190" s="9">
        <v>753181.7</v>
      </c>
      <c r="AJ190" s="9">
        <v>1405337.1</v>
      </c>
      <c r="AK190" s="9">
        <v>389158.3</v>
      </c>
      <c r="AL190" s="9">
        <v>2748541.5</v>
      </c>
      <c r="AM190" s="9">
        <v>2673063.9</v>
      </c>
      <c r="AN190" s="9">
        <v>1119703</v>
      </c>
      <c r="AO190" s="9">
        <v>589319</v>
      </c>
      <c r="AP190" s="9">
        <v>530384</v>
      </c>
      <c r="AQ190" s="9">
        <v>75701</v>
      </c>
      <c r="AR190" s="9">
        <v>39366</v>
      </c>
      <c r="AS190" s="9">
        <v>36335</v>
      </c>
      <c r="AT190" s="9">
        <v>750772</v>
      </c>
      <c r="AU190" s="9">
        <v>296199</v>
      </c>
      <c r="AV190" s="9">
        <v>454573</v>
      </c>
      <c r="AW190" s="9">
        <v>836.9</v>
      </c>
      <c r="AX190" s="9">
        <v>671.9</v>
      </c>
      <c r="AY190" s="9">
        <v>2088.8000000000002</v>
      </c>
      <c r="AZ190" s="9">
        <v>803.3</v>
      </c>
      <c r="BA190" s="9">
        <v>1154.8</v>
      </c>
      <c r="BB190" s="9">
        <v>678.3</v>
      </c>
      <c r="BC190" s="9">
        <v>711.2</v>
      </c>
      <c r="BD190" s="9">
        <v>734.4</v>
      </c>
      <c r="BE190" s="9">
        <v>961</v>
      </c>
      <c r="BF190" s="9">
        <v>573.9</v>
      </c>
      <c r="BG190" s="9">
        <v>833.1</v>
      </c>
      <c r="BH190" s="9">
        <v>1103</v>
      </c>
      <c r="BI190" s="9">
        <v>835.3</v>
      </c>
      <c r="BJ190" s="9">
        <v>685.9</v>
      </c>
      <c r="BK190" s="9">
        <v>793.8</v>
      </c>
      <c r="BL190" s="9">
        <v>635.9</v>
      </c>
      <c r="BM190" s="9">
        <v>782.3</v>
      </c>
      <c r="BN190" s="9">
        <v>469156.6</v>
      </c>
      <c r="BO190" s="9">
        <v>431567.4</v>
      </c>
      <c r="BP190" s="9">
        <v>70114.3</v>
      </c>
      <c r="BQ190" s="9">
        <v>24030.6</v>
      </c>
      <c r="BR190" s="9">
        <v>45911.1</v>
      </c>
      <c r="BS190" s="9">
        <v>89126.399999999994</v>
      </c>
      <c r="BT190" s="9">
        <v>92075.6</v>
      </c>
      <c r="BU190" s="9">
        <v>47475</v>
      </c>
      <c r="BV190" s="9">
        <v>37589.300000000003</v>
      </c>
      <c r="BW190" s="9">
        <v>421694.2</v>
      </c>
      <c r="BX190" s="9">
        <v>-1702.9</v>
      </c>
      <c r="BY190" s="9">
        <v>14485.6</v>
      </c>
      <c r="BZ190" s="9">
        <v>143056.6</v>
      </c>
      <c r="CA190" s="9">
        <v>24468.7</v>
      </c>
      <c r="CB190" s="9">
        <v>7227.7</v>
      </c>
      <c r="CC190" s="9">
        <v>159977.4</v>
      </c>
      <c r="CD190" s="9">
        <v>1847.9</v>
      </c>
      <c r="CE190" s="9">
        <v>147327.6</v>
      </c>
      <c r="CF190" s="9">
        <v>1613591.596344976</v>
      </c>
      <c r="CG190" s="9">
        <v>9933224.0449243281</v>
      </c>
      <c r="CH190" s="9"/>
      <c r="CI190" s="9"/>
      <c r="CJ190" s="9">
        <v>18.702669156799999</v>
      </c>
      <c r="CK190" s="9">
        <v>10.480780002099999</v>
      </c>
      <c r="CL190" s="9">
        <v>13</v>
      </c>
      <c r="CM190" s="9">
        <v>100.1960230318</v>
      </c>
      <c r="CN190" s="9">
        <v>28.355068304100001</v>
      </c>
      <c r="CO190" s="9">
        <v>4.0309429777999997</v>
      </c>
      <c r="CP190" s="9">
        <v>18.580863002899999</v>
      </c>
      <c r="CQ190" s="9">
        <v>12.1222519785</v>
      </c>
      <c r="CR190" s="9">
        <v>4.7781312720000004</v>
      </c>
      <c r="CS190" s="9">
        <v>3.2196665922999999</v>
      </c>
      <c r="CT190" s="9">
        <v>10.5210088083</v>
      </c>
      <c r="CU190" s="9">
        <v>2.7372733417999999</v>
      </c>
      <c r="CV190" s="9">
        <v>2.0703294470000002</v>
      </c>
      <c r="CW190" s="9">
        <v>6.9377690200000002</v>
      </c>
      <c r="CX190" s="9">
        <v>2.8361182588</v>
      </c>
      <c r="CY190" s="9">
        <v>4.0066000283000003</v>
      </c>
      <c r="CZ190" s="9">
        <v>289</v>
      </c>
      <c r="DA190" s="9">
        <v>261</v>
      </c>
      <c r="DB190" s="9">
        <v>23</v>
      </c>
      <c r="DC190" s="9">
        <v>148</v>
      </c>
      <c r="DD190" s="9">
        <v>14</v>
      </c>
      <c r="DE190" s="9">
        <v>6</v>
      </c>
      <c r="DF190" s="9">
        <v>31</v>
      </c>
      <c r="DG190" s="9">
        <v>29</v>
      </c>
      <c r="DH190" s="9">
        <v>16</v>
      </c>
      <c r="DI190" s="9">
        <v>1</v>
      </c>
      <c r="DJ190" s="9">
        <v>4</v>
      </c>
      <c r="DK190" s="9">
        <v>7</v>
      </c>
      <c r="DL190" s="9">
        <v>0</v>
      </c>
      <c r="DM190" s="9">
        <v>12</v>
      </c>
      <c r="DN190" s="9">
        <v>0</v>
      </c>
      <c r="DO190" s="9">
        <v>308.39999999999998</v>
      </c>
      <c r="DP190" s="9">
        <v>82.31</v>
      </c>
      <c r="DQ190" s="9">
        <v>54.34</v>
      </c>
      <c r="DR190" s="9">
        <v>27.97</v>
      </c>
      <c r="DS190" s="9">
        <v>41.94</v>
      </c>
      <c r="DT190" s="9">
        <v>10.6</v>
      </c>
      <c r="DU190" s="9">
        <v>128.12</v>
      </c>
      <c r="DV190" s="9">
        <v>71.97</v>
      </c>
      <c r="DW190" s="9">
        <v>44.31</v>
      </c>
      <c r="DX190" s="9">
        <v>55.45</v>
      </c>
      <c r="DY190" s="9">
        <v>28.83</v>
      </c>
      <c r="DZ190" s="9">
        <v>16.57</v>
      </c>
      <c r="EA190" s="9">
        <v>-81.248800000000003</v>
      </c>
      <c r="EB190" s="9">
        <v>-7.19468</v>
      </c>
      <c r="EC190" s="9">
        <v>-13.099399999999999</v>
      </c>
      <c r="ED190" s="9">
        <v>-76.037499999999994</v>
      </c>
      <c r="EE190" s="9">
        <v>15.08273</v>
      </c>
      <c r="EF190" s="9">
        <v>12.783950000000001</v>
      </c>
      <c r="EG190" s="9">
        <v>220.53829999999999</v>
      </c>
      <c r="EH190" s="9">
        <v>40.052340000000001</v>
      </c>
      <c r="EI190" s="9">
        <v>325.1096</v>
      </c>
      <c r="EJ190" s="9">
        <v>0.34532000000000002</v>
      </c>
      <c r="EK190" s="9">
        <v>-144.96899999999999</v>
      </c>
      <c r="EL190" s="9">
        <v>-8.7991799999999998</v>
      </c>
      <c r="EM190" s="9">
        <v>-297.80200000000002</v>
      </c>
      <c r="EN190" s="9">
        <v>1412.7</v>
      </c>
      <c r="EO190" s="9"/>
      <c r="EP190" s="9"/>
      <c r="EQ190" s="9"/>
      <c r="ER190" s="9"/>
      <c r="ES190" s="9"/>
      <c r="ET190" s="9"/>
      <c r="EU190">
        <v>1993.79</v>
      </c>
      <c r="EV190" s="9">
        <v>22376.68</v>
      </c>
      <c r="EW190" s="9">
        <v>3573.8</v>
      </c>
      <c r="EX190" s="9">
        <v>2211.21</v>
      </c>
      <c r="EY190" s="9">
        <v>1971.77</v>
      </c>
      <c r="EZ190" s="9">
        <v>3727.53</v>
      </c>
      <c r="FA190" s="9">
        <v>10892.38</v>
      </c>
      <c r="FB190" s="9">
        <v>61.765422077899998</v>
      </c>
      <c r="FC190" s="9">
        <v>47.234545454500001</v>
      </c>
      <c r="FD190" s="9">
        <v>5217.25</v>
      </c>
      <c r="FE190" s="9">
        <v>56.977272727299997</v>
      </c>
      <c r="FF190" s="9">
        <v>1124.5318181818</v>
      </c>
      <c r="FG190" s="9">
        <v>11873157.609999999</v>
      </c>
      <c r="FH190" s="9">
        <v>826307.96000000008</v>
      </c>
      <c r="FI190" s="9">
        <v>850226.98</v>
      </c>
      <c r="FJ190" s="9">
        <v>5265065.7899999991</v>
      </c>
      <c r="FK190" s="9">
        <v>120231.07</v>
      </c>
      <c r="FL190" s="9">
        <v>127339.37</v>
      </c>
      <c r="FM190" s="9"/>
      <c r="FN190" s="9"/>
      <c r="FO190" s="9"/>
      <c r="FP190" s="9"/>
      <c r="FQ190" s="9"/>
      <c r="FR190" s="9"/>
      <c r="FS190" s="9"/>
      <c r="FT190" s="9">
        <v>6608088.1799999997</v>
      </c>
      <c r="FU190" s="9">
        <v>706076.9</v>
      </c>
      <c r="FV190" s="9">
        <v>722883.99</v>
      </c>
      <c r="FW190" s="9"/>
      <c r="FX190" s="9"/>
      <c r="FY190" s="9"/>
      <c r="FZ190" s="9">
        <v>96525.53</v>
      </c>
      <c r="GA190" s="9">
        <v>8293895.2699999996</v>
      </c>
      <c r="GB190" s="9">
        <v>2196459.33</v>
      </c>
      <c r="GC190" s="9">
        <v>6097435.9400000004</v>
      </c>
      <c r="GD190" s="9">
        <v>5900213.3200000003</v>
      </c>
      <c r="GE190" s="9">
        <v>544970.41</v>
      </c>
      <c r="GF190" s="9">
        <v>5355242.91</v>
      </c>
      <c r="GG190" s="9">
        <v>2393681.9500000002</v>
      </c>
      <c r="GH190" s="9">
        <v>1651488.92</v>
      </c>
      <c r="GI190" s="9">
        <v>742193.02999999991</v>
      </c>
      <c r="GJ190" s="9">
        <v>2810860.8</v>
      </c>
      <c r="GK190" s="9">
        <v>21316424.739999998</v>
      </c>
      <c r="GL190" s="9">
        <v>2379278.89</v>
      </c>
      <c r="GM190">
        <v>1996.83</v>
      </c>
      <c r="GO190" s="6"/>
      <c r="GP190" s="6"/>
      <c r="GQ190" s="6"/>
    </row>
    <row r="191" spans="1:199" x14ac:dyDescent="0.2">
      <c r="A191" s="8">
        <v>2015</v>
      </c>
      <c r="B191" s="8" t="s">
        <v>451</v>
      </c>
      <c r="C191" s="8" t="s">
        <v>452</v>
      </c>
      <c r="D191" s="9"/>
      <c r="E191" s="9"/>
      <c r="F191" s="9"/>
      <c r="G191" s="9"/>
      <c r="H191" s="9"/>
      <c r="I191" s="9"/>
      <c r="J191" s="9"/>
      <c r="K191" s="9"/>
      <c r="L191" s="9"/>
      <c r="M191" s="9"/>
      <c r="N191" s="9"/>
      <c r="O191" s="9"/>
      <c r="P191" s="9"/>
      <c r="Q191" s="9"/>
      <c r="R191" s="9"/>
      <c r="S191" s="9"/>
      <c r="T191" s="9"/>
      <c r="U191" s="9"/>
      <c r="V191" s="9"/>
      <c r="W191" s="9"/>
      <c r="X191" s="9"/>
      <c r="Y191" s="9"/>
      <c r="Z191" s="9"/>
      <c r="AA191" s="9"/>
      <c r="AB191" s="9"/>
      <c r="AC191" s="9"/>
      <c r="AD191" s="9"/>
      <c r="AE191" s="9"/>
      <c r="AF191" s="9"/>
      <c r="AG191" s="9"/>
      <c r="AH191" s="9"/>
      <c r="AI191" s="9"/>
      <c r="AJ191" s="9"/>
      <c r="AK191" s="9"/>
      <c r="AL191" s="9"/>
      <c r="AM191" s="9"/>
      <c r="AN191" s="9"/>
      <c r="AO191" s="9"/>
      <c r="AP191" s="9"/>
      <c r="AQ191" s="9"/>
      <c r="AR191" s="9"/>
      <c r="AS191" s="9"/>
      <c r="AT191" s="9"/>
      <c r="AU191" s="9"/>
      <c r="AV191" s="9"/>
      <c r="AW191" s="9"/>
      <c r="AX191" s="9"/>
      <c r="AY191" s="9"/>
      <c r="AZ191" s="9"/>
      <c r="BA191" s="9"/>
      <c r="BB191" s="9"/>
      <c r="BC191" s="9"/>
      <c r="BD191" s="9"/>
      <c r="BE191" s="9"/>
      <c r="BF191" s="9"/>
      <c r="BG191" s="9"/>
      <c r="BH191" s="9"/>
      <c r="BI191" s="9"/>
      <c r="BJ191" s="9"/>
      <c r="BK191" s="9"/>
      <c r="BL191" s="9"/>
      <c r="BM191" s="9"/>
      <c r="BN191" s="9">
        <v>523345.3</v>
      </c>
      <c r="BO191" s="9">
        <v>445168.4</v>
      </c>
      <c r="BP191" s="9">
        <v>88317.2</v>
      </c>
      <c r="BQ191" s="9">
        <v>47755.4</v>
      </c>
      <c r="BR191" s="9">
        <v>40723.9</v>
      </c>
      <c r="BS191" s="9">
        <v>80221</v>
      </c>
      <c r="BT191" s="9">
        <v>89255.6</v>
      </c>
      <c r="BU191" s="9">
        <v>64152.7</v>
      </c>
      <c r="BV191" s="9">
        <v>78176.800000000003</v>
      </c>
      <c r="BW191" s="9">
        <v>451566.8</v>
      </c>
      <c r="BX191" s="9">
        <v>19416</v>
      </c>
      <c r="BY191" s="9">
        <v>13201.7</v>
      </c>
      <c r="BZ191" s="9">
        <v>143869.1</v>
      </c>
      <c r="CA191" s="9">
        <v>58527.3</v>
      </c>
      <c r="CB191" s="9">
        <v>7021.5</v>
      </c>
      <c r="CC191" s="9">
        <v>160070.9</v>
      </c>
      <c r="CD191" s="9">
        <v>344.5</v>
      </c>
      <c r="CE191" s="9">
        <v>100339.9</v>
      </c>
      <c r="CF191" s="9">
        <v>1630726.8071556131</v>
      </c>
      <c r="CG191" s="9">
        <v>9899004.0282898713</v>
      </c>
      <c r="CH191" s="9"/>
      <c r="CI191" s="9"/>
      <c r="CJ191" s="9">
        <v>20.0243931999</v>
      </c>
      <c r="CK191" s="9">
        <v>11.403283500600001</v>
      </c>
      <c r="CL191" s="9">
        <v>13</v>
      </c>
      <c r="CM191" s="9">
        <v>99.538736302199993</v>
      </c>
      <c r="CN191" s="9">
        <v>27.414352902000001</v>
      </c>
      <c r="CO191" s="9">
        <v>4.0211695858000001</v>
      </c>
      <c r="CP191" s="9">
        <v>18.7113671657</v>
      </c>
      <c r="CQ191" s="9">
        <v>12.271562209900001</v>
      </c>
      <c r="CR191" s="9">
        <v>4.7864390862999997</v>
      </c>
      <c r="CS191" s="9">
        <v>3.2260056428000001</v>
      </c>
      <c r="CT191" s="9">
        <v>10.529672595999999</v>
      </c>
      <c r="CU191" s="9">
        <v>2.7346858833000001</v>
      </c>
      <c r="CV191" s="9">
        <v>2.0682444021999999</v>
      </c>
      <c r="CW191" s="9">
        <v>6.9377690578999998</v>
      </c>
      <c r="CX191" s="9">
        <v>2.8328165210999998</v>
      </c>
      <c r="CY191" s="9">
        <v>4.0046512492000002</v>
      </c>
      <c r="CZ191" s="9">
        <v>386</v>
      </c>
      <c r="DA191" s="9">
        <v>353</v>
      </c>
      <c r="DB191" s="9">
        <v>71</v>
      </c>
      <c r="DC191" s="9">
        <v>174</v>
      </c>
      <c r="DD191" s="9">
        <v>23</v>
      </c>
      <c r="DE191" s="9">
        <v>5</v>
      </c>
      <c r="DF191" s="9">
        <v>36</v>
      </c>
      <c r="DG191" s="9">
        <v>35</v>
      </c>
      <c r="DH191" s="9">
        <v>15</v>
      </c>
      <c r="DI191" s="9">
        <v>2</v>
      </c>
      <c r="DJ191" s="9">
        <v>3</v>
      </c>
      <c r="DK191" s="9">
        <v>7</v>
      </c>
      <c r="DL191" s="9">
        <v>0</v>
      </c>
      <c r="DM191" s="9">
        <v>17</v>
      </c>
      <c r="DN191" s="9">
        <v>0</v>
      </c>
      <c r="DO191" s="9">
        <v>301.45</v>
      </c>
      <c r="DP191" s="9">
        <v>92.91</v>
      </c>
      <c r="DQ191" s="9">
        <v>58.29</v>
      </c>
      <c r="DR191" s="9">
        <v>34.619999999999997</v>
      </c>
      <c r="DS191" s="9">
        <v>37.78</v>
      </c>
      <c r="DT191" s="9">
        <v>10.41</v>
      </c>
      <c r="DU191" s="9">
        <v>117.95</v>
      </c>
      <c r="DV191" s="9">
        <v>56.85</v>
      </c>
      <c r="DW191" s="9">
        <v>33.28</v>
      </c>
      <c r="DX191" s="9">
        <v>50.53</v>
      </c>
      <c r="DY191" s="9">
        <v>21.9</v>
      </c>
      <c r="DZ191" s="9">
        <v>19.87</v>
      </c>
      <c r="EA191" s="9">
        <v>-59.994799999999998</v>
      </c>
      <c r="EB191" s="9">
        <v>24.922979999999999</v>
      </c>
      <c r="EC191" s="9">
        <v>-47.061599999999999</v>
      </c>
      <c r="ED191" s="9">
        <v>-56.423400000000001</v>
      </c>
      <c r="EE191" s="9">
        <v>18.567240000000002</v>
      </c>
      <c r="EF191" s="9">
        <v>10.126139999999999</v>
      </c>
      <c r="EG191" s="9">
        <v>-111.773</v>
      </c>
      <c r="EH191" s="9">
        <v>-33.945500000000003</v>
      </c>
      <c r="EI191" s="9">
        <v>-17.745100000000001</v>
      </c>
      <c r="EJ191" s="9">
        <v>-0.39024999999999999</v>
      </c>
      <c r="EK191" s="9">
        <v>-59.691600000000001</v>
      </c>
      <c r="EL191" s="9">
        <v>-58.650199999999998</v>
      </c>
      <c r="EM191" s="9">
        <v>3.2536770000000002</v>
      </c>
      <c r="EN191" s="9">
        <v>1406.9</v>
      </c>
      <c r="EO191" s="9"/>
      <c r="EP191" s="9"/>
      <c r="EQ191" s="9"/>
      <c r="ER191" s="9"/>
      <c r="ES191" s="9"/>
      <c r="ET191" s="9"/>
      <c r="EU191">
        <v>1993.35</v>
      </c>
      <c r="EV191" s="9"/>
      <c r="EW191" s="9"/>
      <c r="EX191" s="9"/>
      <c r="EY191" s="9"/>
      <c r="EZ191" s="9"/>
      <c r="FA191" s="9"/>
      <c r="FB191" s="9">
        <v>57.330681818199999</v>
      </c>
      <c r="FC191" s="9">
        <v>48.124090909099998</v>
      </c>
      <c r="FD191" s="9">
        <v>5216.0909090908999</v>
      </c>
      <c r="FE191" s="9">
        <v>53.659090909100001</v>
      </c>
      <c r="FF191" s="9">
        <v>1159.2454545455</v>
      </c>
      <c r="FG191" s="9">
        <v>11847871.57</v>
      </c>
      <c r="FH191" s="9">
        <v>858406.47</v>
      </c>
      <c r="FI191" s="9">
        <v>868871.29999999993</v>
      </c>
      <c r="FJ191" s="9">
        <v>5251749.28</v>
      </c>
      <c r="FK191" s="9">
        <v>117213.13</v>
      </c>
      <c r="FL191" s="9">
        <v>137665.89000000001</v>
      </c>
      <c r="FM191" s="9"/>
      <c r="FN191" s="9"/>
      <c r="FO191" s="9"/>
      <c r="FP191" s="9"/>
      <c r="FQ191" s="9"/>
      <c r="FR191" s="9"/>
      <c r="FS191" s="9"/>
      <c r="FT191" s="9">
        <v>6595913.4500000002</v>
      </c>
      <c r="FU191" s="9">
        <v>741193.33</v>
      </c>
      <c r="FV191" s="9">
        <v>730996.58000000007</v>
      </c>
      <c r="FW191" s="9"/>
      <c r="FX191" s="9"/>
      <c r="FY191" s="9"/>
      <c r="FZ191" s="9">
        <v>96586.59</v>
      </c>
      <c r="GA191" s="9">
        <v>8218017.4100000001</v>
      </c>
      <c r="GB191" s="9">
        <v>2107210.88</v>
      </c>
      <c r="GC191" s="9">
        <v>6110806.5299999993</v>
      </c>
      <c r="GD191" s="9">
        <v>5861868.25</v>
      </c>
      <c r="GE191" s="9">
        <v>512277.11</v>
      </c>
      <c r="GF191" s="9">
        <v>5349591.1400000006</v>
      </c>
      <c r="GG191" s="9">
        <v>2356149.16</v>
      </c>
      <c r="GH191" s="9">
        <v>1594933.77</v>
      </c>
      <c r="GI191" s="9">
        <v>761215.3899999999</v>
      </c>
      <c r="GJ191" s="9">
        <v>2756513.45</v>
      </c>
      <c r="GK191" s="9">
        <v>20736717.219999999</v>
      </c>
      <c r="GL191" s="9">
        <v>2409406.88</v>
      </c>
      <c r="GM191">
        <v>1991.67</v>
      </c>
      <c r="GO191" s="6"/>
      <c r="GP191" s="6"/>
      <c r="GQ191" s="6"/>
    </row>
    <row r="192" spans="1:199" x14ac:dyDescent="0.2">
      <c r="A192" s="8">
        <v>2015</v>
      </c>
      <c r="B192" s="8" t="s">
        <v>451</v>
      </c>
      <c r="C192" s="8" t="s">
        <v>453</v>
      </c>
      <c r="D192" s="9"/>
      <c r="E192" s="9"/>
      <c r="F192" s="9"/>
      <c r="G192" s="9"/>
      <c r="H192" s="9"/>
      <c r="I192" s="9"/>
      <c r="J192" s="9"/>
      <c r="K192" s="9"/>
      <c r="L192" s="9"/>
      <c r="M192" s="9"/>
      <c r="N192" s="9"/>
      <c r="O192" s="9"/>
      <c r="P192" s="9"/>
      <c r="Q192" s="9"/>
      <c r="R192" s="9"/>
      <c r="S192" s="9"/>
      <c r="T192" s="9"/>
      <c r="U192" s="9"/>
      <c r="V192" s="9"/>
      <c r="W192" s="9"/>
      <c r="X192" s="9"/>
      <c r="Y192" s="9"/>
      <c r="Z192" s="9"/>
      <c r="AA192" s="9"/>
      <c r="AB192" s="9"/>
      <c r="AC192" s="9"/>
      <c r="AD192" s="9"/>
      <c r="AE192" s="9"/>
      <c r="AF192" s="9"/>
      <c r="AG192" s="9"/>
      <c r="AH192" s="9"/>
      <c r="AI192" s="9"/>
      <c r="AJ192" s="9"/>
      <c r="AK192" s="9"/>
      <c r="AL192" s="9"/>
      <c r="AM192" s="9"/>
      <c r="AN192" s="9"/>
      <c r="AO192" s="9"/>
      <c r="AP192" s="9"/>
      <c r="AQ192" s="9"/>
      <c r="AR192" s="9"/>
      <c r="AS192" s="9"/>
      <c r="AT192" s="9"/>
      <c r="AU192" s="9"/>
      <c r="AV192" s="9"/>
      <c r="AW192" s="9"/>
      <c r="AX192" s="9"/>
      <c r="AY192" s="9"/>
      <c r="AZ192" s="9"/>
      <c r="BA192" s="9"/>
      <c r="BB192" s="9"/>
      <c r="BC192" s="9"/>
      <c r="BD192" s="9"/>
      <c r="BE192" s="9"/>
      <c r="BF192" s="9"/>
      <c r="BG192" s="9"/>
      <c r="BH192" s="9"/>
      <c r="BI192" s="9"/>
      <c r="BJ192" s="9"/>
      <c r="BK192" s="9"/>
      <c r="BL192" s="9"/>
      <c r="BM192" s="9"/>
      <c r="BN192" s="9">
        <v>460969.1</v>
      </c>
      <c r="BO192" s="9">
        <v>394883.1</v>
      </c>
      <c r="BP192" s="9">
        <v>85653.2</v>
      </c>
      <c r="BQ192" s="9">
        <v>43213.8</v>
      </c>
      <c r="BR192" s="9">
        <v>41986.6</v>
      </c>
      <c r="BS192" s="9">
        <v>76026.3</v>
      </c>
      <c r="BT192" s="9">
        <v>64052.5</v>
      </c>
      <c r="BU192" s="9">
        <v>59874.8</v>
      </c>
      <c r="BV192" s="9">
        <v>66085.899999999994</v>
      </c>
      <c r="BW192" s="9">
        <v>471704.3</v>
      </c>
      <c r="BX192" s="9">
        <v>-2454.5</v>
      </c>
      <c r="BY192" s="9">
        <v>18591.599999999999</v>
      </c>
      <c r="BZ192" s="9">
        <v>143174.1</v>
      </c>
      <c r="CA192" s="9">
        <v>58121.2</v>
      </c>
      <c r="CB192" s="9">
        <v>7813.6</v>
      </c>
      <c r="CC192" s="9">
        <v>170871</v>
      </c>
      <c r="CD192" s="9">
        <v>-2516.5</v>
      </c>
      <c r="CE192" s="9">
        <v>178560.2</v>
      </c>
      <c r="CF192" s="9">
        <v>1562732.25382139</v>
      </c>
      <c r="CG192" s="9">
        <v>9808052.3245111722</v>
      </c>
      <c r="CH192" s="9"/>
      <c r="CI192" s="9"/>
      <c r="CJ192" s="9">
        <v>19.523747559</v>
      </c>
      <c r="CK192" s="9">
        <v>12.061619716299999</v>
      </c>
      <c r="CL192" s="9">
        <v>13</v>
      </c>
      <c r="CM192" s="9">
        <v>99.776398028200006</v>
      </c>
      <c r="CN192" s="9">
        <v>26.969993408200001</v>
      </c>
      <c r="CO192" s="9">
        <v>4.0215210116</v>
      </c>
      <c r="CP192" s="9">
        <v>18.841411255499999</v>
      </c>
      <c r="CQ192" s="9">
        <v>12.775193506500001</v>
      </c>
      <c r="CR192" s="9">
        <v>4.8027523559</v>
      </c>
      <c r="CS192" s="9">
        <v>3.2237342792999999</v>
      </c>
      <c r="CT192" s="9">
        <v>10.563329663499999</v>
      </c>
      <c r="CU192" s="9">
        <v>2.7327241546000001</v>
      </c>
      <c r="CV192" s="9">
        <v>2.0714894790999998</v>
      </c>
      <c r="CW192" s="9">
        <v>6.9377690578999998</v>
      </c>
      <c r="CX192" s="9">
        <v>2.8261740309999999</v>
      </c>
      <c r="CY192" s="9">
        <v>4.0103058251999997</v>
      </c>
      <c r="CZ192" s="9">
        <v>316</v>
      </c>
      <c r="DA192" s="9">
        <v>281</v>
      </c>
      <c r="DB192" s="9">
        <v>0</v>
      </c>
      <c r="DC192" s="9">
        <v>182</v>
      </c>
      <c r="DD192" s="9">
        <v>15</v>
      </c>
      <c r="DE192" s="9">
        <v>1</v>
      </c>
      <c r="DF192" s="9">
        <v>41</v>
      </c>
      <c r="DG192" s="9">
        <v>32</v>
      </c>
      <c r="DH192" s="9">
        <v>13</v>
      </c>
      <c r="DI192" s="9">
        <v>2</v>
      </c>
      <c r="DJ192" s="9">
        <v>2</v>
      </c>
      <c r="DK192" s="9">
        <v>5</v>
      </c>
      <c r="DL192" s="9">
        <v>3</v>
      </c>
      <c r="DM192" s="9">
        <v>19</v>
      </c>
      <c r="DN192" s="9">
        <v>0</v>
      </c>
      <c r="DO192" s="9">
        <v>329.34</v>
      </c>
      <c r="DP192" s="9">
        <v>95.06</v>
      </c>
      <c r="DQ192" s="9">
        <v>60.17</v>
      </c>
      <c r="DR192" s="9">
        <v>34.89</v>
      </c>
      <c r="DS192" s="9">
        <v>39.64</v>
      </c>
      <c r="DT192" s="9">
        <v>11.4</v>
      </c>
      <c r="DU192" s="9">
        <v>123.05</v>
      </c>
      <c r="DV192" s="9">
        <v>63.56</v>
      </c>
      <c r="DW192" s="9">
        <v>22.15</v>
      </c>
      <c r="DX192" s="9">
        <v>62.72</v>
      </c>
      <c r="DY192" s="9">
        <v>37.26</v>
      </c>
      <c r="DZ192" s="9">
        <v>16.850000000000001</v>
      </c>
      <c r="EA192" s="9">
        <v>-155.40199999999999</v>
      </c>
      <c r="EB192" s="9">
        <v>-78.848500000000001</v>
      </c>
      <c r="EC192" s="9">
        <v>-42.816899999999997</v>
      </c>
      <c r="ED192" s="9">
        <v>-60.812399999999997</v>
      </c>
      <c r="EE192" s="9">
        <v>27.075900000000001</v>
      </c>
      <c r="EF192" s="9">
        <v>7.2910469999999998</v>
      </c>
      <c r="EG192" s="9">
        <v>-148.047</v>
      </c>
      <c r="EH192" s="9">
        <v>-64.041300000000007</v>
      </c>
      <c r="EI192" s="9">
        <v>55.950780000000002</v>
      </c>
      <c r="EJ192" s="9">
        <v>-2.1211899999999999</v>
      </c>
      <c r="EK192" s="9">
        <v>-137.83500000000001</v>
      </c>
      <c r="EL192" s="9">
        <v>35.725479999999997</v>
      </c>
      <c r="EM192" s="9">
        <v>35.661569999999998</v>
      </c>
      <c r="EN192" s="9">
        <v>1458.7</v>
      </c>
      <c r="EO192" s="9"/>
      <c r="EP192" s="9"/>
      <c r="EQ192" s="9"/>
      <c r="ER192" s="9"/>
      <c r="ES192" s="9"/>
      <c r="ET192" s="9"/>
      <c r="EU192">
        <v>1992.9</v>
      </c>
      <c r="EV192" s="9"/>
      <c r="EW192" s="9"/>
      <c r="EX192" s="9"/>
      <c r="EY192" s="9"/>
      <c r="EZ192" s="9"/>
      <c r="FA192" s="9"/>
      <c r="FB192" s="9">
        <v>55.7780612245</v>
      </c>
      <c r="FC192" s="9">
        <v>44.417142857100004</v>
      </c>
      <c r="FD192" s="9">
        <v>4799.9047619047997</v>
      </c>
      <c r="FE192" s="9">
        <v>47.1904761905</v>
      </c>
      <c r="FF192" s="9">
        <v>1085.7023809524001</v>
      </c>
      <c r="FG192" s="9">
        <v>11827124.289999999</v>
      </c>
      <c r="FH192" s="9">
        <v>896208.04999999993</v>
      </c>
      <c r="FI192" s="9">
        <v>862891.97</v>
      </c>
      <c r="FJ192" s="9">
        <v>5259120.9000000004</v>
      </c>
      <c r="FK192" s="9">
        <v>127891</v>
      </c>
      <c r="FL192" s="9">
        <v>141341.41</v>
      </c>
      <c r="FM192" s="9"/>
      <c r="FN192" s="9"/>
      <c r="FO192" s="9"/>
      <c r="FP192" s="9"/>
      <c r="FQ192" s="9"/>
      <c r="FR192" s="9"/>
      <c r="FS192" s="9"/>
      <c r="FT192" s="9">
        <v>6567829.3300000001</v>
      </c>
      <c r="FU192" s="9">
        <v>768317.06</v>
      </c>
      <c r="FV192" s="9">
        <v>721376.47</v>
      </c>
      <c r="FW192" s="9"/>
      <c r="FX192" s="9"/>
      <c r="FY192" s="9"/>
      <c r="FZ192" s="9">
        <v>97065.01</v>
      </c>
      <c r="GA192" s="9">
        <v>8199341.0899999999</v>
      </c>
      <c r="GB192" s="9">
        <v>2097898.71</v>
      </c>
      <c r="GC192" s="9">
        <v>6101442.3799999999</v>
      </c>
      <c r="GD192" s="9">
        <v>5859187.1499999994</v>
      </c>
      <c r="GE192" s="9">
        <v>487817.84</v>
      </c>
      <c r="GF192" s="9">
        <v>5371369.3099999996</v>
      </c>
      <c r="GG192" s="9">
        <v>2340153.94</v>
      </c>
      <c r="GH192" s="9">
        <v>1610080.87</v>
      </c>
      <c r="GI192" s="9">
        <v>730073.07</v>
      </c>
      <c r="GJ192" s="9">
        <v>2804772.48</v>
      </c>
      <c r="GK192" s="9">
        <v>20711461.829999998</v>
      </c>
      <c r="GL192" s="9">
        <v>2379718.94</v>
      </c>
      <c r="GM192">
        <v>1994.83</v>
      </c>
      <c r="GO192" s="6"/>
      <c r="GP192" s="6"/>
      <c r="GQ192" s="6"/>
    </row>
    <row r="193" spans="1:199" x14ac:dyDescent="0.2">
      <c r="A193" s="8">
        <v>2015</v>
      </c>
      <c r="B193" s="8" t="s">
        <v>451</v>
      </c>
      <c r="C193" s="8" t="s">
        <v>454</v>
      </c>
      <c r="D193" s="9">
        <v>6001482.7999999998</v>
      </c>
      <c r="E193" s="9">
        <v>521904.8</v>
      </c>
      <c r="F193" s="9">
        <v>1268831.8</v>
      </c>
      <c r="G193" s="9">
        <v>457025.1</v>
      </c>
      <c r="H193" s="9">
        <v>165746.9</v>
      </c>
      <c r="I193" s="9">
        <v>348031.8</v>
      </c>
      <c r="J193" s="9">
        <v>1176431</v>
      </c>
      <c r="K193" s="9">
        <v>247856.1</v>
      </c>
      <c r="L193" s="9">
        <v>119551.2</v>
      </c>
      <c r="M193" s="9">
        <v>1309930.6000000001</v>
      </c>
      <c r="N193" s="9">
        <v>386173.6</v>
      </c>
      <c r="O193" s="9">
        <v>6101384.2750000004</v>
      </c>
      <c r="P193" s="9">
        <v>609712.66200000001</v>
      </c>
      <c r="Q193" s="9">
        <v>1331648.6710000001</v>
      </c>
      <c r="R193" s="9">
        <v>473689.00699999998</v>
      </c>
      <c r="S193" s="9">
        <v>169283.24299999999</v>
      </c>
      <c r="T193" s="9">
        <v>322795.97600000002</v>
      </c>
      <c r="U193" s="9">
        <v>871504.33100000001</v>
      </c>
      <c r="V193" s="9">
        <v>444984.72600000002</v>
      </c>
      <c r="W193" s="9">
        <v>123986.454</v>
      </c>
      <c r="X193" s="9">
        <v>1441905.2139999999</v>
      </c>
      <c r="Y193" s="9">
        <v>311873.99099999998</v>
      </c>
      <c r="Z193" s="9">
        <v>5935689.0999999996</v>
      </c>
      <c r="AA193" s="9">
        <v>3123023</v>
      </c>
      <c r="AB193" s="9">
        <v>940865.4</v>
      </c>
      <c r="AC193" s="9">
        <v>1382682.4</v>
      </c>
      <c r="AD193" s="9">
        <v>544129.6</v>
      </c>
      <c r="AE193" s="9">
        <v>2571347</v>
      </c>
      <c r="AF193" s="9">
        <v>2626358.2000000002</v>
      </c>
      <c r="AG193" s="9">
        <v>6141464.0999999996</v>
      </c>
      <c r="AH193" s="9">
        <v>3355016.2</v>
      </c>
      <c r="AI193" s="9">
        <v>995992.3</v>
      </c>
      <c r="AJ193" s="9">
        <v>1230274.8</v>
      </c>
      <c r="AK193" s="9">
        <v>791831.6</v>
      </c>
      <c r="AL193" s="9">
        <v>2409501.2999999998</v>
      </c>
      <c r="AM193" s="9">
        <v>2641152.2000000002</v>
      </c>
      <c r="AN193" s="9">
        <v>1067589</v>
      </c>
      <c r="AO193" s="9">
        <v>568166</v>
      </c>
      <c r="AP193" s="9">
        <v>499423</v>
      </c>
      <c r="AQ193" s="9">
        <v>96471</v>
      </c>
      <c r="AR193" s="9">
        <v>56399</v>
      </c>
      <c r="AS193" s="9">
        <v>40072</v>
      </c>
      <c r="AT193" s="9">
        <v>761533</v>
      </c>
      <c r="AU193" s="9">
        <v>306590</v>
      </c>
      <c r="AV193" s="9">
        <v>454943</v>
      </c>
      <c r="AW193" s="9">
        <v>868.5</v>
      </c>
      <c r="AX193" s="9">
        <v>682.8</v>
      </c>
      <c r="AY193" s="9">
        <v>2029.6</v>
      </c>
      <c r="AZ193" s="9">
        <v>823.6</v>
      </c>
      <c r="BA193" s="9">
        <v>1164.0999999999999</v>
      </c>
      <c r="BB193" s="9">
        <v>705.4</v>
      </c>
      <c r="BC193" s="9">
        <v>736.7</v>
      </c>
      <c r="BD193" s="9">
        <v>775</v>
      </c>
      <c r="BE193" s="9">
        <v>1014.2</v>
      </c>
      <c r="BF193" s="9">
        <v>566.4</v>
      </c>
      <c r="BG193" s="9">
        <v>937.4</v>
      </c>
      <c r="BH193" s="9">
        <v>1082.0999999999999</v>
      </c>
      <c r="BI193" s="9">
        <v>873.1</v>
      </c>
      <c r="BJ193" s="9">
        <v>786.7</v>
      </c>
      <c r="BK193" s="9">
        <v>822</v>
      </c>
      <c r="BL193" s="9">
        <v>673.9</v>
      </c>
      <c r="BM193" s="9">
        <v>774.6</v>
      </c>
      <c r="BN193" s="9">
        <v>950842.4</v>
      </c>
      <c r="BO193" s="9">
        <v>779009.7</v>
      </c>
      <c r="BP193" s="9">
        <v>286667.09999999998</v>
      </c>
      <c r="BQ193" s="9">
        <v>220536.4</v>
      </c>
      <c r="BR193" s="9">
        <v>71831</v>
      </c>
      <c r="BS193" s="9">
        <v>102611.4</v>
      </c>
      <c r="BT193" s="9">
        <v>136486.79999999999</v>
      </c>
      <c r="BU193" s="9">
        <v>57365</v>
      </c>
      <c r="BV193" s="9">
        <v>171832.9</v>
      </c>
      <c r="BW193" s="9">
        <v>763852.5</v>
      </c>
      <c r="BX193" s="9">
        <v>-15206.7</v>
      </c>
      <c r="BY193" s="9">
        <v>32648.1</v>
      </c>
      <c r="BZ193" s="9">
        <v>176556.3</v>
      </c>
      <c r="CA193" s="9">
        <v>216966.7</v>
      </c>
      <c r="CB193" s="9">
        <v>417631.5</v>
      </c>
      <c r="CC193" s="9">
        <v>-244730.4</v>
      </c>
      <c r="CD193" s="9">
        <v>-430293.9</v>
      </c>
      <c r="CE193" s="9">
        <v>256949.4</v>
      </c>
      <c r="CF193" s="9">
        <v>1685416.8876521939</v>
      </c>
      <c r="CG193" s="9">
        <v>10048995.826784659</v>
      </c>
      <c r="CH193" s="9"/>
      <c r="CI193" s="9"/>
      <c r="CJ193" s="9">
        <v>19.0881291645</v>
      </c>
      <c r="CK193" s="9">
        <v>11.9547938919</v>
      </c>
      <c r="CL193" s="9">
        <v>13</v>
      </c>
      <c r="CM193" s="9">
        <v>99.552831445400003</v>
      </c>
      <c r="CN193" s="9">
        <v>26.8451529845</v>
      </c>
      <c r="CO193" s="9">
        <v>4.0205966965000002</v>
      </c>
      <c r="CP193" s="9">
        <v>18.8811316687</v>
      </c>
      <c r="CQ193" s="9">
        <v>12.604057201</v>
      </c>
      <c r="CR193" s="9">
        <v>4.8075259830999997</v>
      </c>
      <c r="CS193" s="9">
        <v>3.242381097</v>
      </c>
      <c r="CT193" s="9">
        <v>10.53853466</v>
      </c>
      <c r="CU193" s="9">
        <v>2.7325719193000002</v>
      </c>
      <c r="CV193" s="9">
        <v>2.0769631284000001</v>
      </c>
      <c r="CW193" s="9">
        <v>6.9377690578999998</v>
      </c>
      <c r="CX193" s="9">
        <v>2.8444300562999998</v>
      </c>
      <c r="CY193" s="9">
        <v>4.0217169926</v>
      </c>
      <c r="CZ193" s="9">
        <v>428</v>
      </c>
      <c r="DA193" s="9">
        <v>379</v>
      </c>
      <c r="DB193" s="9">
        <v>64</v>
      </c>
      <c r="DC193" s="9">
        <v>208</v>
      </c>
      <c r="DD193" s="9">
        <v>25</v>
      </c>
      <c r="DE193" s="9">
        <v>0</v>
      </c>
      <c r="DF193" s="9">
        <v>47</v>
      </c>
      <c r="DG193" s="9">
        <v>27</v>
      </c>
      <c r="DH193" s="9">
        <v>23</v>
      </c>
      <c r="DI193" s="9">
        <v>3</v>
      </c>
      <c r="DJ193" s="9">
        <v>4</v>
      </c>
      <c r="DK193" s="9">
        <v>13</v>
      </c>
      <c r="DL193" s="9">
        <v>2</v>
      </c>
      <c r="DM193" s="9">
        <v>24</v>
      </c>
      <c r="DN193" s="9">
        <v>0</v>
      </c>
      <c r="DO193" s="9">
        <v>311.69</v>
      </c>
      <c r="DP193" s="9">
        <v>98.89</v>
      </c>
      <c r="DQ193" s="9">
        <v>59.55</v>
      </c>
      <c r="DR193" s="9">
        <v>39.340000000000003</v>
      </c>
      <c r="DS193" s="9">
        <v>44.13</v>
      </c>
      <c r="DT193" s="9">
        <v>12.17</v>
      </c>
      <c r="DU193" s="9">
        <v>111.13</v>
      </c>
      <c r="DV193" s="9">
        <v>72.260000000000005</v>
      </c>
      <c r="DW193" s="9">
        <v>21.3</v>
      </c>
      <c r="DX193" s="9">
        <v>57.22</v>
      </c>
      <c r="DY193" s="9">
        <v>29.14</v>
      </c>
      <c r="DZ193" s="9">
        <v>19.57</v>
      </c>
      <c r="EA193" s="9">
        <v>-41.062899999999999</v>
      </c>
      <c r="EB193" s="9">
        <v>119.4396</v>
      </c>
      <c r="EC193" s="9">
        <v>-105.292</v>
      </c>
      <c r="ED193" s="9">
        <v>-64.2821</v>
      </c>
      <c r="EE193" s="9">
        <v>9.071733</v>
      </c>
      <c r="EF193" s="9">
        <v>12.08719</v>
      </c>
      <c r="EG193" s="9">
        <v>10.413500000000001</v>
      </c>
      <c r="EH193" s="9">
        <v>-69.820999999999998</v>
      </c>
      <c r="EI193" s="9">
        <v>14.18158</v>
      </c>
      <c r="EJ193" s="9">
        <v>0.53123799999999999</v>
      </c>
      <c r="EK193" s="9">
        <v>65.521640000000005</v>
      </c>
      <c r="EL193" s="9">
        <v>-95.170299999999997</v>
      </c>
      <c r="EM193" s="9">
        <v>-134.56</v>
      </c>
      <c r="EN193" s="9">
        <v>1323.1</v>
      </c>
      <c r="EO193" s="9"/>
      <c r="EP193" s="9"/>
      <c r="EQ193" s="9"/>
      <c r="ER193" s="9"/>
      <c r="ES193" s="9"/>
      <c r="ET193" s="9"/>
      <c r="EU193">
        <v>1995.84</v>
      </c>
      <c r="EV193" s="9">
        <v>22717.82</v>
      </c>
      <c r="EW193" s="9">
        <v>3759.86</v>
      </c>
      <c r="EX193" s="9">
        <v>1959.64</v>
      </c>
      <c r="EY193" s="9">
        <v>2128.5</v>
      </c>
      <c r="EZ193" s="9">
        <v>3748.95</v>
      </c>
      <c r="FA193" s="9">
        <v>11120.86</v>
      </c>
      <c r="FB193" s="9">
        <v>55.865816326500003</v>
      </c>
      <c r="FC193" s="9">
        <v>37.721739130400003</v>
      </c>
      <c r="FD193" s="9">
        <v>4638.8333333333003</v>
      </c>
      <c r="FE193" s="9">
        <v>40.8826086957</v>
      </c>
      <c r="FF193" s="9">
        <v>1068.2526315790001</v>
      </c>
      <c r="FG193" s="9">
        <v>11633582.6</v>
      </c>
      <c r="FH193" s="9">
        <v>850667.68</v>
      </c>
      <c r="FI193" s="9">
        <v>867288.64999999991</v>
      </c>
      <c r="FJ193" s="9">
        <v>4963957.38</v>
      </c>
      <c r="FK193" s="9">
        <v>96572.7</v>
      </c>
      <c r="FL193" s="9">
        <v>129696.08</v>
      </c>
      <c r="FM193" s="9"/>
      <c r="FN193" s="9"/>
      <c r="FO193" s="9"/>
      <c r="FP193" s="9"/>
      <c r="FQ193" s="9"/>
      <c r="FR193" s="9"/>
      <c r="FS193" s="9"/>
      <c r="FT193" s="9">
        <v>6669584.5199999996</v>
      </c>
      <c r="FU193" s="9">
        <v>754094.9800000001</v>
      </c>
      <c r="FV193" s="9">
        <v>737551.87000000011</v>
      </c>
      <c r="FW193" s="9"/>
      <c r="FX193" s="9"/>
      <c r="FY193" s="9"/>
      <c r="FZ193" s="9">
        <v>97127.99</v>
      </c>
      <c r="GA193" s="9">
        <v>8391736.3399999999</v>
      </c>
      <c r="GB193" s="9">
        <v>2056058.92</v>
      </c>
      <c r="GC193" s="9">
        <v>6335677.419999999</v>
      </c>
      <c r="GD193" s="9">
        <v>6083482.8599999994</v>
      </c>
      <c r="GE193" s="9">
        <v>497908.9</v>
      </c>
      <c r="GF193" s="9">
        <v>5585573.9600000009</v>
      </c>
      <c r="GG193" s="9">
        <v>2308253.48</v>
      </c>
      <c r="GH193" s="9">
        <v>1558150.02</v>
      </c>
      <c r="GI193" s="9">
        <v>750103.46</v>
      </c>
      <c r="GJ193" s="9">
        <v>2791092.97</v>
      </c>
      <c r="GK193" s="9">
        <v>21521242.449999999</v>
      </c>
      <c r="GL193" s="9">
        <v>2426809.09</v>
      </c>
      <c r="GM193">
        <v>1995.51</v>
      </c>
      <c r="GO193" s="6"/>
      <c r="GP193" s="6"/>
      <c r="GQ193" s="6"/>
    </row>
    <row r="194" spans="1:199" x14ac:dyDescent="0.2">
      <c r="A194" s="8">
        <v>2016</v>
      </c>
      <c r="B194" s="8" t="s">
        <v>455</v>
      </c>
      <c r="C194" s="8" t="s">
        <v>456</v>
      </c>
      <c r="D194" s="9"/>
      <c r="E194" s="9"/>
      <c r="F194" s="9"/>
      <c r="G194" s="9"/>
      <c r="H194" s="9"/>
      <c r="I194" s="9"/>
      <c r="J194" s="9"/>
      <c r="K194" s="9"/>
      <c r="L194" s="9"/>
      <c r="M194" s="9"/>
      <c r="N194" s="9"/>
      <c r="O194" s="9"/>
      <c r="P194" s="9"/>
      <c r="Q194" s="9"/>
      <c r="R194" s="9"/>
      <c r="S194" s="9"/>
      <c r="T194" s="9"/>
      <c r="U194" s="9"/>
      <c r="V194" s="9"/>
      <c r="W194" s="9"/>
      <c r="X194" s="9"/>
      <c r="Y194" s="9"/>
      <c r="Z194" s="9"/>
      <c r="AA194" s="9"/>
      <c r="AB194" s="9"/>
      <c r="AC194" s="9"/>
      <c r="AD194" s="9"/>
      <c r="AE194" s="9"/>
      <c r="AF194" s="9"/>
      <c r="AG194" s="9"/>
      <c r="AH194" s="9"/>
      <c r="AI194" s="9"/>
      <c r="AJ194" s="9"/>
      <c r="AK194" s="9"/>
      <c r="AL194" s="9"/>
      <c r="AM194" s="9"/>
      <c r="AN194" s="9"/>
      <c r="AO194" s="9"/>
      <c r="AP194" s="9"/>
      <c r="AQ194" s="9"/>
      <c r="AR194" s="9"/>
      <c r="AS194" s="9"/>
      <c r="AT194" s="9"/>
      <c r="AU194" s="9"/>
      <c r="AV194" s="9"/>
      <c r="AW194" s="9"/>
      <c r="AX194" s="9"/>
      <c r="AY194" s="9"/>
      <c r="AZ194" s="9"/>
      <c r="BA194" s="9"/>
      <c r="BB194" s="9"/>
      <c r="BC194" s="9"/>
      <c r="BD194" s="9"/>
      <c r="BE194" s="9"/>
      <c r="BF194" s="9"/>
      <c r="BG194" s="9"/>
      <c r="BH194" s="9"/>
      <c r="BI194" s="9"/>
      <c r="BJ194" s="9"/>
      <c r="BK194" s="9"/>
      <c r="BL194" s="9"/>
      <c r="BM194" s="9"/>
      <c r="BN194" s="9">
        <v>335244.5</v>
      </c>
      <c r="BO194" s="9">
        <v>300451.09999999998</v>
      </c>
      <c r="BP194" s="9">
        <v>37375.9</v>
      </c>
      <c r="BQ194" s="9">
        <v>15182.6</v>
      </c>
      <c r="BR194" s="9">
        <v>22137.5</v>
      </c>
      <c r="BS194" s="9">
        <v>86698.2</v>
      </c>
      <c r="BT194" s="9">
        <v>76890.2</v>
      </c>
      <c r="BU194" s="9">
        <v>49092.800000000003</v>
      </c>
      <c r="BV194" s="9">
        <v>34793.300000000003</v>
      </c>
      <c r="BW194" s="9">
        <v>397683.4</v>
      </c>
      <c r="BX194" s="9">
        <v>0</v>
      </c>
      <c r="BY194" s="9">
        <v>8267.9</v>
      </c>
      <c r="BZ194" s="9">
        <v>131494.9</v>
      </c>
      <c r="CA194" s="9">
        <v>30981.9</v>
      </c>
      <c r="CB194" s="9">
        <v>1550.5</v>
      </c>
      <c r="CC194" s="9">
        <v>175859.4</v>
      </c>
      <c r="CD194" s="9">
        <v>2473.1</v>
      </c>
      <c r="CE194" s="9">
        <v>17321.2</v>
      </c>
      <c r="CF194" s="9">
        <v>1608085.899773594</v>
      </c>
      <c r="CG194" s="9">
        <v>9849543.9606698379</v>
      </c>
      <c r="CH194" s="9">
        <v>12.9</v>
      </c>
      <c r="CI194" s="9">
        <v>7.1</v>
      </c>
      <c r="CJ194" s="9">
        <v>19.673765726700001</v>
      </c>
      <c r="CK194" s="9">
        <v>12.263641827300001</v>
      </c>
      <c r="CL194" s="9">
        <v>12</v>
      </c>
      <c r="CM194" s="9">
        <v>99.657244570100005</v>
      </c>
      <c r="CN194" s="9">
        <v>24.879242018199999</v>
      </c>
      <c r="CO194" s="9">
        <v>4.4129252760000002</v>
      </c>
      <c r="CP194" s="9">
        <v>16.834169557399999</v>
      </c>
      <c r="CQ194" s="9">
        <v>9.4083727369000005</v>
      </c>
      <c r="CR194" s="9">
        <v>4.9945450120999997</v>
      </c>
      <c r="CS194" s="9">
        <v>3.6309565290000001</v>
      </c>
      <c r="CT194" s="9">
        <v>14.1515644016</v>
      </c>
      <c r="CU194" s="9">
        <v>4.3504659430999997</v>
      </c>
      <c r="CV194" s="9">
        <v>3.1379818299000002</v>
      </c>
      <c r="CW194" s="9">
        <v>5.3854785723000003</v>
      </c>
      <c r="CX194" s="9">
        <v>3.0148009626999999</v>
      </c>
      <c r="CY194" s="9">
        <v>5.4567417310000002</v>
      </c>
      <c r="CZ194" s="9">
        <v>328</v>
      </c>
      <c r="DA194" s="9">
        <v>285</v>
      </c>
      <c r="DB194" s="9">
        <v>25</v>
      </c>
      <c r="DC194" s="9">
        <v>178</v>
      </c>
      <c r="DD194" s="9">
        <v>13</v>
      </c>
      <c r="DE194" s="9">
        <v>3</v>
      </c>
      <c r="DF194" s="9">
        <v>34</v>
      </c>
      <c r="DG194" s="9">
        <v>25</v>
      </c>
      <c r="DH194" s="9">
        <v>20</v>
      </c>
      <c r="DI194" s="9">
        <v>1</v>
      </c>
      <c r="DJ194" s="9">
        <v>9</v>
      </c>
      <c r="DK194" s="9">
        <v>8</v>
      </c>
      <c r="DL194" s="9">
        <v>3</v>
      </c>
      <c r="DM194" s="9">
        <v>20</v>
      </c>
      <c r="DN194" s="9">
        <v>0</v>
      </c>
      <c r="DO194" s="9">
        <v>197.8</v>
      </c>
      <c r="DP194" s="9">
        <v>74.19</v>
      </c>
      <c r="DQ194" s="9">
        <v>42.57</v>
      </c>
      <c r="DR194" s="9">
        <v>31.62</v>
      </c>
      <c r="DS194" s="9">
        <v>35.869999999999997</v>
      </c>
      <c r="DT194" s="9">
        <v>10.78</v>
      </c>
      <c r="DU194" s="9">
        <v>57.88</v>
      </c>
      <c r="DV194" s="9">
        <v>36.42</v>
      </c>
      <c r="DW194" s="9">
        <v>14.1</v>
      </c>
      <c r="DX194" s="9">
        <v>29.7</v>
      </c>
      <c r="DY194" s="9">
        <v>13.82</v>
      </c>
      <c r="DZ194" s="9">
        <v>11.49</v>
      </c>
      <c r="EA194" s="9">
        <v>-105.221</v>
      </c>
      <c r="EB194" s="9">
        <v>87.426559999999995</v>
      </c>
      <c r="EC194" s="9">
        <v>-144.18899999999999</v>
      </c>
      <c r="ED194" s="9">
        <v>-60.957799999999999</v>
      </c>
      <c r="EE194" s="9">
        <v>12.49919</v>
      </c>
      <c r="EF194" s="9">
        <v>4.3733690000000003</v>
      </c>
      <c r="EG194" s="9">
        <v>-248.76599999999999</v>
      </c>
      <c r="EH194" s="9">
        <v>-103.508</v>
      </c>
      <c r="EI194" s="9">
        <v>0.39699099999999998</v>
      </c>
      <c r="EJ194" s="9">
        <v>-0.21331</v>
      </c>
      <c r="EK194" s="9">
        <v>-145.44200000000001</v>
      </c>
      <c r="EL194" s="9">
        <v>-126.256</v>
      </c>
      <c r="EM194" s="9">
        <v>21.661950000000001</v>
      </c>
      <c r="EN194" s="9">
        <v>1323.5</v>
      </c>
      <c r="EO194" s="9"/>
      <c r="EP194" s="9"/>
      <c r="EQ194" s="9"/>
      <c r="ER194" s="9"/>
      <c r="ES194" s="9"/>
      <c r="ET194" s="9"/>
      <c r="EU194">
        <v>2003.22</v>
      </c>
      <c r="EV194" s="9"/>
      <c r="EW194" s="9"/>
      <c r="EX194" s="9"/>
      <c r="EY194" s="9"/>
      <c r="EZ194" s="9"/>
      <c r="FA194" s="9"/>
      <c r="FB194" s="9">
        <v>53.4289285714</v>
      </c>
      <c r="FC194" s="9">
        <v>30.803333333299999</v>
      </c>
      <c r="FD194" s="9">
        <v>4471.7875000000004</v>
      </c>
      <c r="FE194" s="9">
        <v>42.204761904800002</v>
      </c>
      <c r="FF194" s="9">
        <v>1097.375</v>
      </c>
      <c r="FG194" s="9">
        <v>11716306.060000001</v>
      </c>
      <c r="FH194" s="9">
        <v>935424.14</v>
      </c>
      <c r="FI194" s="9">
        <v>891398.15</v>
      </c>
      <c r="FJ194" s="9">
        <v>5066029.4499999993</v>
      </c>
      <c r="FK194" s="9">
        <v>137940.21</v>
      </c>
      <c r="FL194" s="9">
        <v>137864.07999999999</v>
      </c>
      <c r="FM194" s="9"/>
      <c r="FN194" s="9"/>
      <c r="FO194" s="9"/>
      <c r="FP194" s="9"/>
      <c r="FQ194" s="9"/>
      <c r="FR194" s="9"/>
      <c r="FS194" s="9"/>
      <c r="FT194" s="9">
        <v>6650236.0499999998</v>
      </c>
      <c r="FU194" s="9">
        <v>797483.92999999993</v>
      </c>
      <c r="FV194" s="9">
        <v>753493.51</v>
      </c>
      <c r="FW194" s="9"/>
      <c r="FX194" s="9"/>
      <c r="FY194" s="9"/>
      <c r="FZ194" s="9">
        <v>102687.98</v>
      </c>
      <c r="GA194" s="9">
        <v>8291971.1399999997</v>
      </c>
      <c r="GB194" s="9">
        <v>1985847.37</v>
      </c>
      <c r="GC194" s="9">
        <v>6306123.7699999996</v>
      </c>
      <c r="GD194" s="9">
        <v>6023578.9100000001</v>
      </c>
      <c r="GE194" s="9">
        <v>467077.91</v>
      </c>
      <c r="GF194" s="9">
        <v>5556501</v>
      </c>
      <c r="GG194" s="9">
        <v>2268392.23</v>
      </c>
      <c r="GH194" s="9">
        <v>1518769.46</v>
      </c>
      <c r="GI194" s="9">
        <v>749622.77</v>
      </c>
      <c r="GJ194" s="9">
        <v>2707898.47</v>
      </c>
      <c r="GK194" s="9">
        <v>20858081.609999999</v>
      </c>
      <c r="GL194" s="9">
        <v>2326800.63</v>
      </c>
      <c r="GM194">
        <v>2011.38</v>
      </c>
      <c r="GO194" s="6"/>
      <c r="GP194" s="6"/>
      <c r="GQ194" s="6"/>
    </row>
    <row r="195" spans="1:199" x14ac:dyDescent="0.2">
      <c r="A195" s="8">
        <v>2016</v>
      </c>
      <c r="B195" s="8" t="s">
        <v>455</v>
      </c>
      <c r="C195" s="8" t="s">
        <v>457</v>
      </c>
      <c r="D195" s="9"/>
      <c r="E195" s="9"/>
      <c r="F195" s="9"/>
      <c r="G195" s="9"/>
      <c r="H195" s="9"/>
      <c r="I195" s="9"/>
      <c r="J195" s="9"/>
      <c r="K195" s="9"/>
      <c r="L195" s="9"/>
      <c r="M195" s="9"/>
      <c r="N195" s="9"/>
      <c r="O195" s="9"/>
      <c r="P195" s="9"/>
      <c r="Q195" s="9"/>
      <c r="R195" s="9"/>
      <c r="S195" s="9"/>
      <c r="T195" s="9"/>
      <c r="U195" s="9"/>
      <c r="V195" s="9"/>
      <c r="W195" s="9"/>
      <c r="X195" s="9"/>
      <c r="Y195" s="9"/>
      <c r="Z195" s="9"/>
      <c r="AA195" s="9"/>
      <c r="AB195" s="9"/>
      <c r="AC195" s="9"/>
      <c r="AD195" s="9"/>
      <c r="AE195" s="9"/>
      <c r="AF195" s="9"/>
      <c r="AG195" s="9"/>
      <c r="AH195" s="9"/>
      <c r="AI195" s="9"/>
      <c r="AJ195" s="9"/>
      <c r="AK195" s="9"/>
      <c r="AL195" s="9"/>
      <c r="AM195" s="9"/>
      <c r="AN195" s="9"/>
      <c r="AO195" s="9"/>
      <c r="AP195" s="9"/>
      <c r="AQ195" s="9"/>
      <c r="AR195" s="9"/>
      <c r="AS195" s="9"/>
      <c r="AT195" s="9"/>
      <c r="AU195" s="9"/>
      <c r="AV195" s="9"/>
      <c r="AW195" s="9"/>
      <c r="AX195" s="9"/>
      <c r="AY195" s="9"/>
      <c r="AZ195" s="9"/>
      <c r="BA195" s="9"/>
      <c r="BB195" s="9"/>
      <c r="BC195" s="9"/>
      <c r="BD195" s="9"/>
      <c r="BE195" s="9"/>
      <c r="BF195" s="9"/>
      <c r="BG195" s="9"/>
      <c r="BH195" s="9"/>
      <c r="BI195" s="9"/>
      <c r="BJ195" s="9"/>
      <c r="BK195" s="9"/>
      <c r="BL195" s="9"/>
      <c r="BM195" s="9"/>
      <c r="BN195" s="9">
        <v>373564.6</v>
      </c>
      <c r="BO195" s="9">
        <v>326955.90000000002</v>
      </c>
      <c r="BP195" s="9">
        <v>70525.7</v>
      </c>
      <c r="BQ195" s="9">
        <v>26377.1</v>
      </c>
      <c r="BR195" s="9">
        <v>44080.3</v>
      </c>
      <c r="BS195" s="9">
        <v>88663.6</v>
      </c>
      <c r="BT195" s="9">
        <v>83745</v>
      </c>
      <c r="BU195" s="9">
        <v>37670.199999999997</v>
      </c>
      <c r="BV195" s="9">
        <v>46608.9</v>
      </c>
      <c r="BW195" s="9">
        <v>476428.3</v>
      </c>
      <c r="BX195" s="9">
        <v>0</v>
      </c>
      <c r="BY195" s="9">
        <v>13699.4</v>
      </c>
      <c r="BZ195" s="9">
        <v>137833.29999999999</v>
      </c>
      <c r="CA195" s="9">
        <v>53949.7</v>
      </c>
      <c r="CB195" s="9">
        <v>5609.7</v>
      </c>
      <c r="CC195" s="9">
        <v>174633.3</v>
      </c>
      <c r="CD195" s="9">
        <v>-2275.4</v>
      </c>
      <c r="CE195" s="9">
        <v>71773.3</v>
      </c>
      <c r="CF195" s="9">
        <v>1522926.0138469799</v>
      </c>
      <c r="CG195" s="9">
        <v>10011025.01303589</v>
      </c>
      <c r="CH195" s="9">
        <v>12.7</v>
      </c>
      <c r="CI195" s="9">
        <v>6.7</v>
      </c>
      <c r="CJ195" s="9">
        <v>20.1304055891</v>
      </c>
      <c r="CK195" s="9">
        <v>12.578475153099999</v>
      </c>
      <c r="CL195" s="9">
        <v>12</v>
      </c>
      <c r="CM195" s="9">
        <v>100.1410192485</v>
      </c>
      <c r="CN195" s="9">
        <v>25.487989793600001</v>
      </c>
      <c r="CO195" s="9">
        <v>4.4098262848000003</v>
      </c>
      <c r="CP195" s="9">
        <v>16.878734700799999</v>
      </c>
      <c r="CQ195" s="9">
        <v>9.3033604609000005</v>
      </c>
      <c r="CR195" s="9">
        <v>5.0030655491999996</v>
      </c>
      <c r="CS195" s="9">
        <v>3.6331735418000002</v>
      </c>
      <c r="CT195" s="9">
        <v>14.0670099167</v>
      </c>
      <c r="CU195" s="9">
        <v>4.3506777058999999</v>
      </c>
      <c r="CV195" s="9">
        <v>3.1395143414</v>
      </c>
      <c r="CW195" s="9">
        <v>5.3854785723000003</v>
      </c>
      <c r="CX195" s="9">
        <v>3.0149448758999999</v>
      </c>
      <c r="CY195" s="9">
        <v>5.4672435049999999</v>
      </c>
      <c r="CZ195" s="9">
        <v>284</v>
      </c>
      <c r="DA195" s="9">
        <v>240</v>
      </c>
      <c r="DB195" s="9">
        <v>38</v>
      </c>
      <c r="DC195" s="9">
        <v>156</v>
      </c>
      <c r="DD195" s="9">
        <v>3</v>
      </c>
      <c r="DE195" s="9">
        <v>7</v>
      </c>
      <c r="DF195" s="9">
        <v>10</v>
      </c>
      <c r="DG195" s="9">
        <v>19</v>
      </c>
      <c r="DH195" s="9">
        <v>3</v>
      </c>
      <c r="DI195" s="9">
        <v>0</v>
      </c>
      <c r="DJ195" s="9">
        <v>1</v>
      </c>
      <c r="DK195" s="9">
        <v>1</v>
      </c>
      <c r="DL195" s="9">
        <v>0</v>
      </c>
      <c r="DM195" s="9">
        <v>40</v>
      </c>
      <c r="DN195" s="9">
        <v>0</v>
      </c>
      <c r="DO195" s="9">
        <v>150.41999999999999</v>
      </c>
      <c r="DP195" s="9">
        <v>54.03</v>
      </c>
      <c r="DQ195" s="9">
        <v>31.24</v>
      </c>
      <c r="DR195" s="9">
        <v>22.79</v>
      </c>
      <c r="DS195" s="9">
        <v>27.81</v>
      </c>
      <c r="DT195" s="9">
        <v>1.86</v>
      </c>
      <c r="DU195" s="9">
        <v>43.49</v>
      </c>
      <c r="DV195" s="9">
        <v>22.67</v>
      </c>
      <c r="DW195" s="9">
        <v>8.69</v>
      </c>
      <c r="DX195" s="9">
        <v>24.8</v>
      </c>
      <c r="DY195" s="9">
        <v>9.66</v>
      </c>
      <c r="DZ195" s="9">
        <v>9.68</v>
      </c>
      <c r="EA195" s="9">
        <v>11.99912</v>
      </c>
      <c r="EB195" s="9">
        <v>152.00200000000001</v>
      </c>
      <c r="EC195" s="9">
        <v>-72.856700000000004</v>
      </c>
      <c r="ED195" s="9">
        <v>-78.805899999999994</v>
      </c>
      <c r="EE195" s="9">
        <v>11.65972</v>
      </c>
      <c r="EF195" s="9">
        <v>4.0775519999999998</v>
      </c>
      <c r="EG195" s="9">
        <v>98.186449999999994</v>
      </c>
      <c r="EH195" s="9">
        <v>-37.178699999999999</v>
      </c>
      <c r="EI195" s="9">
        <v>-14.9148</v>
      </c>
      <c r="EJ195" s="9">
        <v>0.172879</v>
      </c>
      <c r="EK195" s="9">
        <v>150.107</v>
      </c>
      <c r="EL195" s="9">
        <v>-64.590299999999999</v>
      </c>
      <c r="EM195" s="9">
        <v>-146.69999999999999</v>
      </c>
      <c r="EN195" s="9">
        <v>1197.3</v>
      </c>
      <c r="EO195" s="9"/>
      <c r="EP195" s="9"/>
      <c r="EQ195" s="9"/>
      <c r="ER195" s="9"/>
      <c r="ES195" s="9"/>
      <c r="ET195" s="9"/>
      <c r="EU195">
        <v>2024.2494444444001</v>
      </c>
      <c r="EV195" s="9"/>
      <c r="EW195" s="9"/>
      <c r="EX195" s="9"/>
      <c r="EY195" s="9"/>
      <c r="EZ195" s="9"/>
      <c r="FA195" s="9"/>
      <c r="FB195" s="9">
        <v>53.781632653099997</v>
      </c>
      <c r="FC195" s="9">
        <v>33.198095238100002</v>
      </c>
      <c r="FD195" s="9">
        <v>4598.6190476190995</v>
      </c>
      <c r="FE195" s="9">
        <v>46.485714285699999</v>
      </c>
      <c r="FF195" s="9">
        <v>1199.9119047618999</v>
      </c>
      <c r="FG195" s="9">
        <v>11560654.82</v>
      </c>
      <c r="FH195" s="9">
        <v>987780.18</v>
      </c>
      <c r="FI195" s="9">
        <v>907607.46</v>
      </c>
      <c r="FJ195" s="9">
        <v>4898236.3800000008</v>
      </c>
      <c r="FK195" s="9">
        <v>152580.82999999999</v>
      </c>
      <c r="FL195" s="9">
        <v>147174.25</v>
      </c>
      <c r="FM195" s="9"/>
      <c r="FN195" s="9"/>
      <c r="FO195" s="9"/>
      <c r="FP195" s="9"/>
      <c r="FQ195" s="9"/>
      <c r="FR195" s="9"/>
      <c r="FS195" s="9"/>
      <c r="FT195" s="9">
        <v>6662077.7999999998</v>
      </c>
      <c r="FU195" s="9">
        <v>835199.36</v>
      </c>
      <c r="FV195" s="9">
        <v>760092.54999999993</v>
      </c>
      <c r="FW195" s="9"/>
      <c r="FX195" s="9"/>
      <c r="FY195" s="9"/>
      <c r="FZ195" s="9">
        <v>127726.25</v>
      </c>
      <c r="GA195" s="9">
        <v>8462805.9899999984</v>
      </c>
      <c r="GB195" s="9">
        <v>2022294.22</v>
      </c>
      <c r="GC195" s="9">
        <v>6440511.7699999996</v>
      </c>
      <c r="GD195" s="9">
        <v>6128982.6100000003</v>
      </c>
      <c r="GE195" s="9">
        <v>451587.28</v>
      </c>
      <c r="GF195" s="9">
        <v>5677395.330000001</v>
      </c>
      <c r="GG195" s="9">
        <v>2333823.38</v>
      </c>
      <c r="GH195" s="9">
        <v>1570706.94</v>
      </c>
      <c r="GI195" s="9">
        <v>763116.44000000006</v>
      </c>
      <c r="GJ195" s="9">
        <v>2794380.1</v>
      </c>
      <c r="GK195" s="9">
        <v>21844684.260000002</v>
      </c>
      <c r="GL195" s="9">
        <v>2334970.38</v>
      </c>
      <c r="GM195">
        <v>2032.47</v>
      </c>
      <c r="GO195" s="6"/>
      <c r="GP195" s="6"/>
      <c r="GQ195" s="6"/>
    </row>
    <row r="196" spans="1:199" x14ac:dyDescent="0.2">
      <c r="A196" s="8">
        <v>2016</v>
      </c>
      <c r="B196" s="8" t="s">
        <v>455</v>
      </c>
      <c r="C196" s="8" t="s">
        <v>458</v>
      </c>
      <c r="D196" s="9">
        <v>4738100.2</v>
      </c>
      <c r="E196" s="9">
        <v>181091.3</v>
      </c>
      <c r="F196" s="9">
        <v>933037.7</v>
      </c>
      <c r="G196" s="9">
        <v>413901</v>
      </c>
      <c r="H196" s="9">
        <v>159949.5</v>
      </c>
      <c r="I196" s="9">
        <v>67494.600000000006</v>
      </c>
      <c r="J196" s="9">
        <v>373688.8</v>
      </c>
      <c r="K196" s="9">
        <v>289160.5</v>
      </c>
      <c r="L196" s="9">
        <v>96385.3</v>
      </c>
      <c r="M196" s="9">
        <v>1772870.7</v>
      </c>
      <c r="N196" s="9">
        <v>450520.9</v>
      </c>
      <c r="O196" s="9">
        <v>4302465.8080000002</v>
      </c>
      <c r="P196" s="9">
        <v>189605.77900000001</v>
      </c>
      <c r="Q196" s="9">
        <v>842815.31599999999</v>
      </c>
      <c r="R196" s="9">
        <v>237782.94500000001</v>
      </c>
      <c r="S196" s="9">
        <v>170872.83</v>
      </c>
      <c r="T196" s="9">
        <v>66340.077000000005</v>
      </c>
      <c r="U196" s="9">
        <v>404191.23200000002</v>
      </c>
      <c r="V196" s="9">
        <v>247138.36600000001</v>
      </c>
      <c r="W196" s="9">
        <v>120319.09600000001</v>
      </c>
      <c r="X196" s="9">
        <v>1614799.9580000001</v>
      </c>
      <c r="Y196" s="9">
        <v>408600.21</v>
      </c>
      <c r="Z196" s="9">
        <v>4748551.5999999996</v>
      </c>
      <c r="AA196" s="9">
        <v>3047005.6</v>
      </c>
      <c r="AB196" s="9">
        <v>775973.3</v>
      </c>
      <c r="AC196" s="9">
        <v>663915.80000000005</v>
      </c>
      <c r="AD196" s="9">
        <v>96638.8</v>
      </c>
      <c r="AE196" s="9">
        <v>2155884</v>
      </c>
      <c r="AF196" s="9">
        <v>1990865.9</v>
      </c>
      <c r="AG196" s="9">
        <v>4478782.8</v>
      </c>
      <c r="AH196" s="9">
        <v>3386364</v>
      </c>
      <c r="AI196" s="9">
        <v>871870.5</v>
      </c>
      <c r="AJ196" s="9">
        <v>647433.80000000005</v>
      </c>
      <c r="AK196" s="9">
        <v>-451027.9</v>
      </c>
      <c r="AL196" s="9">
        <v>2254743.7000000002</v>
      </c>
      <c r="AM196" s="9">
        <v>2230601.2999999998</v>
      </c>
      <c r="AN196" s="9">
        <v>1089303</v>
      </c>
      <c r="AO196" s="9">
        <v>576008</v>
      </c>
      <c r="AP196" s="9">
        <v>513295</v>
      </c>
      <c r="AQ196" s="9">
        <v>143548</v>
      </c>
      <c r="AR196" s="9">
        <v>89032</v>
      </c>
      <c r="AS196" s="9">
        <v>54516</v>
      </c>
      <c r="AT196" s="9">
        <v>821138</v>
      </c>
      <c r="AU196" s="9">
        <v>309205</v>
      </c>
      <c r="AV196" s="9">
        <v>511933</v>
      </c>
      <c r="AW196" s="9">
        <v>871.4</v>
      </c>
      <c r="AX196" s="9">
        <v>647.79999999999995</v>
      </c>
      <c r="AY196" s="9">
        <v>1961.9</v>
      </c>
      <c r="AZ196" s="9">
        <v>817.4</v>
      </c>
      <c r="BA196" s="9">
        <v>1478.7</v>
      </c>
      <c r="BB196" s="9">
        <v>686</v>
      </c>
      <c r="BC196" s="9">
        <v>792.8</v>
      </c>
      <c r="BD196" s="9">
        <v>739.2</v>
      </c>
      <c r="BE196" s="9">
        <v>1036.5999999999999</v>
      </c>
      <c r="BF196" s="9">
        <v>584.6</v>
      </c>
      <c r="BG196" s="9">
        <v>835.9</v>
      </c>
      <c r="BH196" s="9">
        <v>1177.5</v>
      </c>
      <c r="BI196" s="9">
        <v>858.1</v>
      </c>
      <c r="BJ196" s="9">
        <v>709.2</v>
      </c>
      <c r="BK196" s="9">
        <v>736.7</v>
      </c>
      <c r="BL196" s="9">
        <v>608</v>
      </c>
      <c r="BM196" s="9">
        <v>752.2</v>
      </c>
      <c r="BN196" s="9">
        <v>386375</v>
      </c>
      <c r="BO196" s="9">
        <v>345037.4</v>
      </c>
      <c r="BP196" s="9">
        <v>68891</v>
      </c>
      <c r="BQ196" s="9">
        <v>25736.6</v>
      </c>
      <c r="BR196" s="9">
        <v>44518.1</v>
      </c>
      <c r="BS196" s="9">
        <v>91956.1</v>
      </c>
      <c r="BT196" s="9">
        <v>67039.899999999994</v>
      </c>
      <c r="BU196" s="9">
        <v>42088.3</v>
      </c>
      <c r="BV196" s="9">
        <v>41337.5</v>
      </c>
      <c r="BW196" s="9">
        <v>555504.80000000005</v>
      </c>
      <c r="BX196" s="9">
        <v>0</v>
      </c>
      <c r="BY196" s="9">
        <v>45195.1</v>
      </c>
      <c r="BZ196" s="9">
        <v>143570.5</v>
      </c>
      <c r="CA196" s="9">
        <v>70036.100000000006</v>
      </c>
      <c r="CB196" s="9">
        <v>31448.6</v>
      </c>
      <c r="CC196" s="9">
        <v>213436</v>
      </c>
      <c r="CD196" s="9">
        <v>3781.3</v>
      </c>
      <c r="CE196" s="9">
        <v>180999.3</v>
      </c>
      <c r="CF196" s="9">
        <v>1583731.94791507</v>
      </c>
      <c r="CG196" s="9">
        <v>10112431.4191746</v>
      </c>
      <c r="CH196" s="9">
        <v>12.3490563312</v>
      </c>
      <c r="CI196" s="9">
        <v>6.4938568924000002</v>
      </c>
      <c r="CJ196" s="9">
        <v>19.7079152542</v>
      </c>
      <c r="CK196" s="9">
        <v>12.3553895707</v>
      </c>
      <c r="CL196" s="9">
        <v>12</v>
      </c>
      <c r="CM196" s="9">
        <v>100.60637506640001</v>
      </c>
      <c r="CN196" s="9">
        <v>25.9619207119</v>
      </c>
      <c r="CO196" s="9">
        <v>4.4091529514000003</v>
      </c>
      <c r="CP196" s="9">
        <v>16.913232961799999</v>
      </c>
      <c r="CQ196" s="9">
        <v>9.2456104311999994</v>
      </c>
      <c r="CR196" s="9">
        <v>5.0068522512999998</v>
      </c>
      <c r="CS196" s="9">
        <v>3.6336723767999999</v>
      </c>
      <c r="CT196" s="9">
        <v>14.069821918700001</v>
      </c>
      <c r="CU196" s="9">
        <v>4.3480799156999996</v>
      </c>
      <c r="CV196" s="9">
        <v>3.1419236082999999</v>
      </c>
      <c r="CW196" s="9">
        <v>5.3855797140000004</v>
      </c>
      <c r="CX196" s="9">
        <v>3.0164310672000001</v>
      </c>
      <c r="CY196" s="9">
        <v>5.4740971579000002</v>
      </c>
      <c r="CZ196" s="9">
        <v>346</v>
      </c>
      <c r="DA196" s="9">
        <v>318</v>
      </c>
      <c r="DB196" s="9">
        <v>48</v>
      </c>
      <c r="DC196" s="9">
        <v>148</v>
      </c>
      <c r="DD196" s="9">
        <v>13</v>
      </c>
      <c r="DE196" s="9">
        <v>13</v>
      </c>
      <c r="DF196" s="9">
        <v>55</v>
      </c>
      <c r="DG196" s="9">
        <v>29</v>
      </c>
      <c r="DH196" s="9">
        <v>12</v>
      </c>
      <c r="DI196" s="9">
        <v>1</v>
      </c>
      <c r="DJ196" s="9">
        <v>3</v>
      </c>
      <c r="DK196" s="9">
        <v>5</v>
      </c>
      <c r="DL196" s="9">
        <v>4</v>
      </c>
      <c r="DM196" s="9">
        <v>12</v>
      </c>
      <c r="DN196" s="9">
        <v>0</v>
      </c>
      <c r="DO196" s="9">
        <v>246.62</v>
      </c>
      <c r="DP196" s="9">
        <v>81.88</v>
      </c>
      <c r="DQ196" s="9">
        <v>44.78</v>
      </c>
      <c r="DR196" s="9">
        <v>37.1</v>
      </c>
      <c r="DS196" s="9">
        <v>49.76</v>
      </c>
      <c r="DT196" s="9">
        <v>19.440000000000001</v>
      </c>
      <c r="DU196" s="9">
        <v>81.22</v>
      </c>
      <c r="DV196" s="9">
        <v>47.12</v>
      </c>
      <c r="DW196" s="9">
        <v>15.51</v>
      </c>
      <c r="DX196" s="9">
        <v>33.5</v>
      </c>
      <c r="DY196" s="9">
        <v>11.75</v>
      </c>
      <c r="DZ196" s="9">
        <v>14.56</v>
      </c>
      <c r="EA196" s="9">
        <v>-72.017600000000002</v>
      </c>
      <c r="EB196" s="9">
        <v>134.00839999999999</v>
      </c>
      <c r="EC196" s="9">
        <v>-111.04300000000001</v>
      </c>
      <c r="ED196" s="9">
        <v>-115.22199999999999</v>
      </c>
      <c r="EE196" s="9">
        <v>20.238849999999999</v>
      </c>
      <c r="EF196" s="9">
        <v>5.9576060000000002</v>
      </c>
      <c r="EG196" s="9">
        <v>-133.13200000000001</v>
      </c>
      <c r="EH196" s="9">
        <v>-72.879099999999994</v>
      </c>
      <c r="EI196" s="9">
        <v>9.0685289999999998</v>
      </c>
      <c r="EJ196" s="9">
        <v>0.17783099999999999</v>
      </c>
      <c r="EK196" s="9">
        <v>-69.499200000000002</v>
      </c>
      <c r="EL196" s="9">
        <v>20.209620000000001</v>
      </c>
      <c r="EM196" s="9">
        <v>87.281530000000004</v>
      </c>
      <c r="EN196" s="9">
        <v>1265.3</v>
      </c>
      <c r="EO196" s="9"/>
      <c r="EP196" s="9"/>
      <c r="EQ196" s="9"/>
      <c r="ER196" s="9"/>
      <c r="ES196" s="9"/>
      <c r="ET196" s="9"/>
      <c r="EU196">
        <v>2046.3468181818</v>
      </c>
      <c r="EV196" s="9">
        <v>23459.02</v>
      </c>
      <c r="EW196" s="9">
        <v>4072.68</v>
      </c>
      <c r="EX196" s="9">
        <v>2084.48</v>
      </c>
      <c r="EY196" s="9">
        <v>2181.63</v>
      </c>
      <c r="EZ196" s="9">
        <v>3786.88</v>
      </c>
      <c r="FA196" s="9">
        <v>11333.35</v>
      </c>
      <c r="FB196" s="9">
        <v>55.435204081599998</v>
      </c>
      <c r="FC196" s="9">
        <v>39.071739130399997</v>
      </c>
      <c r="FD196" s="9">
        <v>4953.7976190476002</v>
      </c>
      <c r="FE196" s="9">
        <v>56.539130434800001</v>
      </c>
      <c r="FF196" s="9">
        <v>1246.3380952381001</v>
      </c>
      <c r="FG196" s="9">
        <v>11759942.34</v>
      </c>
      <c r="FH196" s="9">
        <v>962194.85</v>
      </c>
      <c r="FI196" s="9">
        <v>964396.53</v>
      </c>
      <c r="FJ196" s="9">
        <v>5047116.6100000013</v>
      </c>
      <c r="FK196" s="9">
        <v>148227.89000000001</v>
      </c>
      <c r="FL196" s="9">
        <v>148028.99</v>
      </c>
      <c r="FM196" s="9"/>
      <c r="FN196" s="9"/>
      <c r="FO196" s="9"/>
      <c r="FP196" s="9"/>
      <c r="FQ196" s="9"/>
      <c r="FR196" s="9"/>
      <c r="FS196" s="9"/>
      <c r="FT196" s="9">
        <v>6712485.0199999986</v>
      </c>
      <c r="FU196" s="9">
        <v>813966.96999999986</v>
      </c>
      <c r="FV196" s="9">
        <v>816026.82000000007</v>
      </c>
      <c r="FW196" s="9"/>
      <c r="FX196" s="9"/>
      <c r="FY196" s="9"/>
      <c r="FZ196" s="9">
        <v>128945.78</v>
      </c>
      <c r="GA196" s="9">
        <v>8620773.709999999</v>
      </c>
      <c r="GB196" s="9">
        <v>2025700.26</v>
      </c>
      <c r="GC196" s="9">
        <v>6595073.4499999993</v>
      </c>
      <c r="GD196" s="9">
        <v>6328292.9299999997</v>
      </c>
      <c r="GE196" s="9">
        <v>494114.96</v>
      </c>
      <c r="GF196" s="9">
        <v>5834177.9699999997</v>
      </c>
      <c r="GG196" s="9">
        <v>2292480.7799999998</v>
      </c>
      <c r="GH196" s="9">
        <v>1531585.3</v>
      </c>
      <c r="GI196" s="9">
        <v>760895.47999999986</v>
      </c>
      <c r="GJ196" s="9">
        <v>3462159.82</v>
      </c>
      <c r="GK196" s="9">
        <v>22042486.640000001</v>
      </c>
      <c r="GL196" s="9">
        <v>2394594.17</v>
      </c>
      <c r="GM196">
        <v>2048.9</v>
      </c>
      <c r="GO196" s="6"/>
      <c r="GP196" s="6"/>
      <c r="GQ196" s="6"/>
    </row>
    <row r="197" spans="1:199" x14ac:dyDescent="0.2">
      <c r="A197" s="8">
        <v>2016</v>
      </c>
      <c r="B197" s="8" t="s">
        <v>459</v>
      </c>
      <c r="C197" s="8" t="s">
        <v>460</v>
      </c>
      <c r="D197" s="9"/>
      <c r="E197" s="9"/>
      <c r="F197" s="9"/>
      <c r="G197" s="9"/>
      <c r="H197" s="9"/>
      <c r="I197" s="9"/>
      <c r="J197" s="9"/>
      <c r="K197" s="9"/>
      <c r="L197" s="9"/>
      <c r="M197" s="9"/>
      <c r="N197" s="9"/>
      <c r="O197" s="9"/>
      <c r="P197" s="9"/>
      <c r="Q197" s="9"/>
      <c r="R197" s="9"/>
      <c r="S197" s="9"/>
      <c r="T197" s="9"/>
      <c r="U197" s="9"/>
      <c r="V197" s="9"/>
      <c r="W197" s="9"/>
      <c r="X197" s="9"/>
      <c r="Y197" s="9"/>
      <c r="Z197" s="9"/>
      <c r="AA197" s="9"/>
      <c r="AB197" s="9"/>
      <c r="AC197" s="9"/>
      <c r="AD197" s="9"/>
      <c r="AE197" s="9"/>
      <c r="AF197" s="9"/>
      <c r="AG197" s="9"/>
      <c r="AH197" s="9"/>
      <c r="AI197" s="9"/>
      <c r="AJ197" s="9"/>
      <c r="AK197" s="9"/>
      <c r="AL197" s="9"/>
      <c r="AM197" s="9"/>
      <c r="AN197" s="9"/>
      <c r="AO197" s="9"/>
      <c r="AP197" s="9"/>
      <c r="AQ197" s="9"/>
      <c r="AR197" s="9"/>
      <c r="AS197" s="9"/>
      <c r="AT197" s="9"/>
      <c r="AU197" s="9"/>
      <c r="AV197" s="9"/>
      <c r="AW197" s="9"/>
      <c r="AX197" s="9"/>
      <c r="AY197" s="9"/>
      <c r="AZ197" s="9"/>
      <c r="BA197" s="9"/>
      <c r="BB197" s="9"/>
      <c r="BC197" s="9"/>
      <c r="BD197" s="9"/>
      <c r="BE197" s="9"/>
      <c r="BF197" s="9"/>
      <c r="BG197" s="9"/>
      <c r="BH197" s="9"/>
      <c r="BI197" s="9"/>
      <c r="BJ197" s="9"/>
      <c r="BK197" s="9"/>
      <c r="BL197" s="9"/>
      <c r="BM197" s="9"/>
      <c r="BN197" s="9">
        <v>561119.1</v>
      </c>
      <c r="BO197" s="9">
        <v>493097.1</v>
      </c>
      <c r="BP197" s="9">
        <v>62202.7</v>
      </c>
      <c r="BQ197" s="9">
        <v>36249.5</v>
      </c>
      <c r="BR197" s="9">
        <v>41502.199999999997</v>
      </c>
      <c r="BS197" s="9">
        <v>223467.1</v>
      </c>
      <c r="BT197" s="9">
        <v>86167</v>
      </c>
      <c r="BU197" s="9">
        <v>35382.300000000003</v>
      </c>
      <c r="BV197" s="9">
        <v>68022</v>
      </c>
      <c r="BW197" s="9">
        <v>538789.5</v>
      </c>
      <c r="BX197" s="9">
        <v>22856</v>
      </c>
      <c r="BY197" s="9">
        <v>23908.6</v>
      </c>
      <c r="BZ197" s="9">
        <v>146465.29999999999</v>
      </c>
      <c r="CA197" s="9">
        <v>50843.3</v>
      </c>
      <c r="CB197" s="9">
        <v>30474.799999999999</v>
      </c>
      <c r="CC197" s="9">
        <v>201449.7</v>
      </c>
      <c r="CD197" s="9">
        <v>7500.1</v>
      </c>
      <c r="CE197" s="9">
        <v>58617.2</v>
      </c>
      <c r="CF197" s="9">
        <v>1683510.5700168801</v>
      </c>
      <c r="CG197" s="9">
        <v>10517391.651066091</v>
      </c>
      <c r="CH197" s="9">
        <v>12.0238971036</v>
      </c>
      <c r="CI197" s="9">
        <v>6.9427359389000003</v>
      </c>
      <c r="CJ197" s="9">
        <v>20.048386191599999</v>
      </c>
      <c r="CK197" s="9">
        <v>11.199670430099999</v>
      </c>
      <c r="CL197" s="9">
        <v>12</v>
      </c>
      <c r="CM197" s="9">
        <v>101.703288598</v>
      </c>
      <c r="CN197" s="9">
        <v>27.060166688799999</v>
      </c>
      <c r="CO197" s="9">
        <v>4.4084043433</v>
      </c>
      <c r="CP197" s="9">
        <v>16.943978007799998</v>
      </c>
      <c r="CQ197" s="9">
        <v>9.2403161886999996</v>
      </c>
      <c r="CR197" s="9">
        <v>5.0126083258999996</v>
      </c>
      <c r="CS197" s="9">
        <v>3.6347591221000002</v>
      </c>
      <c r="CT197" s="9">
        <v>14.0415685546</v>
      </c>
      <c r="CU197" s="9">
        <v>4.3447827103999996</v>
      </c>
      <c r="CV197" s="9">
        <v>3.1442704649</v>
      </c>
      <c r="CW197" s="9">
        <v>5.3855797140000004</v>
      </c>
      <c r="CX197" s="9">
        <v>3.0171781674</v>
      </c>
      <c r="CY197" s="9">
        <v>5.4696763100999997</v>
      </c>
      <c r="CZ197" s="9">
        <v>388</v>
      </c>
      <c r="DA197" s="9">
        <v>336</v>
      </c>
      <c r="DB197" s="9">
        <v>57</v>
      </c>
      <c r="DC197" s="9">
        <v>156</v>
      </c>
      <c r="DD197" s="9">
        <v>16</v>
      </c>
      <c r="DE197" s="9">
        <v>17</v>
      </c>
      <c r="DF197" s="9">
        <v>56</v>
      </c>
      <c r="DG197" s="9">
        <v>26</v>
      </c>
      <c r="DH197" s="9">
        <v>38</v>
      </c>
      <c r="DI197" s="9">
        <v>1</v>
      </c>
      <c r="DJ197" s="9">
        <v>2</v>
      </c>
      <c r="DK197" s="9">
        <v>33</v>
      </c>
      <c r="DL197" s="9">
        <v>3</v>
      </c>
      <c r="DM197" s="9">
        <v>11</v>
      </c>
      <c r="DN197" s="9">
        <v>0</v>
      </c>
      <c r="DO197" s="9">
        <v>263.52999999999997</v>
      </c>
      <c r="DP197" s="9">
        <v>97.35</v>
      </c>
      <c r="DQ197" s="9">
        <v>53.44</v>
      </c>
      <c r="DR197" s="9">
        <v>43.9</v>
      </c>
      <c r="DS197" s="9">
        <v>49.13</v>
      </c>
      <c r="DT197" s="9">
        <v>10.5</v>
      </c>
      <c r="DU197" s="9">
        <v>90.68</v>
      </c>
      <c r="DV197" s="9">
        <v>49.31</v>
      </c>
      <c r="DW197" s="9">
        <v>28.12</v>
      </c>
      <c r="DX197" s="9">
        <v>26.08</v>
      </c>
      <c r="DY197" s="9">
        <v>9.06</v>
      </c>
      <c r="DZ197" s="9">
        <v>11.3</v>
      </c>
      <c r="EA197" s="9">
        <v>-39.153799999999997</v>
      </c>
      <c r="EB197" s="9">
        <v>109.149</v>
      </c>
      <c r="EC197" s="9">
        <v>-107.565</v>
      </c>
      <c r="ED197" s="9">
        <v>-61.468699999999998</v>
      </c>
      <c r="EE197" s="9">
        <v>20.73094</v>
      </c>
      <c r="EF197" s="9">
        <v>7.7142030000000004</v>
      </c>
      <c r="EG197" s="9">
        <v>-307.47899999999998</v>
      </c>
      <c r="EH197" s="9">
        <v>-74.209699999999998</v>
      </c>
      <c r="EI197" s="9">
        <v>-518.23800000000006</v>
      </c>
      <c r="EJ197" s="9">
        <v>-1.1679999999999999E-2</v>
      </c>
      <c r="EK197" s="9">
        <v>284.9812</v>
      </c>
      <c r="EL197" s="9">
        <v>-35.969200000000001</v>
      </c>
      <c r="EM197" s="9">
        <v>240.06970000000001</v>
      </c>
      <c r="EN197" s="9">
        <v>1544.1</v>
      </c>
      <c r="EO197" s="9"/>
      <c r="EP197" s="9"/>
      <c r="EQ197" s="9"/>
      <c r="ER197" s="9"/>
      <c r="ES197" s="9"/>
      <c r="ET197" s="9"/>
      <c r="EU197">
        <v>2011.9880952381</v>
      </c>
      <c r="EV197" s="9"/>
      <c r="EW197" s="9"/>
      <c r="EX197" s="9"/>
      <c r="EY197" s="9"/>
      <c r="EZ197" s="9"/>
      <c r="FA197" s="9"/>
      <c r="FB197" s="9">
        <v>54.6586734694</v>
      </c>
      <c r="FC197" s="9">
        <v>42.247619047599997</v>
      </c>
      <c r="FD197" s="9">
        <v>4872.7380952381</v>
      </c>
      <c r="FE197" s="9">
        <v>60.9666666667</v>
      </c>
      <c r="FF197" s="9">
        <v>1242.2619047619</v>
      </c>
      <c r="FG197" s="9">
        <v>11566291.300000001</v>
      </c>
      <c r="FH197" s="9">
        <v>914378.4</v>
      </c>
      <c r="FI197" s="9">
        <v>1061165.7</v>
      </c>
      <c r="FJ197" s="9">
        <v>4997429.3</v>
      </c>
      <c r="FK197" s="9">
        <v>153644.70000000001</v>
      </c>
      <c r="FL197" s="9">
        <v>166328.1</v>
      </c>
      <c r="FM197" s="9"/>
      <c r="FN197" s="9"/>
      <c r="FO197" s="9"/>
      <c r="FP197" s="9">
        <v>2380251</v>
      </c>
      <c r="FQ197" s="9"/>
      <c r="FR197" s="9"/>
      <c r="FS197" s="9"/>
      <c r="FT197" s="9">
        <v>6563843.6199999982</v>
      </c>
      <c r="FU197" s="9">
        <v>754316.57000000007</v>
      </c>
      <c r="FV197" s="9">
        <v>903684.89</v>
      </c>
      <c r="FW197" s="9"/>
      <c r="FX197" s="9"/>
      <c r="FY197" s="9"/>
      <c r="FZ197" s="9">
        <v>127037.87</v>
      </c>
      <c r="GA197" s="9">
        <v>8867682.1600000001</v>
      </c>
      <c r="GB197" s="9">
        <v>2158701.52</v>
      </c>
      <c r="GC197" s="9">
        <v>6708980.6399999997</v>
      </c>
      <c r="GD197" s="9">
        <v>6451981.7399999993</v>
      </c>
      <c r="GE197" s="9">
        <v>515555.33</v>
      </c>
      <c r="GF197" s="9">
        <v>5936426.4099999992</v>
      </c>
      <c r="GG197" s="9">
        <v>2415700.42</v>
      </c>
      <c r="GH197" s="9">
        <v>1643146.19</v>
      </c>
      <c r="GI197" s="9">
        <v>772554.23</v>
      </c>
      <c r="GJ197" s="9">
        <v>3631889.36</v>
      </c>
      <c r="GK197" s="9">
        <v>22230919.390000001</v>
      </c>
      <c r="GL197" s="9">
        <v>2434236.87</v>
      </c>
      <c r="GM197">
        <v>2011.84</v>
      </c>
      <c r="GO197" s="6"/>
      <c r="GP197" s="6"/>
      <c r="GQ197" s="6"/>
    </row>
    <row r="198" spans="1:199" x14ac:dyDescent="0.2">
      <c r="A198" s="8">
        <v>2016</v>
      </c>
      <c r="B198" s="8" t="s">
        <v>459</v>
      </c>
      <c r="C198" s="8" t="s">
        <v>461</v>
      </c>
      <c r="D198" s="9"/>
      <c r="E198" s="9"/>
      <c r="F198" s="9"/>
      <c r="G198" s="9"/>
      <c r="H198" s="9"/>
      <c r="I198" s="9"/>
      <c r="J198" s="9"/>
      <c r="K198" s="9"/>
      <c r="L198" s="9"/>
      <c r="M198" s="9"/>
      <c r="N198" s="9"/>
      <c r="O198" s="9"/>
      <c r="P198" s="9"/>
      <c r="Q198" s="9"/>
      <c r="R198" s="9"/>
      <c r="S198" s="9"/>
      <c r="T198" s="9"/>
      <c r="U198" s="9"/>
      <c r="V198" s="9"/>
      <c r="W198" s="9"/>
      <c r="X198" s="9"/>
      <c r="Y198" s="9"/>
      <c r="Z198" s="9"/>
      <c r="AA198" s="9"/>
      <c r="AB198" s="9"/>
      <c r="AC198" s="9"/>
      <c r="AD198" s="9"/>
      <c r="AE198" s="9"/>
      <c r="AF198" s="9"/>
      <c r="AG198" s="9"/>
      <c r="AH198" s="9"/>
      <c r="AI198" s="9"/>
      <c r="AJ198" s="9"/>
      <c r="AK198" s="9"/>
      <c r="AL198" s="9"/>
      <c r="AM198" s="9"/>
      <c r="AN198" s="9"/>
      <c r="AO198" s="9"/>
      <c r="AP198" s="9"/>
      <c r="AQ198" s="9"/>
      <c r="AR198" s="9"/>
      <c r="AS198" s="9"/>
      <c r="AT198" s="9"/>
      <c r="AU198" s="9"/>
      <c r="AV198" s="9"/>
      <c r="AW198" s="9"/>
      <c r="AX198" s="9"/>
      <c r="AY198" s="9"/>
      <c r="AZ198" s="9"/>
      <c r="BA198" s="9"/>
      <c r="BB198" s="9"/>
      <c r="BC198" s="9"/>
      <c r="BD198" s="9"/>
      <c r="BE198" s="9"/>
      <c r="BF198" s="9"/>
      <c r="BG198" s="9"/>
      <c r="BH198" s="9"/>
      <c r="BI198" s="9"/>
      <c r="BJ198" s="9"/>
      <c r="BK198" s="9"/>
      <c r="BL198" s="9"/>
      <c r="BM198" s="9"/>
      <c r="BN198" s="9">
        <v>428821.8</v>
      </c>
      <c r="BO198" s="9">
        <v>371697.4</v>
      </c>
      <c r="BP198" s="9">
        <v>185384.7</v>
      </c>
      <c r="BQ198" s="9">
        <v>154457.5</v>
      </c>
      <c r="BR198" s="9">
        <v>49439.6</v>
      </c>
      <c r="BS198" s="9">
        <v>-36824.9</v>
      </c>
      <c r="BT198" s="9">
        <v>85110.6</v>
      </c>
      <c r="BU198" s="9">
        <v>57474.2</v>
      </c>
      <c r="BV198" s="9">
        <v>57124.5</v>
      </c>
      <c r="BW198" s="9">
        <v>540272.30000000005</v>
      </c>
      <c r="BX198" s="9">
        <v>14072.1</v>
      </c>
      <c r="BY198" s="9">
        <v>15498.7</v>
      </c>
      <c r="BZ198" s="9">
        <v>141085.70000000001</v>
      </c>
      <c r="CA198" s="9">
        <v>60218.6</v>
      </c>
      <c r="CB198" s="9">
        <v>22754.7</v>
      </c>
      <c r="CC198" s="9">
        <v>197080.7</v>
      </c>
      <c r="CD198" s="9">
        <v>11297</v>
      </c>
      <c r="CE198" s="9">
        <v>87799.8</v>
      </c>
      <c r="CF198" s="9">
        <v>1743872.332565102</v>
      </c>
      <c r="CG198" s="9">
        <v>10657796.537759339</v>
      </c>
      <c r="CH198" s="9">
        <v>11.832354523299999</v>
      </c>
      <c r="CI198" s="9">
        <v>6.6636231037</v>
      </c>
      <c r="CJ198" s="9">
        <v>19.083203617599999</v>
      </c>
      <c r="CK198" s="9">
        <v>11.6734777678</v>
      </c>
      <c r="CL198" s="9">
        <v>10.5</v>
      </c>
      <c r="CM198" s="9">
        <v>101.8178666574</v>
      </c>
      <c r="CN198" s="9">
        <v>27.164033856700001</v>
      </c>
      <c r="CO198" s="9">
        <v>4.4082153848000001</v>
      </c>
      <c r="CP198" s="9">
        <v>16.944692659600001</v>
      </c>
      <c r="CQ198" s="9">
        <v>9.2166097348000005</v>
      </c>
      <c r="CR198" s="9">
        <v>5.0204731637000002</v>
      </c>
      <c r="CS198" s="9">
        <v>3.6378544443999998</v>
      </c>
      <c r="CT198" s="9">
        <v>14.0449258628</v>
      </c>
      <c r="CU198" s="9">
        <v>4.3415562899999998</v>
      </c>
      <c r="CV198" s="9">
        <v>3.1443054089000002</v>
      </c>
      <c r="CW198" s="9">
        <v>5.3855797140000004</v>
      </c>
      <c r="CX198" s="9">
        <v>3.0338822027000001</v>
      </c>
      <c r="CY198" s="9">
        <v>5.4757379349999997</v>
      </c>
      <c r="CZ198" s="9">
        <v>427</v>
      </c>
      <c r="DA198" s="9">
        <v>347</v>
      </c>
      <c r="DB198" s="9">
        <v>37</v>
      </c>
      <c r="DC198" s="9">
        <v>163</v>
      </c>
      <c r="DD198" s="9">
        <v>23</v>
      </c>
      <c r="DE198" s="9">
        <v>19</v>
      </c>
      <c r="DF198" s="9">
        <v>66</v>
      </c>
      <c r="DG198" s="9">
        <v>31</v>
      </c>
      <c r="DH198" s="9">
        <v>64</v>
      </c>
      <c r="DI198" s="9">
        <v>1</v>
      </c>
      <c r="DJ198" s="9">
        <v>1</v>
      </c>
      <c r="DK198" s="9">
        <v>60</v>
      </c>
      <c r="DL198" s="9">
        <v>1</v>
      </c>
      <c r="DM198" s="9">
        <v>15</v>
      </c>
      <c r="DN198" s="9">
        <v>0</v>
      </c>
      <c r="DO198" s="9">
        <v>308.45999999999998</v>
      </c>
      <c r="DP198" s="9">
        <v>119.5</v>
      </c>
      <c r="DQ198" s="9">
        <v>61.13</v>
      </c>
      <c r="DR198" s="9">
        <v>58.36</v>
      </c>
      <c r="DS198" s="9">
        <v>46.1</v>
      </c>
      <c r="DT198" s="9">
        <v>1.35</v>
      </c>
      <c r="DU198" s="9">
        <v>111.14</v>
      </c>
      <c r="DV198" s="9">
        <v>60.68</v>
      </c>
      <c r="DW198" s="9">
        <v>29.34</v>
      </c>
      <c r="DX198" s="9">
        <v>31.28</v>
      </c>
      <c r="DY198" s="9">
        <v>15</v>
      </c>
      <c r="DZ198" s="9">
        <v>10.71</v>
      </c>
      <c r="EA198" s="9">
        <v>-215.96700000000001</v>
      </c>
      <c r="EB198" s="9">
        <v>54.157600000000002</v>
      </c>
      <c r="EC198" s="9">
        <v>-201.24199999999999</v>
      </c>
      <c r="ED198" s="9">
        <v>-89.612099999999998</v>
      </c>
      <c r="EE198" s="9">
        <v>20.72972</v>
      </c>
      <c r="EF198" s="9">
        <v>6.4138909999999996</v>
      </c>
      <c r="EG198" s="9">
        <v>21.269380000000002</v>
      </c>
      <c r="EH198" s="9">
        <v>3862.9029999999998</v>
      </c>
      <c r="EI198" s="9">
        <v>3.0737809999999999</v>
      </c>
      <c r="EJ198" s="9">
        <v>3.9409E-2</v>
      </c>
      <c r="EK198" s="9">
        <v>-3844.75</v>
      </c>
      <c r="EL198" s="9">
        <v>133.3562</v>
      </c>
      <c r="EM198" s="9">
        <v>-97.466399999999993</v>
      </c>
      <c r="EN198" s="9">
        <v>1441.9</v>
      </c>
      <c r="EO198" s="9"/>
      <c r="EP198" s="9"/>
      <c r="EQ198" s="9"/>
      <c r="ER198" s="9"/>
      <c r="ES198" s="9"/>
      <c r="ET198" s="9"/>
      <c r="EU198">
        <v>2005.96</v>
      </c>
      <c r="EV198" s="9"/>
      <c r="EW198" s="9"/>
      <c r="EX198" s="9"/>
      <c r="EY198" s="9"/>
      <c r="EZ198" s="9"/>
      <c r="FA198" s="9"/>
      <c r="FB198" s="9">
        <v>54.527142857100003</v>
      </c>
      <c r="FC198" s="9">
        <v>47.132727272700002</v>
      </c>
      <c r="FD198" s="9">
        <v>4694.5375000000004</v>
      </c>
      <c r="FE198" s="9">
        <v>55.886363636399999</v>
      </c>
      <c r="FF198" s="9">
        <v>1259.3975</v>
      </c>
      <c r="FG198" s="9">
        <v>11370374.1</v>
      </c>
      <c r="FH198" s="9">
        <v>885738.8</v>
      </c>
      <c r="FI198" s="9">
        <v>1061702.1000000001</v>
      </c>
      <c r="FJ198" s="9">
        <v>5071857.2</v>
      </c>
      <c r="FK198" s="9">
        <v>151812.5</v>
      </c>
      <c r="FL198" s="9">
        <v>173506.9</v>
      </c>
      <c r="FM198" s="9"/>
      <c r="FN198" s="9"/>
      <c r="FO198" s="9"/>
      <c r="FP198" s="9">
        <v>2416420.6</v>
      </c>
      <c r="FQ198" s="9"/>
      <c r="FR198" s="9"/>
      <c r="FS198" s="9"/>
      <c r="FT198" s="9">
        <v>6296781.2199999997</v>
      </c>
      <c r="FU198" s="9">
        <v>730024.53</v>
      </c>
      <c r="FV198" s="9">
        <v>885370.34</v>
      </c>
      <c r="FW198" s="9"/>
      <c r="FX198" s="9"/>
      <c r="FY198" s="9"/>
      <c r="FZ198" s="9">
        <v>122797.45</v>
      </c>
      <c r="GA198" s="9">
        <v>9041565.0599999987</v>
      </c>
      <c r="GB198" s="9">
        <v>2316589.92</v>
      </c>
      <c r="GC198" s="9">
        <v>6724975.1399999987</v>
      </c>
      <c r="GD198" s="9">
        <v>6607720.4199999999</v>
      </c>
      <c r="GE198" s="9">
        <v>553171.84</v>
      </c>
      <c r="GF198" s="9">
        <v>6054548.5800000001</v>
      </c>
      <c r="GG198" s="9">
        <v>2433844.64</v>
      </c>
      <c r="GH198" s="9">
        <v>1763418.08</v>
      </c>
      <c r="GI198" s="9">
        <v>670426.56000000017</v>
      </c>
      <c r="GJ198" s="9">
        <v>3815961.9899999984</v>
      </c>
      <c r="GK198" s="9">
        <v>22226691.949999999</v>
      </c>
      <c r="GL198" s="9">
        <v>2445728.2599999998</v>
      </c>
      <c r="GM198">
        <v>1988.53</v>
      </c>
      <c r="GO198" s="6"/>
      <c r="GP198" s="6"/>
      <c r="GQ198" s="6"/>
    </row>
    <row r="199" spans="1:199" x14ac:dyDescent="0.2">
      <c r="A199" s="8">
        <v>2016</v>
      </c>
      <c r="B199" s="8" t="s">
        <v>459</v>
      </c>
      <c r="C199" s="8" t="s">
        <v>462</v>
      </c>
      <c r="D199" s="9">
        <v>6221958.2000000002</v>
      </c>
      <c r="E199" s="9">
        <v>1470218.2</v>
      </c>
      <c r="F199" s="9">
        <v>848129.5</v>
      </c>
      <c r="G199" s="9">
        <v>340174.5</v>
      </c>
      <c r="H199" s="9">
        <v>132795.70000000001</v>
      </c>
      <c r="I199" s="9">
        <v>266506.40000000002</v>
      </c>
      <c r="J199" s="9">
        <v>474922.7</v>
      </c>
      <c r="K199" s="9">
        <v>294267.59999999998</v>
      </c>
      <c r="L199" s="9">
        <v>112808.6</v>
      </c>
      <c r="M199" s="9">
        <v>1795330.9</v>
      </c>
      <c r="N199" s="9">
        <v>486804</v>
      </c>
      <c r="O199" s="9">
        <v>6353501.2869999995</v>
      </c>
      <c r="P199" s="9">
        <v>1525966.4720000001</v>
      </c>
      <c r="Q199" s="9">
        <v>888802.83900000004</v>
      </c>
      <c r="R199" s="9">
        <v>338954.96500000003</v>
      </c>
      <c r="S199" s="9">
        <v>113698.155</v>
      </c>
      <c r="T199" s="9">
        <v>281110.06300000002</v>
      </c>
      <c r="U199" s="9">
        <v>587806.03599999996</v>
      </c>
      <c r="V199" s="9">
        <v>230848.375</v>
      </c>
      <c r="W199" s="9">
        <v>123748.412</v>
      </c>
      <c r="X199" s="9">
        <v>1654217.243</v>
      </c>
      <c r="Y199" s="9">
        <v>608348.72699999996</v>
      </c>
      <c r="Z199" s="9">
        <v>6092509.5999999996</v>
      </c>
      <c r="AA199" s="9">
        <v>3387083.9</v>
      </c>
      <c r="AB199" s="9">
        <v>892762.1</v>
      </c>
      <c r="AC199" s="9">
        <v>1258058.3</v>
      </c>
      <c r="AD199" s="9">
        <v>375066.1</v>
      </c>
      <c r="AE199" s="9">
        <v>2821976.8</v>
      </c>
      <c r="AF199" s="9">
        <v>2642437.6</v>
      </c>
      <c r="AG199" s="9">
        <v>6013908.0999999996</v>
      </c>
      <c r="AH199" s="9">
        <v>3678425.7</v>
      </c>
      <c r="AI199" s="9">
        <v>984299.7</v>
      </c>
      <c r="AJ199" s="9">
        <v>1179124.3</v>
      </c>
      <c r="AK199" s="9">
        <v>695287.1</v>
      </c>
      <c r="AL199" s="9">
        <v>2757238.7</v>
      </c>
      <c r="AM199" s="9">
        <v>3280467.4</v>
      </c>
      <c r="AN199" s="9">
        <v>1131841</v>
      </c>
      <c r="AO199" s="9">
        <v>589325</v>
      </c>
      <c r="AP199" s="9">
        <v>542516</v>
      </c>
      <c r="AQ199" s="9">
        <v>131880</v>
      </c>
      <c r="AR199" s="9">
        <v>82407</v>
      </c>
      <c r="AS199" s="9">
        <v>49473</v>
      </c>
      <c r="AT199" s="9">
        <v>834322</v>
      </c>
      <c r="AU199" s="9">
        <v>341815</v>
      </c>
      <c r="AV199" s="9">
        <v>492507</v>
      </c>
      <c r="AW199" s="9">
        <v>888</v>
      </c>
      <c r="AX199" s="9">
        <v>661.6</v>
      </c>
      <c r="AY199" s="9">
        <v>2031.6</v>
      </c>
      <c r="AZ199" s="9">
        <v>849.5</v>
      </c>
      <c r="BA199" s="9">
        <v>1205.5</v>
      </c>
      <c r="BB199" s="9">
        <v>667.9</v>
      </c>
      <c r="BC199" s="9">
        <v>771.3</v>
      </c>
      <c r="BD199" s="9">
        <v>732.2</v>
      </c>
      <c r="BE199" s="9">
        <v>1029.8</v>
      </c>
      <c r="BF199" s="9">
        <v>585.6</v>
      </c>
      <c r="BG199" s="9">
        <v>867</v>
      </c>
      <c r="BH199" s="9">
        <v>1070.5999999999999</v>
      </c>
      <c r="BI199" s="9">
        <v>866</v>
      </c>
      <c r="BJ199" s="9">
        <v>802.5</v>
      </c>
      <c r="BK199" s="9">
        <v>771.3</v>
      </c>
      <c r="BL199" s="9">
        <v>617.20000000000005</v>
      </c>
      <c r="BM199" s="9">
        <v>742.4</v>
      </c>
      <c r="BN199" s="9">
        <v>456132.1</v>
      </c>
      <c r="BO199" s="9">
        <v>400378</v>
      </c>
      <c r="BP199" s="9">
        <v>68073.600000000006</v>
      </c>
      <c r="BQ199" s="9">
        <v>26301.3</v>
      </c>
      <c r="BR199" s="9">
        <v>44391.9</v>
      </c>
      <c r="BS199" s="9">
        <v>113750.9</v>
      </c>
      <c r="BT199" s="9">
        <v>80056.3</v>
      </c>
      <c r="BU199" s="9">
        <v>54457.1</v>
      </c>
      <c r="BV199" s="9">
        <v>55754</v>
      </c>
      <c r="BW199" s="9">
        <v>610657.5</v>
      </c>
      <c r="BX199" s="9">
        <v>-17789.3</v>
      </c>
      <c r="BY199" s="9">
        <v>14319</v>
      </c>
      <c r="BZ199" s="9">
        <v>189005</v>
      </c>
      <c r="CA199" s="9">
        <v>102923.4</v>
      </c>
      <c r="CB199" s="9">
        <v>15332.7</v>
      </c>
      <c r="CC199" s="9">
        <v>190431.8</v>
      </c>
      <c r="CD199" s="9">
        <v>11184.5</v>
      </c>
      <c r="CE199" s="9">
        <v>110158.3</v>
      </c>
      <c r="CF199" s="9">
        <v>1982204.9713919619</v>
      </c>
      <c r="CG199" s="9">
        <v>11186374.0168663</v>
      </c>
      <c r="CH199" s="9">
        <v>12.801627827100001</v>
      </c>
      <c r="CI199" s="9">
        <v>5.8360150705000002</v>
      </c>
      <c r="CJ199" s="9">
        <v>19.146014891</v>
      </c>
      <c r="CK199" s="9">
        <v>10.7087622408</v>
      </c>
      <c r="CL199" s="9">
        <v>10.5</v>
      </c>
      <c r="CM199" s="9">
        <v>101.52981590100001</v>
      </c>
      <c r="CN199" s="9">
        <v>26.934821016000001</v>
      </c>
      <c r="CO199" s="9">
        <v>4.4365647275000004</v>
      </c>
      <c r="CP199" s="9">
        <v>16.964658135299999</v>
      </c>
      <c r="CQ199" s="9">
        <v>9.1653812941999995</v>
      </c>
      <c r="CR199" s="9">
        <v>5.0251810073999996</v>
      </c>
      <c r="CS199" s="9">
        <v>3.6396631929000001</v>
      </c>
      <c r="CT199" s="9">
        <v>13.9894535219</v>
      </c>
      <c r="CU199" s="9">
        <v>4.3252655290000002</v>
      </c>
      <c r="CV199" s="9">
        <v>3.1465748586000002</v>
      </c>
      <c r="CW199" s="9">
        <v>5.3855797140000004</v>
      </c>
      <c r="CX199" s="9">
        <v>3.0330096576000001</v>
      </c>
      <c r="CY199" s="9">
        <v>5.4836632465999999</v>
      </c>
      <c r="CZ199" s="9">
        <v>425</v>
      </c>
      <c r="DA199" s="9">
        <v>353</v>
      </c>
      <c r="DB199" s="9">
        <v>75</v>
      </c>
      <c r="DC199" s="9">
        <v>120</v>
      </c>
      <c r="DD199" s="9">
        <v>31</v>
      </c>
      <c r="DE199" s="9">
        <v>14</v>
      </c>
      <c r="DF199" s="9">
        <v>74</v>
      </c>
      <c r="DG199" s="9">
        <v>30</v>
      </c>
      <c r="DH199" s="9">
        <v>53</v>
      </c>
      <c r="DI199" s="9">
        <v>0</v>
      </c>
      <c r="DJ199" s="9">
        <v>1</v>
      </c>
      <c r="DK199" s="9">
        <v>49</v>
      </c>
      <c r="DL199" s="9">
        <v>1</v>
      </c>
      <c r="DM199" s="9">
        <v>18</v>
      </c>
      <c r="DN199" s="9">
        <v>0</v>
      </c>
      <c r="DO199" s="9">
        <v>328.63</v>
      </c>
      <c r="DP199" s="9">
        <v>113.28</v>
      </c>
      <c r="DQ199" s="9">
        <v>46.43</v>
      </c>
      <c r="DR199" s="9">
        <v>66.849999999999994</v>
      </c>
      <c r="DS199" s="9">
        <v>52.13</v>
      </c>
      <c r="DT199" s="9">
        <v>17.22</v>
      </c>
      <c r="DU199" s="9">
        <v>114.71</v>
      </c>
      <c r="DV199" s="9">
        <v>63.58</v>
      </c>
      <c r="DW199" s="9">
        <v>35.29</v>
      </c>
      <c r="DX199" s="9">
        <v>48.15</v>
      </c>
      <c r="DY199" s="9">
        <v>26.47</v>
      </c>
      <c r="DZ199" s="9">
        <v>14.06</v>
      </c>
      <c r="EA199" s="9">
        <v>-92.584900000000005</v>
      </c>
      <c r="EB199" s="9">
        <v>85.015439999999998</v>
      </c>
      <c r="EC199" s="9">
        <v>-128.61000000000001</v>
      </c>
      <c r="ED199" s="9">
        <v>-70.449600000000004</v>
      </c>
      <c r="EE199" s="9">
        <v>21.459050000000001</v>
      </c>
      <c r="EF199" s="9">
        <v>8.4077149999999996</v>
      </c>
      <c r="EG199" s="9">
        <v>-20.2105</v>
      </c>
      <c r="EH199" s="9">
        <v>745.2432</v>
      </c>
      <c r="EI199" s="9">
        <v>11.16343</v>
      </c>
      <c r="EJ199" s="9">
        <v>0.240734</v>
      </c>
      <c r="EK199" s="9">
        <v>-776.85799999999995</v>
      </c>
      <c r="EL199" s="9">
        <v>-86.847999999999999</v>
      </c>
      <c r="EM199" s="9">
        <v>-150.815</v>
      </c>
      <c r="EN199" s="9">
        <v>1296.5999999999999</v>
      </c>
      <c r="EO199" s="9"/>
      <c r="EP199" s="9"/>
      <c r="EQ199" s="9"/>
      <c r="ER199" s="9"/>
      <c r="ES199" s="9"/>
      <c r="ET199" s="9"/>
      <c r="EU199">
        <v>1964.9290000000001</v>
      </c>
      <c r="EV199" s="9">
        <v>24259.58</v>
      </c>
      <c r="EW199" s="9">
        <v>4785.83</v>
      </c>
      <c r="EX199" s="9">
        <v>1758</v>
      </c>
      <c r="EY199" s="9">
        <v>2215.64</v>
      </c>
      <c r="EZ199" s="9">
        <v>8304.1299999999992</v>
      </c>
      <c r="FA199" s="9">
        <v>7195.98</v>
      </c>
      <c r="FB199" s="9">
        <v>56.228571428599999</v>
      </c>
      <c r="FC199" s="9">
        <v>48.478181818199999</v>
      </c>
      <c r="FD199" s="9">
        <v>4641.9659090908999</v>
      </c>
      <c r="FE199" s="9">
        <v>52.340909090899999</v>
      </c>
      <c r="FF199" s="9">
        <v>1276.4045454546001</v>
      </c>
      <c r="FG199" s="9">
        <v>11949791.1</v>
      </c>
      <c r="FH199" s="9">
        <v>828010.6</v>
      </c>
      <c r="FI199" s="9">
        <v>1032111.4</v>
      </c>
      <c r="FJ199" s="9">
        <v>5205641.5999999996</v>
      </c>
      <c r="FK199" s="9">
        <v>134062</v>
      </c>
      <c r="FL199" s="9">
        <v>175983.9</v>
      </c>
      <c r="FM199" s="9"/>
      <c r="FN199" s="9"/>
      <c r="FO199" s="9"/>
      <c r="FP199" s="9">
        <v>2425876.7000000002</v>
      </c>
      <c r="FQ199" s="9"/>
      <c r="FR199" s="9"/>
      <c r="FS199" s="9"/>
      <c r="FT199" s="9">
        <v>6743809.4999999991</v>
      </c>
      <c r="FU199" s="9">
        <v>693948.57</v>
      </c>
      <c r="FV199" s="9">
        <v>855787.43</v>
      </c>
      <c r="FW199" s="9"/>
      <c r="FX199" s="9"/>
      <c r="FY199" s="9"/>
      <c r="FZ199" s="9">
        <v>121385.58</v>
      </c>
      <c r="GA199" s="9">
        <v>9288927.1800000016</v>
      </c>
      <c r="GB199" s="9">
        <v>2404273.9500000002</v>
      </c>
      <c r="GC199" s="9">
        <v>6884653.2300000004</v>
      </c>
      <c r="GD199" s="9">
        <v>6963099.0500000007</v>
      </c>
      <c r="GE199" s="9">
        <v>727558.47</v>
      </c>
      <c r="GF199" s="9">
        <v>6235540.5800000001</v>
      </c>
      <c r="GG199" s="9">
        <v>2325828.13</v>
      </c>
      <c r="GH199" s="9">
        <v>1676715.48</v>
      </c>
      <c r="GI199" s="9">
        <v>649112.64999999991</v>
      </c>
      <c r="GJ199" s="9">
        <v>4043198.32</v>
      </c>
      <c r="GK199" s="9">
        <v>23310416.949999999</v>
      </c>
      <c r="GL199" s="9">
        <v>2569371.2400000002</v>
      </c>
      <c r="GM199">
        <v>1982.25</v>
      </c>
      <c r="GO199" s="6"/>
      <c r="GP199" s="6"/>
      <c r="GQ199" s="6"/>
    </row>
    <row r="200" spans="1:199" x14ac:dyDescent="0.2">
      <c r="A200" s="8">
        <v>2016</v>
      </c>
      <c r="B200" s="8" t="s">
        <v>463</v>
      </c>
      <c r="C200" s="8" t="s">
        <v>464</v>
      </c>
      <c r="D200" s="9"/>
      <c r="E200" s="9"/>
      <c r="F200" s="9"/>
      <c r="G200" s="9"/>
      <c r="H200" s="9"/>
      <c r="I200" s="9"/>
      <c r="J200" s="9"/>
      <c r="K200" s="9"/>
      <c r="L200" s="9"/>
      <c r="M200" s="9"/>
      <c r="N200" s="9"/>
      <c r="O200" s="9"/>
      <c r="P200" s="9"/>
      <c r="Q200" s="9"/>
      <c r="R200" s="9"/>
      <c r="S200" s="9"/>
      <c r="T200" s="9"/>
      <c r="U200" s="9"/>
      <c r="V200" s="9"/>
      <c r="W200" s="9"/>
      <c r="X200" s="9"/>
      <c r="Y200" s="9"/>
      <c r="Z200" s="9"/>
      <c r="AA200" s="9"/>
      <c r="AB200" s="9"/>
      <c r="AC200" s="9"/>
      <c r="AD200" s="9"/>
      <c r="AE200" s="9"/>
      <c r="AF200" s="9"/>
      <c r="AG200" s="9"/>
      <c r="AH200" s="9"/>
      <c r="AI200" s="9"/>
      <c r="AJ200" s="9"/>
      <c r="AK200" s="9"/>
      <c r="AL200" s="9"/>
      <c r="AM200" s="9"/>
      <c r="AN200" s="9"/>
      <c r="AO200" s="9"/>
      <c r="AP200" s="9"/>
      <c r="AQ200" s="9"/>
      <c r="AR200" s="9"/>
      <c r="AS200" s="9"/>
      <c r="AT200" s="9"/>
      <c r="AU200" s="9"/>
      <c r="AV200" s="9"/>
      <c r="AW200" s="9"/>
      <c r="AX200" s="9"/>
      <c r="AY200" s="9"/>
      <c r="AZ200" s="9"/>
      <c r="BA200" s="9"/>
      <c r="BB200" s="9"/>
      <c r="BC200" s="9"/>
      <c r="BD200" s="9"/>
      <c r="BE200" s="9"/>
      <c r="BF200" s="9"/>
      <c r="BG200" s="9"/>
      <c r="BH200" s="9"/>
      <c r="BI200" s="9"/>
      <c r="BJ200" s="9"/>
      <c r="BK200" s="9"/>
      <c r="BL200" s="9"/>
      <c r="BM200" s="9"/>
      <c r="BN200" s="9">
        <v>498958.7</v>
      </c>
      <c r="BO200" s="9">
        <v>423443</v>
      </c>
      <c r="BP200" s="9">
        <v>84255.3</v>
      </c>
      <c r="BQ200" s="9">
        <v>41699.199999999997</v>
      </c>
      <c r="BR200" s="9">
        <v>42701.9</v>
      </c>
      <c r="BS200" s="9">
        <v>77079.899999999994</v>
      </c>
      <c r="BT200" s="9">
        <v>116593.9</v>
      </c>
      <c r="BU200" s="9">
        <v>57660</v>
      </c>
      <c r="BV200" s="9">
        <v>75515.8</v>
      </c>
      <c r="BW200" s="9">
        <v>594502.40000000002</v>
      </c>
      <c r="BX200" s="9">
        <v>579506.80000000005</v>
      </c>
      <c r="BY200" s="9">
        <v>184171.4</v>
      </c>
      <c r="BZ200" s="9">
        <v>126265.5</v>
      </c>
      <c r="CA200" s="9">
        <v>34443.1</v>
      </c>
      <c r="CB200" s="9">
        <v>12973.8</v>
      </c>
      <c r="CC200" s="9">
        <v>180673.9</v>
      </c>
      <c r="CD200" s="9">
        <v>2332.1</v>
      </c>
      <c r="CE200" s="9">
        <v>175124.7</v>
      </c>
      <c r="CF200" s="9">
        <v>1941597.692164252</v>
      </c>
      <c r="CG200" s="9">
        <v>11308844.797126239</v>
      </c>
      <c r="CH200" s="9">
        <v>12.8495484262</v>
      </c>
      <c r="CI200" s="9">
        <v>6.5140855582999997</v>
      </c>
      <c r="CJ200" s="9">
        <v>19.155074244200001</v>
      </c>
      <c r="CK200" s="9">
        <v>13.1635667166</v>
      </c>
      <c r="CL200" s="9">
        <v>10.5</v>
      </c>
      <c r="CM200" s="9">
        <v>101.60866495960001</v>
      </c>
      <c r="CN200" s="9">
        <v>26.674573320299999</v>
      </c>
      <c r="CO200" s="9">
        <v>4.4413515302000004</v>
      </c>
      <c r="CP200" s="9">
        <v>17.1001337509</v>
      </c>
      <c r="CQ200" s="9">
        <v>9.2477906782999995</v>
      </c>
      <c r="CR200" s="9">
        <v>5.0500174639999997</v>
      </c>
      <c r="CS200" s="9">
        <v>3.6703966218000001</v>
      </c>
      <c r="CT200" s="9">
        <v>14.0103186859</v>
      </c>
      <c r="CU200" s="9">
        <v>4.3265185426999997</v>
      </c>
      <c r="CV200" s="9">
        <v>3.1551568493</v>
      </c>
      <c r="CW200" s="9">
        <v>5.3857184516999999</v>
      </c>
      <c r="CX200" s="9">
        <v>3.0517923096000001</v>
      </c>
      <c r="CY200" s="9">
        <v>5.4948967548000001</v>
      </c>
      <c r="CZ200" s="9">
        <v>351</v>
      </c>
      <c r="DA200" s="9">
        <v>301</v>
      </c>
      <c r="DB200" s="9">
        <v>61</v>
      </c>
      <c r="DC200" s="9">
        <v>117</v>
      </c>
      <c r="DD200" s="9">
        <v>34</v>
      </c>
      <c r="DE200" s="9">
        <v>10</v>
      </c>
      <c r="DF200" s="9">
        <v>41</v>
      </c>
      <c r="DG200" s="9">
        <v>26</v>
      </c>
      <c r="DH200" s="9">
        <v>18</v>
      </c>
      <c r="DI200" s="9">
        <v>1</v>
      </c>
      <c r="DJ200" s="9">
        <v>0</v>
      </c>
      <c r="DK200" s="9">
        <v>15</v>
      </c>
      <c r="DL200" s="9">
        <v>0</v>
      </c>
      <c r="DM200" s="9">
        <v>31</v>
      </c>
      <c r="DN200" s="9">
        <v>0</v>
      </c>
      <c r="DO200" s="9">
        <v>327.88</v>
      </c>
      <c r="DP200" s="9">
        <v>107.24</v>
      </c>
      <c r="DQ200" s="9">
        <v>54.22</v>
      </c>
      <c r="DR200" s="9">
        <v>53.02</v>
      </c>
      <c r="DS200" s="9">
        <v>42.63</v>
      </c>
      <c r="DT200" s="9">
        <v>10.220000000000001</v>
      </c>
      <c r="DU200" s="9">
        <v>118.16</v>
      </c>
      <c r="DV200" s="9">
        <v>76.36</v>
      </c>
      <c r="DW200" s="9">
        <v>30.07</v>
      </c>
      <c r="DX200" s="9">
        <v>58.9</v>
      </c>
      <c r="DY200" s="9">
        <v>27.78</v>
      </c>
      <c r="DZ200" s="9">
        <v>16.38</v>
      </c>
      <c r="EA200" s="9">
        <v>-112.29600000000001</v>
      </c>
      <c r="EB200" s="9">
        <v>-6.5432600000000001</v>
      </c>
      <c r="EC200" s="9">
        <v>-71.740099999999998</v>
      </c>
      <c r="ED200" s="9">
        <v>-57.1038</v>
      </c>
      <c r="EE200" s="9">
        <v>23.090910000000001</v>
      </c>
      <c r="EF200" s="9">
        <v>16.714079999999999</v>
      </c>
      <c r="EG200" s="9">
        <v>-55.218600000000002</v>
      </c>
      <c r="EH200" s="9">
        <v>-26.1981</v>
      </c>
      <c r="EI200" s="9">
        <v>-5.8217800000000004</v>
      </c>
      <c r="EJ200" s="9">
        <v>4.3779999999999999E-3</v>
      </c>
      <c r="EK200" s="9">
        <v>-23.202999999999999</v>
      </c>
      <c r="EL200" s="9">
        <v>45.038409999999999</v>
      </c>
      <c r="EM200" s="9">
        <v>4.6747860000000001</v>
      </c>
      <c r="EN200" s="9">
        <v>1275.3</v>
      </c>
      <c r="EO200" s="9"/>
      <c r="EP200" s="9"/>
      <c r="EQ200" s="9"/>
      <c r="ER200" s="9"/>
      <c r="ES200" s="9"/>
      <c r="ET200" s="9"/>
      <c r="EU200">
        <v>2031.9037499999999</v>
      </c>
      <c r="EV200" s="9"/>
      <c r="EW200" s="9"/>
      <c r="EX200" s="9"/>
      <c r="EY200" s="9"/>
      <c r="EZ200" s="9"/>
      <c r="FA200" s="9"/>
      <c r="FB200" s="9">
        <v>64.418367346899998</v>
      </c>
      <c r="FC200" s="9">
        <v>45.070952380999998</v>
      </c>
      <c r="FD200" s="9">
        <v>4864.9047619047997</v>
      </c>
      <c r="FE200" s="9">
        <v>57.3095238095</v>
      </c>
      <c r="FF200" s="9">
        <v>1337.3261904762001</v>
      </c>
      <c r="FG200" s="9">
        <v>12023956.9</v>
      </c>
      <c r="FH200" s="9">
        <v>833128.7</v>
      </c>
      <c r="FI200" s="9">
        <v>1026134.6</v>
      </c>
      <c r="FJ200" s="9">
        <v>5220714.2</v>
      </c>
      <c r="FK200" s="9">
        <v>156605.70000000001</v>
      </c>
      <c r="FL200" s="9">
        <v>188432.5</v>
      </c>
      <c r="FM200" s="9"/>
      <c r="FN200" s="9"/>
      <c r="FO200" s="9"/>
      <c r="FP200" s="9">
        <v>2378156.9</v>
      </c>
      <c r="FQ200" s="9"/>
      <c r="FR200" s="9"/>
      <c r="FS200" s="9"/>
      <c r="FT200" s="9">
        <v>6803023.8900000006</v>
      </c>
      <c r="FU200" s="9">
        <v>676523.02</v>
      </c>
      <c r="FV200" s="9">
        <v>837483.41</v>
      </c>
      <c r="FW200" s="9"/>
      <c r="FX200" s="9"/>
      <c r="FY200" s="9"/>
      <c r="FZ200" s="9">
        <v>128993.31</v>
      </c>
      <c r="GA200" s="9">
        <v>9680533.7899999991</v>
      </c>
      <c r="GB200" s="9">
        <v>2479707.7400000002</v>
      </c>
      <c r="GC200" s="9">
        <v>7200826.0499999998</v>
      </c>
      <c r="GD200" s="9">
        <v>7163684.3200000003</v>
      </c>
      <c r="GE200" s="9">
        <v>671527.77</v>
      </c>
      <c r="GF200" s="9">
        <v>6492156.5500000007</v>
      </c>
      <c r="GG200" s="9">
        <v>2516849.4700000002</v>
      </c>
      <c r="GH200" s="9">
        <v>1808179.97</v>
      </c>
      <c r="GI200" s="9">
        <v>708669.5</v>
      </c>
      <c r="GJ200" s="9">
        <v>3760666.03</v>
      </c>
      <c r="GK200" s="9">
        <v>23959580.989999998</v>
      </c>
      <c r="GL200" s="9">
        <v>2640481.9900000002</v>
      </c>
      <c r="GM200">
        <v>2073.09</v>
      </c>
      <c r="GO200" s="6"/>
      <c r="GP200" s="6"/>
      <c r="GQ200" s="6"/>
    </row>
    <row r="201" spans="1:199" x14ac:dyDescent="0.2">
      <c r="A201" s="8">
        <v>2016</v>
      </c>
      <c r="B201" s="8" t="s">
        <v>463</v>
      </c>
      <c r="C201" s="8" t="s">
        <v>465</v>
      </c>
      <c r="D201" s="9"/>
      <c r="E201" s="9"/>
      <c r="F201" s="9"/>
      <c r="G201" s="9"/>
      <c r="H201" s="9"/>
      <c r="I201" s="9"/>
      <c r="J201" s="9"/>
      <c r="K201" s="9"/>
      <c r="L201" s="9"/>
      <c r="M201" s="9"/>
      <c r="N201" s="9"/>
      <c r="O201" s="9"/>
      <c r="P201" s="9"/>
      <c r="Q201" s="9"/>
      <c r="R201" s="9"/>
      <c r="S201" s="9"/>
      <c r="T201" s="9"/>
      <c r="U201" s="9"/>
      <c r="V201" s="9"/>
      <c r="W201" s="9"/>
      <c r="X201" s="9"/>
      <c r="Y201" s="9"/>
      <c r="Z201" s="9"/>
      <c r="AA201" s="9"/>
      <c r="AB201" s="9"/>
      <c r="AC201" s="9"/>
      <c r="AD201" s="9"/>
      <c r="AE201" s="9"/>
      <c r="AF201" s="9"/>
      <c r="AG201" s="9"/>
      <c r="AH201" s="9"/>
      <c r="AI201" s="9"/>
      <c r="AJ201" s="9"/>
      <c r="AK201" s="9"/>
      <c r="AL201" s="9"/>
      <c r="AM201" s="9"/>
      <c r="AN201" s="9"/>
      <c r="AO201" s="9"/>
      <c r="AP201" s="9"/>
      <c r="AQ201" s="9"/>
      <c r="AR201" s="9"/>
      <c r="AS201" s="9"/>
      <c r="AT201" s="9"/>
      <c r="AU201" s="9"/>
      <c r="AV201" s="9"/>
      <c r="AW201" s="9"/>
      <c r="AX201" s="9"/>
      <c r="AY201" s="9"/>
      <c r="AZ201" s="9"/>
      <c r="BA201" s="9"/>
      <c r="BB201" s="9"/>
      <c r="BC201" s="9"/>
      <c r="BD201" s="9"/>
      <c r="BE201" s="9"/>
      <c r="BF201" s="9"/>
      <c r="BG201" s="9"/>
      <c r="BH201" s="9"/>
      <c r="BI201" s="9"/>
      <c r="BJ201" s="9"/>
      <c r="BK201" s="9"/>
      <c r="BL201" s="9"/>
      <c r="BM201" s="9"/>
      <c r="BN201" s="9">
        <v>522213.2</v>
      </c>
      <c r="BO201" s="9">
        <v>458309.1</v>
      </c>
      <c r="BP201" s="9">
        <v>70265.100000000006</v>
      </c>
      <c r="BQ201" s="9">
        <v>28478.2</v>
      </c>
      <c r="BR201" s="9">
        <v>42114.5</v>
      </c>
      <c r="BS201" s="9">
        <v>116636.1</v>
      </c>
      <c r="BT201" s="9">
        <v>91599.1</v>
      </c>
      <c r="BU201" s="9">
        <v>92798.1</v>
      </c>
      <c r="BV201" s="9">
        <v>63904</v>
      </c>
      <c r="BW201" s="9">
        <v>417615.2</v>
      </c>
      <c r="BX201" s="9">
        <v>-110894.3</v>
      </c>
      <c r="BY201" s="9">
        <v>12421.5</v>
      </c>
      <c r="BZ201" s="9">
        <v>117868.1</v>
      </c>
      <c r="CA201" s="9">
        <v>62442.2</v>
      </c>
      <c r="CB201" s="9">
        <v>9030.5</v>
      </c>
      <c r="CC201" s="9">
        <v>160409.4</v>
      </c>
      <c r="CD201" s="9">
        <v>1506.5</v>
      </c>
      <c r="CE201" s="9">
        <v>50109.4</v>
      </c>
      <c r="CF201" s="9">
        <v>1987870.9917925559</v>
      </c>
      <c r="CG201" s="9">
        <v>11379760.86825205</v>
      </c>
      <c r="CH201" s="9">
        <v>12.3401426659</v>
      </c>
      <c r="CI201" s="9">
        <v>6.6880912047000001</v>
      </c>
      <c r="CJ201" s="9">
        <v>19.383461238100001</v>
      </c>
      <c r="CK201" s="9">
        <v>13.3337453991</v>
      </c>
      <c r="CL201" s="9">
        <v>15</v>
      </c>
      <c r="CM201" s="9">
        <v>100.8499862069</v>
      </c>
      <c r="CN201" s="9">
        <v>25.5922282039</v>
      </c>
      <c r="CO201" s="9">
        <v>4.4319620773999997</v>
      </c>
      <c r="CP201" s="9">
        <v>17.032176794800002</v>
      </c>
      <c r="CQ201" s="9">
        <v>9.2569263497000005</v>
      </c>
      <c r="CR201" s="9">
        <v>5.0632214121999999</v>
      </c>
      <c r="CS201" s="9">
        <v>3.6833105638000001</v>
      </c>
      <c r="CT201" s="9">
        <v>14.136902044699999</v>
      </c>
      <c r="CU201" s="9">
        <v>4.3123460853999998</v>
      </c>
      <c r="CV201" s="9">
        <v>3.1587874265</v>
      </c>
      <c r="CW201" s="9">
        <v>5.5798240073000001</v>
      </c>
      <c r="CX201" s="9">
        <v>3.0519670132000001</v>
      </c>
      <c r="CY201" s="9">
        <v>5.5503342279999996</v>
      </c>
      <c r="CZ201" s="9">
        <v>441</v>
      </c>
      <c r="DA201" s="9">
        <v>341</v>
      </c>
      <c r="DB201" s="9">
        <v>49</v>
      </c>
      <c r="DC201" s="9">
        <v>127</v>
      </c>
      <c r="DD201" s="9">
        <v>24</v>
      </c>
      <c r="DE201" s="9">
        <v>12</v>
      </c>
      <c r="DF201" s="9">
        <v>80</v>
      </c>
      <c r="DG201" s="9">
        <v>29</v>
      </c>
      <c r="DH201" s="9">
        <v>25</v>
      </c>
      <c r="DI201" s="9">
        <v>1</v>
      </c>
      <c r="DJ201" s="9">
        <v>0</v>
      </c>
      <c r="DK201" s="9">
        <v>20</v>
      </c>
      <c r="DL201" s="9">
        <v>1</v>
      </c>
      <c r="DM201" s="9">
        <v>75</v>
      </c>
      <c r="DN201" s="9">
        <v>0</v>
      </c>
      <c r="DO201" s="9">
        <v>340.47</v>
      </c>
      <c r="DP201" s="9">
        <v>116.76</v>
      </c>
      <c r="DQ201" s="9">
        <v>64.64</v>
      </c>
      <c r="DR201" s="9">
        <v>52.12</v>
      </c>
      <c r="DS201" s="9">
        <v>46.21</v>
      </c>
      <c r="DT201" s="9">
        <v>9.7899999999999991</v>
      </c>
      <c r="DU201" s="9">
        <v>121.75</v>
      </c>
      <c r="DV201" s="9">
        <v>68.69</v>
      </c>
      <c r="DW201" s="9">
        <v>37.17</v>
      </c>
      <c r="DX201" s="9">
        <v>55.27</v>
      </c>
      <c r="DY201" s="9">
        <v>28.66</v>
      </c>
      <c r="DZ201" s="9">
        <v>16.329999999999998</v>
      </c>
      <c r="EA201" s="9">
        <v>-25.014199999999999</v>
      </c>
      <c r="EB201" s="9">
        <v>53.279119999999999</v>
      </c>
      <c r="EC201" s="9">
        <v>-42.725200000000001</v>
      </c>
      <c r="ED201" s="9">
        <v>-52.4617</v>
      </c>
      <c r="EE201" s="9">
        <v>16.893599999999999</v>
      </c>
      <c r="EF201" s="9">
        <v>7.282832</v>
      </c>
      <c r="EG201" s="9">
        <v>2.1664479999999999</v>
      </c>
      <c r="EH201" s="9">
        <v>-5.6002599999999996</v>
      </c>
      <c r="EI201" s="9">
        <v>-14.3042</v>
      </c>
      <c r="EJ201" s="9">
        <v>-8.7999999999999998E-5</v>
      </c>
      <c r="EK201" s="9">
        <v>22.070959999999999</v>
      </c>
      <c r="EL201" s="9">
        <v>-128.04499999999999</v>
      </c>
      <c r="EM201" s="9">
        <v>-147.94300000000001</v>
      </c>
      <c r="EN201" s="9">
        <v>1141.9000000000001</v>
      </c>
      <c r="EO201" s="9"/>
      <c r="EP201" s="9"/>
      <c r="EQ201" s="9"/>
      <c r="ER201" s="9"/>
      <c r="ES201" s="9"/>
      <c r="ET201" s="9"/>
      <c r="EU201">
        <v>2189.0482608696002</v>
      </c>
      <c r="EV201" s="9"/>
      <c r="EW201" s="9"/>
      <c r="EX201" s="9"/>
      <c r="EY201" s="9"/>
      <c r="EZ201" s="9"/>
      <c r="FA201" s="9"/>
      <c r="FB201" s="9">
        <v>71.326948051900004</v>
      </c>
      <c r="FC201" s="9">
        <v>46.144347826100002</v>
      </c>
      <c r="FD201" s="9">
        <v>4751.6704545455004</v>
      </c>
      <c r="FE201" s="9">
        <v>60.869565217400002</v>
      </c>
      <c r="FF201" s="9">
        <v>1341.0886363636</v>
      </c>
      <c r="FG201" s="9">
        <v>12359511.199999999</v>
      </c>
      <c r="FH201" s="9">
        <v>823941.9</v>
      </c>
      <c r="FI201" s="9">
        <v>1122145.7</v>
      </c>
      <c r="FJ201" s="9">
        <v>5396244.2999999998</v>
      </c>
      <c r="FK201" s="9">
        <v>157696.29999999999</v>
      </c>
      <c r="FL201" s="9">
        <v>196309</v>
      </c>
      <c r="FM201" s="9"/>
      <c r="FN201" s="9"/>
      <c r="FO201" s="9"/>
      <c r="FP201" s="9">
        <v>2473402.7999999998</v>
      </c>
      <c r="FQ201" s="9"/>
      <c r="FR201" s="9"/>
      <c r="FS201" s="9"/>
      <c r="FT201" s="9">
        <v>6963167.9300000006</v>
      </c>
      <c r="FU201" s="9">
        <v>666245.63</v>
      </c>
      <c r="FV201" s="9">
        <v>925627.32</v>
      </c>
      <c r="FW201" s="9"/>
      <c r="FX201" s="9"/>
      <c r="FY201" s="9"/>
      <c r="FZ201" s="9">
        <v>132344.35</v>
      </c>
      <c r="GA201" s="9">
        <v>9872783.4800000004</v>
      </c>
      <c r="GB201" s="9">
        <v>2608621.83</v>
      </c>
      <c r="GC201" s="9">
        <v>7264161.6500000004</v>
      </c>
      <c r="GD201" s="9">
        <v>7186109.5100000007</v>
      </c>
      <c r="GE201" s="9">
        <v>646435.51</v>
      </c>
      <c r="GF201" s="9">
        <v>6539674</v>
      </c>
      <c r="GG201" s="9">
        <v>2686673.97</v>
      </c>
      <c r="GH201" s="9">
        <v>1962186.32</v>
      </c>
      <c r="GI201" s="9">
        <v>724487.65</v>
      </c>
      <c r="GJ201" s="9">
        <v>3709493.77</v>
      </c>
      <c r="GK201" s="9">
        <v>24218891.789999999</v>
      </c>
      <c r="GL201" s="9">
        <v>2675512.77</v>
      </c>
      <c r="GM201">
        <v>2219.65</v>
      </c>
      <c r="GO201" s="6"/>
      <c r="GP201" s="6"/>
      <c r="GQ201" s="6"/>
    </row>
    <row r="202" spans="1:199" x14ac:dyDescent="0.2">
      <c r="A202" s="8">
        <v>2016</v>
      </c>
      <c r="B202" s="8" t="s">
        <v>463</v>
      </c>
      <c r="C202" s="8" t="s">
        <v>466</v>
      </c>
      <c r="D202" s="9">
        <v>6290160.7999999998</v>
      </c>
      <c r="E202" s="9">
        <v>704498.3</v>
      </c>
      <c r="F202" s="9">
        <v>1219824.8</v>
      </c>
      <c r="G202" s="9">
        <v>535876.5</v>
      </c>
      <c r="H202" s="9">
        <v>110657</v>
      </c>
      <c r="I202" s="9">
        <v>233548.1</v>
      </c>
      <c r="J202" s="9">
        <v>536150.69999999995</v>
      </c>
      <c r="K202" s="9">
        <v>390403.5</v>
      </c>
      <c r="L202" s="9">
        <v>151565.1</v>
      </c>
      <c r="M202" s="9">
        <v>1756939.9</v>
      </c>
      <c r="N202" s="9">
        <v>650696.9</v>
      </c>
      <c r="O202" s="9">
        <v>5990072.3099999996</v>
      </c>
      <c r="P202" s="9">
        <v>990257.63</v>
      </c>
      <c r="Q202" s="9">
        <v>1021118.7929999999</v>
      </c>
      <c r="R202" s="9">
        <v>419975.15100000001</v>
      </c>
      <c r="S202" s="9">
        <v>97824.054999999993</v>
      </c>
      <c r="T202" s="9">
        <v>214931.55100000001</v>
      </c>
      <c r="U202" s="9">
        <v>705293.83200000005</v>
      </c>
      <c r="V202" s="9">
        <v>276386.05900000001</v>
      </c>
      <c r="W202" s="9">
        <v>120589.946</v>
      </c>
      <c r="X202" s="9">
        <v>1617870.963</v>
      </c>
      <c r="Y202" s="9">
        <v>525824.33100000001</v>
      </c>
      <c r="Z202" s="9">
        <v>6256509.2999999998</v>
      </c>
      <c r="AA202" s="9">
        <v>3412426.9</v>
      </c>
      <c r="AB202" s="9">
        <v>897880.8</v>
      </c>
      <c r="AC202" s="9">
        <v>1273443.3999999999</v>
      </c>
      <c r="AD202" s="9">
        <v>702665.2</v>
      </c>
      <c r="AE202" s="9">
        <v>3035968.4</v>
      </c>
      <c r="AF202" s="9">
        <v>3065875.4</v>
      </c>
      <c r="AG202" s="9">
        <v>6042605.7000000002</v>
      </c>
      <c r="AH202" s="9">
        <v>3706992.2</v>
      </c>
      <c r="AI202" s="9">
        <v>968435.19999999995</v>
      </c>
      <c r="AJ202" s="9">
        <v>1146665</v>
      </c>
      <c r="AK202" s="9">
        <v>634543.6</v>
      </c>
      <c r="AL202" s="9">
        <v>2897178</v>
      </c>
      <c r="AM202" s="9">
        <v>3311208.2</v>
      </c>
      <c r="AN202" s="9">
        <v>1144359</v>
      </c>
      <c r="AO202" s="9">
        <v>608655</v>
      </c>
      <c r="AP202" s="9">
        <v>535704</v>
      </c>
      <c r="AQ202" s="9">
        <v>118864</v>
      </c>
      <c r="AR202" s="9">
        <v>72765</v>
      </c>
      <c r="AS202" s="9">
        <v>46099</v>
      </c>
      <c r="AT202" s="9">
        <v>785962</v>
      </c>
      <c r="AU202" s="9">
        <v>321741</v>
      </c>
      <c r="AV202" s="9">
        <v>464221</v>
      </c>
      <c r="AW202" s="9">
        <v>884.29520000000002</v>
      </c>
      <c r="AX202" s="9">
        <v>671.2</v>
      </c>
      <c r="AY202" s="9">
        <v>1984.8</v>
      </c>
      <c r="AZ202" s="9">
        <v>934.5</v>
      </c>
      <c r="BA202" s="9">
        <v>1212.2</v>
      </c>
      <c r="BB202" s="9">
        <v>665.9</v>
      </c>
      <c r="BC202" s="9">
        <v>781.3</v>
      </c>
      <c r="BD202" s="9">
        <v>776.4</v>
      </c>
      <c r="BE202" s="9">
        <v>1070.3</v>
      </c>
      <c r="BF202" s="9">
        <v>605.9</v>
      </c>
      <c r="BG202" s="9">
        <v>833.9</v>
      </c>
      <c r="BH202" s="9">
        <v>1155.0999999999999</v>
      </c>
      <c r="BI202" s="9">
        <v>818.1</v>
      </c>
      <c r="BJ202" s="9">
        <v>650.4</v>
      </c>
      <c r="BK202" s="9"/>
      <c r="BL202" s="9">
        <v>610.70000000000005</v>
      </c>
      <c r="BM202" s="9">
        <v>730.7</v>
      </c>
      <c r="BN202" s="9">
        <v>450247.6</v>
      </c>
      <c r="BO202" s="9">
        <v>395026.6</v>
      </c>
      <c r="BP202" s="9">
        <v>70291.600000000006</v>
      </c>
      <c r="BQ202" s="9">
        <v>24488</v>
      </c>
      <c r="BR202" s="9">
        <v>46699.7</v>
      </c>
      <c r="BS202" s="9">
        <v>81996.7</v>
      </c>
      <c r="BT202" s="9">
        <v>88134.1</v>
      </c>
      <c r="BU202" s="9">
        <v>66526.899999999994</v>
      </c>
      <c r="BV202" s="9">
        <v>55221</v>
      </c>
      <c r="BW202" s="9">
        <v>506111.1</v>
      </c>
      <c r="BX202" s="9">
        <v>6257.2</v>
      </c>
      <c r="BY202" s="9">
        <v>23012.7</v>
      </c>
      <c r="BZ202" s="9">
        <v>145660.5</v>
      </c>
      <c r="CA202" s="9">
        <v>55674.9</v>
      </c>
      <c r="CB202" s="9">
        <v>19505.2</v>
      </c>
      <c r="CC202" s="9">
        <v>186431.6</v>
      </c>
      <c r="CD202" s="9">
        <v>2400.4</v>
      </c>
      <c r="CE202" s="9">
        <v>180950.3</v>
      </c>
      <c r="CF202" s="9">
        <v>2020542.0177079199</v>
      </c>
      <c r="CG202" s="9">
        <v>11556927.02313461</v>
      </c>
      <c r="CH202" s="9">
        <v>13.371914967</v>
      </c>
      <c r="CI202" s="9">
        <v>5.8146656457999999</v>
      </c>
      <c r="CJ202" s="9">
        <v>20.087753008100002</v>
      </c>
      <c r="CK202" s="9">
        <v>12.521307073499999</v>
      </c>
      <c r="CL202" s="9">
        <v>15</v>
      </c>
      <c r="CM202" s="9">
        <v>100.317381814</v>
      </c>
      <c r="CN202" s="9">
        <v>24.9786518443</v>
      </c>
      <c r="CO202" s="9">
        <v>4.4528388136999997</v>
      </c>
      <c r="CP202" s="9">
        <v>17.047527044399999</v>
      </c>
      <c r="CQ202" s="9">
        <v>9.2816288398999998</v>
      </c>
      <c r="CR202" s="9">
        <v>5.0653062826999999</v>
      </c>
      <c r="CS202" s="9">
        <v>3.6907644456000002</v>
      </c>
      <c r="CT202" s="9">
        <v>14.112238703999999</v>
      </c>
      <c r="CU202" s="9">
        <v>4.3129660340999996</v>
      </c>
      <c r="CV202" s="9">
        <v>3.1620284023999998</v>
      </c>
      <c r="CW202" s="9">
        <v>5.5798240073000001</v>
      </c>
      <c r="CX202" s="9">
        <v>3.0544075138000002</v>
      </c>
      <c r="CY202" s="9">
        <v>5.5791998819000002</v>
      </c>
      <c r="CZ202" s="9">
        <v>338</v>
      </c>
      <c r="DA202" s="9">
        <v>283</v>
      </c>
      <c r="DB202" s="9">
        <v>9</v>
      </c>
      <c r="DC202" s="9">
        <v>104</v>
      </c>
      <c r="DD202" s="9">
        <v>22</v>
      </c>
      <c r="DE202" s="9">
        <v>13</v>
      </c>
      <c r="DF202" s="9">
        <v>89</v>
      </c>
      <c r="DG202" s="9">
        <v>19</v>
      </c>
      <c r="DH202" s="9">
        <v>25</v>
      </c>
      <c r="DI202" s="9">
        <v>2</v>
      </c>
      <c r="DJ202" s="9">
        <v>0</v>
      </c>
      <c r="DK202" s="9">
        <v>19</v>
      </c>
      <c r="DL202" s="9">
        <v>1</v>
      </c>
      <c r="DM202" s="9">
        <v>28</v>
      </c>
      <c r="DN202" s="9">
        <v>0</v>
      </c>
      <c r="DO202" s="9">
        <v>284.47000000000003</v>
      </c>
      <c r="DP202" s="9">
        <v>94.35</v>
      </c>
      <c r="DQ202" s="9">
        <v>58.19</v>
      </c>
      <c r="DR202" s="9">
        <v>36.159999999999997</v>
      </c>
      <c r="DS202" s="9">
        <v>40.020000000000003</v>
      </c>
      <c r="DT202" s="9">
        <v>10.210000000000001</v>
      </c>
      <c r="DU202" s="9">
        <v>100.66</v>
      </c>
      <c r="DV202" s="9">
        <v>50.87</v>
      </c>
      <c r="DW202" s="9">
        <v>28.48</v>
      </c>
      <c r="DX202" s="9">
        <v>48.73</v>
      </c>
      <c r="DY202" s="9">
        <v>22.23</v>
      </c>
      <c r="DZ202" s="9">
        <v>15.21</v>
      </c>
      <c r="EA202" s="9">
        <v>-66.0411</v>
      </c>
      <c r="EB202" s="9">
        <v>63.466059999999999</v>
      </c>
      <c r="EC202" s="9">
        <v>-96.203900000000004</v>
      </c>
      <c r="ED202" s="9">
        <v>-62.276400000000002</v>
      </c>
      <c r="EE202" s="9">
        <v>28.97307</v>
      </c>
      <c r="EF202" s="9">
        <v>9.2621129999999994</v>
      </c>
      <c r="EG202" s="9">
        <v>-15.4786</v>
      </c>
      <c r="EH202" s="9">
        <v>-23.948899999999998</v>
      </c>
      <c r="EI202" s="9">
        <v>18.959440000000001</v>
      </c>
      <c r="EJ202" s="9">
        <v>-1.6</v>
      </c>
      <c r="EK202" s="9">
        <v>-8.8892000000000007</v>
      </c>
      <c r="EL202" s="9">
        <v>-1.5896399999999999</v>
      </c>
      <c r="EM202" s="9">
        <v>-42.890099999999997</v>
      </c>
      <c r="EN202" s="9">
        <v>1092.4000000000001</v>
      </c>
      <c r="EO202" s="9"/>
      <c r="EP202" s="9"/>
      <c r="EQ202" s="9"/>
      <c r="ER202" s="9"/>
      <c r="ES202" s="9"/>
      <c r="ET202" s="9"/>
      <c r="EU202">
        <v>2243.9749999999999</v>
      </c>
      <c r="EV202" s="9">
        <v>24649.07</v>
      </c>
      <c r="EW202" s="9">
        <v>4899.6400000000003</v>
      </c>
      <c r="EX202" s="9">
        <v>1729.17</v>
      </c>
      <c r="EY202" s="9">
        <v>2539.9299999999998</v>
      </c>
      <c r="EZ202" s="9">
        <v>8224.24</v>
      </c>
      <c r="FA202" s="9">
        <v>7256.09</v>
      </c>
      <c r="FB202" s="9">
        <v>76.373863636400003</v>
      </c>
      <c r="FC202" s="9">
        <v>46.188636363599997</v>
      </c>
      <c r="FD202" s="9">
        <v>4722.2045454544996</v>
      </c>
      <c r="FE202" s="9">
        <v>57.659090909100001</v>
      </c>
      <c r="FF202" s="9">
        <v>1326.0295454546001</v>
      </c>
      <c r="FG202" s="9">
        <v>12409420.699999999</v>
      </c>
      <c r="FH202" s="9">
        <v>784996</v>
      </c>
      <c r="FI202" s="9">
        <v>1115274.3999999999</v>
      </c>
      <c r="FJ202" s="9">
        <v>5490573.5999999996</v>
      </c>
      <c r="FK202" s="9">
        <v>136285.70000000001</v>
      </c>
      <c r="FL202" s="9">
        <v>188070.5</v>
      </c>
      <c r="FM202" s="9"/>
      <c r="FN202" s="9"/>
      <c r="FO202" s="9"/>
      <c r="FP202" s="9">
        <v>2522087.2999999998</v>
      </c>
      <c r="FQ202" s="9"/>
      <c r="FR202" s="9"/>
      <c r="FS202" s="9"/>
      <c r="FT202" s="9">
        <v>6918627.0599999996</v>
      </c>
      <c r="FU202" s="9">
        <v>648710.22</v>
      </c>
      <c r="FV202" s="9">
        <v>926993.26</v>
      </c>
      <c r="FW202" s="9"/>
      <c r="FX202" s="9"/>
      <c r="FY202" s="9"/>
      <c r="FZ202" s="9">
        <v>135793.35</v>
      </c>
      <c r="GA202" s="9">
        <v>10152976.470000001</v>
      </c>
      <c r="GB202" s="9">
        <v>2703903.23</v>
      </c>
      <c r="GC202" s="9">
        <v>7449073.2400000002</v>
      </c>
      <c r="GD202" s="9">
        <v>7351688</v>
      </c>
      <c r="GE202" s="9">
        <v>653691.41999999993</v>
      </c>
      <c r="GF202" s="9">
        <v>6697996.5800000001</v>
      </c>
      <c r="GG202" s="9">
        <v>2801288.47</v>
      </c>
      <c r="GH202" s="9">
        <v>2050211.81</v>
      </c>
      <c r="GI202" s="9">
        <v>751076.66</v>
      </c>
      <c r="GJ202" s="9">
        <v>3523735.67</v>
      </c>
      <c r="GK202" s="9">
        <v>24656760.329999998</v>
      </c>
      <c r="GL202" s="9">
        <v>2770071.89</v>
      </c>
      <c r="GM202">
        <v>2287.3000000000002</v>
      </c>
      <c r="GO202" s="6"/>
      <c r="GP202" s="6"/>
      <c r="GQ202" s="6"/>
    </row>
    <row r="203" spans="1:199" x14ac:dyDescent="0.2">
      <c r="A203" s="8">
        <v>2016</v>
      </c>
      <c r="B203" s="8" t="s">
        <v>467</v>
      </c>
      <c r="C203" s="8" t="s">
        <v>468</v>
      </c>
      <c r="D203" s="9"/>
      <c r="E203" s="9"/>
      <c r="F203" s="9"/>
      <c r="G203" s="9"/>
      <c r="H203" s="9"/>
      <c r="I203" s="9"/>
      <c r="J203" s="9"/>
      <c r="K203" s="9"/>
      <c r="L203" s="9"/>
      <c r="M203" s="9"/>
      <c r="N203" s="9"/>
      <c r="O203" s="9"/>
      <c r="P203" s="9"/>
      <c r="Q203" s="9"/>
      <c r="R203" s="9"/>
      <c r="S203" s="9"/>
      <c r="T203" s="9"/>
      <c r="U203" s="9"/>
      <c r="V203" s="9"/>
      <c r="W203" s="9"/>
      <c r="X203" s="9"/>
      <c r="Y203" s="9"/>
      <c r="Z203" s="9"/>
      <c r="AA203" s="9"/>
      <c r="AB203" s="9"/>
      <c r="AC203" s="9"/>
      <c r="AD203" s="9"/>
      <c r="AE203" s="9"/>
      <c r="AF203" s="9"/>
      <c r="AG203" s="9"/>
      <c r="AH203" s="9"/>
      <c r="AI203" s="9"/>
      <c r="AJ203" s="9"/>
      <c r="AK203" s="9"/>
      <c r="AL203" s="9"/>
      <c r="AM203" s="9"/>
      <c r="AN203" s="9"/>
      <c r="AO203" s="9"/>
      <c r="AP203" s="9"/>
      <c r="AQ203" s="9"/>
      <c r="AR203" s="9"/>
      <c r="AS203" s="9"/>
      <c r="AT203" s="9"/>
      <c r="AU203" s="9"/>
      <c r="AV203" s="9"/>
      <c r="AW203" s="9"/>
      <c r="AX203" s="9"/>
      <c r="AY203" s="9"/>
      <c r="AZ203" s="9"/>
      <c r="BA203" s="9"/>
      <c r="BB203" s="9"/>
      <c r="BC203" s="9"/>
      <c r="BD203" s="9"/>
      <c r="BE203" s="9"/>
      <c r="BF203" s="9"/>
      <c r="BG203" s="9"/>
      <c r="BH203" s="9"/>
      <c r="BI203" s="9"/>
      <c r="BJ203" s="9"/>
      <c r="BK203" s="9"/>
      <c r="BL203" s="9"/>
      <c r="BM203" s="9"/>
      <c r="BN203" s="9">
        <v>481668.8</v>
      </c>
      <c r="BO203" s="9">
        <v>455848.9</v>
      </c>
      <c r="BP203" s="9">
        <v>94861.4</v>
      </c>
      <c r="BQ203" s="9">
        <v>51925.1</v>
      </c>
      <c r="BR203" s="9">
        <v>43403.7</v>
      </c>
      <c r="BS203" s="9">
        <v>94529.5</v>
      </c>
      <c r="BT203" s="9">
        <v>117576.5</v>
      </c>
      <c r="BU203" s="9">
        <v>39584.199999999997</v>
      </c>
      <c r="BV203" s="9">
        <v>25830.9</v>
      </c>
      <c r="BW203" s="9">
        <v>603403.6</v>
      </c>
      <c r="BX203" s="9">
        <v>-11804.9</v>
      </c>
      <c r="BY203" s="9">
        <v>25716.6</v>
      </c>
      <c r="BZ203" s="9">
        <v>148220.79999999999</v>
      </c>
      <c r="CA203" s="9">
        <v>104830.1</v>
      </c>
      <c r="CB203" s="9">
        <v>10312.1</v>
      </c>
      <c r="CC203" s="9">
        <v>234744.2</v>
      </c>
      <c r="CD203" s="9">
        <v>15331.1</v>
      </c>
      <c r="CE203" s="9">
        <v>159689</v>
      </c>
      <c r="CF203" s="9">
        <v>2087632.43886246</v>
      </c>
      <c r="CG203" s="9">
        <v>11612008.12164066</v>
      </c>
      <c r="CH203" s="9">
        <v>13.4811056054</v>
      </c>
      <c r="CI203" s="9">
        <v>5.3830419322000003</v>
      </c>
      <c r="CJ203" s="9">
        <v>20.222260175999999</v>
      </c>
      <c r="CK203" s="9">
        <v>12.518867049700001</v>
      </c>
      <c r="CL203" s="9">
        <v>15</v>
      </c>
      <c r="CM203" s="9">
        <v>99.698265277000004</v>
      </c>
      <c r="CN203" s="9">
        <v>24.359526323600001</v>
      </c>
      <c r="CO203" s="9">
        <v>4.4475916352000002</v>
      </c>
      <c r="CP203" s="9">
        <v>17.043376629600001</v>
      </c>
      <c r="CQ203" s="9">
        <v>9.3648380345</v>
      </c>
      <c r="CR203" s="9">
        <v>5.0472945865999996</v>
      </c>
      <c r="CS203" s="9">
        <v>3.6784335194</v>
      </c>
      <c r="CT203" s="9">
        <v>14.132681317299999</v>
      </c>
      <c r="CU203" s="9">
        <v>4.3116259832999999</v>
      </c>
      <c r="CV203" s="9">
        <v>3.1245029064000001</v>
      </c>
      <c r="CW203" s="9">
        <v>5.5784357091999999</v>
      </c>
      <c r="CX203" s="9">
        <v>3.0548382309000002</v>
      </c>
      <c r="CY203" s="9">
        <v>5.5551204010999999</v>
      </c>
      <c r="CZ203" s="9">
        <v>393</v>
      </c>
      <c r="DA203" s="9">
        <v>360</v>
      </c>
      <c r="DB203" s="9">
        <v>46</v>
      </c>
      <c r="DC203" s="9">
        <v>121</v>
      </c>
      <c r="DD203" s="9">
        <v>32</v>
      </c>
      <c r="DE203" s="9">
        <v>10</v>
      </c>
      <c r="DF203" s="9">
        <v>100</v>
      </c>
      <c r="DG203" s="9">
        <v>34</v>
      </c>
      <c r="DH203" s="9">
        <v>12</v>
      </c>
      <c r="DI203" s="9">
        <v>3</v>
      </c>
      <c r="DJ203" s="9">
        <v>2</v>
      </c>
      <c r="DK203" s="9">
        <v>3</v>
      </c>
      <c r="DL203" s="9">
        <v>3</v>
      </c>
      <c r="DM203" s="9">
        <v>18</v>
      </c>
      <c r="DN203" s="9">
        <v>0</v>
      </c>
      <c r="DO203" s="9">
        <v>319.76</v>
      </c>
      <c r="DP203" s="9">
        <v>97.15</v>
      </c>
      <c r="DQ203" s="9">
        <v>65.12</v>
      </c>
      <c r="DR203" s="9">
        <v>32.03</v>
      </c>
      <c r="DS203" s="9">
        <v>36.79</v>
      </c>
      <c r="DT203" s="9">
        <v>10.29</v>
      </c>
      <c r="DU203" s="9">
        <v>140.97999999999999</v>
      </c>
      <c r="DV203" s="9">
        <v>97.9</v>
      </c>
      <c r="DW203" s="9">
        <v>23.02</v>
      </c>
      <c r="DX203" s="9">
        <v>44.13</v>
      </c>
      <c r="DY203" s="9">
        <v>19.91</v>
      </c>
      <c r="DZ203" s="9">
        <v>9.06</v>
      </c>
      <c r="EA203" s="9">
        <v>-121.059</v>
      </c>
      <c r="EB203" s="9">
        <v>22.53745</v>
      </c>
      <c r="EC203" s="9">
        <v>-110.32899999999999</v>
      </c>
      <c r="ED203" s="9">
        <v>-48.929200000000002</v>
      </c>
      <c r="EE203" s="9">
        <v>15.662509999999999</v>
      </c>
      <c r="EF203" s="9">
        <v>5.4674630000000004</v>
      </c>
      <c r="EG203" s="9">
        <v>-18.560600000000001</v>
      </c>
      <c r="EH203" s="9">
        <v>-33.869</v>
      </c>
      <c r="EI203" s="9">
        <v>10.04607</v>
      </c>
      <c r="EJ203" s="9">
        <v>43.651020000000003</v>
      </c>
      <c r="EK203" s="9">
        <v>-38.388599999999997</v>
      </c>
      <c r="EL203" s="9">
        <v>51.396320000000003</v>
      </c>
      <c r="EM203" s="9">
        <v>-45.634399999999999</v>
      </c>
      <c r="EN203" s="9">
        <v>1038.7</v>
      </c>
      <c r="EO203" s="9"/>
      <c r="EP203" s="9"/>
      <c r="EQ203" s="9"/>
      <c r="ER203" s="9"/>
      <c r="ES203" s="9"/>
      <c r="ET203" s="9"/>
      <c r="EU203">
        <v>2307.8000000000002</v>
      </c>
      <c r="EV203" s="9"/>
      <c r="EW203" s="9"/>
      <c r="EX203" s="9"/>
      <c r="EY203" s="9"/>
      <c r="EZ203" s="9"/>
      <c r="FA203" s="9"/>
      <c r="FB203" s="9">
        <v>96.239795918400006</v>
      </c>
      <c r="FC203" s="9">
        <v>49.7323809524</v>
      </c>
      <c r="FD203" s="9">
        <v>4731.2619047619</v>
      </c>
      <c r="FE203" s="9">
        <v>58.952380952399999</v>
      </c>
      <c r="FF203" s="9">
        <v>1266.5690476191</v>
      </c>
      <c r="FG203" s="9">
        <v>12484508.9</v>
      </c>
      <c r="FH203" s="9">
        <v>886605.9</v>
      </c>
      <c r="FI203" s="9">
        <v>1136109.3</v>
      </c>
      <c r="FJ203" s="9">
        <v>5483875.0999999996</v>
      </c>
      <c r="FK203" s="9">
        <v>151115.1</v>
      </c>
      <c r="FL203" s="9">
        <v>194107.8</v>
      </c>
      <c r="FM203" s="9"/>
      <c r="FN203" s="9"/>
      <c r="FO203" s="9"/>
      <c r="FP203" s="9">
        <v>2518331.2999999998</v>
      </c>
      <c r="FQ203" s="9"/>
      <c r="FR203" s="9"/>
      <c r="FS203" s="9"/>
      <c r="FT203" s="9">
        <v>7000414.5199999996</v>
      </c>
      <c r="FU203" s="9">
        <v>735490.75000000012</v>
      </c>
      <c r="FV203" s="9">
        <v>941782.16</v>
      </c>
      <c r="FW203" s="9"/>
      <c r="FX203" s="9"/>
      <c r="FY203" s="9"/>
      <c r="FZ203" s="9">
        <v>141212.28</v>
      </c>
      <c r="GA203" s="9">
        <v>10294849.99</v>
      </c>
      <c r="GB203" s="9">
        <v>2693976.67</v>
      </c>
      <c r="GC203" s="9">
        <v>7600873.3200000003</v>
      </c>
      <c r="GD203" s="9">
        <v>7471793.6200000001</v>
      </c>
      <c r="GE203" s="9">
        <v>630475.68999999994</v>
      </c>
      <c r="GF203" s="9">
        <v>6841317.9299999997</v>
      </c>
      <c r="GG203" s="9">
        <v>2823056.370000001</v>
      </c>
      <c r="GH203" s="9">
        <v>2063500.98</v>
      </c>
      <c r="GI203" s="9">
        <v>759555.3899999999</v>
      </c>
      <c r="GJ203" s="9">
        <v>2574885.04</v>
      </c>
      <c r="GK203" s="9">
        <v>24725066.07</v>
      </c>
      <c r="GL203" s="9">
        <v>2795840.33</v>
      </c>
      <c r="GM203">
        <v>2374.21</v>
      </c>
      <c r="GO203" s="6"/>
      <c r="GP203" s="6"/>
      <c r="GQ203" s="6"/>
    </row>
    <row r="204" spans="1:199" x14ac:dyDescent="0.2">
      <c r="A204" s="8">
        <v>2016</v>
      </c>
      <c r="B204" s="8" t="s">
        <v>467</v>
      </c>
      <c r="C204" s="8" t="s">
        <v>469</v>
      </c>
      <c r="D204" s="9"/>
      <c r="E204" s="9"/>
      <c r="F204" s="9"/>
      <c r="G204" s="9"/>
      <c r="H204" s="9"/>
      <c r="I204" s="9"/>
      <c r="J204" s="9"/>
      <c r="K204" s="9"/>
      <c r="L204" s="9"/>
      <c r="M204" s="9"/>
      <c r="N204" s="9"/>
      <c r="O204" s="9"/>
      <c r="P204" s="9"/>
      <c r="Q204" s="9"/>
      <c r="R204" s="9"/>
      <c r="S204" s="9"/>
      <c r="T204" s="9"/>
      <c r="U204" s="9"/>
      <c r="V204" s="9"/>
      <c r="W204" s="9"/>
      <c r="X204" s="9"/>
      <c r="Y204" s="9"/>
      <c r="Z204" s="9"/>
      <c r="AA204" s="9"/>
      <c r="AB204" s="9"/>
      <c r="AC204" s="9"/>
      <c r="AD204" s="9"/>
      <c r="AE204" s="9"/>
      <c r="AF204" s="9"/>
      <c r="AG204" s="9"/>
      <c r="AH204" s="9"/>
      <c r="AI204" s="9"/>
      <c r="AJ204" s="9"/>
      <c r="AK204" s="9"/>
      <c r="AL204" s="9"/>
      <c r="AM204" s="9"/>
      <c r="AN204" s="9"/>
      <c r="AO204" s="9"/>
      <c r="AP204" s="9"/>
      <c r="AQ204" s="9"/>
      <c r="AR204" s="9"/>
      <c r="AS204" s="9"/>
      <c r="AT204" s="9"/>
      <c r="AU204" s="9"/>
      <c r="AV204" s="9"/>
      <c r="AW204" s="9"/>
      <c r="AX204" s="9"/>
      <c r="AY204" s="9"/>
      <c r="AZ204" s="9"/>
      <c r="BA204" s="9"/>
      <c r="BB204" s="9"/>
      <c r="BC204" s="9"/>
      <c r="BD204" s="9"/>
      <c r="BE204" s="9"/>
      <c r="BF204" s="9"/>
      <c r="BG204" s="9"/>
      <c r="BH204" s="9"/>
      <c r="BI204" s="9"/>
      <c r="BJ204" s="9"/>
      <c r="BK204" s="9"/>
      <c r="BL204" s="9"/>
      <c r="BM204" s="9"/>
      <c r="BN204" s="9">
        <v>565009.19999999995</v>
      </c>
      <c r="BO204" s="9">
        <v>443512.3</v>
      </c>
      <c r="BP204" s="9">
        <v>92390.3</v>
      </c>
      <c r="BQ204" s="9">
        <v>40701.5</v>
      </c>
      <c r="BR204" s="9">
        <v>51922.7</v>
      </c>
      <c r="BS204" s="9">
        <v>96169.4</v>
      </c>
      <c r="BT204" s="9">
        <v>100977.1</v>
      </c>
      <c r="BU204" s="9">
        <v>53077.3</v>
      </c>
      <c r="BV204" s="9">
        <v>121485.8</v>
      </c>
      <c r="BW204" s="9">
        <v>600691.9</v>
      </c>
      <c r="BX204" s="9">
        <v>6438.8</v>
      </c>
      <c r="BY204" s="9">
        <v>20844.900000000001</v>
      </c>
      <c r="BZ204" s="9">
        <v>137103.79999999999</v>
      </c>
      <c r="CA204" s="9">
        <v>63573</v>
      </c>
      <c r="CB204" s="9">
        <v>25125.5</v>
      </c>
      <c r="CC204" s="9">
        <v>253569.4</v>
      </c>
      <c r="CD204" s="9">
        <v>5180.8999999999996</v>
      </c>
      <c r="CE204" s="9">
        <v>313858.5</v>
      </c>
      <c r="CF204" s="9">
        <v>1928614.568973917</v>
      </c>
      <c r="CG204" s="9">
        <v>11726407.584224369</v>
      </c>
      <c r="CH204" s="9">
        <v>13.341835101599999</v>
      </c>
      <c r="CI204" s="9">
        <v>4.6568250879999997</v>
      </c>
      <c r="CJ204" s="9">
        <v>20.598798028600001</v>
      </c>
      <c r="CK204" s="9">
        <v>12.814290214</v>
      </c>
      <c r="CL204" s="9">
        <v>15</v>
      </c>
      <c r="CM204" s="9">
        <v>100.1950742893</v>
      </c>
      <c r="CN204" s="9">
        <v>24.3334232984</v>
      </c>
      <c r="CO204" s="9">
        <v>4.4537738250999999</v>
      </c>
      <c r="CP204" s="9">
        <v>17.2201367477</v>
      </c>
      <c r="CQ204" s="9">
        <v>9.5961996761999995</v>
      </c>
      <c r="CR204" s="9">
        <v>5.0643465460000003</v>
      </c>
      <c r="CS204" s="9">
        <v>3.7038256419</v>
      </c>
      <c r="CT204" s="9">
        <v>14.154397659000001</v>
      </c>
      <c r="CU204" s="9">
        <v>4.3108878196999996</v>
      </c>
      <c r="CV204" s="9">
        <v>3.1253351686999999</v>
      </c>
      <c r="CW204" s="9">
        <v>5.5780307345000004</v>
      </c>
      <c r="CX204" s="9">
        <v>3.0556755593</v>
      </c>
      <c r="CY204" s="9">
        <v>5.5990416125999998</v>
      </c>
      <c r="CZ204" s="9">
        <v>554</v>
      </c>
      <c r="DA204" s="9">
        <v>497</v>
      </c>
      <c r="DB204" s="9">
        <v>132</v>
      </c>
      <c r="DC204" s="9">
        <v>104</v>
      </c>
      <c r="DD204" s="9">
        <v>25</v>
      </c>
      <c r="DE204" s="9">
        <v>15</v>
      </c>
      <c r="DF204" s="9">
        <v>167</v>
      </c>
      <c r="DG204" s="9">
        <v>33</v>
      </c>
      <c r="DH204" s="9">
        <v>23</v>
      </c>
      <c r="DI204" s="9">
        <v>4</v>
      </c>
      <c r="DJ204" s="9">
        <v>1</v>
      </c>
      <c r="DK204" s="9">
        <v>15</v>
      </c>
      <c r="DL204" s="9">
        <v>3</v>
      </c>
      <c r="DM204" s="9">
        <v>31</v>
      </c>
      <c r="DN204" s="9">
        <v>0</v>
      </c>
      <c r="DO204" s="9">
        <v>310.85000000000002</v>
      </c>
      <c r="DP204" s="9">
        <v>108.47</v>
      </c>
      <c r="DQ204" s="9">
        <v>68.67</v>
      </c>
      <c r="DR204" s="9">
        <v>39.799999999999997</v>
      </c>
      <c r="DS204" s="9">
        <v>39.94</v>
      </c>
      <c r="DT204" s="9">
        <v>9.3000000000000007</v>
      </c>
      <c r="DU204" s="9">
        <v>95.11</v>
      </c>
      <c r="DV204" s="9">
        <v>60.1</v>
      </c>
      <c r="DW204" s="9">
        <v>18.62</v>
      </c>
      <c r="DX204" s="9">
        <v>66.62</v>
      </c>
      <c r="DY204" s="9">
        <v>37.44</v>
      </c>
      <c r="DZ204" s="9">
        <v>17.78</v>
      </c>
      <c r="EA204" s="9">
        <v>70.643190000000004</v>
      </c>
      <c r="EB204" s="9">
        <v>232.28</v>
      </c>
      <c r="EC204" s="9">
        <v>-122.714</v>
      </c>
      <c r="ED204" s="9">
        <v>-46.652799999999999</v>
      </c>
      <c r="EE204" s="9">
        <v>7.7300870000000002</v>
      </c>
      <c r="EF204" s="9">
        <v>8.6963880000000007</v>
      </c>
      <c r="EG204" s="9">
        <v>-185.63800000000001</v>
      </c>
      <c r="EH204" s="9">
        <v>13.508509999999999</v>
      </c>
      <c r="EI204" s="9">
        <v>3.3701859999999999</v>
      </c>
      <c r="EJ204" s="9">
        <v>-0.24761</v>
      </c>
      <c r="EK204" s="9">
        <v>-202.26900000000001</v>
      </c>
      <c r="EL204" s="9">
        <v>24.73753</v>
      </c>
      <c r="EM204" s="9">
        <v>289.71499999999997</v>
      </c>
      <c r="EN204" s="9">
        <v>1303.9000000000001</v>
      </c>
      <c r="EO204" s="9"/>
      <c r="EP204" s="9"/>
      <c r="EQ204" s="9"/>
      <c r="ER204" s="9"/>
      <c r="ES204" s="9"/>
      <c r="ET204" s="9"/>
      <c r="EU204">
        <v>2434.3180952380999</v>
      </c>
      <c r="EV204" s="9"/>
      <c r="EW204" s="9"/>
      <c r="EX204" s="9"/>
      <c r="EY204" s="9"/>
      <c r="EZ204" s="9"/>
      <c r="FA204" s="9"/>
      <c r="FB204" s="9">
        <v>111.4280844156</v>
      </c>
      <c r="FC204" s="9">
        <v>46.435909090899997</v>
      </c>
      <c r="FD204" s="9">
        <v>5450.9318181817998</v>
      </c>
      <c r="FE204" s="9">
        <v>74.136363636400006</v>
      </c>
      <c r="FF204" s="9">
        <v>1235.9795454545001</v>
      </c>
      <c r="FG204" s="9">
        <v>12633768.6</v>
      </c>
      <c r="FH204" s="9">
        <v>957380.7</v>
      </c>
      <c r="FI204" s="9">
        <v>1162778.6000000001</v>
      </c>
      <c r="FJ204" s="9">
        <v>5551849.4000000004</v>
      </c>
      <c r="FK204" s="9">
        <v>146448.5</v>
      </c>
      <c r="FL204" s="9">
        <v>192722.8</v>
      </c>
      <c r="FM204" s="9"/>
      <c r="FN204" s="9"/>
      <c r="FO204" s="9"/>
      <c r="FP204" s="9">
        <v>2567038.6</v>
      </c>
      <c r="FQ204" s="9"/>
      <c r="FR204" s="9"/>
      <c r="FS204" s="9"/>
      <c r="FT204" s="9">
        <v>7081744.3499999996</v>
      </c>
      <c r="FU204" s="9">
        <v>810932.19000000006</v>
      </c>
      <c r="FV204" s="9">
        <v>969545.8</v>
      </c>
      <c r="FW204" s="9"/>
      <c r="FX204" s="9"/>
      <c r="FY204" s="9"/>
      <c r="FZ204" s="9">
        <v>146761.60999999999</v>
      </c>
      <c r="GA204" s="9">
        <v>10579800.800000001</v>
      </c>
      <c r="GB204" s="9">
        <v>2872292.7</v>
      </c>
      <c r="GC204" s="9">
        <v>7707508.0999999996</v>
      </c>
      <c r="GD204" s="9">
        <v>7657686.1900000004</v>
      </c>
      <c r="GE204" s="9">
        <v>677116.58000000007</v>
      </c>
      <c r="GF204" s="9">
        <v>6980569.6100000003</v>
      </c>
      <c r="GG204" s="9">
        <v>2922114.61</v>
      </c>
      <c r="GH204" s="9">
        <v>2195176.12</v>
      </c>
      <c r="GI204" s="9">
        <v>726938.49</v>
      </c>
      <c r="GJ204" s="9">
        <v>2467719.19</v>
      </c>
      <c r="GK204" s="9">
        <v>25050961.219999999</v>
      </c>
      <c r="GL204" s="9">
        <v>2818651.07</v>
      </c>
      <c r="GM204">
        <v>2466.64</v>
      </c>
      <c r="GO204" s="6"/>
      <c r="GP204" s="6"/>
      <c r="GQ204" s="6"/>
    </row>
    <row r="205" spans="1:199" x14ac:dyDescent="0.2">
      <c r="A205" s="8">
        <v>2016</v>
      </c>
      <c r="B205" s="8" t="s">
        <v>467</v>
      </c>
      <c r="C205" s="8" t="s">
        <v>470</v>
      </c>
      <c r="D205" s="9">
        <v>6692647.2000000002</v>
      </c>
      <c r="E205" s="9">
        <v>442964.8</v>
      </c>
      <c r="F205" s="9">
        <v>1816304.3</v>
      </c>
      <c r="G205" s="9">
        <v>463708.9</v>
      </c>
      <c r="H205" s="9">
        <v>188681.5</v>
      </c>
      <c r="I205" s="9">
        <v>381503.9</v>
      </c>
      <c r="J205" s="9">
        <v>1261847.3999999999</v>
      </c>
      <c r="K205" s="9">
        <v>265611</v>
      </c>
      <c r="L205" s="9">
        <v>128549.6</v>
      </c>
      <c r="M205" s="9">
        <v>1340763.8</v>
      </c>
      <c r="N205" s="9">
        <v>402711.8</v>
      </c>
      <c r="O205" s="9">
        <v>6589824.3799999999</v>
      </c>
      <c r="P205" s="9">
        <v>691642.34699999995</v>
      </c>
      <c r="Q205" s="9">
        <v>1330396.236</v>
      </c>
      <c r="R205" s="9">
        <v>493969.66200000001</v>
      </c>
      <c r="S205" s="9">
        <v>174573.66899999999</v>
      </c>
      <c r="T205" s="9">
        <v>352343.94099999999</v>
      </c>
      <c r="U205" s="9">
        <v>962683.43599999999</v>
      </c>
      <c r="V205" s="9">
        <v>526230.39500000002</v>
      </c>
      <c r="W205" s="9">
        <v>117372.292</v>
      </c>
      <c r="X205" s="9">
        <v>1548623.8859999999</v>
      </c>
      <c r="Y205" s="9">
        <v>391988.51500000001</v>
      </c>
      <c r="Z205" s="9">
        <v>6845296</v>
      </c>
      <c r="AA205" s="9">
        <v>3284008.5</v>
      </c>
      <c r="AB205" s="9">
        <v>937104.4</v>
      </c>
      <c r="AC205" s="9">
        <v>1719682.6</v>
      </c>
      <c r="AD205" s="9">
        <v>72166.899999999994</v>
      </c>
      <c r="AE205" s="9">
        <v>4005718.5</v>
      </c>
      <c r="AF205" s="9">
        <v>3173385</v>
      </c>
      <c r="AG205" s="9">
        <v>6705562.4000000004</v>
      </c>
      <c r="AH205" s="9">
        <v>3649654.3</v>
      </c>
      <c r="AI205" s="9">
        <v>1031990.2</v>
      </c>
      <c r="AJ205" s="9">
        <v>1534120</v>
      </c>
      <c r="AK205" s="9">
        <v>127925</v>
      </c>
      <c r="AL205" s="9">
        <v>3776271.5</v>
      </c>
      <c r="AM205" s="9">
        <v>3414398.6</v>
      </c>
      <c r="AN205" s="9">
        <v>1132843</v>
      </c>
      <c r="AO205" s="9">
        <v>592686</v>
      </c>
      <c r="AP205" s="9">
        <v>540157</v>
      </c>
      <c r="AQ205" s="9">
        <v>107003</v>
      </c>
      <c r="AR205" s="9">
        <v>66989</v>
      </c>
      <c r="AS205" s="9">
        <v>40014</v>
      </c>
      <c r="AT205" s="9">
        <v>814053</v>
      </c>
      <c r="AU205" s="9">
        <v>325556</v>
      </c>
      <c r="AV205" s="9">
        <v>488497</v>
      </c>
      <c r="AW205" s="9">
        <v>942.91</v>
      </c>
      <c r="AX205" s="9">
        <v>688.17</v>
      </c>
      <c r="AY205" s="9">
        <v>2311.66</v>
      </c>
      <c r="AZ205" s="9">
        <v>999.2</v>
      </c>
      <c r="BA205" s="9">
        <v>1256.8499999999999</v>
      </c>
      <c r="BB205" s="9">
        <v>678.11</v>
      </c>
      <c r="BC205" s="9">
        <v>820.66</v>
      </c>
      <c r="BD205" s="9">
        <v>798.69</v>
      </c>
      <c r="BE205" s="9">
        <v>1054.97</v>
      </c>
      <c r="BF205" s="9">
        <v>599.04999999999995</v>
      </c>
      <c r="BG205" s="9">
        <v>890.02</v>
      </c>
      <c r="BH205" s="9">
        <v>1111.73</v>
      </c>
      <c r="BI205" s="9">
        <v>860.06</v>
      </c>
      <c r="BJ205" s="9">
        <v>770.12</v>
      </c>
      <c r="BK205" s="9">
        <v>780.88</v>
      </c>
      <c r="BL205" s="9">
        <v>626.30999999999995</v>
      </c>
      <c r="BM205" s="9">
        <v>830.71</v>
      </c>
      <c r="BN205" s="9">
        <v>775689.2</v>
      </c>
      <c r="BO205" s="9">
        <v>537193.4</v>
      </c>
      <c r="BP205" s="9">
        <v>138851.4</v>
      </c>
      <c r="BQ205" s="9">
        <v>48362.1</v>
      </c>
      <c r="BR205" s="9">
        <v>50497.9</v>
      </c>
      <c r="BS205" s="9">
        <v>75634.8</v>
      </c>
      <c r="BT205" s="9">
        <v>146831.70000000001</v>
      </c>
      <c r="BU205" s="9">
        <v>44313.4</v>
      </c>
      <c r="BV205" s="9">
        <v>238495.8</v>
      </c>
      <c r="BW205" s="9">
        <v>772149.1</v>
      </c>
      <c r="BX205" s="9">
        <v>32671.200000000001</v>
      </c>
      <c r="BY205" s="9">
        <v>21341.3</v>
      </c>
      <c r="BZ205" s="9">
        <v>182221.4</v>
      </c>
      <c r="CA205" s="9">
        <v>296183.5</v>
      </c>
      <c r="CB205" s="9">
        <v>40247.9</v>
      </c>
      <c r="CC205" s="9">
        <v>96375.4</v>
      </c>
      <c r="CD205" s="9">
        <v>-37049.1</v>
      </c>
      <c r="CE205" s="9">
        <v>953809.2</v>
      </c>
      <c r="CF205" s="9">
        <v>2147719.418584459</v>
      </c>
      <c r="CG205" s="9">
        <v>12158529.9360846</v>
      </c>
      <c r="CH205" s="9">
        <v>12.431644676199999</v>
      </c>
      <c r="CI205" s="9">
        <v>5.2856369531</v>
      </c>
      <c r="CJ205" s="9">
        <v>19.6613444919</v>
      </c>
      <c r="CK205" s="9">
        <v>12.958629114600001</v>
      </c>
      <c r="CL205" s="9">
        <v>14</v>
      </c>
      <c r="CM205" s="9">
        <v>100.77923441039999</v>
      </c>
      <c r="CN205" s="9">
        <v>24.7412498453</v>
      </c>
      <c r="CO205" s="9">
        <v>4.4583403139</v>
      </c>
      <c r="CP205" s="9">
        <v>17.2966589977</v>
      </c>
      <c r="CQ205" s="9">
        <v>9.5943426075999998</v>
      </c>
      <c r="CR205" s="9">
        <v>5.0803761904</v>
      </c>
      <c r="CS205" s="9">
        <v>3.7176140137</v>
      </c>
      <c r="CT205" s="9">
        <v>14.1664302349</v>
      </c>
      <c r="CU205" s="9">
        <v>4.3099357485000001</v>
      </c>
      <c r="CV205" s="9">
        <v>3.1288254834</v>
      </c>
      <c r="CW205" s="9">
        <v>5.5782607113999996</v>
      </c>
      <c r="CX205" s="9">
        <v>3.0683430070000002</v>
      </c>
      <c r="CY205" s="9">
        <v>5.6388572564999997</v>
      </c>
      <c r="CZ205" s="9">
        <v>642</v>
      </c>
      <c r="DA205" s="9">
        <v>574</v>
      </c>
      <c r="DB205" s="9">
        <v>182</v>
      </c>
      <c r="DC205" s="9">
        <v>114</v>
      </c>
      <c r="DD205" s="9">
        <v>16</v>
      </c>
      <c r="DE205" s="9">
        <v>13</v>
      </c>
      <c r="DF205" s="9">
        <v>200</v>
      </c>
      <c r="DG205" s="9">
        <v>35</v>
      </c>
      <c r="DH205" s="9">
        <v>23</v>
      </c>
      <c r="DI205" s="9">
        <v>3</v>
      </c>
      <c r="DJ205" s="9">
        <v>4</v>
      </c>
      <c r="DK205" s="9">
        <v>13</v>
      </c>
      <c r="DL205" s="9">
        <v>5</v>
      </c>
      <c r="DM205" s="9">
        <v>40</v>
      </c>
      <c r="DN205" s="9">
        <v>0</v>
      </c>
      <c r="DO205" s="9">
        <v>279.25</v>
      </c>
      <c r="DP205" s="9">
        <v>94.7</v>
      </c>
      <c r="DQ205" s="9">
        <v>61.23</v>
      </c>
      <c r="DR205" s="9">
        <v>33.47</v>
      </c>
      <c r="DS205" s="9">
        <v>41.45</v>
      </c>
      <c r="DT205" s="9">
        <v>12.72</v>
      </c>
      <c r="DU205" s="9">
        <v>79.05</v>
      </c>
      <c r="DV205" s="9">
        <v>53.49</v>
      </c>
      <c r="DW205" s="9">
        <v>14.11</v>
      </c>
      <c r="DX205" s="9">
        <v>63.43</v>
      </c>
      <c r="DY205" s="9">
        <v>33.04</v>
      </c>
      <c r="DZ205" s="9">
        <v>18.559999999999999</v>
      </c>
      <c r="EA205" s="9">
        <v>67.041759999999996</v>
      </c>
      <c r="EB205" s="9">
        <v>351.0052</v>
      </c>
      <c r="EC205" s="9">
        <v>-129.06200000000001</v>
      </c>
      <c r="ED205" s="9">
        <v>-167.30500000000001</v>
      </c>
      <c r="EE205" s="9">
        <v>12.403460000000001</v>
      </c>
      <c r="EF205" s="9">
        <v>6.3949199999999999</v>
      </c>
      <c r="EG205" s="9">
        <v>50.931060000000002</v>
      </c>
      <c r="EH205" s="9">
        <v>-73.385900000000007</v>
      </c>
      <c r="EI205" s="9">
        <v>10.140079999999999</v>
      </c>
      <c r="EJ205" s="9">
        <v>-4.1302199999999996</v>
      </c>
      <c r="EK205" s="9">
        <v>118.30710000000001</v>
      </c>
      <c r="EL205" s="9">
        <v>-52.6496</v>
      </c>
      <c r="EM205" s="9">
        <v>-30.143999999999998</v>
      </c>
      <c r="EN205" s="9">
        <v>1296.3</v>
      </c>
      <c r="EO205" s="9"/>
      <c r="EP205" s="9"/>
      <c r="EQ205" s="9"/>
      <c r="ER205" s="9"/>
      <c r="ES205" s="9"/>
      <c r="ET205" s="9"/>
      <c r="EU205">
        <v>2482.5725000000002</v>
      </c>
      <c r="EV205" s="9">
        <v>24624.5</v>
      </c>
      <c r="EW205" s="9">
        <v>4868.6099999999997</v>
      </c>
      <c r="EX205" s="9">
        <v>1790.75</v>
      </c>
      <c r="EY205" s="9">
        <v>2417.38</v>
      </c>
      <c r="EZ205" s="9">
        <v>8121.49</v>
      </c>
      <c r="FA205" s="9">
        <v>7426.28</v>
      </c>
      <c r="FB205" s="9">
        <v>93.134464285700005</v>
      </c>
      <c r="FC205" s="9">
        <v>54.066363636399998</v>
      </c>
      <c r="FD205" s="9">
        <v>5660.35</v>
      </c>
      <c r="FE205" s="9">
        <v>79.431818181799997</v>
      </c>
      <c r="FF205" s="9">
        <v>1151.4027777778001</v>
      </c>
      <c r="FG205" s="9">
        <v>12337508.6</v>
      </c>
      <c r="FH205" s="9">
        <v>899910.3</v>
      </c>
      <c r="FI205" s="9">
        <v>1047453.7</v>
      </c>
      <c r="FJ205" s="9">
        <v>5605062.2000000002</v>
      </c>
      <c r="FK205" s="9">
        <v>115417.8</v>
      </c>
      <c r="FL205" s="9">
        <v>192469.7</v>
      </c>
      <c r="FM205" s="9"/>
      <c r="FN205" s="9"/>
      <c r="FO205" s="9"/>
      <c r="FP205" s="9">
        <v>2593941.2999999998</v>
      </c>
      <c r="FQ205" s="9"/>
      <c r="FR205" s="9"/>
      <c r="FS205" s="9"/>
      <c r="FT205" s="9">
        <v>6732693.2100000009</v>
      </c>
      <c r="FU205" s="9">
        <v>784492.50000000012</v>
      </c>
      <c r="FV205" s="9">
        <v>854746.71</v>
      </c>
      <c r="FW205" s="9"/>
      <c r="FX205" s="9"/>
      <c r="FY205" s="9"/>
      <c r="FZ205" s="9">
        <v>148334.76999999999</v>
      </c>
      <c r="GA205" s="9">
        <v>10924487.41</v>
      </c>
      <c r="GB205" s="9">
        <v>2880152.99</v>
      </c>
      <c r="GC205" s="9">
        <v>8044334.4199999999</v>
      </c>
      <c r="GD205" s="9">
        <v>8021616.9299999997</v>
      </c>
      <c r="GE205" s="9">
        <v>686212.54</v>
      </c>
      <c r="GF205" s="9">
        <v>7335404.3899999997</v>
      </c>
      <c r="GG205" s="9">
        <v>2902870.48</v>
      </c>
      <c r="GH205" s="9">
        <v>2193940.4500000002</v>
      </c>
      <c r="GI205" s="9">
        <v>708930.03</v>
      </c>
      <c r="GJ205" s="9">
        <v>2516779.4300000002</v>
      </c>
      <c r="GK205" s="9">
        <v>25338363.600000001</v>
      </c>
      <c r="GL205" s="9">
        <v>2936042.99</v>
      </c>
      <c r="GM205">
        <v>2489.5300000000002</v>
      </c>
      <c r="GO205" s="6"/>
      <c r="GP205" s="6"/>
      <c r="GQ205" s="6"/>
    </row>
    <row r="206" spans="1:199" x14ac:dyDescent="0.2">
      <c r="A206" s="8">
        <v>2017</v>
      </c>
      <c r="B206" s="8" t="s">
        <v>471</v>
      </c>
      <c r="C206" s="8" t="s">
        <v>472</v>
      </c>
      <c r="D206" s="9"/>
      <c r="E206" s="9"/>
      <c r="F206" s="9"/>
      <c r="G206" s="9"/>
      <c r="H206" s="9"/>
      <c r="I206" s="9"/>
      <c r="J206" s="9"/>
      <c r="K206" s="9"/>
      <c r="L206" s="9"/>
      <c r="M206" s="9"/>
      <c r="N206" s="9"/>
      <c r="O206" s="9"/>
      <c r="P206" s="9"/>
      <c r="Q206" s="9"/>
      <c r="R206" s="9"/>
      <c r="S206" s="9"/>
      <c r="T206" s="9"/>
      <c r="U206" s="9"/>
      <c r="V206" s="9"/>
      <c r="W206" s="9"/>
      <c r="X206" s="9"/>
      <c r="Y206" s="9"/>
      <c r="Z206" s="9"/>
      <c r="AA206" s="9"/>
      <c r="AB206" s="9"/>
      <c r="AC206" s="9"/>
      <c r="AD206" s="9"/>
      <c r="AE206" s="9"/>
      <c r="AF206" s="9"/>
      <c r="AG206" s="9"/>
      <c r="AH206" s="9"/>
      <c r="AI206" s="9"/>
      <c r="AJ206" s="9"/>
      <c r="AK206" s="9"/>
      <c r="AL206" s="9"/>
      <c r="AM206" s="9"/>
      <c r="AN206" s="9"/>
      <c r="AO206" s="9"/>
      <c r="AP206" s="9"/>
      <c r="AQ206" s="9"/>
      <c r="AR206" s="9"/>
      <c r="AS206" s="9"/>
      <c r="AT206" s="9"/>
      <c r="AU206" s="9"/>
      <c r="AV206" s="9"/>
      <c r="AW206" s="9"/>
      <c r="AX206" s="9"/>
      <c r="AY206" s="9"/>
      <c r="AZ206" s="9"/>
      <c r="BA206" s="9"/>
      <c r="BB206" s="9"/>
      <c r="BC206" s="9"/>
      <c r="BD206" s="9"/>
      <c r="BE206" s="9"/>
      <c r="BF206" s="9"/>
      <c r="BG206" s="9"/>
      <c r="BH206" s="9"/>
      <c r="BI206" s="9"/>
      <c r="BJ206" s="9"/>
      <c r="BK206" s="9"/>
      <c r="BL206" s="9"/>
      <c r="BM206" s="9"/>
      <c r="BN206" s="9">
        <v>483455.7</v>
      </c>
      <c r="BO206" s="9">
        <v>360895.6</v>
      </c>
      <c r="BP206" s="9">
        <v>74061.600000000006</v>
      </c>
      <c r="BQ206" s="9">
        <v>37094.5</v>
      </c>
      <c r="BR206" s="9">
        <v>36968.199999999997</v>
      </c>
      <c r="BS206" s="9">
        <v>76967.899999999994</v>
      </c>
      <c r="BT206" s="9">
        <v>88856.9</v>
      </c>
      <c r="BU206" s="9">
        <v>38270.199999999997</v>
      </c>
      <c r="BV206" s="9">
        <v>79661.100000000006</v>
      </c>
      <c r="BW206" s="9">
        <v>414718.3</v>
      </c>
      <c r="BX206" s="9">
        <v>2052.4</v>
      </c>
      <c r="BY206" s="9">
        <v>10185.299999999999</v>
      </c>
      <c r="BZ206" s="9">
        <v>131871.79999999999</v>
      </c>
      <c r="CA206" s="9">
        <v>62333.7</v>
      </c>
      <c r="CB206" s="9">
        <v>2964.8</v>
      </c>
      <c r="CC206" s="9">
        <v>163220.70000000001</v>
      </c>
      <c r="CD206" s="9">
        <v>718.7</v>
      </c>
      <c r="CE206" s="9">
        <v>49110.9</v>
      </c>
      <c r="CF206" s="9">
        <v>2013274.1869311789</v>
      </c>
      <c r="CG206" s="9">
        <v>11973696.494865591</v>
      </c>
      <c r="CH206" s="9">
        <v>13.6572681527</v>
      </c>
      <c r="CI206" s="9">
        <v>5.6626322149000003</v>
      </c>
      <c r="CJ206" s="9">
        <v>20.1756285879</v>
      </c>
      <c r="CK206" s="9">
        <v>12.2741721539</v>
      </c>
      <c r="CL206" s="9">
        <v>14</v>
      </c>
      <c r="CM206" s="9">
        <v>101.7469723793</v>
      </c>
      <c r="CN206" s="9">
        <v>25.540639568</v>
      </c>
      <c r="CO206" s="9">
        <v>4.4692504309999999</v>
      </c>
      <c r="CP206" s="9">
        <v>17.323812250500001</v>
      </c>
      <c r="CQ206" s="9">
        <v>9.5996941164000003</v>
      </c>
      <c r="CR206" s="9">
        <v>5.1064301943999997</v>
      </c>
      <c r="CS206" s="9">
        <v>3.7415037347000002</v>
      </c>
      <c r="CT206" s="9">
        <v>14.188483875899999</v>
      </c>
      <c r="CU206" s="9">
        <v>4.2965066288999996</v>
      </c>
      <c r="CV206" s="9">
        <v>3.1324998859000002</v>
      </c>
      <c r="CW206" s="9">
        <v>5.5785439429999997</v>
      </c>
      <c r="CX206" s="9">
        <v>3.0697250683999999</v>
      </c>
      <c r="CY206" s="9">
        <v>5.6998826822000002</v>
      </c>
      <c r="CZ206" s="9">
        <v>428</v>
      </c>
      <c r="DA206" s="9">
        <v>393</v>
      </c>
      <c r="DB206" s="9">
        <v>18</v>
      </c>
      <c r="DC206" s="9">
        <v>137</v>
      </c>
      <c r="DD206" s="9">
        <v>15</v>
      </c>
      <c r="DE206" s="9">
        <v>12</v>
      </c>
      <c r="DF206" s="9">
        <v>168</v>
      </c>
      <c r="DG206" s="9">
        <v>31</v>
      </c>
      <c r="DH206" s="9">
        <v>16</v>
      </c>
      <c r="DI206" s="9">
        <v>2</v>
      </c>
      <c r="DJ206" s="9">
        <v>4</v>
      </c>
      <c r="DK206" s="9">
        <v>9</v>
      </c>
      <c r="DL206" s="9">
        <v>1</v>
      </c>
      <c r="DM206" s="9">
        <v>18</v>
      </c>
      <c r="DN206" s="9">
        <v>0</v>
      </c>
      <c r="DO206" s="9">
        <v>277.17</v>
      </c>
      <c r="DP206" s="9">
        <v>86.18</v>
      </c>
      <c r="DQ206" s="9">
        <v>49.08</v>
      </c>
      <c r="DR206" s="9">
        <v>37.1</v>
      </c>
      <c r="DS206" s="9">
        <v>36.840000000000003</v>
      </c>
      <c r="DT206" s="9">
        <v>10.33</v>
      </c>
      <c r="DU206" s="9">
        <v>95.29</v>
      </c>
      <c r="DV206" s="9">
        <v>71.86</v>
      </c>
      <c r="DW206" s="9">
        <v>13.96</v>
      </c>
      <c r="DX206" s="9">
        <v>58.16</v>
      </c>
      <c r="DY206" s="9">
        <v>35.65</v>
      </c>
      <c r="DZ206" s="9">
        <v>18.190000000000001</v>
      </c>
      <c r="EA206" s="9">
        <v>-75.19</v>
      </c>
      <c r="EB206" s="9">
        <v>109.364</v>
      </c>
      <c r="EC206" s="9">
        <v>-111.105</v>
      </c>
      <c r="ED206" s="9">
        <v>-90.3673</v>
      </c>
      <c r="EE206" s="9">
        <v>16.917960000000001</v>
      </c>
      <c r="EF206" s="9">
        <v>7.5744730000000002</v>
      </c>
      <c r="EG206" s="9">
        <v>46.812060000000002</v>
      </c>
      <c r="EH206" s="9">
        <v>-67.226600000000005</v>
      </c>
      <c r="EI206" s="9">
        <v>104.74809999999999</v>
      </c>
      <c r="EJ206" s="9">
        <v>15.80406</v>
      </c>
      <c r="EK206" s="9">
        <v>-6.5135399999999999</v>
      </c>
      <c r="EL206" s="9">
        <v>-61.485100000000003</v>
      </c>
      <c r="EM206" s="9">
        <v>-175.91300000000001</v>
      </c>
      <c r="EN206" s="9">
        <v>1116.9000000000001</v>
      </c>
      <c r="EO206" s="9"/>
      <c r="EP206" s="9"/>
      <c r="EQ206" s="9"/>
      <c r="ER206" s="9"/>
      <c r="ES206" s="9"/>
      <c r="ET206" s="9"/>
      <c r="EU206">
        <v>2488.3760869564999</v>
      </c>
      <c r="EV206" s="9"/>
      <c r="EW206" s="9"/>
      <c r="EX206" s="9"/>
      <c r="EY206" s="9"/>
      <c r="EZ206" s="9"/>
      <c r="FA206" s="9"/>
      <c r="FB206" s="9">
        <v>91.424489795900001</v>
      </c>
      <c r="FC206" s="9">
        <v>54.8927272727</v>
      </c>
      <c r="FD206" s="9">
        <v>5754.5595238095002</v>
      </c>
      <c r="FE206" s="9">
        <v>80.818181818200003</v>
      </c>
      <c r="FF206" s="9">
        <v>1192.6166666667</v>
      </c>
      <c r="FG206" s="9">
        <v>12294767.9</v>
      </c>
      <c r="FH206" s="9">
        <v>941299.19999999995</v>
      </c>
      <c r="FI206" s="9">
        <v>1051923.6000000001</v>
      </c>
      <c r="FJ206" s="9">
        <v>5710945.2000000002</v>
      </c>
      <c r="FK206" s="9">
        <v>140062.20000000001</v>
      </c>
      <c r="FL206" s="9">
        <v>201391.7</v>
      </c>
      <c r="FM206" s="9">
        <v>688229.4</v>
      </c>
      <c r="FN206" s="9">
        <v>41391.599999999999</v>
      </c>
      <c r="FO206" s="9">
        <v>88343.21</v>
      </c>
      <c r="FP206" s="9">
        <v>2660306.7999999998</v>
      </c>
      <c r="FQ206" s="9"/>
      <c r="FR206" s="9"/>
      <c r="FS206" s="9"/>
      <c r="FT206" s="9">
        <v>6584065.5300000003</v>
      </c>
      <c r="FU206" s="9">
        <v>801236.98999999987</v>
      </c>
      <c r="FV206" s="9">
        <v>850294.64</v>
      </c>
      <c r="FW206" s="9">
        <v>1317458.54</v>
      </c>
      <c r="FX206" s="9">
        <v>127593.63</v>
      </c>
      <c r="FY206" s="9">
        <v>167082.53</v>
      </c>
      <c r="FZ206" s="9">
        <v>147316.18</v>
      </c>
      <c r="GA206" s="9">
        <v>10849961.08</v>
      </c>
      <c r="GB206" s="9">
        <v>2773771.48</v>
      </c>
      <c r="GC206" s="9">
        <v>8076189.5999999996</v>
      </c>
      <c r="GD206" s="9">
        <v>8018997.2300000004</v>
      </c>
      <c r="GE206" s="9">
        <v>644600.30000000005</v>
      </c>
      <c r="GF206" s="9">
        <v>7374396.9299999997</v>
      </c>
      <c r="GG206" s="9">
        <v>2830963.85</v>
      </c>
      <c r="GH206" s="9">
        <v>2129171.1800000002</v>
      </c>
      <c r="GI206" s="9">
        <v>701792.66999999993</v>
      </c>
      <c r="GJ206" s="9">
        <v>2449224.15</v>
      </c>
      <c r="GK206" s="9">
        <v>24927057.789999999</v>
      </c>
      <c r="GL206" s="9">
        <v>3026970.26</v>
      </c>
      <c r="GM206">
        <v>2459.44</v>
      </c>
      <c r="GO206" s="6"/>
      <c r="GP206" s="6"/>
      <c r="GQ206" s="6"/>
    </row>
    <row r="207" spans="1:199" x14ac:dyDescent="0.2">
      <c r="A207" s="8">
        <v>2017</v>
      </c>
      <c r="B207" s="8" t="s">
        <v>471</v>
      </c>
      <c r="C207" s="8" t="s">
        <v>473</v>
      </c>
      <c r="D207" s="9"/>
      <c r="E207" s="9"/>
      <c r="F207" s="9"/>
      <c r="G207" s="9"/>
      <c r="H207" s="9"/>
      <c r="I207" s="9"/>
      <c r="J207" s="9"/>
      <c r="K207" s="9"/>
      <c r="L207" s="9"/>
      <c r="M207" s="9"/>
      <c r="N207" s="9"/>
      <c r="O207" s="9"/>
      <c r="P207" s="9"/>
      <c r="Q207" s="9"/>
      <c r="R207" s="9"/>
      <c r="S207" s="9"/>
      <c r="T207" s="9"/>
      <c r="U207" s="9"/>
      <c r="V207" s="9"/>
      <c r="W207" s="9"/>
      <c r="X207" s="9"/>
      <c r="Y207" s="9"/>
      <c r="Z207" s="9"/>
      <c r="AA207" s="9"/>
      <c r="AB207" s="9"/>
      <c r="AC207" s="9"/>
      <c r="AD207" s="9"/>
      <c r="AE207" s="9"/>
      <c r="AF207" s="9"/>
      <c r="AG207" s="9"/>
      <c r="AH207" s="9"/>
      <c r="AI207" s="9"/>
      <c r="AJ207" s="9"/>
      <c r="AK207" s="9"/>
      <c r="AL207" s="9"/>
      <c r="AM207" s="9"/>
      <c r="AN207" s="9"/>
      <c r="AO207" s="9"/>
      <c r="AP207" s="9"/>
      <c r="AQ207" s="9"/>
      <c r="AR207" s="9"/>
      <c r="AS207" s="9"/>
      <c r="AT207" s="9"/>
      <c r="AU207" s="9"/>
      <c r="AV207" s="9"/>
      <c r="AW207" s="9"/>
      <c r="AX207" s="9"/>
      <c r="AY207" s="9"/>
      <c r="AZ207" s="9"/>
      <c r="BA207" s="9"/>
      <c r="BB207" s="9"/>
      <c r="BC207" s="9"/>
      <c r="BD207" s="9"/>
      <c r="BE207" s="9"/>
      <c r="BF207" s="9"/>
      <c r="BG207" s="9"/>
      <c r="BH207" s="9"/>
      <c r="BI207" s="9"/>
      <c r="BJ207" s="9"/>
      <c r="BK207" s="9"/>
      <c r="BL207" s="9"/>
      <c r="BM207" s="9"/>
      <c r="BN207" s="9">
        <v>550590.5</v>
      </c>
      <c r="BO207" s="9">
        <v>459001.5</v>
      </c>
      <c r="BP207" s="9">
        <v>177465.4</v>
      </c>
      <c r="BQ207" s="9">
        <v>128037.1</v>
      </c>
      <c r="BR207" s="9">
        <v>49700.2</v>
      </c>
      <c r="BS207" s="9">
        <v>105632.2</v>
      </c>
      <c r="BT207" s="9">
        <v>85513.7</v>
      </c>
      <c r="BU207" s="9">
        <v>28443.4</v>
      </c>
      <c r="BV207" s="9">
        <v>63799</v>
      </c>
      <c r="BW207" s="9">
        <v>601570.80000000005</v>
      </c>
      <c r="BX207" s="9">
        <v>33000.9</v>
      </c>
      <c r="BY207" s="9">
        <v>15714.4</v>
      </c>
      <c r="BZ207" s="9">
        <v>146879.70000000001</v>
      </c>
      <c r="CA207" s="9">
        <v>86270.6</v>
      </c>
      <c r="CB207" s="9">
        <v>43820.9</v>
      </c>
      <c r="CC207" s="9">
        <v>235245.8</v>
      </c>
      <c r="CD207" s="9">
        <v>2156.3000000000002</v>
      </c>
      <c r="CE207" s="9">
        <v>74629.899999999994</v>
      </c>
      <c r="CF207" s="9">
        <v>2185647.528967069</v>
      </c>
      <c r="CG207" s="9">
        <v>12324741.084340289</v>
      </c>
      <c r="CH207" s="9">
        <v>13.219266028</v>
      </c>
      <c r="CI207" s="9">
        <v>4.193459625</v>
      </c>
      <c r="CJ207" s="9">
        <v>20.090415869299999</v>
      </c>
      <c r="CK207" s="9">
        <v>11.4332705772</v>
      </c>
      <c r="CL207" s="9">
        <v>14</v>
      </c>
      <c r="CM207" s="9">
        <v>102.5540074071</v>
      </c>
      <c r="CN207" s="9">
        <v>26.249133333300001</v>
      </c>
      <c r="CO207" s="9">
        <v>4.4744463055999999</v>
      </c>
      <c r="CP207" s="9">
        <v>17.211290929600001</v>
      </c>
      <c r="CQ207" s="9">
        <v>9.5965625263999996</v>
      </c>
      <c r="CR207" s="9">
        <v>5.1147684642</v>
      </c>
      <c r="CS207" s="9">
        <v>3.7492394497000001</v>
      </c>
      <c r="CT207" s="9">
        <v>14.3663697199</v>
      </c>
      <c r="CU207" s="9">
        <v>4.2966608925000003</v>
      </c>
      <c r="CV207" s="9">
        <v>3.1302216222000001</v>
      </c>
      <c r="CW207" s="9">
        <v>5.5785439429999997</v>
      </c>
      <c r="CX207" s="9">
        <v>3.0717817452</v>
      </c>
      <c r="CY207" s="9">
        <v>5.7149884753000002</v>
      </c>
      <c r="CZ207" s="9">
        <v>396</v>
      </c>
      <c r="DA207" s="9">
        <v>364</v>
      </c>
      <c r="DB207" s="9">
        <v>13</v>
      </c>
      <c r="DC207" s="9">
        <v>109</v>
      </c>
      <c r="DD207" s="9">
        <v>30</v>
      </c>
      <c r="DE207" s="9">
        <v>15</v>
      </c>
      <c r="DF207" s="9">
        <v>157</v>
      </c>
      <c r="DG207" s="9">
        <v>28</v>
      </c>
      <c r="DH207" s="9">
        <v>13</v>
      </c>
      <c r="DI207" s="9">
        <v>1</v>
      </c>
      <c r="DJ207" s="9">
        <v>3</v>
      </c>
      <c r="DK207" s="9">
        <v>6</v>
      </c>
      <c r="DL207" s="9">
        <v>0</v>
      </c>
      <c r="DM207" s="9">
        <v>19</v>
      </c>
      <c r="DN207" s="9">
        <v>0</v>
      </c>
      <c r="DO207" s="9">
        <v>209.66</v>
      </c>
      <c r="DP207" s="9">
        <v>73.239999999999995</v>
      </c>
      <c r="DQ207" s="9">
        <v>42.27</v>
      </c>
      <c r="DR207" s="9">
        <v>30.97</v>
      </c>
      <c r="DS207" s="9">
        <v>29.28</v>
      </c>
      <c r="DT207" s="9">
        <v>10.39</v>
      </c>
      <c r="DU207" s="9">
        <v>62.62</v>
      </c>
      <c r="DV207" s="9">
        <v>46.33</v>
      </c>
      <c r="DW207" s="9">
        <v>9.59</v>
      </c>
      <c r="DX207" s="9">
        <v>43.99</v>
      </c>
      <c r="DY207" s="9">
        <v>17.649999999999999</v>
      </c>
      <c r="DZ207" s="9">
        <v>19.55</v>
      </c>
      <c r="EA207" s="9">
        <v>-1.3294999999999999</v>
      </c>
      <c r="EB207" s="9">
        <v>178.72909999999999</v>
      </c>
      <c r="EC207" s="9">
        <v>-112.083</v>
      </c>
      <c r="ED207" s="9">
        <v>-79.608599999999996</v>
      </c>
      <c r="EE207" s="9">
        <v>11.63335</v>
      </c>
      <c r="EF207" s="9">
        <v>3.9006910000000001</v>
      </c>
      <c r="EG207" s="9">
        <v>-26.703399999999998</v>
      </c>
      <c r="EH207" s="9">
        <v>-41.720999999999997</v>
      </c>
      <c r="EI207" s="9">
        <v>-19.567299999999999</v>
      </c>
      <c r="EJ207" s="9">
        <v>1.058108</v>
      </c>
      <c r="EK207" s="9">
        <v>33.526800000000001</v>
      </c>
      <c r="EL207" s="9">
        <v>-103.74</v>
      </c>
      <c r="EM207" s="9">
        <v>-74.465100000000007</v>
      </c>
      <c r="EN207" s="9">
        <v>1047.5999999999999</v>
      </c>
      <c r="EO207" s="9"/>
      <c r="EP207" s="9"/>
      <c r="EQ207" s="9"/>
      <c r="ER207" s="9"/>
      <c r="ES207" s="9"/>
      <c r="ET207" s="9"/>
      <c r="EU207">
        <v>2478.29</v>
      </c>
      <c r="EV207" s="9"/>
      <c r="EW207" s="9"/>
      <c r="EX207" s="9"/>
      <c r="EY207" s="9"/>
      <c r="EZ207" s="9"/>
      <c r="FA207" s="9"/>
      <c r="FB207" s="9">
        <v>85.9692857143</v>
      </c>
      <c r="FC207" s="9">
        <v>55.493499999999997</v>
      </c>
      <c r="FD207" s="9">
        <v>5940.9125000000004</v>
      </c>
      <c r="FE207" s="9">
        <v>88.95</v>
      </c>
      <c r="FF207" s="9">
        <v>1234.3575000000001</v>
      </c>
      <c r="FG207" s="9">
        <v>12498632.1</v>
      </c>
      <c r="FH207" s="9">
        <v>1045153.8</v>
      </c>
      <c r="FI207" s="9">
        <v>1065479.6000000001</v>
      </c>
      <c r="FJ207" s="9">
        <v>5781184.9000000004</v>
      </c>
      <c r="FK207" s="9">
        <v>163826.5</v>
      </c>
      <c r="FL207" s="9">
        <v>202014.1</v>
      </c>
      <c r="FM207" s="9">
        <v>682642.36</v>
      </c>
      <c r="FN207" s="9">
        <v>48724.33</v>
      </c>
      <c r="FO207" s="9">
        <v>88631.96</v>
      </c>
      <c r="FP207" s="9">
        <v>2834051</v>
      </c>
      <c r="FQ207" s="9"/>
      <c r="FR207" s="9"/>
      <c r="FS207" s="9"/>
      <c r="FT207" s="9">
        <v>6717685.9499999993</v>
      </c>
      <c r="FU207" s="9">
        <v>881327.34</v>
      </c>
      <c r="FV207" s="9">
        <v>863228.29999999993</v>
      </c>
      <c r="FW207" s="9">
        <v>1315982.8799999999</v>
      </c>
      <c r="FX207" s="9">
        <v>139520.67000000001</v>
      </c>
      <c r="FY207" s="9">
        <v>177039.84</v>
      </c>
      <c r="FZ207" s="9">
        <v>148154.39000000001</v>
      </c>
      <c r="GA207" s="9">
        <v>10986794.789999999</v>
      </c>
      <c r="GB207" s="9">
        <v>2771144.13</v>
      </c>
      <c r="GC207" s="9">
        <v>8215650.6600000001</v>
      </c>
      <c r="GD207" s="9">
        <v>8209006.8099999996</v>
      </c>
      <c r="GE207" s="9">
        <v>652784.94000000006</v>
      </c>
      <c r="GF207" s="9">
        <v>7556221.8700000001</v>
      </c>
      <c r="GG207" s="9">
        <v>2777787.98</v>
      </c>
      <c r="GH207" s="9">
        <v>2118359.19</v>
      </c>
      <c r="GI207" s="9">
        <v>659428.78999999992</v>
      </c>
      <c r="GJ207" s="9">
        <v>2545723.8199999998</v>
      </c>
      <c r="GK207" s="9">
        <v>25150524.920000002</v>
      </c>
      <c r="GL207" s="9">
        <v>3109512.15</v>
      </c>
      <c r="GM207">
        <v>2470.83</v>
      </c>
      <c r="GO207" s="6"/>
      <c r="GP207" s="6"/>
      <c r="GQ207" s="6"/>
    </row>
    <row r="208" spans="1:199" x14ac:dyDescent="0.2">
      <c r="A208" s="8">
        <v>2017</v>
      </c>
      <c r="B208" s="8" t="s">
        <v>471</v>
      </c>
      <c r="C208" s="8" t="s">
        <v>474</v>
      </c>
      <c r="D208" s="9">
        <v>5836170.7999999998</v>
      </c>
      <c r="E208" s="9">
        <v>185565.3</v>
      </c>
      <c r="F208" s="9">
        <v>1615945.9</v>
      </c>
      <c r="G208" s="9">
        <v>540885.4</v>
      </c>
      <c r="H208" s="9">
        <v>159362.1</v>
      </c>
      <c r="I208" s="9">
        <v>47701.4</v>
      </c>
      <c r="J208" s="9">
        <v>459126.6</v>
      </c>
      <c r="K208" s="9">
        <v>333880.40000000002</v>
      </c>
      <c r="L208" s="9">
        <v>99522.7</v>
      </c>
      <c r="M208" s="9">
        <v>1850209.2</v>
      </c>
      <c r="N208" s="9">
        <v>543972</v>
      </c>
      <c r="O208" s="9">
        <v>4550555.3650000002</v>
      </c>
      <c r="P208" s="9">
        <v>192924.96299999999</v>
      </c>
      <c r="Q208" s="9">
        <v>797251.929</v>
      </c>
      <c r="R208" s="9">
        <v>275574.59100000001</v>
      </c>
      <c r="S208" s="9">
        <v>176064.11600000001</v>
      </c>
      <c r="T208" s="9">
        <v>47824.411</v>
      </c>
      <c r="U208" s="9">
        <v>480421.09399999998</v>
      </c>
      <c r="V208" s="9">
        <v>248146.66399999999</v>
      </c>
      <c r="W208" s="9">
        <v>109949.238</v>
      </c>
      <c r="X208" s="9">
        <v>1718033.6769999999</v>
      </c>
      <c r="Y208" s="9">
        <v>504364.68</v>
      </c>
      <c r="Z208" s="9">
        <v>5563338.5</v>
      </c>
      <c r="AA208" s="9">
        <v>3288118.3</v>
      </c>
      <c r="AB208" s="9">
        <v>740071.6</v>
      </c>
      <c r="AC208" s="9">
        <v>927238.9</v>
      </c>
      <c r="AD208" s="9">
        <v>465576.1</v>
      </c>
      <c r="AE208" s="9">
        <v>3417225.5</v>
      </c>
      <c r="AF208" s="9">
        <v>3274892</v>
      </c>
      <c r="AG208" s="9">
        <v>4740692.7</v>
      </c>
      <c r="AH208" s="9">
        <v>3379728.4</v>
      </c>
      <c r="AI208" s="9">
        <v>834862.3</v>
      </c>
      <c r="AJ208" s="9">
        <v>726581.7</v>
      </c>
      <c r="AK208" s="9">
        <v>118440.7</v>
      </c>
      <c r="AL208" s="9">
        <v>2645255</v>
      </c>
      <c r="AM208" s="9">
        <v>2964175.3</v>
      </c>
      <c r="AN208" s="9">
        <v>1147015</v>
      </c>
      <c r="AO208" s="9">
        <v>591013</v>
      </c>
      <c r="AP208" s="9">
        <v>556002</v>
      </c>
      <c r="AQ208" s="9">
        <v>115327</v>
      </c>
      <c r="AR208" s="9">
        <v>68535</v>
      </c>
      <c r="AS208" s="9">
        <v>46792</v>
      </c>
      <c r="AT208" s="9">
        <v>859971</v>
      </c>
      <c r="AU208" s="9">
        <v>356966</v>
      </c>
      <c r="AV208" s="9">
        <v>503005</v>
      </c>
      <c r="AW208" s="9">
        <v>959.14</v>
      </c>
      <c r="AX208" s="9">
        <v>697.29</v>
      </c>
      <c r="AY208" s="9">
        <v>2481.16</v>
      </c>
      <c r="AZ208" s="9">
        <v>1014.46</v>
      </c>
      <c r="BA208" s="9">
        <v>1560.55</v>
      </c>
      <c r="BB208" s="9">
        <v>722.95</v>
      </c>
      <c r="BC208" s="9">
        <v>911.83</v>
      </c>
      <c r="BD208" s="9">
        <v>790.64</v>
      </c>
      <c r="BE208" s="9">
        <v>1153.53</v>
      </c>
      <c r="BF208" s="9">
        <v>623.69000000000005</v>
      </c>
      <c r="BG208" s="9">
        <v>878.91</v>
      </c>
      <c r="BH208" s="9">
        <v>1161.97</v>
      </c>
      <c r="BI208" s="9">
        <v>893.32</v>
      </c>
      <c r="BJ208" s="9">
        <v>723.98</v>
      </c>
      <c r="BK208" s="9">
        <v>741.13</v>
      </c>
      <c r="BL208" s="9">
        <v>600.6</v>
      </c>
      <c r="BM208" s="9">
        <v>768.41</v>
      </c>
      <c r="BN208" s="9">
        <v>582043.80000000005</v>
      </c>
      <c r="BO208" s="9">
        <v>469124</v>
      </c>
      <c r="BP208" s="9">
        <v>95084.3</v>
      </c>
      <c r="BQ208" s="9">
        <v>39707.800000000003</v>
      </c>
      <c r="BR208" s="9">
        <v>56299.7</v>
      </c>
      <c r="BS208" s="9">
        <v>113022</v>
      </c>
      <c r="BT208" s="9">
        <v>127071.3</v>
      </c>
      <c r="BU208" s="9">
        <v>33330.800000000003</v>
      </c>
      <c r="BV208" s="9">
        <v>71673.2</v>
      </c>
      <c r="BW208" s="9">
        <v>531187.5</v>
      </c>
      <c r="BX208" s="9">
        <v>4787</v>
      </c>
      <c r="BY208" s="9">
        <v>15435.8</v>
      </c>
      <c r="BZ208" s="9">
        <v>149412.1</v>
      </c>
      <c r="CA208" s="9">
        <v>66851</v>
      </c>
      <c r="CB208" s="9">
        <v>19956.400000000001</v>
      </c>
      <c r="CC208" s="9">
        <v>203721.8</v>
      </c>
      <c r="CD208" s="9">
        <v>26117.5</v>
      </c>
      <c r="CE208" s="9">
        <v>48179.7</v>
      </c>
      <c r="CF208" s="9">
        <v>2124913.0526539111</v>
      </c>
      <c r="CG208" s="9">
        <v>12259343.089125481</v>
      </c>
      <c r="CH208" s="9">
        <v>13.283919554300001</v>
      </c>
      <c r="CI208" s="9">
        <v>5.4707610462999998</v>
      </c>
      <c r="CJ208" s="9">
        <v>20.158505221199999</v>
      </c>
      <c r="CK208" s="9">
        <v>11.1283247787</v>
      </c>
      <c r="CL208" s="9">
        <v>14</v>
      </c>
      <c r="CM208" s="9">
        <v>103.7646194468</v>
      </c>
      <c r="CN208" s="9">
        <v>26.9426835768</v>
      </c>
      <c r="CO208" s="9">
        <v>4.5215343398999996</v>
      </c>
      <c r="CP208" s="9">
        <v>17.289867103700001</v>
      </c>
      <c r="CQ208" s="9">
        <v>9.6109826318000007</v>
      </c>
      <c r="CR208" s="9">
        <v>5.1342472392999996</v>
      </c>
      <c r="CS208" s="9">
        <v>3.7768652650000001</v>
      </c>
      <c r="CT208" s="9">
        <v>14.7089074062</v>
      </c>
      <c r="CU208" s="9">
        <v>4.3252642768999996</v>
      </c>
      <c r="CV208" s="9">
        <v>3.1429007755999998</v>
      </c>
      <c r="CW208" s="9">
        <v>5.5785168517999999</v>
      </c>
      <c r="CX208" s="9">
        <v>3.006811838</v>
      </c>
      <c r="CY208" s="9">
        <v>5.7260381416000001</v>
      </c>
      <c r="CZ208" s="9">
        <v>474</v>
      </c>
      <c r="DA208" s="9">
        <v>445</v>
      </c>
      <c r="DB208" s="9">
        <v>13</v>
      </c>
      <c r="DC208" s="9">
        <v>134</v>
      </c>
      <c r="DD208" s="9">
        <v>25</v>
      </c>
      <c r="DE208" s="9">
        <v>13</v>
      </c>
      <c r="DF208" s="9">
        <v>213</v>
      </c>
      <c r="DG208" s="9">
        <v>35</v>
      </c>
      <c r="DH208" s="9">
        <v>7</v>
      </c>
      <c r="DI208" s="9">
        <v>1</v>
      </c>
      <c r="DJ208" s="9">
        <v>3</v>
      </c>
      <c r="DK208" s="9">
        <v>1</v>
      </c>
      <c r="DL208" s="9">
        <v>1</v>
      </c>
      <c r="DM208" s="9">
        <v>21</v>
      </c>
      <c r="DN208" s="9">
        <v>0</v>
      </c>
      <c r="DO208" s="9">
        <v>289.39</v>
      </c>
      <c r="DP208" s="9">
        <v>95.22</v>
      </c>
      <c r="DQ208" s="9">
        <v>51.95</v>
      </c>
      <c r="DR208" s="9">
        <v>43.27</v>
      </c>
      <c r="DS208" s="9">
        <v>29.87</v>
      </c>
      <c r="DT208" s="9">
        <v>3.18</v>
      </c>
      <c r="DU208" s="9">
        <v>106.87</v>
      </c>
      <c r="DV208" s="9">
        <v>74.430000000000007</v>
      </c>
      <c r="DW208" s="9">
        <v>21.67</v>
      </c>
      <c r="DX208" s="9">
        <v>56.79</v>
      </c>
      <c r="DY208" s="9">
        <v>26.2</v>
      </c>
      <c r="DZ208" s="9">
        <v>23.18</v>
      </c>
      <c r="EA208" s="9">
        <v>-71.622100000000003</v>
      </c>
      <c r="EB208" s="9">
        <v>137.239</v>
      </c>
      <c r="EC208" s="9">
        <v>-110.354</v>
      </c>
      <c r="ED208" s="9">
        <v>-110.087</v>
      </c>
      <c r="EE208" s="9">
        <v>11.579560000000001</v>
      </c>
      <c r="EF208" s="9">
        <v>6.9197740000000003</v>
      </c>
      <c r="EG208" s="9">
        <v>-140.53200000000001</v>
      </c>
      <c r="EH208" s="9">
        <v>-28.982199999999999</v>
      </c>
      <c r="EI208" s="9">
        <v>-31.667200000000001</v>
      </c>
      <c r="EJ208" s="9">
        <v>4.5367999999999999E-2</v>
      </c>
      <c r="EK208" s="9">
        <v>-79.928200000000004</v>
      </c>
      <c r="EL208" s="9">
        <v>10.86473</v>
      </c>
      <c r="EM208" s="9">
        <v>86.694630000000004</v>
      </c>
      <c r="EN208" s="9">
        <v>1109.2</v>
      </c>
      <c r="EO208" s="9"/>
      <c r="EP208" s="9"/>
      <c r="EQ208" s="9"/>
      <c r="ER208" s="9"/>
      <c r="ES208" s="9"/>
      <c r="ET208" s="9"/>
      <c r="EU208">
        <v>2459.5538095237998</v>
      </c>
      <c r="EV208" s="9">
        <v>25016.6</v>
      </c>
      <c r="EW208" s="9">
        <v>5844.05</v>
      </c>
      <c r="EX208" s="9">
        <v>1807.36</v>
      </c>
      <c r="EY208" s="9">
        <v>2350.6999999999998</v>
      </c>
      <c r="EZ208" s="9">
        <v>7473.5</v>
      </c>
      <c r="FA208" s="9">
        <v>7540.99</v>
      </c>
      <c r="FB208" s="9">
        <v>86.333850931699999</v>
      </c>
      <c r="FC208" s="9">
        <v>51.968260869600002</v>
      </c>
      <c r="FD208" s="9">
        <v>5824.6304347825999</v>
      </c>
      <c r="FE208" s="9">
        <v>87.195652173900001</v>
      </c>
      <c r="FF208" s="9">
        <v>1231.0934782608999</v>
      </c>
      <c r="FG208" s="9">
        <v>12593618.470000001</v>
      </c>
      <c r="FH208" s="9">
        <v>989923.98</v>
      </c>
      <c r="FI208" s="9">
        <v>1030854.94</v>
      </c>
      <c r="FJ208" s="9">
        <v>5860811.2000000002</v>
      </c>
      <c r="FK208" s="9">
        <v>151456.70000000001</v>
      </c>
      <c r="FL208" s="9">
        <v>206119.8</v>
      </c>
      <c r="FM208" s="9">
        <v>691130.7</v>
      </c>
      <c r="FN208" s="9">
        <v>43311.95</v>
      </c>
      <c r="FO208" s="9">
        <v>88767.62</v>
      </c>
      <c r="FP208" s="9">
        <v>2886113.8</v>
      </c>
      <c r="FQ208" s="9"/>
      <c r="FR208" s="9"/>
      <c r="FS208" s="9"/>
      <c r="FT208" s="9">
        <v>6732569.9999999991</v>
      </c>
      <c r="FU208" s="9">
        <v>838467.32000000007</v>
      </c>
      <c r="FV208" s="9">
        <v>824497.8899999999</v>
      </c>
      <c r="FW208" s="9">
        <v>1308649.3</v>
      </c>
      <c r="FX208" s="9">
        <v>137162.04999999999</v>
      </c>
      <c r="FY208" s="9">
        <v>182310.24</v>
      </c>
      <c r="FZ208" s="9">
        <v>147237.17000000001</v>
      </c>
      <c r="GA208" s="9">
        <v>11096511.699999999</v>
      </c>
      <c r="GB208" s="9">
        <v>2827435.92</v>
      </c>
      <c r="GC208" s="9">
        <v>8269075.7800000003</v>
      </c>
      <c r="GD208" s="9">
        <v>8246041.5999999996</v>
      </c>
      <c r="GE208" s="9">
        <v>674999.21</v>
      </c>
      <c r="GF208" s="9">
        <v>7571042.3899999997</v>
      </c>
      <c r="GG208" s="9">
        <v>2850470.1</v>
      </c>
      <c r="GH208" s="9">
        <v>2152436.71</v>
      </c>
      <c r="GI208" s="9">
        <v>698033.39</v>
      </c>
      <c r="GJ208" s="9">
        <v>2505527.33</v>
      </c>
      <c r="GK208" s="9">
        <v>25173557.41</v>
      </c>
      <c r="GL208" s="9">
        <v>3088745.34</v>
      </c>
      <c r="GM208">
        <v>2447.4499999999998</v>
      </c>
      <c r="GO208" s="6"/>
      <c r="GP208" s="6"/>
      <c r="GQ208" s="6"/>
    </row>
    <row r="209" spans="1:199" x14ac:dyDescent="0.2">
      <c r="A209" s="8">
        <v>2017</v>
      </c>
      <c r="B209" s="8" t="s">
        <v>475</v>
      </c>
      <c r="C209" s="8" t="s">
        <v>476</v>
      </c>
      <c r="D209" s="9"/>
      <c r="E209" s="9"/>
      <c r="F209" s="9"/>
      <c r="G209" s="9"/>
      <c r="H209" s="9"/>
      <c r="I209" s="9"/>
      <c r="J209" s="9"/>
      <c r="K209" s="9"/>
      <c r="L209" s="9"/>
      <c r="M209" s="9"/>
      <c r="N209" s="9"/>
      <c r="O209" s="9"/>
      <c r="P209" s="9"/>
      <c r="Q209" s="9"/>
      <c r="R209" s="9"/>
      <c r="S209" s="9"/>
      <c r="T209" s="9"/>
      <c r="U209" s="9"/>
      <c r="V209" s="9"/>
      <c r="W209" s="9"/>
      <c r="X209" s="9"/>
      <c r="Y209" s="9"/>
      <c r="Z209" s="9"/>
      <c r="AA209" s="9"/>
      <c r="AB209" s="9"/>
      <c r="AC209" s="9"/>
      <c r="AD209" s="9"/>
      <c r="AE209" s="9"/>
      <c r="AF209" s="9"/>
      <c r="AG209" s="9"/>
      <c r="AH209" s="9"/>
      <c r="AI209" s="9"/>
      <c r="AJ209" s="9"/>
      <c r="AK209" s="9"/>
      <c r="AL209" s="9"/>
      <c r="AM209" s="9"/>
      <c r="AN209" s="9"/>
      <c r="AO209" s="9"/>
      <c r="AP209" s="9"/>
      <c r="AQ209" s="9"/>
      <c r="AR209" s="9"/>
      <c r="AS209" s="9"/>
      <c r="AT209" s="9"/>
      <c r="AU209" s="9"/>
      <c r="AV209" s="9"/>
      <c r="AW209" s="9"/>
      <c r="AX209" s="9"/>
      <c r="AY209" s="9"/>
      <c r="AZ209" s="9"/>
      <c r="BA209" s="9"/>
      <c r="BB209" s="9"/>
      <c r="BC209" s="9"/>
      <c r="BD209" s="9"/>
      <c r="BE209" s="9"/>
      <c r="BF209" s="9"/>
      <c r="BG209" s="9"/>
      <c r="BH209" s="9"/>
      <c r="BI209" s="9"/>
      <c r="BJ209" s="9"/>
      <c r="BK209" s="9"/>
      <c r="BL209" s="9"/>
      <c r="BM209" s="9"/>
      <c r="BN209" s="9">
        <v>654525.80000000005</v>
      </c>
      <c r="BO209" s="9">
        <v>510316.4</v>
      </c>
      <c r="BP209" s="9">
        <v>147295.79999999999</v>
      </c>
      <c r="BQ209" s="9">
        <v>116385.2</v>
      </c>
      <c r="BR209" s="9">
        <v>46027.6</v>
      </c>
      <c r="BS209" s="9">
        <v>92861.3</v>
      </c>
      <c r="BT209" s="9">
        <v>120260.8</v>
      </c>
      <c r="BU209" s="9">
        <v>37064.800000000003</v>
      </c>
      <c r="BV209" s="9">
        <v>79913.8</v>
      </c>
      <c r="BW209" s="9">
        <v>548867.1</v>
      </c>
      <c r="BX209" s="9">
        <v>12886.1</v>
      </c>
      <c r="BY209" s="9">
        <v>18479.8</v>
      </c>
      <c r="BZ209" s="9">
        <v>146431.4</v>
      </c>
      <c r="CA209" s="9">
        <v>112519.5</v>
      </c>
      <c r="CB209" s="9">
        <v>17208.900000000001</v>
      </c>
      <c r="CC209" s="9">
        <v>177081.1</v>
      </c>
      <c r="CD209" s="9">
        <v>11214.7</v>
      </c>
      <c r="CE209" s="9">
        <v>58874.1</v>
      </c>
      <c r="CF209" s="9">
        <v>2313340.4758525719</v>
      </c>
      <c r="CG209" s="9">
        <v>12467828.89660858</v>
      </c>
      <c r="CH209" s="9">
        <v>12.681842245</v>
      </c>
      <c r="CI209" s="9">
        <v>4.3410086517000002</v>
      </c>
      <c r="CJ209" s="9">
        <v>20.015572222100001</v>
      </c>
      <c r="CK209" s="9">
        <v>13.053297149300001</v>
      </c>
      <c r="CL209" s="9">
        <v>14</v>
      </c>
      <c r="CM209" s="9">
        <v>105.0096240572</v>
      </c>
      <c r="CN209" s="9">
        <v>27.580954386199998</v>
      </c>
      <c r="CO209" s="9">
        <v>4.5127044100999996</v>
      </c>
      <c r="CP209" s="9">
        <v>17.377063556100001</v>
      </c>
      <c r="CQ209" s="9">
        <v>9.5507773935000007</v>
      </c>
      <c r="CR209" s="9">
        <v>5.1431474655000002</v>
      </c>
      <c r="CS209" s="9">
        <v>3.8267771714999999</v>
      </c>
      <c r="CT209" s="9">
        <v>15.126998499800001</v>
      </c>
      <c r="CU209" s="9">
        <v>4.3236850058999998</v>
      </c>
      <c r="CV209" s="9">
        <v>3.1849026736999999</v>
      </c>
      <c r="CW209" s="9">
        <v>5.5804323174999997</v>
      </c>
      <c r="CX209" s="9">
        <v>3.0274179030999999</v>
      </c>
      <c r="CY209" s="9">
        <v>5.7747632742999997</v>
      </c>
      <c r="CZ209" s="9">
        <v>594</v>
      </c>
      <c r="DA209" s="9">
        <v>505</v>
      </c>
      <c r="DB209" s="9">
        <v>32</v>
      </c>
      <c r="DC209" s="9">
        <v>144</v>
      </c>
      <c r="DD209" s="9">
        <v>44</v>
      </c>
      <c r="DE209" s="9">
        <v>17</v>
      </c>
      <c r="DF209" s="9">
        <v>228</v>
      </c>
      <c r="DG209" s="9">
        <v>30</v>
      </c>
      <c r="DH209" s="9">
        <v>55</v>
      </c>
      <c r="DI209" s="9">
        <v>1</v>
      </c>
      <c r="DJ209" s="9">
        <v>2</v>
      </c>
      <c r="DK209" s="9">
        <v>50</v>
      </c>
      <c r="DL209" s="9">
        <v>1</v>
      </c>
      <c r="DM209" s="9">
        <v>34</v>
      </c>
      <c r="DN209" s="9">
        <v>0</v>
      </c>
      <c r="DO209" s="9">
        <v>337.54</v>
      </c>
      <c r="DP209" s="9">
        <v>110.59</v>
      </c>
      <c r="DQ209" s="9">
        <v>58.19</v>
      </c>
      <c r="DR209" s="9">
        <v>52.41</v>
      </c>
      <c r="DS209" s="9">
        <v>53.37</v>
      </c>
      <c r="DT209" s="9">
        <v>19.45</v>
      </c>
      <c r="DU209" s="9">
        <v>118.09</v>
      </c>
      <c r="DV209" s="9">
        <v>71.09</v>
      </c>
      <c r="DW209" s="9">
        <v>29.24</v>
      </c>
      <c r="DX209" s="9">
        <v>54.97</v>
      </c>
      <c r="DY209" s="9">
        <v>28.45</v>
      </c>
      <c r="DZ209" s="9">
        <v>19.16</v>
      </c>
      <c r="EA209" s="9">
        <v>9.0825779999999998</v>
      </c>
      <c r="EB209" s="9">
        <v>194.75489999999999</v>
      </c>
      <c r="EC209" s="9">
        <v>-95.752399999999994</v>
      </c>
      <c r="ED209" s="9">
        <v>-101.101</v>
      </c>
      <c r="EE209" s="9">
        <v>11.18093</v>
      </c>
      <c r="EF209" s="9">
        <v>3.2974160000000001</v>
      </c>
      <c r="EG209" s="9">
        <v>-23.738600000000002</v>
      </c>
      <c r="EH209" s="9">
        <v>-103.607</v>
      </c>
      <c r="EI209" s="9">
        <v>-37.107500000000002</v>
      </c>
      <c r="EJ209" s="9">
        <v>-1.0722100000000001</v>
      </c>
      <c r="EK209" s="9">
        <v>118.04810000000001</v>
      </c>
      <c r="EL209" s="9">
        <v>31.810169999999999</v>
      </c>
      <c r="EM209" s="9">
        <v>67.92877</v>
      </c>
      <c r="EN209" s="9">
        <v>1231</v>
      </c>
      <c r="EO209" s="9"/>
      <c r="EP209" s="9"/>
      <c r="EQ209" s="9"/>
      <c r="ER209" s="9"/>
      <c r="ES209" s="9"/>
      <c r="ET209" s="9"/>
      <c r="EU209">
        <v>2421.8465000000001</v>
      </c>
      <c r="EV209" s="9"/>
      <c r="EW209" s="9"/>
      <c r="EX209" s="9"/>
      <c r="EY209" s="9"/>
      <c r="EZ209" s="9"/>
      <c r="FA209" s="9"/>
      <c r="FB209" s="9">
        <v>90.110714285699999</v>
      </c>
      <c r="FC209" s="9">
        <v>53.063499999999998</v>
      </c>
      <c r="FD209" s="9">
        <v>5683.9027777778001</v>
      </c>
      <c r="FE209" s="9">
        <v>70.400000000000006</v>
      </c>
      <c r="FF209" s="9">
        <v>1265.6277777778</v>
      </c>
      <c r="FG209" s="9">
        <v>12621792.4</v>
      </c>
      <c r="FH209" s="9">
        <v>1004087.2</v>
      </c>
      <c r="FI209" s="9">
        <v>1082637.3999999999</v>
      </c>
      <c r="FJ209" s="9">
        <v>5958155.0999999996</v>
      </c>
      <c r="FK209" s="9">
        <v>152902.39999999999</v>
      </c>
      <c r="FL209" s="9">
        <v>213343.4</v>
      </c>
      <c r="FM209" s="9">
        <v>713667.22</v>
      </c>
      <c r="FN209" s="9">
        <v>42324.26</v>
      </c>
      <c r="FO209" s="9">
        <v>90113.83</v>
      </c>
      <c r="FP209" s="9">
        <v>2938808.4</v>
      </c>
      <c r="FQ209" s="9"/>
      <c r="FR209" s="9"/>
      <c r="FS209" s="9"/>
      <c r="FT209" s="9">
        <v>6663838.6600000011</v>
      </c>
      <c r="FU209" s="9">
        <v>851184.7699999999</v>
      </c>
      <c r="FV209" s="9">
        <v>869027.37</v>
      </c>
      <c r="FW209" s="9">
        <v>1327781.48</v>
      </c>
      <c r="FX209" s="9">
        <v>139348.31</v>
      </c>
      <c r="FY209" s="9">
        <v>200463.89</v>
      </c>
      <c r="FZ209" s="9">
        <v>145631.78</v>
      </c>
      <c r="GA209" s="9">
        <v>11264834.08</v>
      </c>
      <c r="GB209" s="9">
        <v>2929218.12</v>
      </c>
      <c r="GC209" s="9">
        <v>8335615.959999999</v>
      </c>
      <c r="GD209" s="9">
        <v>8324312.9199999999</v>
      </c>
      <c r="GE209" s="9">
        <v>677637.48</v>
      </c>
      <c r="GF209" s="9">
        <v>7646675.4400000004</v>
      </c>
      <c r="GG209" s="9">
        <v>2940521.16</v>
      </c>
      <c r="GH209" s="9">
        <v>2251580.64</v>
      </c>
      <c r="GI209" s="9">
        <v>688940.52</v>
      </c>
      <c r="GJ209" s="9">
        <v>2508292.63</v>
      </c>
      <c r="GK209" s="9">
        <v>25197742.120000001</v>
      </c>
      <c r="GL209" s="9">
        <v>3089847.19</v>
      </c>
      <c r="GM209">
        <v>2419.42</v>
      </c>
      <c r="GO209" s="6"/>
      <c r="GP209" s="6"/>
      <c r="GQ209" s="6"/>
    </row>
    <row r="210" spans="1:199" x14ac:dyDescent="0.2">
      <c r="A210" s="8">
        <v>2017</v>
      </c>
      <c r="B210" s="8" t="s">
        <v>475</v>
      </c>
      <c r="C210" s="8" t="s">
        <v>477</v>
      </c>
      <c r="D210" s="9"/>
      <c r="E210" s="9"/>
      <c r="F210" s="9"/>
      <c r="G210" s="9"/>
      <c r="H210" s="9"/>
      <c r="I210" s="9"/>
      <c r="J210" s="9"/>
      <c r="K210" s="9"/>
      <c r="L210" s="9"/>
      <c r="M210" s="9"/>
      <c r="N210" s="9"/>
      <c r="O210" s="9"/>
      <c r="P210" s="9"/>
      <c r="Q210" s="9"/>
      <c r="R210" s="9"/>
      <c r="S210" s="9"/>
      <c r="T210" s="9"/>
      <c r="U210" s="9"/>
      <c r="V210" s="9"/>
      <c r="W210" s="9"/>
      <c r="X210" s="9"/>
      <c r="Y210" s="9"/>
      <c r="Z210" s="9"/>
      <c r="AA210" s="9"/>
      <c r="AB210" s="9"/>
      <c r="AC210" s="9"/>
      <c r="AD210" s="9"/>
      <c r="AE210" s="9"/>
      <c r="AF210" s="9"/>
      <c r="AG210" s="9"/>
      <c r="AH210" s="9"/>
      <c r="AI210" s="9"/>
      <c r="AJ210" s="9"/>
      <c r="AK210" s="9"/>
      <c r="AL210" s="9"/>
      <c r="AM210" s="9"/>
      <c r="AN210" s="9"/>
      <c r="AO210" s="9"/>
      <c r="AP210" s="9"/>
      <c r="AQ210" s="9"/>
      <c r="AR210" s="9"/>
      <c r="AS210" s="9"/>
      <c r="AT210" s="9"/>
      <c r="AU210" s="9"/>
      <c r="AV210" s="9"/>
      <c r="AW210" s="9"/>
      <c r="AX210" s="9"/>
      <c r="AY210" s="9"/>
      <c r="AZ210" s="9"/>
      <c r="BA210" s="9"/>
      <c r="BB210" s="9"/>
      <c r="BC210" s="9"/>
      <c r="BD210" s="9"/>
      <c r="BE210" s="9"/>
      <c r="BF210" s="9"/>
      <c r="BG210" s="9"/>
      <c r="BH210" s="9"/>
      <c r="BI210" s="9"/>
      <c r="BJ210" s="9"/>
      <c r="BK210" s="9"/>
      <c r="BL210" s="9"/>
      <c r="BM210" s="9"/>
      <c r="BN210" s="9">
        <v>642171.1</v>
      </c>
      <c r="BO210" s="9">
        <v>502649.4</v>
      </c>
      <c r="BP210" s="9">
        <v>119998.39999999999</v>
      </c>
      <c r="BQ210" s="9">
        <v>77511.100000000006</v>
      </c>
      <c r="BR210" s="9">
        <v>55223.199999999997</v>
      </c>
      <c r="BS210" s="9">
        <v>107171.5</v>
      </c>
      <c r="BT210" s="9">
        <v>140933.20000000001</v>
      </c>
      <c r="BU210" s="9">
        <v>31828.7</v>
      </c>
      <c r="BV210" s="9">
        <v>69576.399999999994</v>
      </c>
      <c r="BW210" s="9">
        <v>544964.30000000005</v>
      </c>
      <c r="BX210" s="9">
        <v>75350.8</v>
      </c>
      <c r="BY210" s="9">
        <v>24060.1</v>
      </c>
      <c r="BZ210" s="9">
        <v>146566.39999999999</v>
      </c>
      <c r="CA210" s="9">
        <v>62513</v>
      </c>
      <c r="CB210" s="9">
        <v>20908.8</v>
      </c>
      <c r="CC210" s="9">
        <v>201464</v>
      </c>
      <c r="CD210" s="9">
        <v>-636</v>
      </c>
      <c r="CE210" s="9">
        <v>78951.899999999994</v>
      </c>
      <c r="CF210" s="9">
        <v>2487796.215770388</v>
      </c>
      <c r="CG210" s="9">
        <v>12989767.6655885</v>
      </c>
      <c r="CH210" s="9">
        <v>13.212157018499999</v>
      </c>
      <c r="CI210" s="9">
        <v>7.0970733516999998</v>
      </c>
      <c r="CJ210" s="9">
        <v>20.358658626299999</v>
      </c>
      <c r="CK210" s="9">
        <v>12.056902079</v>
      </c>
      <c r="CL210" s="9">
        <v>14</v>
      </c>
      <c r="CM210" s="9">
        <v>105.5374847481</v>
      </c>
      <c r="CN210" s="9">
        <v>27.747772804699999</v>
      </c>
      <c r="CO210" s="9">
        <v>4.5221339273999996</v>
      </c>
      <c r="CP210" s="9">
        <v>17.395017680900001</v>
      </c>
      <c r="CQ210" s="9">
        <v>9.5051716389000003</v>
      </c>
      <c r="CR210" s="9">
        <v>5.1748297102</v>
      </c>
      <c r="CS210" s="9">
        <v>3.8387730553999999</v>
      </c>
      <c r="CT210" s="9">
        <v>15.418380841499999</v>
      </c>
      <c r="CU210" s="9">
        <v>4.318426659</v>
      </c>
      <c r="CV210" s="9">
        <v>3.1820268970000001</v>
      </c>
      <c r="CW210" s="9">
        <v>5.5794788248999998</v>
      </c>
      <c r="CX210" s="9">
        <v>3.0290120369000002</v>
      </c>
      <c r="CY210" s="9">
        <v>5.8264606713999996</v>
      </c>
      <c r="CZ210" s="9">
        <v>610</v>
      </c>
      <c r="DA210" s="9">
        <v>500</v>
      </c>
      <c r="DB210" s="9">
        <v>66</v>
      </c>
      <c r="DC210" s="9">
        <v>109</v>
      </c>
      <c r="DD210" s="9">
        <v>22</v>
      </c>
      <c r="DE210" s="9">
        <v>15</v>
      </c>
      <c r="DF210" s="9">
        <v>241</v>
      </c>
      <c r="DG210" s="9">
        <v>31</v>
      </c>
      <c r="DH210" s="9">
        <v>78</v>
      </c>
      <c r="DI210" s="9">
        <v>2</v>
      </c>
      <c r="DJ210" s="9">
        <v>1</v>
      </c>
      <c r="DK210" s="9">
        <v>72</v>
      </c>
      <c r="DL210" s="9">
        <v>1</v>
      </c>
      <c r="DM210" s="9">
        <v>31</v>
      </c>
      <c r="DN210" s="9">
        <v>0</v>
      </c>
      <c r="DO210" s="9">
        <v>382.65</v>
      </c>
      <c r="DP210" s="9">
        <v>106.2</v>
      </c>
      <c r="DQ210" s="9">
        <v>64.989999999999995</v>
      </c>
      <c r="DR210" s="9">
        <v>41.21</v>
      </c>
      <c r="DS210" s="9">
        <v>47.74</v>
      </c>
      <c r="DT210" s="9">
        <v>10.63</v>
      </c>
      <c r="DU210" s="9">
        <v>162.63</v>
      </c>
      <c r="DV210" s="9">
        <v>102.04</v>
      </c>
      <c r="DW210" s="9">
        <v>45.58</v>
      </c>
      <c r="DX210" s="9">
        <v>65.55</v>
      </c>
      <c r="DY210" s="9">
        <v>36.31</v>
      </c>
      <c r="DZ210" s="9">
        <v>21.49</v>
      </c>
      <c r="EA210" s="9">
        <v>37.130099999999999</v>
      </c>
      <c r="EB210" s="9">
        <v>224.21379999999999</v>
      </c>
      <c r="EC210" s="9">
        <v>-93.127899999999997</v>
      </c>
      <c r="ED210" s="9">
        <v>-107.083</v>
      </c>
      <c r="EE210" s="9">
        <v>13.12697</v>
      </c>
      <c r="EF210" s="9">
        <v>5.4507329999999996</v>
      </c>
      <c r="EG210" s="9">
        <v>-74.846100000000007</v>
      </c>
      <c r="EH210" s="9">
        <v>-105.622</v>
      </c>
      <c r="EI210" s="9">
        <v>-34.088500000000003</v>
      </c>
      <c r="EJ210" s="9">
        <v>1.0468299999999999</v>
      </c>
      <c r="EK210" s="9">
        <v>63.817279999999997</v>
      </c>
      <c r="EL210" s="9">
        <v>-123.04</v>
      </c>
      <c r="EM210" s="9">
        <v>-5.6134199999999996</v>
      </c>
      <c r="EN210" s="9">
        <v>1234.5</v>
      </c>
      <c r="EO210" s="9"/>
      <c r="EP210" s="9"/>
      <c r="EQ210" s="9"/>
      <c r="ER210" s="9"/>
      <c r="ES210" s="9"/>
      <c r="ET210" s="9"/>
      <c r="EU210">
        <v>2413.0569565217002</v>
      </c>
      <c r="EV210" s="9"/>
      <c r="EW210" s="9"/>
      <c r="EX210" s="9"/>
      <c r="EY210" s="9"/>
      <c r="EZ210" s="9"/>
      <c r="FA210" s="9"/>
      <c r="FB210" s="9">
        <v>80.118367346900001</v>
      </c>
      <c r="FC210" s="9">
        <v>50.870869565200003</v>
      </c>
      <c r="FD210" s="9">
        <v>5599.5595238095002</v>
      </c>
      <c r="FE210" s="9">
        <v>61.630434782599998</v>
      </c>
      <c r="FF210" s="9">
        <v>1245.0047619048</v>
      </c>
      <c r="FG210" s="9">
        <v>12613829.300000001</v>
      </c>
      <c r="FH210" s="9">
        <v>925273.59999999998</v>
      </c>
      <c r="FI210" s="9">
        <v>1153813.5</v>
      </c>
      <c r="FJ210" s="9">
        <v>5860811.2000000002</v>
      </c>
      <c r="FK210" s="9">
        <v>151456.70000000001</v>
      </c>
      <c r="FL210" s="9">
        <v>206119.8</v>
      </c>
      <c r="FM210" s="9">
        <v>733546.91</v>
      </c>
      <c r="FN210" s="9">
        <v>37211.19</v>
      </c>
      <c r="FO210" s="9">
        <v>93206.92</v>
      </c>
      <c r="FP210" s="9">
        <v>2878975.4</v>
      </c>
      <c r="FQ210" s="9"/>
      <c r="FR210" s="9"/>
      <c r="FS210" s="9"/>
      <c r="FT210" s="9">
        <v>6768083.3900000006</v>
      </c>
      <c r="FU210" s="9">
        <v>784907.11</v>
      </c>
      <c r="FV210" s="9">
        <v>932916.97</v>
      </c>
      <c r="FW210" s="9">
        <v>1347400.46</v>
      </c>
      <c r="FX210" s="9">
        <v>112746.78</v>
      </c>
      <c r="FY210" s="9">
        <v>212409.36</v>
      </c>
      <c r="FZ210" s="9">
        <v>144874.49</v>
      </c>
      <c r="GA210" s="9">
        <v>11511662.050000001</v>
      </c>
      <c r="GB210" s="9">
        <v>3095265.73</v>
      </c>
      <c r="GC210" s="9">
        <v>8416396.3200000003</v>
      </c>
      <c r="GD210" s="9">
        <v>8441910.8499999996</v>
      </c>
      <c r="GE210" s="9">
        <v>744658.5</v>
      </c>
      <c r="GF210" s="9">
        <v>7697252.3499999996</v>
      </c>
      <c r="GG210" s="9">
        <v>3069751.2</v>
      </c>
      <c r="GH210" s="9">
        <v>2350607.23</v>
      </c>
      <c r="GI210" s="9">
        <v>719143.97000000009</v>
      </c>
      <c r="GJ210" s="9">
        <v>2935157.55</v>
      </c>
      <c r="GK210" s="9">
        <v>25703610.93</v>
      </c>
      <c r="GL210" s="9">
        <v>3126398.95</v>
      </c>
      <c r="GM210">
        <v>2397.9699999999998</v>
      </c>
      <c r="GO210" s="6"/>
      <c r="GP210" s="6"/>
      <c r="GQ210" s="6"/>
    </row>
    <row r="211" spans="1:199" x14ac:dyDescent="0.2">
      <c r="A211" s="8">
        <v>2017</v>
      </c>
      <c r="B211" s="8" t="s">
        <v>475</v>
      </c>
      <c r="C211" s="8" t="s">
        <v>478</v>
      </c>
      <c r="D211" s="9">
        <v>7229534.7999999998</v>
      </c>
      <c r="E211" s="9">
        <v>1500405.1</v>
      </c>
      <c r="F211" s="9">
        <v>1308147.1000000001</v>
      </c>
      <c r="G211" s="9">
        <v>453198.1</v>
      </c>
      <c r="H211" s="9">
        <v>136485.20000000001</v>
      </c>
      <c r="I211" s="9">
        <v>238155.1</v>
      </c>
      <c r="J211" s="9">
        <v>529087.6</v>
      </c>
      <c r="K211" s="9">
        <v>367685.7</v>
      </c>
      <c r="L211" s="9">
        <v>109563</v>
      </c>
      <c r="M211" s="9">
        <v>1910002.5</v>
      </c>
      <c r="N211" s="9">
        <v>676805.4</v>
      </c>
      <c r="O211" s="9">
        <v>6731846.6370000001</v>
      </c>
      <c r="P211" s="9">
        <v>1540731.2879999999</v>
      </c>
      <c r="Q211" s="9">
        <v>852829.30599999998</v>
      </c>
      <c r="R211" s="9">
        <v>389872.962</v>
      </c>
      <c r="S211" s="9">
        <v>120593.852</v>
      </c>
      <c r="T211" s="9">
        <v>248940.95499999999</v>
      </c>
      <c r="U211" s="9">
        <v>646865.03799999994</v>
      </c>
      <c r="V211" s="9">
        <v>235085.58499999999</v>
      </c>
      <c r="W211" s="9">
        <v>118758.673</v>
      </c>
      <c r="X211" s="9">
        <v>1789149.6170000001</v>
      </c>
      <c r="Y211" s="9">
        <v>789019.36300000001</v>
      </c>
      <c r="Z211" s="9">
        <v>7607596.2000000002</v>
      </c>
      <c r="AA211" s="9">
        <v>3750080.2</v>
      </c>
      <c r="AB211" s="9">
        <v>955951.8</v>
      </c>
      <c r="AC211" s="9">
        <v>1824500.9</v>
      </c>
      <c r="AD211" s="9">
        <v>463537.8</v>
      </c>
      <c r="AE211" s="9">
        <v>4641782.5999999996</v>
      </c>
      <c r="AF211" s="9">
        <v>4028257</v>
      </c>
      <c r="AG211" s="9">
        <v>6349644.2000000002</v>
      </c>
      <c r="AH211" s="9">
        <v>3760256.7</v>
      </c>
      <c r="AI211" s="9">
        <v>1027478.5</v>
      </c>
      <c r="AJ211" s="9">
        <v>1533142.3</v>
      </c>
      <c r="AK211" s="9">
        <v>248017.4</v>
      </c>
      <c r="AL211" s="9">
        <v>3006857.2</v>
      </c>
      <c r="AM211" s="9">
        <v>3226108</v>
      </c>
      <c r="AN211" s="9">
        <v>1237676</v>
      </c>
      <c r="AO211" s="9">
        <v>664144</v>
      </c>
      <c r="AP211" s="9">
        <v>573532</v>
      </c>
      <c r="AQ211" s="9">
        <v>131774</v>
      </c>
      <c r="AR211" s="9">
        <v>77202</v>
      </c>
      <c r="AS211" s="9">
        <v>54572</v>
      </c>
      <c r="AT211" s="9">
        <v>854820</v>
      </c>
      <c r="AU211" s="9">
        <v>343205</v>
      </c>
      <c r="AV211" s="9">
        <v>511615</v>
      </c>
      <c r="AW211" s="9">
        <v>966.61</v>
      </c>
      <c r="AX211" s="9">
        <v>700.35</v>
      </c>
      <c r="AY211" s="9">
        <v>2221.23</v>
      </c>
      <c r="AZ211" s="9">
        <v>1123.76</v>
      </c>
      <c r="BA211" s="9">
        <v>1290.1300000000001</v>
      </c>
      <c r="BB211" s="9">
        <v>703.47</v>
      </c>
      <c r="BC211" s="9">
        <v>843.58</v>
      </c>
      <c r="BD211" s="9">
        <v>804.4</v>
      </c>
      <c r="BE211" s="9">
        <v>1085.1500000000001</v>
      </c>
      <c r="BF211" s="9">
        <v>629.04999999999995</v>
      </c>
      <c r="BG211" s="9">
        <v>923.43</v>
      </c>
      <c r="BH211" s="9">
        <v>1126.28</v>
      </c>
      <c r="BI211" s="9">
        <v>862.65</v>
      </c>
      <c r="BJ211" s="9">
        <v>760.82</v>
      </c>
      <c r="BK211" s="9">
        <v>769.42</v>
      </c>
      <c r="BL211" s="9">
        <v>613.72</v>
      </c>
      <c r="BM211" s="9">
        <v>818.73</v>
      </c>
      <c r="BN211" s="9">
        <v>674049.7</v>
      </c>
      <c r="BO211" s="9">
        <v>515132.4</v>
      </c>
      <c r="BP211" s="9">
        <v>89351.4</v>
      </c>
      <c r="BQ211" s="9">
        <v>40818.5</v>
      </c>
      <c r="BR211" s="9">
        <v>61608.7</v>
      </c>
      <c r="BS211" s="9">
        <v>119258.7</v>
      </c>
      <c r="BT211" s="9">
        <v>149499.5</v>
      </c>
      <c r="BU211" s="9">
        <v>39621.9</v>
      </c>
      <c r="BV211" s="9">
        <v>94723</v>
      </c>
      <c r="BW211" s="9">
        <v>711473.7</v>
      </c>
      <c r="BX211" s="9">
        <v>-43500</v>
      </c>
      <c r="BY211" s="9">
        <v>487062.2</v>
      </c>
      <c r="BZ211" s="9">
        <v>198596.8</v>
      </c>
      <c r="CA211" s="9">
        <v>132644.29999999999</v>
      </c>
      <c r="CB211" s="9">
        <v>31840.3</v>
      </c>
      <c r="CC211" s="9">
        <v>221520.4</v>
      </c>
      <c r="CD211" s="9">
        <v>7590.9</v>
      </c>
      <c r="CE211" s="9">
        <v>205875.1</v>
      </c>
      <c r="CF211" s="9">
        <v>2719731.7440113788</v>
      </c>
      <c r="CG211" s="9">
        <v>13483236.044870799</v>
      </c>
      <c r="CH211" s="9">
        <v>12.5094653384</v>
      </c>
      <c r="CI211" s="9">
        <v>4.2520531699999999</v>
      </c>
      <c r="CJ211" s="9">
        <v>20.285123533899998</v>
      </c>
      <c r="CK211" s="9">
        <v>12.540076389699999</v>
      </c>
      <c r="CL211" s="9">
        <v>12</v>
      </c>
      <c r="CM211" s="9">
        <v>104.99111825430001</v>
      </c>
      <c r="CN211" s="9">
        <v>27.1228733395</v>
      </c>
      <c r="CO211" s="9">
        <v>4.5429502304999998</v>
      </c>
      <c r="CP211" s="9">
        <v>17.4193836442</v>
      </c>
      <c r="CQ211" s="9">
        <v>9.4498093124999993</v>
      </c>
      <c r="CR211" s="9">
        <v>5.1852856949000001</v>
      </c>
      <c r="CS211" s="9">
        <v>3.8452725563999999</v>
      </c>
      <c r="CT211" s="9">
        <v>15.429357660599999</v>
      </c>
      <c r="CU211" s="9">
        <v>4.3153000766999998</v>
      </c>
      <c r="CV211" s="9">
        <v>3.1853919266999999</v>
      </c>
      <c r="CW211" s="9">
        <v>5.5789021194000004</v>
      </c>
      <c r="CX211" s="9">
        <v>3.0702982797999998</v>
      </c>
      <c r="CY211" s="9">
        <v>5.8462934129999997</v>
      </c>
      <c r="CZ211" s="9">
        <v>599</v>
      </c>
      <c r="DA211" s="9">
        <v>521</v>
      </c>
      <c r="DB211" s="9">
        <v>39</v>
      </c>
      <c r="DC211" s="9">
        <v>132</v>
      </c>
      <c r="DD211" s="9">
        <v>23</v>
      </c>
      <c r="DE211" s="9">
        <v>14</v>
      </c>
      <c r="DF211" s="9">
        <v>270</v>
      </c>
      <c r="DG211" s="9">
        <v>28</v>
      </c>
      <c r="DH211" s="9">
        <v>58</v>
      </c>
      <c r="DI211" s="9">
        <v>2</v>
      </c>
      <c r="DJ211" s="9">
        <v>0</v>
      </c>
      <c r="DK211" s="9">
        <v>53</v>
      </c>
      <c r="DL211" s="9">
        <v>2</v>
      </c>
      <c r="DM211" s="9">
        <v>18</v>
      </c>
      <c r="DN211" s="9">
        <v>0</v>
      </c>
      <c r="DO211" s="9">
        <v>430.73</v>
      </c>
      <c r="DP211" s="9">
        <v>130.69999999999999</v>
      </c>
      <c r="DQ211" s="9">
        <v>61.28</v>
      </c>
      <c r="DR211" s="9">
        <v>69.42</v>
      </c>
      <c r="DS211" s="9">
        <v>50.47</v>
      </c>
      <c r="DT211" s="9">
        <v>9.24</v>
      </c>
      <c r="DU211" s="9">
        <v>173.5</v>
      </c>
      <c r="DV211" s="9">
        <v>103.08</v>
      </c>
      <c r="DW211" s="9">
        <v>51.96</v>
      </c>
      <c r="DX211" s="9">
        <v>75.41</v>
      </c>
      <c r="DY211" s="9">
        <v>52.26</v>
      </c>
      <c r="DZ211" s="9">
        <v>15.92</v>
      </c>
      <c r="EA211" s="9">
        <v>-166.6</v>
      </c>
      <c r="EB211" s="9">
        <v>111.6157</v>
      </c>
      <c r="EC211" s="9">
        <v>-71.652600000000007</v>
      </c>
      <c r="ED211" s="9">
        <v>-221.94399999999999</v>
      </c>
      <c r="EE211" s="9">
        <v>15.38039</v>
      </c>
      <c r="EF211" s="9">
        <v>4.962332</v>
      </c>
      <c r="EG211" s="9">
        <v>-266.75400000000002</v>
      </c>
      <c r="EH211" s="9">
        <v>-185.011</v>
      </c>
      <c r="EI211" s="9">
        <v>3.9067989999999999</v>
      </c>
      <c r="EJ211" s="9">
        <v>-0.56284000000000001</v>
      </c>
      <c r="EK211" s="9">
        <v>-85.087199999999996</v>
      </c>
      <c r="EL211" s="9">
        <v>-77.757199999999997</v>
      </c>
      <c r="EM211" s="9">
        <v>27.35913</v>
      </c>
      <c r="EN211" s="9">
        <v>1319.4</v>
      </c>
      <c r="EO211" s="9"/>
      <c r="EP211" s="9"/>
      <c r="EQ211" s="9"/>
      <c r="ER211" s="9"/>
      <c r="ES211" s="9"/>
      <c r="ET211" s="9"/>
      <c r="EU211">
        <v>2367.9299999999998</v>
      </c>
      <c r="EV211" s="9">
        <v>25569.439999999999</v>
      </c>
      <c r="EW211" s="9">
        <v>6016.23</v>
      </c>
      <c r="EX211" s="9">
        <v>1876.71</v>
      </c>
      <c r="EY211" s="9">
        <v>2177.31</v>
      </c>
      <c r="EZ211" s="9">
        <v>7890.64</v>
      </c>
      <c r="FA211" s="9">
        <v>7608.55</v>
      </c>
      <c r="FB211" s="9">
        <v>85.673376623400003</v>
      </c>
      <c r="FC211" s="9">
        <v>46.894545454499998</v>
      </c>
      <c r="FD211" s="9">
        <v>5719.7613636364003</v>
      </c>
      <c r="FE211" s="9">
        <v>57.863636363600001</v>
      </c>
      <c r="FF211" s="9">
        <v>1260.2568181818001</v>
      </c>
      <c r="FG211" s="9">
        <v>12805394</v>
      </c>
      <c r="FH211" s="9">
        <v>791971.3</v>
      </c>
      <c r="FI211" s="9">
        <v>1127800.6000000001</v>
      </c>
      <c r="FJ211" s="9">
        <v>6028243.2000000002</v>
      </c>
      <c r="FK211" s="9">
        <v>135620.20000000001</v>
      </c>
      <c r="FL211" s="9">
        <v>216574.2</v>
      </c>
      <c r="FM211" s="9">
        <v>750548.88</v>
      </c>
      <c r="FN211" s="9">
        <v>36124.43</v>
      </c>
      <c r="FO211" s="9">
        <v>93224.3</v>
      </c>
      <c r="FP211" s="9">
        <v>3097656.5</v>
      </c>
      <c r="FQ211" s="9"/>
      <c r="FR211" s="9"/>
      <c r="FS211" s="9"/>
      <c r="FT211" s="9">
        <v>6777343.5600000015</v>
      </c>
      <c r="FU211" s="9">
        <v>656351.03999999992</v>
      </c>
      <c r="FV211" s="9">
        <v>910964.31</v>
      </c>
      <c r="FW211" s="9">
        <v>1403949.94</v>
      </c>
      <c r="FX211" s="9">
        <v>106358.43</v>
      </c>
      <c r="FY211" s="9">
        <v>207569.56</v>
      </c>
      <c r="FZ211" s="9">
        <v>146196.54</v>
      </c>
      <c r="GA211" s="9">
        <v>11734529.189999999</v>
      </c>
      <c r="GB211" s="9">
        <v>3271860.42</v>
      </c>
      <c r="GC211" s="9">
        <v>8462668.7699999996</v>
      </c>
      <c r="GD211" s="9">
        <v>8571439.8499999996</v>
      </c>
      <c r="GE211" s="9">
        <v>819317.8899999999</v>
      </c>
      <c r="GF211" s="9">
        <v>7752121.9600000018</v>
      </c>
      <c r="GG211" s="9">
        <v>3163089.34</v>
      </c>
      <c r="GH211" s="9">
        <v>2452542.5299999998</v>
      </c>
      <c r="GI211" s="9">
        <v>710546.80999999994</v>
      </c>
      <c r="GJ211" s="9">
        <v>3246632.08</v>
      </c>
      <c r="GK211" s="9">
        <v>25772061.84</v>
      </c>
      <c r="GL211" s="9">
        <v>3053885.99</v>
      </c>
      <c r="GM211">
        <v>2349.87</v>
      </c>
      <c r="GO211" s="6"/>
      <c r="GP211" s="6"/>
      <c r="GQ211" s="6"/>
    </row>
    <row r="212" spans="1:199" x14ac:dyDescent="0.2">
      <c r="A212" s="8">
        <v>2017</v>
      </c>
      <c r="B212" s="8" t="s">
        <v>479</v>
      </c>
      <c r="C212" s="8" t="s">
        <v>480</v>
      </c>
      <c r="D212" s="9"/>
      <c r="E212" s="9"/>
      <c r="F212" s="9"/>
      <c r="G212" s="9"/>
      <c r="H212" s="9"/>
      <c r="I212" s="9"/>
      <c r="J212" s="9"/>
      <c r="K212" s="9"/>
      <c r="L212" s="9"/>
      <c r="M212" s="9"/>
      <c r="N212" s="9"/>
      <c r="O212" s="9"/>
      <c r="P212" s="9"/>
      <c r="Q212" s="9"/>
      <c r="R212" s="9"/>
      <c r="S212" s="9"/>
      <c r="T212" s="9"/>
      <c r="U212" s="9"/>
      <c r="V212" s="9"/>
      <c r="W212" s="9"/>
      <c r="X212" s="9"/>
      <c r="Y212" s="9"/>
      <c r="Z212" s="9"/>
      <c r="AA212" s="9"/>
      <c r="AB212" s="9"/>
      <c r="AC212" s="9"/>
      <c r="AD212" s="9"/>
      <c r="AE212" s="9"/>
      <c r="AF212" s="9"/>
      <c r="AG212" s="9"/>
      <c r="AH212" s="9"/>
      <c r="AI212" s="9"/>
      <c r="AJ212" s="9"/>
      <c r="AK212" s="9"/>
      <c r="AL212" s="9"/>
      <c r="AM212" s="9"/>
      <c r="AN212" s="9"/>
      <c r="AO212" s="9"/>
      <c r="AP212" s="9"/>
      <c r="AQ212" s="9"/>
      <c r="AR212" s="9"/>
      <c r="AS212" s="9"/>
      <c r="AT212" s="9"/>
      <c r="AU212" s="9"/>
      <c r="AV212" s="9"/>
      <c r="AW212" s="9"/>
      <c r="AX212" s="9"/>
      <c r="AY212" s="9"/>
      <c r="AZ212" s="9"/>
      <c r="BA212" s="9"/>
      <c r="BB212" s="9"/>
      <c r="BC212" s="9"/>
      <c r="BD212" s="9"/>
      <c r="BE212" s="9"/>
      <c r="BF212" s="9"/>
      <c r="BG212" s="9"/>
      <c r="BH212" s="9"/>
      <c r="BI212" s="9"/>
      <c r="BJ212" s="9"/>
      <c r="BK212" s="9"/>
      <c r="BL212" s="9"/>
      <c r="BM212" s="9"/>
      <c r="BN212" s="9">
        <v>687659.4</v>
      </c>
      <c r="BO212" s="9">
        <v>545405.69999999995</v>
      </c>
      <c r="BP212" s="9">
        <v>178525.8</v>
      </c>
      <c r="BQ212" s="9">
        <v>133464.5</v>
      </c>
      <c r="BR212" s="9">
        <v>46226.9</v>
      </c>
      <c r="BS212" s="9">
        <v>93821.7</v>
      </c>
      <c r="BT212" s="9">
        <v>143865</v>
      </c>
      <c r="BU212" s="9">
        <v>37296.199999999997</v>
      </c>
      <c r="BV212" s="9">
        <v>77607.5</v>
      </c>
      <c r="BW212" s="9">
        <v>461504.2</v>
      </c>
      <c r="BX212" s="9">
        <v>24814.400000000001</v>
      </c>
      <c r="BY212" s="9">
        <v>78633.3</v>
      </c>
      <c r="BZ212" s="9">
        <v>120845.7</v>
      </c>
      <c r="CA212" s="9">
        <v>60208.9</v>
      </c>
      <c r="CB212" s="9">
        <v>11335.4</v>
      </c>
      <c r="CC212" s="9">
        <v>190480.9</v>
      </c>
      <c r="CD212" s="9">
        <v>-35085.699999999997</v>
      </c>
      <c r="CE212" s="9">
        <v>49566.1</v>
      </c>
      <c r="CF212" s="9">
        <v>2584182.0645299051</v>
      </c>
      <c r="CG212" s="9">
        <v>13999629.606593279</v>
      </c>
      <c r="CH212" s="9">
        <v>12.5689357088</v>
      </c>
      <c r="CI212" s="9">
        <v>5.2656570722999998</v>
      </c>
      <c r="CJ212" s="9">
        <v>20.051382053699999</v>
      </c>
      <c r="CK212" s="9">
        <v>11.746129181700001</v>
      </c>
      <c r="CL212" s="9">
        <v>12</v>
      </c>
      <c r="CM212" s="9">
        <v>105.0322455176</v>
      </c>
      <c r="CN212" s="9">
        <v>27.130278004699999</v>
      </c>
      <c r="CO212" s="9">
        <v>4.5443251519999999</v>
      </c>
      <c r="CP212" s="9">
        <v>17.4308687081</v>
      </c>
      <c r="CQ212" s="9">
        <v>9.4429118187000007</v>
      </c>
      <c r="CR212" s="9">
        <v>5.1957213250000001</v>
      </c>
      <c r="CS212" s="9">
        <v>3.8453035225000001</v>
      </c>
      <c r="CT212" s="9">
        <v>15.4440567267</v>
      </c>
      <c r="CU212" s="9">
        <v>4.3145039620999999</v>
      </c>
      <c r="CV212" s="9">
        <v>3.1792389927000002</v>
      </c>
      <c r="CW212" s="9">
        <v>5.5785565946000002</v>
      </c>
      <c r="CX212" s="9">
        <v>3.0732997171999998</v>
      </c>
      <c r="CY212" s="9">
        <v>5.8531809933999996</v>
      </c>
      <c r="CZ212" s="9">
        <v>419</v>
      </c>
      <c r="DA212" s="9">
        <v>367</v>
      </c>
      <c r="DB212" s="9">
        <v>37</v>
      </c>
      <c r="DC212" s="9">
        <v>124</v>
      </c>
      <c r="DD212" s="9">
        <v>16</v>
      </c>
      <c r="DE212" s="9">
        <v>17</v>
      </c>
      <c r="DF212" s="9">
        <v>126</v>
      </c>
      <c r="DG212" s="9">
        <v>29</v>
      </c>
      <c r="DH212" s="9">
        <v>25</v>
      </c>
      <c r="DI212" s="9">
        <v>2</v>
      </c>
      <c r="DJ212" s="9">
        <v>1</v>
      </c>
      <c r="DK212" s="9">
        <v>18</v>
      </c>
      <c r="DL212" s="9">
        <v>5</v>
      </c>
      <c r="DM212" s="9">
        <v>21</v>
      </c>
      <c r="DN212" s="9">
        <v>0</v>
      </c>
      <c r="DO212" s="9">
        <v>403.13</v>
      </c>
      <c r="DP212" s="9">
        <v>106.77</v>
      </c>
      <c r="DQ212" s="9">
        <v>63.66</v>
      </c>
      <c r="DR212" s="9">
        <v>43.11</v>
      </c>
      <c r="DS212" s="9">
        <v>51.32</v>
      </c>
      <c r="DT212" s="9">
        <v>11.55</v>
      </c>
      <c r="DU212" s="9">
        <v>152.88</v>
      </c>
      <c r="DV212" s="9">
        <v>88.33</v>
      </c>
      <c r="DW212" s="9">
        <v>46.51</v>
      </c>
      <c r="DX212" s="9">
        <v>91.58</v>
      </c>
      <c r="DY212" s="9">
        <v>58.62</v>
      </c>
      <c r="DZ212" s="9">
        <v>22.63</v>
      </c>
      <c r="EA212" s="9">
        <v>-155.559</v>
      </c>
      <c r="EB212" s="9">
        <v>-29.015000000000001</v>
      </c>
      <c r="EC212" s="9">
        <v>-35.448300000000003</v>
      </c>
      <c r="ED212" s="9">
        <v>-103.996</v>
      </c>
      <c r="EE212" s="9">
        <v>12.90104</v>
      </c>
      <c r="EF212" s="9">
        <v>4.1857709999999999</v>
      </c>
      <c r="EG212" s="9">
        <v>-58.421599999999998</v>
      </c>
      <c r="EH212" s="9">
        <v>-165.37100000000001</v>
      </c>
      <c r="EI212" s="9">
        <v>-14.643800000000001</v>
      </c>
      <c r="EJ212" s="9">
        <v>0.28000799999999998</v>
      </c>
      <c r="EK212" s="9">
        <v>121.313</v>
      </c>
      <c r="EL212" s="9">
        <v>118.1797</v>
      </c>
      <c r="EM212" s="9">
        <v>25.228249999999999</v>
      </c>
      <c r="EN212" s="9">
        <v>1362.8</v>
      </c>
      <c r="EO212" s="9"/>
      <c r="EP212" s="9"/>
      <c r="EQ212" s="9"/>
      <c r="ER212" s="9"/>
      <c r="ES212" s="9"/>
      <c r="ET212" s="9"/>
      <c r="EU212">
        <v>2409.410625</v>
      </c>
      <c r="EV212" s="9"/>
      <c r="EW212" s="9"/>
      <c r="EX212" s="9"/>
      <c r="EY212" s="9"/>
      <c r="EZ212" s="9"/>
      <c r="FA212" s="9"/>
      <c r="FB212" s="9">
        <v>90.7739795918</v>
      </c>
      <c r="FC212" s="9">
        <v>48.69</v>
      </c>
      <c r="FD212" s="9">
        <v>5985.1190476190995</v>
      </c>
      <c r="FE212" s="9">
        <v>66.738095238100001</v>
      </c>
      <c r="FF212" s="9">
        <v>1236.2214285714001</v>
      </c>
      <c r="FG212" s="9">
        <v>12940702.6</v>
      </c>
      <c r="FH212" s="9">
        <v>887104.1</v>
      </c>
      <c r="FI212" s="9">
        <v>1145234.6000000001</v>
      </c>
      <c r="FJ212" s="9">
        <v>6094720.4000000004</v>
      </c>
      <c r="FK212" s="9">
        <v>147082.29999999999</v>
      </c>
      <c r="FL212" s="9">
        <v>222836.6</v>
      </c>
      <c r="FM212" s="9">
        <v>730103.62</v>
      </c>
      <c r="FN212" s="9">
        <v>37266.71</v>
      </c>
      <c r="FO212" s="9">
        <v>95764.07</v>
      </c>
      <c r="FP212" s="9">
        <v>3135747.8</v>
      </c>
      <c r="FQ212" s="9"/>
      <c r="FR212" s="9"/>
      <c r="FS212" s="9"/>
      <c r="FT212" s="9">
        <v>6846176.9099999992</v>
      </c>
      <c r="FU212" s="9">
        <v>740021.78999999992</v>
      </c>
      <c r="FV212" s="9">
        <v>922137.9</v>
      </c>
      <c r="FW212" s="9">
        <v>1406191.59</v>
      </c>
      <c r="FX212" s="9">
        <v>110922.91</v>
      </c>
      <c r="FY212" s="9">
        <v>209454.29</v>
      </c>
      <c r="FZ212" s="9">
        <v>152511.12</v>
      </c>
      <c r="GA212" s="9">
        <v>12194529.470000001</v>
      </c>
      <c r="GB212" s="9">
        <v>3480846.37</v>
      </c>
      <c r="GC212" s="9">
        <v>8713683.0999999996</v>
      </c>
      <c r="GD212" s="9">
        <v>8800783.6799999997</v>
      </c>
      <c r="GE212" s="9">
        <v>821558.31</v>
      </c>
      <c r="GF212" s="9">
        <v>7979225.3700000001</v>
      </c>
      <c r="GG212" s="9">
        <v>3393745.79</v>
      </c>
      <c r="GH212" s="9">
        <v>2659288.06</v>
      </c>
      <c r="GI212" s="9">
        <v>734457.73</v>
      </c>
      <c r="GJ212" s="9">
        <v>3369655.04</v>
      </c>
      <c r="GK212" s="9">
        <v>26687468.649999999</v>
      </c>
      <c r="GL212" s="9">
        <v>3086445.15</v>
      </c>
      <c r="GM212">
        <v>2444.9499999999998</v>
      </c>
      <c r="GO212" s="6"/>
      <c r="GP212" s="6"/>
      <c r="GQ212" s="6"/>
    </row>
    <row r="213" spans="1:199" x14ac:dyDescent="0.2">
      <c r="A213" s="8">
        <v>2017</v>
      </c>
      <c r="B213" s="8" t="s">
        <v>479</v>
      </c>
      <c r="C213" s="8" t="s">
        <v>481</v>
      </c>
      <c r="D213" s="9"/>
      <c r="E213" s="9"/>
      <c r="F213" s="9"/>
      <c r="G213" s="9"/>
      <c r="H213" s="9"/>
      <c r="I213" s="9"/>
      <c r="J213" s="9"/>
      <c r="K213" s="9"/>
      <c r="L213" s="9"/>
      <c r="M213" s="9"/>
      <c r="N213" s="9"/>
      <c r="O213" s="9"/>
      <c r="P213" s="9"/>
      <c r="Q213" s="9"/>
      <c r="R213" s="9"/>
      <c r="S213" s="9"/>
      <c r="T213" s="9"/>
      <c r="U213" s="9"/>
      <c r="V213" s="9"/>
      <c r="W213" s="9"/>
      <c r="X213" s="9"/>
      <c r="Y213" s="9"/>
      <c r="Z213" s="9"/>
      <c r="AA213" s="9"/>
      <c r="AB213" s="9"/>
      <c r="AC213" s="9"/>
      <c r="AD213" s="9"/>
      <c r="AE213" s="9"/>
      <c r="AF213" s="9"/>
      <c r="AG213" s="9"/>
      <c r="AH213" s="9"/>
      <c r="AI213" s="9"/>
      <c r="AJ213" s="9"/>
      <c r="AK213" s="9"/>
      <c r="AL213" s="9"/>
      <c r="AM213" s="9"/>
      <c r="AN213" s="9"/>
      <c r="AO213" s="9"/>
      <c r="AP213" s="9"/>
      <c r="AQ213" s="9"/>
      <c r="AR213" s="9"/>
      <c r="AS213" s="9"/>
      <c r="AT213" s="9"/>
      <c r="AU213" s="9"/>
      <c r="AV213" s="9"/>
      <c r="AW213" s="9"/>
      <c r="AX213" s="9"/>
      <c r="AY213" s="9"/>
      <c r="AZ213" s="9"/>
      <c r="BA213" s="9"/>
      <c r="BB213" s="9"/>
      <c r="BC213" s="9"/>
      <c r="BD213" s="9"/>
      <c r="BE213" s="9"/>
      <c r="BF213" s="9"/>
      <c r="BG213" s="9"/>
      <c r="BH213" s="9"/>
      <c r="BI213" s="9"/>
      <c r="BJ213" s="9"/>
      <c r="BK213" s="9"/>
      <c r="BL213" s="9"/>
      <c r="BM213" s="9"/>
      <c r="BN213" s="9">
        <v>603663.5</v>
      </c>
      <c r="BO213" s="9">
        <v>520606.8</v>
      </c>
      <c r="BP213" s="9">
        <v>104209</v>
      </c>
      <c r="BQ213" s="9">
        <v>44515.6</v>
      </c>
      <c r="BR213" s="9">
        <v>59701.7</v>
      </c>
      <c r="BS213" s="9">
        <v>104490</v>
      </c>
      <c r="BT213" s="9">
        <v>140667</v>
      </c>
      <c r="BU213" s="9">
        <v>49751.9</v>
      </c>
      <c r="BV213" s="9">
        <v>47085.7</v>
      </c>
      <c r="BW213" s="9">
        <v>447641.2</v>
      </c>
      <c r="BX213" s="9">
        <v>16091.7</v>
      </c>
      <c r="BY213" s="9">
        <v>77067.8</v>
      </c>
      <c r="BZ213" s="9">
        <v>112691.6</v>
      </c>
      <c r="CA213" s="9">
        <v>71049.100000000006</v>
      </c>
      <c r="CB213" s="9">
        <v>14050</v>
      </c>
      <c r="CC213" s="9">
        <v>172782.7</v>
      </c>
      <c r="CD213" s="9">
        <v>1034.5999999999999</v>
      </c>
      <c r="CE213" s="9">
        <v>92168.1</v>
      </c>
      <c r="CF213" s="9">
        <v>2759045.0947475731</v>
      </c>
      <c r="CG213" s="9">
        <v>14526295.731267408</v>
      </c>
      <c r="CH213" s="9">
        <v>12.288329900100001</v>
      </c>
      <c r="CI213" s="9">
        <v>5.1707373173000004</v>
      </c>
      <c r="CJ213" s="9">
        <v>20.1084072827</v>
      </c>
      <c r="CK213" s="9">
        <v>11.6549152892</v>
      </c>
      <c r="CL213" s="9">
        <v>12</v>
      </c>
      <c r="CM213" s="9">
        <v>105.8739804082</v>
      </c>
      <c r="CN213" s="9">
        <v>27.157517628800001</v>
      </c>
      <c r="CO213" s="9">
        <v>4.5443818826999998</v>
      </c>
      <c r="CP213" s="9">
        <v>17.478806863100001</v>
      </c>
      <c r="CQ213" s="9">
        <v>9.7996890406000006</v>
      </c>
      <c r="CR213" s="9">
        <v>5.2045910862999998</v>
      </c>
      <c r="CS213" s="9">
        <v>3.8702824419000001</v>
      </c>
      <c r="CT213" s="9">
        <v>15.465607540800001</v>
      </c>
      <c r="CU213" s="9">
        <v>4.3126841225000003</v>
      </c>
      <c r="CV213" s="9">
        <v>3.1892565577999998</v>
      </c>
      <c r="CW213" s="9">
        <v>5.8857309378</v>
      </c>
      <c r="CX213" s="9">
        <v>3.0802779496000001</v>
      </c>
      <c r="CY213" s="9">
        <v>5.8851543563000002</v>
      </c>
      <c r="CZ213" s="9">
        <v>581</v>
      </c>
      <c r="DA213" s="9">
        <v>525</v>
      </c>
      <c r="DB213" s="9">
        <v>124</v>
      </c>
      <c r="DC213" s="9">
        <v>143</v>
      </c>
      <c r="DD213" s="9">
        <v>27</v>
      </c>
      <c r="DE213" s="9">
        <v>15</v>
      </c>
      <c r="DF213" s="9">
        <v>166</v>
      </c>
      <c r="DG213" s="9">
        <v>34</v>
      </c>
      <c r="DH213" s="9">
        <v>30</v>
      </c>
      <c r="DI213" s="9">
        <v>6</v>
      </c>
      <c r="DJ213" s="9">
        <v>0</v>
      </c>
      <c r="DK213" s="9">
        <v>19</v>
      </c>
      <c r="DL213" s="9">
        <v>1</v>
      </c>
      <c r="DM213" s="9">
        <v>25</v>
      </c>
      <c r="DN213" s="9">
        <v>0</v>
      </c>
      <c r="DO213" s="9">
        <v>417.42</v>
      </c>
      <c r="DP213" s="9">
        <v>112.02</v>
      </c>
      <c r="DQ213" s="9">
        <v>61.51</v>
      </c>
      <c r="DR213" s="9">
        <v>50.51</v>
      </c>
      <c r="DS213" s="9">
        <v>56.45</v>
      </c>
      <c r="DT213" s="9">
        <v>11.49</v>
      </c>
      <c r="DU213" s="9">
        <v>159.36000000000001</v>
      </c>
      <c r="DV213" s="9">
        <v>94.89</v>
      </c>
      <c r="DW213" s="9">
        <v>49.51</v>
      </c>
      <c r="DX213" s="9">
        <v>88.97</v>
      </c>
      <c r="DY213" s="9">
        <v>46.88</v>
      </c>
      <c r="DZ213" s="9">
        <v>25.63</v>
      </c>
      <c r="EA213" s="9">
        <v>-20.002600000000001</v>
      </c>
      <c r="EB213" s="9">
        <v>161.3964</v>
      </c>
      <c r="EC213" s="9">
        <v>-64.127499999999998</v>
      </c>
      <c r="ED213" s="9">
        <v>-135.001</v>
      </c>
      <c r="EE213" s="9">
        <v>17.72992</v>
      </c>
      <c r="EF213" s="9">
        <v>5.6474270000000004</v>
      </c>
      <c r="EG213" s="9">
        <v>-350.80599999999998</v>
      </c>
      <c r="EH213" s="9">
        <v>-152.761</v>
      </c>
      <c r="EI213" s="9">
        <v>-51.215600000000002</v>
      </c>
      <c r="EJ213" s="9">
        <v>0.36713499999999999</v>
      </c>
      <c r="EK213" s="9">
        <v>-147.196</v>
      </c>
      <c r="EL213" s="9">
        <v>-72.248000000000005</v>
      </c>
      <c r="EM213" s="9">
        <v>264.2029</v>
      </c>
      <c r="EN213" s="9">
        <v>1599.2</v>
      </c>
      <c r="EO213" s="9"/>
      <c r="EP213" s="9"/>
      <c r="EQ213" s="9"/>
      <c r="ER213" s="9"/>
      <c r="ES213" s="9"/>
      <c r="ET213" s="9"/>
      <c r="EU213">
        <v>2443.5295652174</v>
      </c>
      <c r="EV213" s="9"/>
      <c r="EW213" s="9"/>
      <c r="EX213" s="9"/>
      <c r="EY213" s="9"/>
      <c r="EZ213" s="9"/>
      <c r="FA213" s="9"/>
      <c r="FB213" s="9">
        <v>102.7724025974</v>
      </c>
      <c r="FC213" s="9">
        <v>51.369565217400002</v>
      </c>
      <c r="FD213" s="9">
        <v>6485.625</v>
      </c>
      <c r="FE213" s="9">
        <v>74.586956521700003</v>
      </c>
      <c r="FF213" s="9">
        <v>1282.3159090909</v>
      </c>
      <c r="FG213" s="9">
        <v>13160054</v>
      </c>
      <c r="FH213" s="9">
        <v>935256.9</v>
      </c>
      <c r="FI213" s="9">
        <v>1166337.3999999999</v>
      </c>
      <c r="FJ213" s="9">
        <v>6342826.7999999998</v>
      </c>
      <c r="FK213" s="9">
        <v>935256.9</v>
      </c>
      <c r="FL213" s="9">
        <v>221616</v>
      </c>
      <c r="FM213" s="9">
        <v>746649.96</v>
      </c>
      <c r="FN213" s="9">
        <v>39488.75</v>
      </c>
      <c r="FO213" s="9">
        <v>97488.02</v>
      </c>
      <c r="FP213" s="9">
        <v>3330358.3</v>
      </c>
      <c r="FQ213" s="9"/>
      <c r="FR213" s="9"/>
      <c r="FS213" s="9"/>
      <c r="FT213" s="9">
        <v>6814964.7599999998</v>
      </c>
      <c r="FU213" s="9">
        <v>769310.89</v>
      </c>
      <c r="FV213" s="9">
        <v>942461.88</v>
      </c>
      <c r="FW213" s="9">
        <v>1433782.93</v>
      </c>
      <c r="FX213" s="9">
        <v>145157.42000000001</v>
      </c>
      <c r="FY213" s="9">
        <v>215417.84</v>
      </c>
      <c r="FZ213" s="9">
        <v>151961.22</v>
      </c>
      <c r="GA213" s="9">
        <v>12623483.75</v>
      </c>
      <c r="GB213" s="9">
        <v>3750604.69</v>
      </c>
      <c r="GC213" s="9">
        <v>8872879.0600000005</v>
      </c>
      <c r="GD213" s="9">
        <v>8918603.0300000012</v>
      </c>
      <c r="GE213" s="9">
        <v>833751.7</v>
      </c>
      <c r="GF213" s="9">
        <v>8084851.3300000001</v>
      </c>
      <c r="GG213" s="9">
        <v>3704880.72</v>
      </c>
      <c r="GH213" s="9">
        <v>2916852.99</v>
      </c>
      <c r="GI213" s="9">
        <v>788027.7300000001</v>
      </c>
      <c r="GJ213" s="9">
        <v>3681044.12</v>
      </c>
      <c r="GK213" s="9">
        <v>27484052.670000002</v>
      </c>
      <c r="GL213" s="9">
        <v>3060710.29</v>
      </c>
      <c r="GM213">
        <v>2430.0500000000002</v>
      </c>
      <c r="GO213" s="6"/>
      <c r="GP213" s="6"/>
      <c r="GQ213" s="6"/>
    </row>
    <row r="214" spans="1:199" x14ac:dyDescent="0.2">
      <c r="A214" s="8">
        <v>2017</v>
      </c>
      <c r="B214" s="8" t="s">
        <v>479</v>
      </c>
      <c r="C214" s="8" t="s">
        <v>482</v>
      </c>
      <c r="D214" s="9">
        <v>7304667.7000000002</v>
      </c>
      <c r="E214" s="9">
        <v>711308.9</v>
      </c>
      <c r="F214" s="9">
        <v>1762038</v>
      </c>
      <c r="G214" s="9">
        <v>699202.6</v>
      </c>
      <c r="H214" s="9">
        <v>115147.6</v>
      </c>
      <c r="I214" s="9">
        <v>224685.7</v>
      </c>
      <c r="J214" s="9">
        <v>602559.69999999995</v>
      </c>
      <c r="K214" s="9">
        <v>406046.6</v>
      </c>
      <c r="L214" s="9">
        <v>139523.5</v>
      </c>
      <c r="M214" s="9">
        <v>1854124.7</v>
      </c>
      <c r="N214" s="9">
        <v>790030.4</v>
      </c>
      <c r="O214" s="9">
        <v>6388510.699</v>
      </c>
      <c r="P214" s="9">
        <v>1013062.262</v>
      </c>
      <c r="Q214" s="9">
        <v>1118562.9369999999</v>
      </c>
      <c r="R214" s="9">
        <v>483078.22899999999</v>
      </c>
      <c r="S214" s="9">
        <v>103866.899</v>
      </c>
      <c r="T214" s="9">
        <v>193755.05799999999</v>
      </c>
      <c r="U214" s="9">
        <v>744494.55</v>
      </c>
      <c r="V214" s="9">
        <v>262072.66399999999</v>
      </c>
      <c r="W214" s="9">
        <v>113596.677</v>
      </c>
      <c r="X214" s="9">
        <v>1727115.473</v>
      </c>
      <c r="Y214" s="9">
        <v>628905.94999999995</v>
      </c>
      <c r="Z214" s="9">
        <v>6985786.7999999998</v>
      </c>
      <c r="AA214" s="9">
        <v>4049887.4</v>
      </c>
      <c r="AB214" s="9">
        <v>747833</v>
      </c>
      <c r="AC214" s="9">
        <v>1603954.1</v>
      </c>
      <c r="AD214" s="9">
        <v>372291.9</v>
      </c>
      <c r="AE214" s="9">
        <v>4378493.9000000004</v>
      </c>
      <c r="AF214" s="9">
        <v>4166673.5</v>
      </c>
      <c r="AG214" s="9">
        <v>6516642.9000000004</v>
      </c>
      <c r="AH214" s="9">
        <v>4050547.7</v>
      </c>
      <c r="AI214" s="9">
        <v>811647.6</v>
      </c>
      <c r="AJ214" s="9">
        <v>1369122.4</v>
      </c>
      <c r="AK214" s="9">
        <v>372591.6</v>
      </c>
      <c r="AL214" s="9">
        <v>3436971.2</v>
      </c>
      <c r="AM214" s="9">
        <v>3524237.6</v>
      </c>
      <c r="AN214" s="9">
        <v>1190863</v>
      </c>
      <c r="AO214" s="9">
        <v>630110</v>
      </c>
      <c r="AP214" s="9">
        <v>560753</v>
      </c>
      <c r="AQ214" s="9">
        <v>118797</v>
      </c>
      <c r="AR214" s="9">
        <v>68849</v>
      </c>
      <c r="AS214" s="9">
        <v>49948</v>
      </c>
      <c r="AT214" s="9">
        <v>834985</v>
      </c>
      <c r="AU214" s="9">
        <v>323039</v>
      </c>
      <c r="AV214" s="9">
        <v>511946</v>
      </c>
      <c r="AW214" s="9">
        <v>955.9</v>
      </c>
      <c r="AX214" s="9">
        <v>716.7</v>
      </c>
      <c r="AY214" s="9">
        <v>2256.1999999999998</v>
      </c>
      <c r="AZ214" s="9">
        <v>1058.8</v>
      </c>
      <c r="BA214" s="9">
        <v>1309</v>
      </c>
      <c r="BB214" s="9">
        <v>714.9</v>
      </c>
      <c r="BC214" s="9">
        <v>876.8</v>
      </c>
      <c r="BD214" s="9">
        <v>824.4</v>
      </c>
      <c r="BE214" s="9">
        <v>1147.5999999999999</v>
      </c>
      <c r="BF214" s="9">
        <v>631.1</v>
      </c>
      <c r="BG214" s="9">
        <v>895.2</v>
      </c>
      <c r="BH214" s="9">
        <v>1175.8</v>
      </c>
      <c r="BI214" s="9">
        <v>869.1</v>
      </c>
      <c r="BJ214" s="9">
        <v>677</v>
      </c>
      <c r="BK214" s="9">
        <v>786.9</v>
      </c>
      <c r="BL214" s="9">
        <v>605.6</v>
      </c>
      <c r="BM214" s="9">
        <v>758.1</v>
      </c>
      <c r="BN214" s="9">
        <v>612839.80000000005</v>
      </c>
      <c r="BO214" s="9">
        <v>507758.7</v>
      </c>
      <c r="BP214" s="9">
        <v>99140</v>
      </c>
      <c r="BQ214" s="9">
        <v>46010.2</v>
      </c>
      <c r="BR214" s="9">
        <v>53143.7</v>
      </c>
      <c r="BS214" s="9">
        <v>114210.7</v>
      </c>
      <c r="BT214" s="9">
        <v>157122.6</v>
      </c>
      <c r="BU214" s="9">
        <v>64812.3</v>
      </c>
      <c r="BV214" s="9">
        <v>60189.9</v>
      </c>
      <c r="BW214" s="9">
        <v>562928.4</v>
      </c>
      <c r="BX214" s="9">
        <v>16404.099999999999</v>
      </c>
      <c r="BY214" s="9">
        <v>101488.7</v>
      </c>
      <c r="BZ214" s="9">
        <v>138704.4</v>
      </c>
      <c r="CA214" s="9">
        <v>122722.4</v>
      </c>
      <c r="CB214" s="9">
        <v>19392.5</v>
      </c>
      <c r="CC214" s="9">
        <v>180620.5</v>
      </c>
      <c r="CD214" s="9">
        <v>-239.4</v>
      </c>
      <c r="CE214" s="9">
        <v>148882</v>
      </c>
      <c r="CF214" s="9">
        <v>2800400.5528758811</v>
      </c>
      <c r="CG214" s="9">
        <v>14749712.338396201</v>
      </c>
      <c r="CH214" s="9">
        <v>12.401107830000001</v>
      </c>
      <c r="CI214" s="9">
        <v>5.1021201100000004</v>
      </c>
      <c r="CJ214" s="9">
        <v>20.023937638900001</v>
      </c>
      <c r="CK214" s="9">
        <v>11.573309141299999</v>
      </c>
      <c r="CL214" s="9">
        <v>12</v>
      </c>
      <c r="CM214" s="9">
        <v>106.12050959859999</v>
      </c>
      <c r="CN214" s="9">
        <v>26.863783366500002</v>
      </c>
      <c r="CO214" s="9">
        <v>4.5498808829000001</v>
      </c>
      <c r="CP214" s="9">
        <v>17.6508476174</v>
      </c>
      <c r="CQ214" s="9">
        <v>9.9724565909000003</v>
      </c>
      <c r="CR214" s="9">
        <v>5.2146319099999996</v>
      </c>
      <c r="CS214" s="9">
        <v>3.8762403216000001</v>
      </c>
      <c r="CT214" s="9">
        <v>15.5868953886</v>
      </c>
      <c r="CU214" s="9">
        <v>4.3115078165999998</v>
      </c>
      <c r="CV214" s="9">
        <v>3.1963802369000001</v>
      </c>
      <c r="CW214" s="9">
        <v>5.8843622699000004</v>
      </c>
      <c r="CX214" s="9">
        <v>3.1196517287000001</v>
      </c>
      <c r="CY214" s="9">
        <v>5.8938714684000004</v>
      </c>
      <c r="CZ214" s="9">
        <v>480</v>
      </c>
      <c r="DA214" s="9">
        <v>423</v>
      </c>
      <c r="DB214" s="9">
        <v>61</v>
      </c>
      <c r="DC214" s="9">
        <v>123</v>
      </c>
      <c r="DD214" s="9">
        <v>26</v>
      </c>
      <c r="DE214" s="9">
        <v>15</v>
      </c>
      <c r="DF214" s="9">
        <v>154</v>
      </c>
      <c r="DG214" s="9">
        <v>28</v>
      </c>
      <c r="DH214" s="9">
        <v>31</v>
      </c>
      <c r="DI214" s="9">
        <v>8</v>
      </c>
      <c r="DJ214" s="9">
        <v>1</v>
      </c>
      <c r="DK214" s="9">
        <v>17</v>
      </c>
      <c r="DL214" s="9">
        <v>1</v>
      </c>
      <c r="DM214" s="9">
        <v>25</v>
      </c>
      <c r="DN214" s="9">
        <v>0</v>
      </c>
      <c r="DO214" s="9">
        <v>376.55</v>
      </c>
      <c r="DP214" s="9">
        <v>108.06</v>
      </c>
      <c r="DQ214" s="9">
        <v>65.12</v>
      </c>
      <c r="DR214" s="9">
        <v>42.94</v>
      </c>
      <c r="DS214" s="9">
        <v>50.04</v>
      </c>
      <c r="DT214" s="9">
        <v>13.31</v>
      </c>
      <c r="DU214" s="9">
        <v>157.78</v>
      </c>
      <c r="DV214" s="9">
        <v>92.43</v>
      </c>
      <c r="DW214" s="9">
        <v>48.16</v>
      </c>
      <c r="DX214" s="9">
        <v>59.94</v>
      </c>
      <c r="DY214" s="9">
        <v>24.02</v>
      </c>
      <c r="DZ214" s="9">
        <v>20.82</v>
      </c>
      <c r="EA214" s="9">
        <v>-121.492</v>
      </c>
      <c r="EB214" s="9">
        <v>83.872420000000005</v>
      </c>
      <c r="EC214" s="9">
        <v>-82.473699999999994</v>
      </c>
      <c r="ED214" s="9">
        <v>-140.11600000000001</v>
      </c>
      <c r="EE214" s="9">
        <v>17.22588</v>
      </c>
      <c r="EF214" s="9">
        <v>14.720230000000001</v>
      </c>
      <c r="EG214" s="9">
        <v>-21.765000000000001</v>
      </c>
      <c r="EH214" s="9">
        <v>-121.32899999999999</v>
      </c>
      <c r="EI214" s="9">
        <v>-18.231300000000001</v>
      </c>
      <c r="EJ214" s="9">
        <v>0.16811200000000001</v>
      </c>
      <c r="EK214" s="9">
        <v>117.6275</v>
      </c>
      <c r="EL214" s="9">
        <v>71.499009999999998</v>
      </c>
      <c r="EM214" s="9">
        <v>-13.507300000000001</v>
      </c>
      <c r="EN214" s="9">
        <v>1627</v>
      </c>
      <c r="EO214" s="9"/>
      <c r="EP214" s="9"/>
      <c r="EQ214" s="9"/>
      <c r="ER214" s="9"/>
      <c r="ES214" s="9"/>
      <c r="ET214" s="9"/>
      <c r="EU214">
        <v>2454.2871428571002</v>
      </c>
      <c r="EV214" s="9">
        <v>26216.27</v>
      </c>
      <c r="EW214" s="9">
        <v>6240.95</v>
      </c>
      <c r="EX214" s="9">
        <v>1914.09</v>
      </c>
      <c r="EY214" s="9">
        <v>2230.59</v>
      </c>
      <c r="EZ214" s="9">
        <v>7966.75</v>
      </c>
      <c r="FA214" s="9">
        <v>7863.88</v>
      </c>
      <c r="FB214" s="9">
        <v>104.77500000000001</v>
      </c>
      <c r="FC214" s="9">
        <v>55.162857142900002</v>
      </c>
      <c r="FD214" s="9">
        <v>6577.1666666666997</v>
      </c>
      <c r="FE214" s="9">
        <v>69.238095238100001</v>
      </c>
      <c r="FF214" s="9">
        <v>1314.9785714285999</v>
      </c>
      <c r="FG214" s="9">
        <v>13316647.300000001</v>
      </c>
      <c r="FH214" s="9">
        <v>823139.8</v>
      </c>
      <c r="FI214" s="9">
        <v>1164679.7</v>
      </c>
      <c r="FJ214" s="9">
        <v>6513910</v>
      </c>
      <c r="FK214" s="9">
        <v>145509.4</v>
      </c>
      <c r="FL214" s="9">
        <v>224493.2</v>
      </c>
      <c r="FM214" s="9">
        <v>763186.19</v>
      </c>
      <c r="FN214" s="9">
        <v>37404.28</v>
      </c>
      <c r="FO214" s="9">
        <v>95232.42</v>
      </c>
      <c r="FP214" s="9">
        <v>2735891.7</v>
      </c>
      <c r="FQ214" s="9">
        <v>95969.9</v>
      </c>
      <c r="FR214" s="9">
        <v>164828.6</v>
      </c>
      <c r="FS214" s="9">
        <v>384668.1</v>
      </c>
      <c r="FT214" s="9">
        <v>6800341.9100000011</v>
      </c>
      <c r="FU214" s="9">
        <v>677630.38</v>
      </c>
      <c r="FV214" s="9">
        <v>937926.98</v>
      </c>
      <c r="FW214" s="9">
        <v>1407776.35</v>
      </c>
      <c r="FX214" s="9">
        <v>119098.61</v>
      </c>
      <c r="FY214" s="9">
        <v>217878.28</v>
      </c>
      <c r="FZ214" s="9">
        <v>154370.64000000001</v>
      </c>
      <c r="GA214" s="9">
        <v>12998221.369999999</v>
      </c>
      <c r="GB214" s="9">
        <v>3987988.31</v>
      </c>
      <c r="GC214" s="9">
        <v>9010233.0599999987</v>
      </c>
      <c r="GD214" s="9">
        <v>9105518.5999999996</v>
      </c>
      <c r="GE214" s="9">
        <v>839368.27999999991</v>
      </c>
      <c r="GF214" s="9">
        <v>8266150.3200000003</v>
      </c>
      <c r="GG214" s="9">
        <v>3892702.77</v>
      </c>
      <c r="GH214" s="9">
        <v>3148620.03</v>
      </c>
      <c r="GI214" s="9">
        <v>744082.73999999987</v>
      </c>
      <c r="GJ214" s="9">
        <v>3608106.33</v>
      </c>
      <c r="GK214" s="9">
        <v>28065532.260000002</v>
      </c>
      <c r="GL214" s="9">
        <v>3125589.16</v>
      </c>
      <c r="GM214">
        <v>2464.4299999999998</v>
      </c>
      <c r="GO214" s="6"/>
      <c r="GP214" s="6"/>
      <c r="GQ214" s="6"/>
    </row>
    <row r="215" spans="1:199" x14ac:dyDescent="0.2">
      <c r="A215" s="8">
        <v>2017</v>
      </c>
      <c r="B215" s="8" t="s">
        <v>483</v>
      </c>
      <c r="C215" s="8" t="s">
        <v>484</v>
      </c>
      <c r="D215" s="9"/>
      <c r="E215" s="9"/>
      <c r="F215" s="9"/>
      <c r="G215" s="9"/>
      <c r="H215" s="9"/>
      <c r="I215" s="9"/>
      <c r="J215" s="9"/>
      <c r="K215" s="9"/>
      <c r="L215" s="9"/>
      <c r="M215" s="9"/>
      <c r="N215" s="9"/>
      <c r="O215" s="9"/>
      <c r="P215" s="9"/>
      <c r="Q215" s="9"/>
      <c r="R215" s="9"/>
      <c r="S215" s="9"/>
      <c r="T215" s="9"/>
      <c r="U215" s="9"/>
      <c r="V215" s="9"/>
      <c r="W215" s="9"/>
      <c r="X215" s="9"/>
      <c r="Y215" s="9"/>
      <c r="Z215" s="9"/>
      <c r="AA215" s="9"/>
      <c r="AB215" s="9"/>
      <c r="AC215" s="9"/>
      <c r="AD215" s="9"/>
      <c r="AE215" s="9"/>
      <c r="AF215" s="9"/>
      <c r="AG215" s="9"/>
      <c r="AH215" s="9"/>
      <c r="AI215" s="9"/>
      <c r="AJ215" s="9"/>
      <c r="AK215" s="9"/>
      <c r="AL215" s="9"/>
      <c r="AM215" s="9"/>
      <c r="AN215" s="9"/>
      <c r="AO215" s="9"/>
      <c r="AP215" s="9"/>
      <c r="AQ215" s="9"/>
      <c r="AR215" s="9"/>
      <c r="AS215" s="9"/>
      <c r="AT215" s="9"/>
      <c r="AU215" s="9"/>
      <c r="AV215" s="9"/>
      <c r="AW215" s="9"/>
      <c r="AX215" s="9"/>
      <c r="AY215" s="9"/>
      <c r="AZ215" s="9"/>
      <c r="BA215" s="9"/>
      <c r="BB215" s="9"/>
      <c r="BC215" s="9"/>
      <c r="BD215" s="9"/>
      <c r="BE215" s="9"/>
      <c r="BF215" s="9"/>
      <c r="BG215" s="9"/>
      <c r="BH215" s="9"/>
      <c r="BI215" s="9"/>
      <c r="BJ215" s="9"/>
      <c r="BK215" s="9"/>
      <c r="BL215" s="9"/>
      <c r="BM215" s="9"/>
      <c r="BN215" s="9">
        <v>920770.9</v>
      </c>
      <c r="BO215" s="9">
        <v>689967.7</v>
      </c>
      <c r="BP215" s="9">
        <v>242396.7</v>
      </c>
      <c r="BQ215" s="9">
        <v>177611</v>
      </c>
      <c r="BR215" s="9">
        <v>64810.9</v>
      </c>
      <c r="BS215" s="9">
        <v>111973.9</v>
      </c>
      <c r="BT215" s="9">
        <v>157876.4</v>
      </c>
      <c r="BU215" s="9">
        <v>49638</v>
      </c>
      <c r="BV215" s="9">
        <v>110294.5</v>
      </c>
      <c r="BW215" s="9">
        <v>574465.4</v>
      </c>
      <c r="BX215" s="9">
        <v>30993</v>
      </c>
      <c r="BY215" s="9">
        <v>128273.9</v>
      </c>
      <c r="BZ215" s="9">
        <v>145670.70000000001</v>
      </c>
      <c r="CA215" s="9">
        <v>108611.8</v>
      </c>
      <c r="CB215" s="9">
        <v>18021.599999999999</v>
      </c>
      <c r="CC215" s="9">
        <v>173887.3</v>
      </c>
      <c r="CD215" s="9">
        <v>914.9</v>
      </c>
      <c r="CE215" s="9">
        <v>126112.7</v>
      </c>
      <c r="CF215" s="9">
        <v>2626535.7721220488</v>
      </c>
      <c r="CG215" s="9">
        <v>14520672.40430182</v>
      </c>
      <c r="CH215" s="9">
        <v>12.965909438200001</v>
      </c>
      <c r="CI215" s="9">
        <v>5.2845463243999999</v>
      </c>
      <c r="CJ215" s="9">
        <v>20.0731057932</v>
      </c>
      <c r="CK215" s="9">
        <v>9.7669872920999996</v>
      </c>
      <c r="CL215" s="9">
        <v>12</v>
      </c>
      <c r="CM215" s="9">
        <v>106.54406082529999</v>
      </c>
      <c r="CN215" s="9">
        <v>26.532165777199999</v>
      </c>
      <c r="CO215" s="9">
        <v>4.5958236356000004</v>
      </c>
      <c r="CP215" s="9">
        <v>17.8344944529</v>
      </c>
      <c r="CQ215" s="9">
        <v>10.2254278629</v>
      </c>
      <c r="CR215" s="9">
        <v>5.2685192344000003</v>
      </c>
      <c r="CS215" s="9">
        <v>3.9449244953</v>
      </c>
      <c r="CT215" s="9">
        <v>15.638205256399999</v>
      </c>
      <c r="CU215" s="9">
        <v>4.3046011026000004</v>
      </c>
      <c r="CV215" s="9">
        <v>3.2270945353</v>
      </c>
      <c r="CW215" s="9">
        <v>5.8844508556999999</v>
      </c>
      <c r="CX215" s="9">
        <v>3.1324366966000001</v>
      </c>
      <c r="CY215" s="9">
        <v>5.9559169203</v>
      </c>
      <c r="CZ215" s="9">
        <v>605</v>
      </c>
      <c r="DA215" s="9">
        <v>548</v>
      </c>
      <c r="DB215" s="9">
        <v>112</v>
      </c>
      <c r="DC215" s="9">
        <v>147</v>
      </c>
      <c r="DD215" s="9">
        <v>32</v>
      </c>
      <c r="DE215" s="9">
        <v>17</v>
      </c>
      <c r="DF215" s="9">
        <v>187</v>
      </c>
      <c r="DG215" s="9">
        <v>34</v>
      </c>
      <c r="DH215" s="9">
        <v>24</v>
      </c>
      <c r="DI215" s="9">
        <v>11</v>
      </c>
      <c r="DJ215" s="9">
        <v>1</v>
      </c>
      <c r="DK215" s="9">
        <v>8</v>
      </c>
      <c r="DL215" s="9">
        <v>3</v>
      </c>
      <c r="DM215" s="9">
        <v>30</v>
      </c>
      <c r="DN215" s="9">
        <v>0</v>
      </c>
      <c r="DO215" s="9">
        <v>399.57</v>
      </c>
      <c r="DP215" s="9">
        <v>120.73</v>
      </c>
      <c r="DQ215" s="9">
        <v>75.62</v>
      </c>
      <c r="DR215" s="9">
        <v>45.11</v>
      </c>
      <c r="DS215" s="9">
        <v>48.18</v>
      </c>
      <c r="DT215" s="9">
        <v>11.83</v>
      </c>
      <c r="DU215" s="9">
        <v>162.01</v>
      </c>
      <c r="DV215" s="9">
        <v>94.76</v>
      </c>
      <c r="DW215" s="9">
        <v>53.38</v>
      </c>
      <c r="DX215" s="9">
        <v>68.13</v>
      </c>
      <c r="DY215" s="9">
        <v>24.89</v>
      </c>
      <c r="DZ215" s="9">
        <v>25.41</v>
      </c>
      <c r="EA215" s="9">
        <v>-59.523600000000002</v>
      </c>
      <c r="EB215" s="9">
        <v>177.53319999999999</v>
      </c>
      <c r="EC215" s="9">
        <v>-129.672</v>
      </c>
      <c r="ED215" s="9">
        <v>-128.316</v>
      </c>
      <c r="EE215" s="9">
        <v>20.931239999999999</v>
      </c>
      <c r="EF215" s="9">
        <v>9.95078</v>
      </c>
      <c r="EG215" s="9">
        <v>-190.83600000000001</v>
      </c>
      <c r="EH215" s="9">
        <v>-91.447199999999995</v>
      </c>
      <c r="EI215" s="9">
        <v>-4.31602</v>
      </c>
      <c r="EJ215" s="9">
        <v>1.0219000000000001E-2</v>
      </c>
      <c r="EK215" s="9">
        <v>-95.083299999999994</v>
      </c>
      <c r="EL215" s="9">
        <v>-59.985500000000002</v>
      </c>
      <c r="EM215" s="9">
        <v>81.27807</v>
      </c>
      <c r="EN215" s="9">
        <v>1694.4</v>
      </c>
      <c r="EO215" s="9"/>
      <c r="EP215" s="9"/>
      <c r="EQ215" s="9"/>
      <c r="ER215" s="9"/>
      <c r="ES215" s="9"/>
      <c r="ET215" s="9"/>
      <c r="EU215">
        <v>2458.6927272726998</v>
      </c>
      <c r="EV215" s="9"/>
      <c r="EW215" s="9"/>
      <c r="EX215" s="9"/>
      <c r="EY215" s="9"/>
      <c r="EZ215" s="9"/>
      <c r="FA215" s="9"/>
      <c r="FB215" s="9">
        <v>103.24967532469999</v>
      </c>
      <c r="FC215" s="9">
        <v>57.617727272700002</v>
      </c>
      <c r="FD215" s="9">
        <v>6807.6022727273003</v>
      </c>
      <c r="FE215" s="9">
        <v>61.0454545455</v>
      </c>
      <c r="FF215" s="9">
        <v>1279.5136363636</v>
      </c>
      <c r="FG215" s="9">
        <v>13281673.699999999</v>
      </c>
      <c r="FH215" s="9">
        <v>965285.2</v>
      </c>
      <c r="FI215" s="9">
        <v>1168964.8</v>
      </c>
      <c r="FJ215" s="9">
        <v>6455021.5</v>
      </c>
      <c r="FK215" s="9">
        <v>141563.4</v>
      </c>
      <c r="FL215" s="9">
        <v>226379.8</v>
      </c>
      <c r="FM215" s="9">
        <v>802597.29</v>
      </c>
      <c r="FN215" s="9">
        <v>35385.79</v>
      </c>
      <c r="FO215" s="9">
        <v>97600.87</v>
      </c>
      <c r="FP215" s="9">
        <v>2783899.5</v>
      </c>
      <c r="FQ215" s="9">
        <v>101664.5</v>
      </c>
      <c r="FR215" s="9">
        <v>164436.29999999999</v>
      </c>
      <c r="FS215" s="9">
        <v>414691.7</v>
      </c>
      <c r="FT215" s="9">
        <v>6824392.9399999985</v>
      </c>
      <c r="FU215" s="9">
        <v>823721.82</v>
      </c>
      <c r="FV215" s="9">
        <v>940325.81</v>
      </c>
      <c r="FW215" s="9">
        <v>1611947.12</v>
      </c>
      <c r="FX215" s="9">
        <v>165104.35999999999</v>
      </c>
      <c r="FY215" s="9">
        <v>247679.09</v>
      </c>
      <c r="FZ215" s="9">
        <v>153695.79</v>
      </c>
      <c r="GA215" s="9">
        <v>12640724.939999999</v>
      </c>
      <c r="GB215" s="9">
        <v>3520010.44</v>
      </c>
      <c r="GC215" s="9">
        <v>9120714.5</v>
      </c>
      <c r="GD215" s="9">
        <v>9147106.9500000011</v>
      </c>
      <c r="GE215" s="9">
        <v>802189.1</v>
      </c>
      <c r="GF215" s="9">
        <v>8344917.8499999996</v>
      </c>
      <c r="GG215" s="9">
        <v>3493617.99</v>
      </c>
      <c r="GH215" s="9">
        <v>2717821.34</v>
      </c>
      <c r="GI215" s="9">
        <v>775796.64999999991</v>
      </c>
      <c r="GJ215" s="9">
        <v>3675867.17</v>
      </c>
      <c r="GK215" s="9">
        <v>27764579.300000001</v>
      </c>
      <c r="GL215" s="9">
        <v>3167805.16</v>
      </c>
      <c r="GM215">
        <v>2456.17</v>
      </c>
      <c r="GO215" s="6"/>
      <c r="GP215" s="6"/>
      <c r="GQ215" s="6"/>
    </row>
    <row r="216" spans="1:199" x14ac:dyDescent="0.2">
      <c r="A216" s="8">
        <v>2017</v>
      </c>
      <c r="B216" s="8" t="s">
        <v>483</v>
      </c>
      <c r="C216" s="8" t="s">
        <v>485</v>
      </c>
      <c r="D216" s="9"/>
      <c r="E216" s="9"/>
      <c r="F216" s="9"/>
      <c r="G216" s="9"/>
      <c r="H216" s="9"/>
      <c r="I216" s="9"/>
      <c r="J216" s="9"/>
      <c r="K216" s="9"/>
      <c r="L216" s="9"/>
      <c r="M216" s="9"/>
      <c r="N216" s="9"/>
      <c r="O216" s="9"/>
      <c r="P216" s="9"/>
      <c r="Q216" s="9"/>
      <c r="R216" s="9"/>
      <c r="S216" s="9"/>
      <c r="T216" s="9"/>
      <c r="U216" s="9"/>
      <c r="V216" s="9"/>
      <c r="W216" s="9"/>
      <c r="X216" s="9"/>
      <c r="Y216" s="9"/>
      <c r="Z216" s="9"/>
      <c r="AA216" s="9"/>
      <c r="AB216" s="9"/>
      <c r="AC216" s="9"/>
      <c r="AD216" s="9"/>
      <c r="AE216" s="9"/>
      <c r="AF216" s="9"/>
      <c r="AG216" s="9"/>
      <c r="AH216" s="9"/>
      <c r="AI216" s="9"/>
      <c r="AJ216" s="9"/>
      <c r="AK216" s="9"/>
      <c r="AL216" s="9"/>
      <c r="AM216" s="9"/>
      <c r="AN216" s="9"/>
      <c r="AO216" s="9"/>
      <c r="AP216" s="9"/>
      <c r="AQ216" s="9"/>
      <c r="AR216" s="9"/>
      <c r="AS216" s="9"/>
      <c r="AT216" s="9"/>
      <c r="AU216" s="9"/>
      <c r="AV216" s="9"/>
      <c r="AW216" s="9"/>
      <c r="AX216" s="9"/>
      <c r="AY216" s="9"/>
      <c r="AZ216" s="9"/>
      <c r="BA216" s="9"/>
      <c r="BB216" s="9"/>
      <c r="BC216" s="9"/>
      <c r="BD216" s="9"/>
      <c r="BE216" s="9"/>
      <c r="BF216" s="9"/>
      <c r="BG216" s="9"/>
      <c r="BH216" s="9"/>
      <c r="BI216" s="9"/>
      <c r="BJ216" s="9"/>
      <c r="BK216" s="9"/>
      <c r="BL216" s="9"/>
      <c r="BM216" s="9"/>
      <c r="BN216" s="9">
        <v>663426.80000000005</v>
      </c>
      <c r="BO216" s="9">
        <v>545351.5</v>
      </c>
      <c r="BP216" s="9">
        <v>107990.8</v>
      </c>
      <c r="BQ216" s="9">
        <v>48202.3</v>
      </c>
      <c r="BR216" s="9">
        <v>60037.4</v>
      </c>
      <c r="BS216" s="9">
        <v>113681.1</v>
      </c>
      <c r="BT216" s="9">
        <v>167313.1</v>
      </c>
      <c r="BU216" s="9">
        <v>50522.9</v>
      </c>
      <c r="BV216" s="9">
        <v>78163</v>
      </c>
      <c r="BW216" s="9">
        <v>664418.30000000005</v>
      </c>
      <c r="BX216" s="9">
        <v>42547.9</v>
      </c>
      <c r="BY216" s="9">
        <v>136700.79999999999</v>
      </c>
      <c r="BZ216" s="9">
        <v>150974.39999999999</v>
      </c>
      <c r="CA216" s="9">
        <v>92042.2</v>
      </c>
      <c r="CB216" s="9">
        <v>18644.7</v>
      </c>
      <c r="CC216" s="9">
        <v>266056.2</v>
      </c>
      <c r="CD216" s="9">
        <v>2578.6</v>
      </c>
      <c r="CE216" s="9">
        <v>227803.6</v>
      </c>
      <c r="CF216" s="9">
        <v>2639510.8108198568</v>
      </c>
      <c r="CG216" s="9">
        <v>14821846.99309746</v>
      </c>
      <c r="CH216" s="9">
        <v>12.2557493465</v>
      </c>
      <c r="CI216" s="9">
        <v>5.3594490492000002</v>
      </c>
      <c r="CJ216" s="9">
        <v>19.756096718799999</v>
      </c>
      <c r="CK216" s="9">
        <v>11.7650486381</v>
      </c>
      <c r="CL216" s="9">
        <v>12</v>
      </c>
      <c r="CM216" s="9">
        <v>106.66063887280001</v>
      </c>
      <c r="CN216" s="9">
        <v>26.438776682</v>
      </c>
      <c r="CO216" s="9">
        <v>4.6100475477999998</v>
      </c>
      <c r="CP216" s="9">
        <v>17.9671575546</v>
      </c>
      <c r="CQ216" s="9">
        <v>10.228758056</v>
      </c>
      <c r="CR216" s="9">
        <v>5.3140467600000001</v>
      </c>
      <c r="CS216" s="9">
        <v>3.9967834483</v>
      </c>
      <c r="CT216" s="9">
        <v>15.535040799000001</v>
      </c>
      <c r="CU216" s="9">
        <v>4.2959620310000002</v>
      </c>
      <c r="CV216" s="9">
        <v>3.2375580659000001</v>
      </c>
      <c r="CW216" s="9">
        <v>5.8844645143000003</v>
      </c>
      <c r="CX216" s="9">
        <v>3.0968684336000001</v>
      </c>
      <c r="CY216" s="9">
        <v>6.0551749801000003</v>
      </c>
      <c r="CZ216" s="9">
        <v>497</v>
      </c>
      <c r="DA216" s="9">
        <v>455</v>
      </c>
      <c r="DB216" s="9">
        <v>26</v>
      </c>
      <c r="DC216" s="9">
        <v>139</v>
      </c>
      <c r="DD216" s="9">
        <v>21</v>
      </c>
      <c r="DE216" s="9">
        <v>13</v>
      </c>
      <c r="DF216" s="9">
        <v>200</v>
      </c>
      <c r="DG216" s="9">
        <v>35</v>
      </c>
      <c r="DH216" s="9">
        <v>21</v>
      </c>
      <c r="DI216" s="9">
        <v>8</v>
      </c>
      <c r="DJ216" s="9">
        <v>1</v>
      </c>
      <c r="DK216" s="9">
        <v>7</v>
      </c>
      <c r="DL216" s="9">
        <v>2</v>
      </c>
      <c r="DM216" s="9">
        <v>19</v>
      </c>
      <c r="DN216" s="9">
        <v>0</v>
      </c>
      <c r="DO216" s="9">
        <v>390.16</v>
      </c>
      <c r="DP216" s="9">
        <v>116.48</v>
      </c>
      <c r="DQ216" s="9">
        <v>67.8</v>
      </c>
      <c r="DR216" s="9">
        <v>48.68</v>
      </c>
      <c r="DS216" s="9">
        <v>46.08</v>
      </c>
      <c r="DT216" s="9">
        <v>11.46</v>
      </c>
      <c r="DU216" s="9">
        <v>168.32</v>
      </c>
      <c r="DV216" s="9">
        <v>117.81</v>
      </c>
      <c r="DW216" s="9">
        <v>36.28</v>
      </c>
      <c r="DX216" s="9">
        <v>58.62</v>
      </c>
      <c r="DY216" s="9">
        <v>34.909999999999997</v>
      </c>
      <c r="DZ216" s="9">
        <v>14.39</v>
      </c>
      <c r="EA216" s="9">
        <v>-210.59800000000001</v>
      </c>
      <c r="EB216" s="9">
        <v>76.243700000000004</v>
      </c>
      <c r="EC216" s="9">
        <v>-157.89099999999999</v>
      </c>
      <c r="ED216" s="9">
        <v>-144.715</v>
      </c>
      <c r="EE216" s="9">
        <v>15.76479</v>
      </c>
      <c r="EF216" s="9">
        <v>5.3189849999999996</v>
      </c>
      <c r="EG216" s="9">
        <v>-724.91899999999998</v>
      </c>
      <c r="EH216" s="9">
        <v>-161.14400000000001</v>
      </c>
      <c r="EI216" s="9">
        <v>-413.70800000000003</v>
      </c>
      <c r="EJ216" s="9">
        <v>-0.21709999999999999</v>
      </c>
      <c r="EK216" s="9">
        <v>-149.84899999999999</v>
      </c>
      <c r="EL216" s="9">
        <v>40.313800000000001</v>
      </c>
      <c r="EM216" s="9">
        <v>559.95389999999998</v>
      </c>
      <c r="EN216" s="9">
        <v>2291</v>
      </c>
      <c r="EO216" s="9"/>
      <c r="EP216" s="9"/>
      <c r="EQ216" s="9"/>
      <c r="ER216" s="9"/>
      <c r="ES216" s="9"/>
      <c r="ET216" s="9"/>
      <c r="EU216">
        <v>2448.86</v>
      </c>
      <c r="EV216" s="9"/>
      <c r="EW216" s="9"/>
      <c r="EX216" s="9"/>
      <c r="EY216" s="9"/>
      <c r="EZ216" s="9"/>
      <c r="FA216" s="9"/>
      <c r="FB216" s="9">
        <v>102.487012987</v>
      </c>
      <c r="FC216" s="9">
        <v>62.575454545500001</v>
      </c>
      <c r="FD216" s="9">
        <v>6826.5454545455004</v>
      </c>
      <c r="FE216" s="9">
        <v>63.409090909100001</v>
      </c>
      <c r="FF216" s="9">
        <v>1282.2840909091001</v>
      </c>
      <c r="FG216" s="9">
        <v>13389664.800000001</v>
      </c>
      <c r="FH216" s="9">
        <v>889895.5</v>
      </c>
      <c r="FI216" s="9">
        <v>1151498.2</v>
      </c>
      <c r="FJ216" s="9">
        <v>6554203.4000000004</v>
      </c>
      <c r="FK216" s="9">
        <v>136139.4</v>
      </c>
      <c r="FL216" s="9">
        <v>218326.39999999999</v>
      </c>
      <c r="FM216" s="9">
        <v>802605.96</v>
      </c>
      <c r="FN216" s="9">
        <v>32412.880000000001</v>
      </c>
      <c r="FO216" s="9">
        <v>93293.01</v>
      </c>
      <c r="FP216" s="9">
        <v>2823949.2</v>
      </c>
      <c r="FQ216" s="9">
        <v>110091.1</v>
      </c>
      <c r="FR216" s="9">
        <v>168380.6</v>
      </c>
      <c r="FS216" s="9">
        <v>439867.7</v>
      </c>
      <c r="FT216" s="9">
        <v>6833382.1600000001</v>
      </c>
      <c r="FU216" s="9">
        <v>753756.02</v>
      </c>
      <c r="FV216" s="9">
        <v>931092.66</v>
      </c>
      <c r="FW216" s="9">
        <v>1600835.69</v>
      </c>
      <c r="FX216" s="9">
        <v>189910.35</v>
      </c>
      <c r="FY216" s="9">
        <v>250240.64000000001</v>
      </c>
      <c r="FZ216" s="9">
        <v>152941.21</v>
      </c>
      <c r="GA216" s="9">
        <v>12835803.039999999</v>
      </c>
      <c r="GB216" s="9">
        <v>3547121.57</v>
      </c>
      <c r="GC216" s="9">
        <v>9288681.4699999988</v>
      </c>
      <c r="GD216" s="9">
        <v>9272570.5700000003</v>
      </c>
      <c r="GE216" s="9">
        <v>815085.5</v>
      </c>
      <c r="GF216" s="9">
        <v>8457485.0700000003</v>
      </c>
      <c r="GG216" s="9">
        <v>3563232.47</v>
      </c>
      <c r="GH216" s="9">
        <v>2732036.07</v>
      </c>
      <c r="GI216" s="9">
        <v>831196.40000000014</v>
      </c>
      <c r="GJ216" s="9">
        <v>3744960.94</v>
      </c>
      <c r="GK216" s="9">
        <v>27654750.190000001</v>
      </c>
      <c r="GL216" s="9">
        <v>3168337.89</v>
      </c>
      <c r="GM216">
        <v>2443.5700000000002</v>
      </c>
      <c r="GO216" s="6"/>
      <c r="GP216" s="6"/>
      <c r="GQ216" s="6"/>
    </row>
    <row r="217" spans="1:199" x14ac:dyDescent="0.2">
      <c r="A217" s="8">
        <v>2017</v>
      </c>
      <c r="B217" s="8" t="s">
        <v>483</v>
      </c>
      <c r="C217" s="8" t="s">
        <v>486</v>
      </c>
      <c r="D217" s="9">
        <v>7505923.9000000004</v>
      </c>
      <c r="E217" s="9">
        <v>468112</v>
      </c>
      <c r="F217" s="9">
        <v>1857245.7</v>
      </c>
      <c r="G217" s="9">
        <v>823043.3</v>
      </c>
      <c r="H217" s="9">
        <v>191870.6</v>
      </c>
      <c r="I217" s="9">
        <v>519234.8</v>
      </c>
      <c r="J217" s="9">
        <v>1284799.3</v>
      </c>
      <c r="K217" s="9">
        <v>262755.5</v>
      </c>
      <c r="L217" s="9">
        <v>141234.1</v>
      </c>
      <c r="M217" s="9">
        <v>1428408.2</v>
      </c>
      <c r="N217" s="9">
        <v>529220.5</v>
      </c>
      <c r="O217" s="9">
        <v>6874728.0039999997</v>
      </c>
      <c r="P217" s="9">
        <v>640847.56799999997</v>
      </c>
      <c r="Q217" s="9">
        <v>1156016.8430000001</v>
      </c>
      <c r="R217" s="9">
        <v>586368.57200000004</v>
      </c>
      <c r="S217" s="9">
        <v>180775.06599999999</v>
      </c>
      <c r="T217" s="9">
        <v>412100.34399999998</v>
      </c>
      <c r="U217" s="9">
        <v>1005111.866</v>
      </c>
      <c r="V217" s="9">
        <v>547689.62899999996</v>
      </c>
      <c r="W217" s="9">
        <v>118032.143</v>
      </c>
      <c r="X217" s="9">
        <v>1764673.42</v>
      </c>
      <c r="Y217" s="9">
        <v>463112.55300000001</v>
      </c>
      <c r="Z217" s="9">
        <v>7719575.7000000002</v>
      </c>
      <c r="AA217" s="9">
        <v>3834092.9</v>
      </c>
      <c r="AB217" s="9">
        <v>1106335.1000000001</v>
      </c>
      <c r="AC217" s="9">
        <v>2513655.9</v>
      </c>
      <c r="AD217" s="9">
        <v>573620.9</v>
      </c>
      <c r="AE217" s="9">
        <v>4231030</v>
      </c>
      <c r="AF217" s="9">
        <v>4539159</v>
      </c>
      <c r="AG217" s="9">
        <v>6926740.2999999998</v>
      </c>
      <c r="AH217" s="9">
        <v>3850726.8</v>
      </c>
      <c r="AI217" s="9">
        <v>1091948</v>
      </c>
      <c r="AJ217" s="9">
        <v>2150271.2999999998</v>
      </c>
      <c r="AK217" s="9">
        <v>737370.2</v>
      </c>
      <c r="AL217" s="9">
        <v>3027719.7</v>
      </c>
      <c r="AM217" s="9">
        <v>3931295.6</v>
      </c>
      <c r="AN217" s="9">
        <v>1266942</v>
      </c>
      <c r="AO217" s="9">
        <v>667295</v>
      </c>
      <c r="AP217" s="9">
        <v>599647</v>
      </c>
      <c r="AQ217" s="9">
        <v>100338</v>
      </c>
      <c r="AR217" s="9">
        <v>56255</v>
      </c>
      <c r="AS217" s="9">
        <v>44083</v>
      </c>
      <c r="AT217" s="9">
        <v>822669</v>
      </c>
      <c r="AU217" s="9">
        <v>336877</v>
      </c>
      <c r="AV217" s="9">
        <v>485792</v>
      </c>
      <c r="AW217" s="9">
        <v>1038.9000000000001</v>
      </c>
      <c r="AX217" s="9">
        <v>756</v>
      </c>
      <c r="AY217" s="9">
        <v>2310.6</v>
      </c>
      <c r="AZ217" s="9">
        <v>1104.4000000000001</v>
      </c>
      <c r="BA217" s="9">
        <v>1492</v>
      </c>
      <c r="BB217" s="9">
        <v>716.2</v>
      </c>
      <c r="BC217" s="9">
        <v>983.8</v>
      </c>
      <c r="BD217" s="9">
        <v>862.3</v>
      </c>
      <c r="BE217" s="9">
        <v>1106.0999999999999</v>
      </c>
      <c r="BF217" s="9">
        <v>632.29999999999995</v>
      </c>
      <c r="BG217" s="9">
        <v>969.1</v>
      </c>
      <c r="BH217" s="9">
        <v>1266.0999999999999</v>
      </c>
      <c r="BI217" s="9">
        <v>939.7</v>
      </c>
      <c r="BJ217" s="9">
        <v>802.5</v>
      </c>
      <c r="BK217" s="9">
        <v>865</v>
      </c>
      <c r="BL217" s="9">
        <v>681.6</v>
      </c>
      <c r="BM217" s="9">
        <v>845.3</v>
      </c>
      <c r="BN217" s="9">
        <v>883067.8</v>
      </c>
      <c r="BO217" s="9">
        <v>688922.2</v>
      </c>
      <c r="BP217" s="9">
        <v>177673</v>
      </c>
      <c r="BQ217" s="9">
        <v>72787.100000000006</v>
      </c>
      <c r="BR217" s="9">
        <v>105327.9</v>
      </c>
      <c r="BS217" s="9">
        <v>168284.2</v>
      </c>
      <c r="BT217" s="9">
        <v>139512.6</v>
      </c>
      <c r="BU217" s="9">
        <v>59140.4</v>
      </c>
      <c r="BV217" s="9">
        <v>127042.7</v>
      </c>
      <c r="BW217" s="9">
        <v>979422.5</v>
      </c>
      <c r="BX217" s="9">
        <v>114026</v>
      </c>
      <c r="BY217" s="9">
        <v>247895.6</v>
      </c>
      <c r="BZ217" s="9">
        <v>211789.6</v>
      </c>
      <c r="CA217" s="9">
        <v>178157.2</v>
      </c>
      <c r="CB217" s="9">
        <v>42474.9</v>
      </c>
      <c r="CC217" s="9">
        <v>290899.40000000002</v>
      </c>
      <c r="CD217" s="9">
        <v>4604.1000000000004</v>
      </c>
      <c r="CE217" s="9">
        <v>485848.2</v>
      </c>
      <c r="CF217" s="9">
        <v>2825996.7843489992</v>
      </c>
      <c r="CG217" s="9">
        <v>15861198.545178141</v>
      </c>
      <c r="CH217" s="9">
        <v>12.965909438200001</v>
      </c>
      <c r="CI217" s="9">
        <v>5.2845463243999999</v>
      </c>
      <c r="CJ217" s="9">
        <v>18.9862331846</v>
      </c>
      <c r="CK217" s="9">
        <v>11.6198819708</v>
      </c>
      <c r="CL217" s="9">
        <v>11</v>
      </c>
      <c r="CM217" s="9">
        <v>107.241587452</v>
      </c>
      <c r="CN217" s="9">
        <v>26.546549798800001</v>
      </c>
      <c r="CO217" s="9">
        <v>4.6251374493000004</v>
      </c>
      <c r="CP217" s="9">
        <v>18.031113434800002</v>
      </c>
      <c r="CQ217" s="9">
        <v>10.304760738800001</v>
      </c>
      <c r="CR217" s="9">
        <v>5.3581823070999999</v>
      </c>
      <c r="CS217" s="9">
        <v>4.0622003763999999</v>
      </c>
      <c r="CT217" s="9">
        <v>15.6447254213</v>
      </c>
      <c r="CU217" s="9">
        <v>4.2874948290999999</v>
      </c>
      <c r="CV217" s="9">
        <v>3.2510902590000001</v>
      </c>
      <c r="CW217" s="9">
        <v>5.8844170783000003</v>
      </c>
      <c r="CX217" s="9">
        <v>3.1596340635</v>
      </c>
      <c r="CY217" s="9">
        <v>6.0862816954000003</v>
      </c>
      <c r="CZ217" s="9">
        <v>517</v>
      </c>
      <c r="DA217" s="9">
        <v>476</v>
      </c>
      <c r="DB217" s="9">
        <v>55</v>
      </c>
      <c r="DC217" s="9">
        <v>172</v>
      </c>
      <c r="DD217" s="9">
        <v>32</v>
      </c>
      <c r="DE217" s="9">
        <v>16</v>
      </c>
      <c r="DF217" s="9">
        <v>145</v>
      </c>
      <c r="DG217" s="9">
        <v>33</v>
      </c>
      <c r="DH217" s="9">
        <v>21</v>
      </c>
      <c r="DI217" s="9">
        <v>12</v>
      </c>
      <c r="DJ217" s="9">
        <v>3</v>
      </c>
      <c r="DK217" s="9">
        <v>4</v>
      </c>
      <c r="DL217" s="9">
        <v>0</v>
      </c>
      <c r="DM217" s="9">
        <v>20</v>
      </c>
      <c r="DN217" s="9">
        <v>0</v>
      </c>
      <c r="DO217" s="9">
        <v>423.34</v>
      </c>
      <c r="DP217" s="9">
        <v>119.23</v>
      </c>
      <c r="DQ217" s="9">
        <v>71.41</v>
      </c>
      <c r="DR217" s="9">
        <v>47.81</v>
      </c>
      <c r="DS217" s="9">
        <v>52.23</v>
      </c>
      <c r="DT217" s="9">
        <v>13.1</v>
      </c>
      <c r="DU217" s="9">
        <v>182.16</v>
      </c>
      <c r="DV217" s="9">
        <v>120.06</v>
      </c>
      <c r="DW217" s="9">
        <v>35.57</v>
      </c>
      <c r="DX217" s="9">
        <v>69.03</v>
      </c>
      <c r="DY217" s="9">
        <v>42.09</v>
      </c>
      <c r="DZ217" s="9">
        <v>17.38</v>
      </c>
      <c r="EA217" s="9">
        <v>-319.74</v>
      </c>
      <c r="EB217" s="9">
        <v>67.723129999999998</v>
      </c>
      <c r="EC217" s="9">
        <v>-152.37899999999999</v>
      </c>
      <c r="ED217" s="9">
        <v>-250.255</v>
      </c>
      <c r="EE217" s="9">
        <v>15.17023</v>
      </c>
      <c r="EF217" s="9">
        <v>5.7243769999999996</v>
      </c>
      <c r="EG217" s="9">
        <v>-766.83399999999995</v>
      </c>
      <c r="EH217" s="9">
        <v>-221.51400000000001</v>
      </c>
      <c r="EI217" s="9">
        <v>22.751529999999999</v>
      </c>
      <c r="EJ217" s="9">
        <v>-9.443E-2</v>
      </c>
      <c r="EK217" s="9">
        <v>-567.97699999999998</v>
      </c>
      <c r="EL217" s="9">
        <v>163.95519999999999</v>
      </c>
      <c r="EM217" s="9">
        <v>616.7731</v>
      </c>
      <c r="EN217" s="9">
        <v>3008.1</v>
      </c>
      <c r="EO217" s="9"/>
      <c r="EP217" s="9"/>
      <c r="EQ217" s="9"/>
      <c r="ER217" s="9"/>
      <c r="ES217" s="9"/>
      <c r="ET217" s="9"/>
      <c r="EU217">
        <v>2433.4895000000001</v>
      </c>
      <c r="EV217" s="9">
        <v>27492.66</v>
      </c>
      <c r="EW217" s="9">
        <v>7320.98</v>
      </c>
      <c r="EX217" s="9">
        <v>2025.08</v>
      </c>
      <c r="EY217" s="9">
        <v>2194.2600000000002</v>
      </c>
      <c r="EZ217" s="9">
        <v>7955.84</v>
      </c>
      <c r="FA217" s="9">
        <v>7996.49</v>
      </c>
      <c r="FB217" s="9">
        <v>105.9687969925</v>
      </c>
      <c r="FC217" s="9">
        <v>64.211904761900001</v>
      </c>
      <c r="FD217" s="9">
        <v>6833.8947368421004</v>
      </c>
      <c r="FE217" s="9">
        <v>71.738095238100001</v>
      </c>
      <c r="FF217" s="9">
        <v>1261.2558823529</v>
      </c>
      <c r="FG217" s="9">
        <v>13506742.5</v>
      </c>
      <c r="FH217" s="9">
        <v>819455.5</v>
      </c>
      <c r="FI217" s="9">
        <v>1148472.6000000001</v>
      </c>
      <c r="FJ217" s="9">
        <v>6608505.2000000002</v>
      </c>
      <c r="FK217" s="9">
        <v>112953.1</v>
      </c>
      <c r="FL217" s="9">
        <v>209368.5</v>
      </c>
      <c r="FM217" s="9">
        <v>808541.2</v>
      </c>
      <c r="FN217" s="9">
        <v>22253.62</v>
      </c>
      <c r="FO217" s="9">
        <v>87842.47</v>
      </c>
      <c r="FP217" s="9">
        <v>2826914.8</v>
      </c>
      <c r="FQ217" s="9">
        <v>115769.8</v>
      </c>
      <c r="FR217" s="9">
        <v>173362.8</v>
      </c>
      <c r="FS217" s="9">
        <v>445174.6</v>
      </c>
      <c r="FT217" s="9">
        <v>6897780.959999999</v>
      </c>
      <c r="FU217" s="9">
        <v>706502.35000000009</v>
      </c>
      <c r="FV217" s="9">
        <v>938647.78</v>
      </c>
      <c r="FW217" s="9">
        <v>1661516.14</v>
      </c>
      <c r="FX217" s="9">
        <v>161324.32</v>
      </c>
      <c r="FY217" s="9">
        <v>254593.07</v>
      </c>
      <c r="FZ217" s="9">
        <v>151879.31</v>
      </c>
      <c r="GA217" s="9">
        <v>13487500.109999999</v>
      </c>
      <c r="GB217" s="9">
        <v>3871780.42</v>
      </c>
      <c r="GC217" s="9">
        <v>9615719.6899999995</v>
      </c>
      <c r="GD217" s="9">
        <v>9645434.2100000009</v>
      </c>
      <c r="GE217" s="9">
        <v>875082.70000000007</v>
      </c>
      <c r="GF217" s="9">
        <v>8770351.5099999998</v>
      </c>
      <c r="GG217" s="9">
        <v>3842065.9</v>
      </c>
      <c r="GH217" s="9">
        <v>2996697.72</v>
      </c>
      <c r="GI217" s="9">
        <v>845368.18</v>
      </c>
      <c r="GJ217" s="9">
        <v>3922416.06</v>
      </c>
      <c r="GK217" s="9">
        <v>28772907.530000001</v>
      </c>
      <c r="GL217" s="9">
        <v>3149862.58</v>
      </c>
      <c r="GM217">
        <v>2427.13</v>
      </c>
      <c r="GO217" s="6"/>
      <c r="GP217" s="6"/>
      <c r="GQ217" s="6"/>
    </row>
    <row r="218" spans="1:199" x14ac:dyDescent="0.2">
      <c r="A218" s="8">
        <v>2018</v>
      </c>
      <c r="B218" s="8" t="s">
        <v>487</v>
      </c>
      <c r="C218" s="8" t="s">
        <v>488</v>
      </c>
      <c r="D218" s="9"/>
      <c r="E218" s="9"/>
      <c r="F218" s="9"/>
      <c r="G218" s="9"/>
      <c r="H218" s="9"/>
      <c r="I218" s="9"/>
      <c r="J218" s="9"/>
      <c r="K218" s="9"/>
      <c r="L218" s="9"/>
      <c r="M218" s="9"/>
      <c r="N218" s="9"/>
      <c r="O218" s="9"/>
      <c r="P218" s="9"/>
      <c r="Q218" s="9"/>
      <c r="R218" s="9"/>
      <c r="S218" s="9"/>
      <c r="T218" s="9"/>
      <c r="U218" s="9"/>
      <c r="V218" s="9"/>
      <c r="W218" s="9"/>
      <c r="X218" s="9"/>
      <c r="Y218" s="9"/>
      <c r="Z218" s="9"/>
      <c r="AA218" s="9"/>
      <c r="AB218" s="9"/>
      <c r="AC218" s="9"/>
      <c r="AD218" s="9"/>
      <c r="AE218" s="9"/>
      <c r="AF218" s="9"/>
      <c r="AG218" s="9"/>
      <c r="AH218" s="9"/>
      <c r="AI218" s="9"/>
      <c r="AJ218" s="9"/>
      <c r="AK218" s="9"/>
      <c r="AL218" s="9"/>
      <c r="AM218" s="9"/>
      <c r="AN218" s="9"/>
      <c r="AO218" s="9"/>
      <c r="AP218" s="9"/>
      <c r="AQ218" s="9"/>
      <c r="AR218" s="9"/>
      <c r="AS218" s="9"/>
      <c r="AT218" s="9"/>
      <c r="AU218" s="9"/>
      <c r="AV218" s="9"/>
      <c r="AW218" s="9"/>
      <c r="AX218" s="9"/>
      <c r="AY218" s="9"/>
      <c r="AZ218" s="9"/>
      <c r="BA218" s="9"/>
      <c r="BB218" s="9"/>
      <c r="BC218" s="9"/>
      <c r="BD218" s="9"/>
      <c r="BE218" s="9"/>
      <c r="BF218" s="9"/>
      <c r="BG218" s="9"/>
      <c r="BH218" s="9"/>
      <c r="BI218" s="9"/>
      <c r="BJ218" s="9"/>
      <c r="BK218" s="9"/>
      <c r="BL218" s="9"/>
      <c r="BM218" s="9"/>
      <c r="BN218" s="9">
        <v>606831.6</v>
      </c>
      <c r="BO218" s="9">
        <v>468571.2</v>
      </c>
      <c r="BP218" s="9">
        <v>118019.5</v>
      </c>
      <c r="BQ218" s="9">
        <v>67804.899999999994</v>
      </c>
      <c r="BR218" s="9">
        <v>50214.6</v>
      </c>
      <c r="BS218" s="9">
        <v>101431.1</v>
      </c>
      <c r="BT218" s="9">
        <v>78692.7</v>
      </c>
      <c r="BU218" s="9">
        <v>62362.2</v>
      </c>
      <c r="BV218" s="9">
        <v>61780.3</v>
      </c>
      <c r="BW218" s="9">
        <v>414179</v>
      </c>
      <c r="BX218" s="9">
        <v>4625.6000000000004</v>
      </c>
      <c r="BY218" s="9">
        <v>51384.7</v>
      </c>
      <c r="BZ218" s="9">
        <v>129963.7</v>
      </c>
      <c r="CA218" s="9">
        <v>44372.5</v>
      </c>
      <c r="CB218" s="9">
        <v>4770</v>
      </c>
      <c r="CC218" s="9">
        <v>183688.2</v>
      </c>
      <c r="CD218" s="9">
        <v>264.89999999999998</v>
      </c>
      <c r="CE218" s="9">
        <v>6616.9</v>
      </c>
      <c r="CF218" s="9">
        <v>2632705.9181608399</v>
      </c>
      <c r="CG218" s="9">
        <v>15762989.867182089</v>
      </c>
      <c r="CH218" s="9">
        <v>12.3883091821</v>
      </c>
      <c r="CI218" s="9">
        <v>6.1664852116000004</v>
      </c>
      <c r="CJ218" s="9">
        <v>19.417674961700001</v>
      </c>
      <c r="CK218" s="9">
        <v>10.809663006799999</v>
      </c>
      <c r="CL218" s="9">
        <v>11</v>
      </c>
      <c r="CM218" s="9">
        <v>108.71842394940001</v>
      </c>
      <c r="CN218" s="9">
        <v>27.033524956099999</v>
      </c>
      <c r="CO218" s="9">
        <v>4.8382386650999996</v>
      </c>
      <c r="CP218" s="9">
        <v>18.111647361599999</v>
      </c>
      <c r="CQ218" s="9">
        <v>10.680117642100001</v>
      </c>
      <c r="CR218" s="9">
        <v>5.4135444341000003</v>
      </c>
      <c r="CS218" s="9">
        <v>4.1076950301000004</v>
      </c>
      <c r="CT218" s="9">
        <v>15.8283419461</v>
      </c>
      <c r="CU218" s="9">
        <v>4.2864615623000004</v>
      </c>
      <c r="CV218" s="9">
        <v>3.2474774453999999</v>
      </c>
      <c r="CW218" s="9">
        <v>5.8844170783000003</v>
      </c>
      <c r="CX218" s="9">
        <v>3.1602783298000001</v>
      </c>
      <c r="CY218" s="9">
        <v>6.1266794981999997</v>
      </c>
      <c r="CZ218" s="9">
        <v>424</v>
      </c>
      <c r="DA218" s="9">
        <v>378</v>
      </c>
      <c r="DB218" s="9">
        <v>27</v>
      </c>
      <c r="DC218" s="9">
        <v>127</v>
      </c>
      <c r="DD218" s="9">
        <v>18</v>
      </c>
      <c r="DE218" s="9">
        <v>19</v>
      </c>
      <c r="DF218" s="9">
        <v>136</v>
      </c>
      <c r="DG218" s="9">
        <v>35</v>
      </c>
      <c r="DH218" s="9">
        <v>20</v>
      </c>
      <c r="DI218" s="9">
        <v>9</v>
      </c>
      <c r="DJ218" s="9">
        <v>3</v>
      </c>
      <c r="DK218" s="9">
        <v>7</v>
      </c>
      <c r="DL218" s="9">
        <v>0</v>
      </c>
      <c r="DM218" s="9">
        <v>25</v>
      </c>
      <c r="DN218" s="9">
        <v>0</v>
      </c>
      <c r="DO218" s="9">
        <v>361.13</v>
      </c>
      <c r="DP218" s="9">
        <v>111.21</v>
      </c>
      <c r="DQ218" s="9">
        <v>58.51</v>
      </c>
      <c r="DR218" s="9">
        <v>52.7</v>
      </c>
      <c r="DS218" s="9">
        <v>52.42</v>
      </c>
      <c r="DT218" s="9">
        <v>12.01</v>
      </c>
      <c r="DU218" s="9">
        <v>121.71</v>
      </c>
      <c r="DV218" s="9">
        <v>81.05</v>
      </c>
      <c r="DW218" s="9">
        <v>25.16</v>
      </c>
      <c r="DX218" s="9">
        <v>75.040000000000006</v>
      </c>
      <c r="DY218" s="9">
        <v>50.9</v>
      </c>
      <c r="DZ218" s="9">
        <v>15.86</v>
      </c>
      <c r="EA218" s="9">
        <v>-155.68</v>
      </c>
      <c r="EB218" s="9">
        <v>61.13485</v>
      </c>
      <c r="EC218" s="9">
        <v>-173.898</v>
      </c>
      <c r="ED218" s="9">
        <v>-63.154699999999998</v>
      </c>
      <c r="EE218" s="9">
        <v>20.237780000000001</v>
      </c>
      <c r="EF218" s="9">
        <v>6.3105539999999998</v>
      </c>
      <c r="EG218" s="9">
        <v>123.6859</v>
      </c>
      <c r="EH218" s="9">
        <v>-130.62</v>
      </c>
      <c r="EI218" s="9">
        <v>121.9799</v>
      </c>
      <c r="EJ218" s="9">
        <v>-1.2596700000000001</v>
      </c>
      <c r="EK218" s="9">
        <v>133.5855</v>
      </c>
      <c r="EL218" s="9">
        <v>39.887999999999998</v>
      </c>
      <c r="EM218" s="9">
        <v>-233.16800000000001</v>
      </c>
      <c r="EN218" s="9">
        <v>2804.3</v>
      </c>
      <c r="EO218" s="9"/>
      <c r="EP218" s="9"/>
      <c r="EQ218" s="9"/>
      <c r="ER218" s="9"/>
      <c r="ES218" s="9"/>
      <c r="ET218" s="9"/>
      <c r="EU218">
        <v>2425.77</v>
      </c>
      <c r="EV218" s="9"/>
      <c r="EW218" s="9"/>
      <c r="EX218" s="9"/>
      <c r="EY218" s="9"/>
      <c r="EZ218" s="9"/>
      <c r="FA218" s="9"/>
      <c r="FB218" s="9">
        <v>111.9326298701</v>
      </c>
      <c r="FC218" s="9">
        <v>68.986521739099999</v>
      </c>
      <c r="FD218" s="9">
        <v>7065.8522727273003</v>
      </c>
      <c r="FE218" s="9">
        <v>75.782608695700006</v>
      </c>
      <c r="FF218" s="9">
        <v>1331.6659090909</v>
      </c>
      <c r="FG218" s="9">
        <v>13548042.5</v>
      </c>
      <c r="FH218" s="9">
        <v>931902.9</v>
      </c>
      <c r="FI218" s="9">
        <v>1189110.8999999999</v>
      </c>
      <c r="FJ218" s="9">
        <v>6631405.2999999998</v>
      </c>
      <c r="FK218" s="9">
        <v>137001.29999999999</v>
      </c>
      <c r="FL218" s="9">
        <v>210646.5</v>
      </c>
      <c r="FM218" s="9">
        <v>805952.24</v>
      </c>
      <c r="FN218" s="9">
        <v>28427.13</v>
      </c>
      <c r="FO218" s="9">
        <v>88923.11</v>
      </c>
      <c r="FP218" s="9">
        <v>2931188.6</v>
      </c>
      <c r="FQ218" s="9">
        <v>127443.6</v>
      </c>
      <c r="FR218" s="9">
        <v>185933.7</v>
      </c>
      <c r="FS218" s="9">
        <v>445656.6</v>
      </c>
      <c r="FT218" s="9">
        <v>6916183.3999999994</v>
      </c>
      <c r="FU218" s="9">
        <v>794901.59</v>
      </c>
      <c r="FV218" s="9">
        <v>978010.59</v>
      </c>
      <c r="FW218" s="9">
        <v>1663652.52</v>
      </c>
      <c r="FX218" s="9">
        <v>141809.89000000001</v>
      </c>
      <c r="FY218" s="9">
        <v>283458.83</v>
      </c>
      <c r="FZ218" s="9">
        <v>151482.71</v>
      </c>
      <c r="GA218" s="9">
        <v>13597799.369999999</v>
      </c>
      <c r="GB218" s="9">
        <v>3954676.77</v>
      </c>
      <c r="GC218" s="9">
        <v>9643122.5999999996</v>
      </c>
      <c r="GD218" s="9">
        <v>9658698.6400000006</v>
      </c>
      <c r="GE218" s="9">
        <v>813562.04</v>
      </c>
      <c r="GF218" s="9">
        <v>8845136.5999999996</v>
      </c>
      <c r="GG218" s="9">
        <v>3939100.73</v>
      </c>
      <c r="GH218" s="9">
        <v>3141114.73</v>
      </c>
      <c r="GI218" s="9">
        <v>797986</v>
      </c>
      <c r="GJ218" s="9">
        <v>3783606.61</v>
      </c>
      <c r="GK218" s="9">
        <v>28030507.66</v>
      </c>
      <c r="GL218" s="9">
        <v>3165490.93</v>
      </c>
      <c r="GM218">
        <v>2417.71</v>
      </c>
      <c r="GO218" s="6"/>
      <c r="GP218" s="6"/>
      <c r="GQ218" s="6"/>
    </row>
    <row r="219" spans="1:199" x14ac:dyDescent="0.2">
      <c r="A219" s="8">
        <v>2018</v>
      </c>
      <c r="B219" s="8" t="s">
        <v>487</v>
      </c>
      <c r="C219" s="8" t="s">
        <v>489</v>
      </c>
      <c r="D219" s="9"/>
      <c r="E219" s="9"/>
      <c r="F219" s="9"/>
      <c r="G219" s="9"/>
      <c r="H219" s="9"/>
      <c r="I219" s="9"/>
      <c r="J219" s="9"/>
      <c r="K219" s="9"/>
      <c r="L219" s="9"/>
      <c r="M219" s="9"/>
      <c r="N219" s="9"/>
      <c r="O219" s="9"/>
      <c r="P219" s="9"/>
      <c r="Q219" s="9"/>
      <c r="R219" s="9"/>
      <c r="S219" s="9"/>
      <c r="T219" s="9"/>
      <c r="U219" s="9"/>
      <c r="V219" s="9"/>
      <c r="W219" s="9"/>
      <c r="X219" s="9"/>
      <c r="Y219" s="9"/>
      <c r="Z219" s="9"/>
      <c r="AA219" s="9"/>
      <c r="AB219" s="9"/>
      <c r="AC219" s="9"/>
      <c r="AD219" s="9"/>
      <c r="AE219" s="9"/>
      <c r="AF219" s="9"/>
      <c r="AG219" s="9"/>
      <c r="AH219" s="9"/>
      <c r="AI219" s="9"/>
      <c r="AJ219" s="9"/>
      <c r="AK219" s="9"/>
      <c r="AL219" s="9"/>
      <c r="AM219" s="9"/>
      <c r="AN219" s="9"/>
      <c r="AO219" s="9"/>
      <c r="AP219" s="9"/>
      <c r="AQ219" s="9"/>
      <c r="AR219" s="9"/>
      <c r="AS219" s="9"/>
      <c r="AT219" s="9"/>
      <c r="AU219" s="9"/>
      <c r="AV219" s="9"/>
      <c r="AW219" s="9"/>
      <c r="AX219" s="9"/>
      <c r="AY219" s="9"/>
      <c r="AZ219" s="9"/>
      <c r="BA219" s="9"/>
      <c r="BB219" s="9"/>
      <c r="BC219" s="9"/>
      <c r="BD219" s="9"/>
      <c r="BE219" s="9"/>
      <c r="BF219" s="9"/>
      <c r="BG219" s="9"/>
      <c r="BH219" s="9"/>
      <c r="BI219" s="9"/>
      <c r="BJ219" s="9"/>
      <c r="BK219" s="9"/>
      <c r="BL219" s="9"/>
      <c r="BM219" s="9"/>
      <c r="BN219" s="9">
        <v>714009.59999999998</v>
      </c>
      <c r="BO219" s="9">
        <v>590049.30000000005</v>
      </c>
      <c r="BP219" s="9">
        <v>197301.4</v>
      </c>
      <c r="BQ219" s="9">
        <v>128855.5</v>
      </c>
      <c r="BR219" s="9">
        <v>68445.8</v>
      </c>
      <c r="BS219" s="9">
        <v>116483.7</v>
      </c>
      <c r="BT219" s="9">
        <v>137928.6</v>
      </c>
      <c r="BU219" s="9">
        <v>45565.1</v>
      </c>
      <c r="BV219" s="9">
        <v>69707.3</v>
      </c>
      <c r="BW219" s="9">
        <v>584468.1</v>
      </c>
      <c r="BX219" s="9">
        <v>1522.1</v>
      </c>
      <c r="BY219" s="9">
        <v>104576.3</v>
      </c>
      <c r="BZ219" s="9">
        <v>151339.79999999999</v>
      </c>
      <c r="CA219" s="9">
        <v>63349.9</v>
      </c>
      <c r="CB219" s="9">
        <v>42201.599999999999</v>
      </c>
      <c r="CC219" s="9">
        <v>223000.4</v>
      </c>
      <c r="CD219" s="9">
        <v>2039.8</v>
      </c>
      <c r="CE219" s="9">
        <v>105565.7</v>
      </c>
      <c r="CF219" s="9">
        <v>2733559.0926656071</v>
      </c>
      <c r="CG219" s="9">
        <v>15913168.619646801</v>
      </c>
      <c r="CH219" s="9">
        <v>11.9299322247</v>
      </c>
      <c r="CI219" s="9">
        <v>5.516092123</v>
      </c>
      <c r="CJ219" s="9">
        <v>19.087221235800001</v>
      </c>
      <c r="CK219" s="9">
        <v>11.4847963516</v>
      </c>
      <c r="CL219" s="9">
        <v>11</v>
      </c>
      <c r="CM219" s="9">
        <v>109.64118717549999</v>
      </c>
      <c r="CN219" s="9">
        <v>27.825747250399999</v>
      </c>
      <c r="CO219" s="9">
        <v>4.8749758831000003</v>
      </c>
      <c r="CP219" s="9">
        <v>17.975580129899999</v>
      </c>
      <c r="CQ219" s="9">
        <v>10.6777912647</v>
      </c>
      <c r="CR219" s="9">
        <v>5.4262831472000004</v>
      </c>
      <c r="CS219" s="9">
        <v>4.1136829107999997</v>
      </c>
      <c r="CT219" s="9">
        <v>16.0224724604</v>
      </c>
      <c r="CU219" s="9">
        <v>4.2844781762000004</v>
      </c>
      <c r="CV219" s="9">
        <v>3.2507161152999999</v>
      </c>
      <c r="CW219" s="9">
        <v>5.8844170783000003</v>
      </c>
      <c r="CX219" s="9">
        <v>3.1786327765000002</v>
      </c>
      <c r="CY219" s="9">
        <v>6.1264099826000002</v>
      </c>
      <c r="CZ219" s="9">
        <v>415</v>
      </c>
      <c r="DA219" s="9">
        <v>383</v>
      </c>
      <c r="DB219" s="9">
        <v>45</v>
      </c>
      <c r="DC219" s="9">
        <v>148</v>
      </c>
      <c r="DD219" s="9">
        <v>22</v>
      </c>
      <c r="DE219" s="9">
        <v>18</v>
      </c>
      <c r="DF219" s="9">
        <v>106</v>
      </c>
      <c r="DG219" s="9">
        <v>28</v>
      </c>
      <c r="DH219" s="9">
        <v>9</v>
      </c>
      <c r="DI219" s="9">
        <v>3</v>
      </c>
      <c r="DJ219" s="9">
        <v>1</v>
      </c>
      <c r="DK219" s="9">
        <v>4</v>
      </c>
      <c r="DL219" s="9">
        <v>0</v>
      </c>
      <c r="DM219" s="9">
        <v>21</v>
      </c>
      <c r="DN219" s="9">
        <v>0</v>
      </c>
      <c r="DO219" s="9">
        <v>364.89</v>
      </c>
      <c r="DP219" s="9">
        <v>98.14</v>
      </c>
      <c r="DQ219" s="9">
        <v>56.57</v>
      </c>
      <c r="DR219" s="9">
        <v>41.57</v>
      </c>
      <c r="DS219" s="9">
        <v>62.95</v>
      </c>
      <c r="DT219" s="9">
        <v>11.18</v>
      </c>
      <c r="DU219" s="9">
        <v>120.75</v>
      </c>
      <c r="DV219" s="9">
        <v>73.61</v>
      </c>
      <c r="DW219" s="9">
        <v>25.37</v>
      </c>
      <c r="DX219" s="9">
        <v>82.43</v>
      </c>
      <c r="DY219" s="9">
        <v>46.25</v>
      </c>
      <c r="DZ219" s="9">
        <v>17.11</v>
      </c>
      <c r="EA219" s="9">
        <v>-248.727</v>
      </c>
      <c r="EB219" s="9">
        <v>-30.645600000000002</v>
      </c>
      <c r="EC219" s="9">
        <v>-199.16399999999999</v>
      </c>
      <c r="ED219" s="9">
        <v>-68.753100000000003</v>
      </c>
      <c r="EE219" s="9">
        <v>49.835299999999997</v>
      </c>
      <c r="EF219" s="9">
        <v>4.0540130000000003</v>
      </c>
      <c r="EG219" s="9">
        <v>-301.69099999999997</v>
      </c>
      <c r="EH219" s="9">
        <v>-159.52799999999999</v>
      </c>
      <c r="EI219" s="9">
        <v>3.0861130000000001</v>
      </c>
      <c r="EJ219" s="9">
        <v>0.57876099999999997</v>
      </c>
      <c r="EK219" s="9">
        <v>-145.828</v>
      </c>
      <c r="EL219" s="9">
        <v>110.7808</v>
      </c>
      <c r="EM219" s="9">
        <v>167.79830000000001</v>
      </c>
      <c r="EN219" s="9">
        <v>2963.2</v>
      </c>
      <c r="EO219" s="9"/>
      <c r="EP219" s="9"/>
      <c r="EQ219" s="9"/>
      <c r="ER219" s="9"/>
      <c r="ES219" s="9"/>
      <c r="ET219" s="9"/>
      <c r="EU219">
        <v>2402.9015789474001</v>
      </c>
      <c r="EV219" s="9"/>
      <c r="EW219" s="9"/>
      <c r="EX219" s="9"/>
      <c r="EY219" s="9"/>
      <c r="EZ219" s="9"/>
      <c r="FA219" s="9"/>
      <c r="FB219" s="9">
        <v>111.47732142860001</v>
      </c>
      <c r="FC219" s="9">
        <v>65.421999999999997</v>
      </c>
      <c r="FD219" s="9">
        <v>7006.5249999999996</v>
      </c>
      <c r="FE219" s="9">
        <v>77.650000000000006</v>
      </c>
      <c r="FF219" s="9">
        <v>1331.5250000000001</v>
      </c>
      <c r="FG219" s="9">
        <v>13718925.300000001</v>
      </c>
      <c r="FH219" s="9">
        <v>987947.2</v>
      </c>
      <c r="FI219" s="9">
        <v>1261626.8</v>
      </c>
      <c r="FJ219" s="9">
        <v>6772888.4000000004</v>
      </c>
      <c r="FK219" s="9">
        <v>141849.4</v>
      </c>
      <c r="FL219" s="9">
        <v>214033.2</v>
      </c>
      <c r="FM219" s="9">
        <v>803442.21</v>
      </c>
      <c r="FN219" s="9">
        <v>27142.76</v>
      </c>
      <c r="FO219" s="9">
        <v>91296.54</v>
      </c>
      <c r="FP219" s="9">
        <v>3055501.7</v>
      </c>
      <c r="FQ219" s="9">
        <v>124351.3</v>
      </c>
      <c r="FR219" s="9">
        <v>209715.1</v>
      </c>
      <c r="FS219" s="9">
        <v>429582.9</v>
      </c>
      <c r="FT219" s="9">
        <v>6942751.7899999991</v>
      </c>
      <c r="FU219" s="9">
        <v>846097.88000000012</v>
      </c>
      <c r="FV219" s="9">
        <v>1044308.5</v>
      </c>
      <c r="FW219" s="9">
        <v>1654066.44</v>
      </c>
      <c r="FX219" s="9">
        <v>156901.31</v>
      </c>
      <c r="FY219" s="9">
        <v>289809.84000000003</v>
      </c>
      <c r="FZ219" s="9">
        <v>150011.60999999999</v>
      </c>
      <c r="GA219" s="9">
        <v>13831687.65</v>
      </c>
      <c r="GB219" s="9">
        <v>3813421.72</v>
      </c>
      <c r="GC219" s="9">
        <v>10018265.93</v>
      </c>
      <c r="GD219" s="9">
        <v>9905727.1300000008</v>
      </c>
      <c r="GE219" s="9">
        <v>812575.92999999993</v>
      </c>
      <c r="GF219" s="9">
        <v>9093151.1999999993</v>
      </c>
      <c r="GG219" s="9">
        <v>3925960.52</v>
      </c>
      <c r="GH219" s="9">
        <v>3000845.79</v>
      </c>
      <c r="GI219" s="9">
        <v>925114.73</v>
      </c>
      <c r="GJ219" s="9">
        <v>3694581.91</v>
      </c>
      <c r="GK219" s="9">
        <v>28554354.350000001</v>
      </c>
      <c r="GL219" s="9">
        <v>3177340.05</v>
      </c>
      <c r="GM219">
        <v>2394.23</v>
      </c>
      <c r="GO219" s="6"/>
      <c r="GP219" s="6"/>
      <c r="GQ219" s="6"/>
    </row>
    <row r="220" spans="1:199" x14ac:dyDescent="0.2">
      <c r="A220" s="8">
        <v>2018</v>
      </c>
      <c r="B220" s="8" t="s">
        <v>487</v>
      </c>
      <c r="C220" s="8" t="s">
        <v>490</v>
      </c>
      <c r="D220" s="9">
        <v>6822760.5</v>
      </c>
      <c r="E220" s="9">
        <v>222240.4</v>
      </c>
      <c r="F220" s="9">
        <v>1946982.7</v>
      </c>
      <c r="G220" s="9">
        <v>657950.1</v>
      </c>
      <c r="H220" s="9">
        <v>183691.2</v>
      </c>
      <c r="I220" s="9">
        <v>61839.7</v>
      </c>
      <c r="J220" s="9">
        <v>514427</v>
      </c>
      <c r="K220" s="9">
        <v>373519.4</v>
      </c>
      <c r="L220" s="9">
        <v>111936.4</v>
      </c>
      <c r="M220" s="9">
        <v>1984685.4</v>
      </c>
      <c r="N220" s="9">
        <v>765488.1</v>
      </c>
      <c r="O220" s="9">
        <v>4836377.7699999996</v>
      </c>
      <c r="P220" s="9">
        <v>201763.85699999999</v>
      </c>
      <c r="Q220" s="9">
        <v>827421.33700000006</v>
      </c>
      <c r="R220" s="9">
        <v>304595.94799999997</v>
      </c>
      <c r="S220" s="9">
        <v>192059.87100000001</v>
      </c>
      <c r="T220" s="9">
        <v>54630.404000000002</v>
      </c>
      <c r="U220" s="9">
        <v>499184.761</v>
      </c>
      <c r="V220" s="9">
        <v>242375.72700000001</v>
      </c>
      <c r="W220" s="9">
        <v>111588.47900000001</v>
      </c>
      <c r="X220" s="9">
        <v>1810866.338</v>
      </c>
      <c r="Y220" s="9">
        <v>591891.05000000005</v>
      </c>
      <c r="Z220" s="9">
        <v>6642626.0999999996</v>
      </c>
      <c r="AA220" s="9">
        <v>4164054.1</v>
      </c>
      <c r="AB220" s="9">
        <v>824991.5</v>
      </c>
      <c r="AC220" s="9">
        <v>1535700.7</v>
      </c>
      <c r="AD220" s="9">
        <v>448852.9</v>
      </c>
      <c r="AE220" s="9">
        <v>3722545.2</v>
      </c>
      <c r="AF220" s="9">
        <v>4053518.3</v>
      </c>
      <c r="AG220" s="9">
        <v>5049209.4000000004</v>
      </c>
      <c r="AH220" s="9">
        <v>4154622.8</v>
      </c>
      <c r="AI220" s="9">
        <v>879801.6</v>
      </c>
      <c r="AJ220" s="9">
        <v>1233806.8999999999</v>
      </c>
      <c r="AK220" s="9">
        <v>333950.8</v>
      </c>
      <c r="AL220" s="9">
        <v>2888233</v>
      </c>
      <c r="AM220" s="9">
        <v>4441205.8</v>
      </c>
      <c r="AN220" s="9">
        <v>1142926</v>
      </c>
      <c r="AO220" s="9">
        <v>595947</v>
      </c>
      <c r="AP220" s="9">
        <v>546979</v>
      </c>
      <c r="AQ220" s="9">
        <v>122891</v>
      </c>
      <c r="AR220" s="9">
        <v>69472</v>
      </c>
      <c r="AS220" s="9">
        <v>53419</v>
      </c>
      <c r="AT220" s="9">
        <v>823512</v>
      </c>
      <c r="AU220" s="9">
        <v>307546</v>
      </c>
      <c r="AV220" s="9">
        <v>515966</v>
      </c>
      <c r="AW220" s="9">
        <v>998.4</v>
      </c>
      <c r="AX220" s="9">
        <v>738.1</v>
      </c>
      <c r="AY220" s="9">
        <v>2442.5</v>
      </c>
      <c r="AZ220" s="9">
        <v>1079.9000000000001</v>
      </c>
      <c r="BA220" s="9">
        <v>1570.5</v>
      </c>
      <c r="BB220" s="9">
        <v>764.3</v>
      </c>
      <c r="BC220" s="9">
        <v>1028.2</v>
      </c>
      <c r="BD220" s="9">
        <v>830.3</v>
      </c>
      <c r="BE220" s="9">
        <v>1151</v>
      </c>
      <c r="BF220" s="9">
        <v>646.4</v>
      </c>
      <c r="BG220" s="9">
        <v>957.4</v>
      </c>
      <c r="BH220" s="9">
        <v>1130.8</v>
      </c>
      <c r="BI220" s="9">
        <v>1001.5</v>
      </c>
      <c r="BJ220" s="9">
        <v>738.6</v>
      </c>
      <c r="BK220" s="9">
        <v>764.9</v>
      </c>
      <c r="BL220" s="9">
        <v>609.1</v>
      </c>
      <c r="BM220" s="9">
        <v>800</v>
      </c>
      <c r="BN220" s="9">
        <v>672953</v>
      </c>
      <c r="BO220" s="9">
        <v>559474.30000000005</v>
      </c>
      <c r="BP220" s="9">
        <v>96982.5</v>
      </c>
      <c r="BQ220" s="9">
        <v>36606</v>
      </c>
      <c r="BR220" s="9">
        <v>61127.7</v>
      </c>
      <c r="BS220" s="9">
        <v>126436.5</v>
      </c>
      <c r="BT220" s="9">
        <v>164231.70000000001</v>
      </c>
      <c r="BU220" s="9">
        <v>56630.3</v>
      </c>
      <c r="BV220" s="9">
        <v>61270.1</v>
      </c>
      <c r="BW220" s="9">
        <v>621994</v>
      </c>
      <c r="BX220" s="9">
        <v>-208.1</v>
      </c>
      <c r="BY220" s="9">
        <v>102162.3</v>
      </c>
      <c r="BZ220" s="9">
        <v>154290.9</v>
      </c>
      <c r="CA220" s="9">
        <v>122373.2</v>
      </c>
      <c r="CB220" s="9">
        <v>28953.3</v>
      </c>
      <c r="CC220" s="9">
        <v>214214.3</v>
      </c>
      <c r="CD220" s="9">
        <v>1618.1</v>
      </c>
      <c r="CE220" s="9">
        <v>97861.2</v>
      </c>
      <c r="CF220" s="9">
        <v>2776679.418583537</v>
      </c>
      <c r="CG220" s="9">
        <v>16073935.702512881</v>
      </c>
      <c r="CH220" s="9">
        <v>11.423812958499999</v>
      </c>
      <c r="CI220" s="9">
        <v>4.9538500085999999</v>
      </c>
      <c r="CJ220" s="9">
        <v>19.121843935800001</v>
      </c>
      <c r="CK220" s="9">
        <v>11.3078962382</v>
      </c>
      <c r="CL220" s="9">
        <v>10</v>
      </c>
      <c r="CM220" s="9">
        <v>110.6505637085</v>
      </c>
      <c r="CN220" s="9">
        <v>28.518216323299999</v>
      </c>
      <c r="CO220" s="9">
        <v>4.8628001503</v>
      </c>
      <c r="CP220" s="9">
        <v>17.948099688599999</v>
      </c>
      <c r="CQ220" s="9">
        <v>10.8904694527</v>
      </c>
      <c r="CR220" s="9">
        <v>5.4385169662999999</v>
      </c>
      <c r="CS220" s="9">
        <v>4.1646681989000003</v>
      </c>
      <c r="CT220" s="9">
        <v>16.053299574499999</v>
      </c>
      <c r="CU220" s="9">
        <v>4.2789196333000001</v>
      </c>
      <c r="CV220" s="9">
        <v>3.2647801375999999</v>
      </c>
      <c r="CW220" s="9">
        <v>5.8848810135000003</v>
      </c>
      <c r="CX220" s="9">
        <v>3.1899284985</v>
      </c>
      <c r="CY220" s="9">
        <v>6.1559840710999998</v>
      </c>
      <c r="CZ220" s="9">
        <v>644</v>
      </c>
      <c r="DA220" s="9">
        <v>612</v>
      </c>
      <c r="DB220" s="9">
        <v>52</v>
      </c>
      <c r="DC220" s="9">
        <v>188</v>
      </c>
      <c r="DD220" s="9">
        <v>24</v>
      </c>
      <c r="DE220" s="9">
        <v>23</v>
      </c>
      <c r="DF220" s="9">
        <v>267</v>
      </c>
      <c r="DG220" s="9">
        <v>38</v>
      </c>
      <c r="DH220" s="9">
        <v>12</v>
      </c>
      <c r="DI220" s="9">
        <v>3</v>
      </c>
      <c r="DJ220" s="9">
        <v>2</v>
      </c>
      <c r="DK220" s="9">
        <v>6</v>
      </c>
      <c r="DL220" s="9">
        <v>0</v>
      </c>
      <c r="DM220" s="9">
        <v>19</v>
      </c>
      <c r="DN220" s="9">
        <v>0</v>
      </c>
      <c r="DO220" s="9">
        <v>404.44</v>
      </c>
      <c r="DP220" s="9">
        <v>112.47</v>
      </c>
      <c r="DQ220" s="9">
        <v>59.71</v>
      </c>
      <c r="DR220" s="9">
        <v>52.76</v>
      </c>
      <c r="DS220" s="9">
        <v>60.17</v>
      </c>
      <c r="DT220" s="9">
        <v>12.96</v>
      </c>
      <c r="DU220" s="9">
        <v>157.47999999999999</v>
      </c>
      <c r="DV220" s="9">
        <v>101.41</v>
      </c>
      <c r="DW220" s="9">
        <v>42.18</v>
      </c>
      <c r="DX220" s="9">
        <v>73.540000000000006</v>
      </c>
      <c r="DY220" s="9">
        <v>36.630000000000003</v>
      </c>
      <c r="DZ220" s="9">
        <v>21.81</v>
      </c>
      <c r="EA220" s="9">
        <v>-36.517000000000003</v>
      </c>
      <c r="EB220" s="9">
        <v>208.0592</v>
      </c>
      <c r="EC220" s="9">
        <v>-173.46199999999999</v>
      </c>
      <c r="ED220" s="9">
        <v>-81.013400000000004</v>
      </c>
      <c r="EE220" s="9">
        <v>9.8987730000000003</v>
      </c>
      <c r="EF220" s="9">
        <v>4.6654410000000004</v>
      </c>
      <c r="EG220" s="9">
        <v>-119.52200000000001</v>
      </c>
      <c r="EH220" s="9">
        <v>-187.934</v>
      </c>
      <c r="EI220" s="9">
        <v>36.955599999999997</v>
      </c>
      <c r="EJ220" s="9">
        <v>0.181314</v>
      </c>
      <c r="EK220" s="9">
        <v>31.27495</v>
      </c>
      <c r="EL220" s="9">
        <v>-64.512100000000004</v>
      </c>
      <c r="EM220" s="9">
        <v>23.158180000000002</v>
      </c>
      <c r="EN220" s="9">
        <v>2983.1</v>
      </c>
      <c r="EO220" s="9"/>
      <c r="EP220" s="9"/>
      <c r="EQ220" s="9"/>
      <c r="ER220" s="9"/>
      <c r="ES220" s="9"/>
      <c r="ET220" s="9"/>
      <c r="EU220">
        <v>2395.3723809523999</v>
      </c>
      <c r="EV220" s="9">
        <v>27905.46</v>
      </c>
      <c r="EW220" s="9">
        <v>7242.45</v>
      </c>
      <c r="EX220" s="9">
        <v>2136.58</v>
      </c>
      <c r="EY220" s="9">
        <v>2346.85</v>
      </c>
      <c r="EZ220" s="9">
        <v>7944.41</v>
      </c>
      <c r="FA220" s="9">
        <v>8235.18</v>
      </c>
      <c r="FB220" s="9">
        <v>105.7280612245</v>
      </c>
      <c r="FC220" s="9">
        <v>66.445454545499999</v>
      </c>
      <c r="FD220" s="9">
        <v>6799.1785714285998</v>
      </c>
      <c r="FE220" s="9">
        <v>71.318181818200003</v>
      </c>
      <c r="FF220" s="9">
        <v>1324.6571428571001</v>
      </c>
      <c r="FG220" s="9">
        <v>14033029.699999999</v>
      </c>
      <c r="FH220" s="9">
        <v>930916.8</v>
      </c>
      <c r="FI220" s="9">
        <v>1227335.2</v>
      </c>
      <c r="FJ220" s="9">
        <v>6980434.2000000002</v>
      </c>
      <c r="FK220" s="9">
        <v>147013.29999999999</v>
      </c>
      <c r="FL220" s="9">
        <v>216429.4</v>
      </c>
      <c r="FM220" s="9">
        <v>848631.01</v>
      </c>
      <c r="FN220" s="9">
        <v>34365.919999999998</v>
      </c>
      <c r="FO220" s="9">
        <v>88871.56</v>
      </c>
      <c r="FP220" s="9">
        <v>3122477.4</v>
      </c>
      <c r="FQ220" s="9">
        <v>141381.20000000001</v>
      </c>
      <c r="FR220" s="9">
        <v>221521.9</v>
      </c>
      <c r="FS220" s="9">
        <v>458438.7</v>
      </c>
      <c r="FT220" s="9">
        <v>7049312.4000000004</v>
      </c>
      <c r="FU220" s="9">
        <v>783903.52</v>
      </c>
      <c r="FV220" s="9">
        <v>1007622.65</v>
      </c>
      <c r="FW220" s="9">
        <v>1713621.45</v>
      </c>
      <c r="FX220" s="9">
        <v>175945.84</v>
      </c>
      <c r="FY220" s="9">
        <v>275978.53000000003</v>
      </c>
      <c r="FZ220" s="9">
        <v>149840.13</v>
      </c>
      <c r="GA220" s="9">
        <v>13970451.140000001</v>
      </c>
      <c r="GB220" s="9">
        <v>3919142.45</v>
      </c>
      <c r="GC220" s="9">
        <v>10051308.689999999</v>
      </c>
      <c r="GD220" s="9">
        <v>9973245.25</v>
      </c>
      <c r="GE220" s="9">
        <v>816233.14</v>
      </c>
      <c r="GF220" s="9">
        <v>9157012.1099999994</v>
      </c>
      <c r="GG220" s="9">
        <v>3997205.89</v>
      </c>
      <c r="GH220" s="9">
        <v>3102909.31</v>
      </c>
      <c r="GI220" s="9">
        <v>894296.58</v>
      </c>
      <c r="GJ220" s="9">
        <v>3788722.96</v>
      </c>
      <c r="GK220" s="9">
        <v>28934002.91</v>
      </c>
      <c r="GL220" s="9">
        <v>3164777.38</v>
      </c>
      <c r="GM220">
        <v>2392.77</v>
      </c>
      <c r="GO220" s="6"/>
      <c r="GP220" s="6"/>
      <c r="GQ220" s="6"/>
    </row>
    <row r="221" spans="1:199" x14ac:dyDescent="0.2">
      <c r="A221" s="8">
        <v>2018</v>
      </c>
      <c r="B221" s="8" t="s">
        <v>491</v>
      </c>
      <c r="C221" s="8" t="s">
        <v>492</v>
      </c>
      <c r="D221" s="9"/>
      <c r="E221" s="9"/>
      <c r="F221" s="9"/>
      <c r="G221" s="9"/>
      <c r="H221" s="9"/>
      <c r="I221" s="9"/>
      <c r="J221" s="9"/>
      <c r="K221" s="9"/>
      <c r="L221" s="9"/>
      <c r="M221" s="9"/>
      <c r="N221" s="9"/>
      <c r="O221" s="9"/>
      <c r="P221" s="9"/>
      <c r="Q221" s="9"/>
      <c r="R221" s="9"/>
      <c r="S221" s="9"/>
      <c r="T221" s="9"/>
      <c r="U221" s="9"/>
      <c r="V221" s="9"/>
      <c r="W221" s="9"/>
      <c r="X221" s="9"/>
      <c r="Y221" s="9"/>
      <c r="Z221" s="9"/>
      <c r="AA221" s="9"/>
      <c r="AB221" s="9"/>
      <c r="AC221" s="9"/>
      <c r="AD221" s="9"/>
      <c r="AE221" s="9"/>
      <c r="AF221" s="9"/>
      <c r="AG221" s="9"/>
      <c r="AH221" s="9"/>
      <c r="AI221" s="9"/>
      <c r="AJ221" s="9"/>
      <c r="AK221" s="9"/>
      <c r="AL221" s="9"/>
      <c r="AM221" s="9"/>
      <c r="AN221" s="9"/>
      <c r="AO221" s="9"/>
      <c r="AP221" s="9"/>
      <c r="AQ221" s="9"/>
      <c r="AR221" s="9"/>
      <c r="AS221" s="9"/>
      <c r="AT221" s="9"/>
      <c r="AU221" s="9"/>
      <c r="AV221" s="9"/>
      <c r="AW221" s="9"/>
      <c r="AX221" s="9"/>
      <c r="AY221" s="9"/>
      <c r="AZ221" s="9"/>
      <c r="BA221" s="9"/>
      <c r="BB221" s="9"/>
      <c r="BC221" s="9"/>
      <c r="BD221" s="9"/>
      <c r="BE221" s="9"/>
      <c r="BF221" s="9"/>
      <c r="BG221" s="9"/>
      <c r="BH221" s="9"/>
      <c r="BI221" s="9"/>
      <c r="BJ221" s="9"/>
      <c r="BK221" s="9"/>
      <c r="BL221" s="9"/>
      <c r="BM221" s="9"/>
      <c r="BN221" s="9">
        <v>791028.1</v>
      </c>
      <c r="BO221" s="9">
        <v>604763.9</v>
      </c>
      <c r="BP221" s="9">
        <v>167411.4</v>
      </c>
      <c r="BQ221" s="9">
        <v>162740.9</v>
      </c>
      <c r="BR221" s="9">
        <v>32940</v>
      </c>
      <c r="BS221" s="9">
        <v>97920.5</v>
      </c>
      <c r="BT221" s="9">
        <v>162528.9</v>
      </c>
      <c r="BU221" s="9">
        <v>45717.4</v>
      </c>
      <c r="BV221" s="9">
        <v>76962</v>
      </c>
      <c r="BW221" s="9">
        <v>569895.30000000005</v>
      </c>
      <c r="BX221" s="9">
        <v>9464.2999999999993</v>
      </c>
      <c r="BY221" s="9">
        <v>108783.1</v>
      </c>
      <c r="BZ221" s="9">
        <v>149722.1</v>
      </c>
      <c r="CA221" s="9">
        <v>91258.6</v>
      </c>
      <c r="CB221" s="9">
        <v>2936.1</v>
      </c>
      <c r="CC221" s="9">
        <v>217195.3</v>
      </c>
      <c r="CD221" s="9">
        <v>17051.400000000001</v>
      </c>
      <c r="CE221" s="9">
        <v>-21584.2</v>
      </c>
      <c r="CF221" s="9">
        <v>2870980.7479562</v>
      </c>
      <c r="CG221" s="9">
        <v>16240147.711649049</v>
      </c>
      <c r="CH221" s="9">
        <v>11.4688420534</v>
      </c>
      <c r="CI221" s="9">
        <v>3.8721150690999999</v>
      </c>
      <c r="CJ221" s="9">
        <v>19.2666371756</v>
      </c>
      <c r="CK221" s="9">
        <v>10.244654759199999</v>
      </c>
      <c r="CL221" s="9">
        <v>10</v>
      </c>
      <c r="CM221" s="9">
        <v>111.3520870765</v>
      </c>
      <c r="CN221" s="9">
        <v>29.2675555193</v>
      </c>
      <c r="CO221" s="9">
        <v>4.8978053184999997</v>
      </c>
      <c r="CP221" s="9">
        <v>17.890147657</v>
      </c>
      <c r="CQ221" s="9">
        <v>10.795875177399999</v>
      </c>
      <c r="CR221" s="9">
        <v>5.4644240771000003</v>
      </c>
      <c r="CS221" s="9">
        <v>4.1956786430999999</v>
      </c>
      <c r="CT221" s="9">
        <v>16.056687215699998</v>
      </c>
      <c r="CU221" s="9">
        <v>4.2734863642000001</v>
      </c>
      <c r="CV221" s="9">
        <v>3.2691353092000002</v>
      </c>
      <c r="CW221" s="9">
        <v>5.8845247443000002</v>
      </c>
      <c r="CX221" s="9">
        <v>3.1952729163</v>
      </c>
      <c r="CY221" s="9">
        <v>6.1614941343999998</v>
      </c>
      <c r="CZ221" s="9">
        <v>643</v>
      </c>
      <c r="DA221" s="9">
        <v>570</v>
      </c>
      <c r="DB221" s="9">
        <v>20</v>
      </c>
      <c r="DC221" s="9">
        <v>165</v>
      </c>
      <c r="DD221" s="9">
        <v>29</v>
      </c>
      <c r="DE221" s="9">
        <v>15</v>
      </c>
      <c r="DF221" s="9">
        <v>281</v>
      </c>
      <c r="DG221" s="9">
        <v>38</v>
      </c>
      <c r="DH221" s="9">
        <v>55</v>
      </c>
      <c r="DI221" s="9">
        <v>2</v>
      </c>
      <c r="DJ221" s="9">
        <v>2</v>
      </c>
      <c r="DK221" s="9">
        <v>49</v>
      </c>
      <c r="DL221" s="9">
        <v>0</v>
      </c>
      <c r="DM221" s="9">
        <v>18</v>
      </c>
      <c r="DN221" s="9">
        <v>0</v>
      </c>
      <c r="DO221" s="9">
        <v>451.34</v>
      </c>
      <c r="DP221" s="9">
        <v>122.76</v>
      </c>
      <c r="DQ221" s="9">
        <v>68.28</v>
      </c>
      <c r="DR221" s="9">
        <v>54.48</v>
      </c>
      <c r="DS221" s="9">
        <v>60.84</v>
      </c>
      <c r="DT221" s="9">
        <v>11.35</v>
      </c>
      <c r="DU221" s="9">
        <v>200.9</v>
      </c>
      <c r="DV221" s="9">
        <v>137.58000000000001</v>
      </c>
      <c r="DW221" s="9">
        <v>46.95</v>
      </c>
      <c r="DX221" s="9">
        <v>65.95</v>
      </c>
      <c r="DY221" s="9">
        <v>30.97</v>
      </c>
      <c r="DZ221" s="9">
        <v>12.4</v>
      </c>
      <c r="EA221" s="9">
        <v>-38.919499999999999</v>
      </c>
      <c r="EB221" s="9">
        <v>173.9639</v>
      </c>
      <c r="EC221" s="9">
        <v>-151.62200000000001</v>
      </c>
      <c r="ED221" s="9">
        <v>-84.094499999999996</v>
      </c>
      <c r="EE221" s="9">
        <v>22.833020000000001</v>
      </c>
      <c r="EF221" s="9">
        <v>8.7579049999999992</v>
      </c>
      <c r="EG221" s="9">
        <v>-50.2971</v>
      </c>
      <c r="EH221" s="9">
        <v>-112.205</v>
      </c>
      <c r="EI221" s="9">
        <v>23.356770000000001</v>
      </c>
      <c r="EJ221" s="9">
        <v>2.8481930000000002</v>
      </c>
      <c r="EK221" s="9">
        <v>35.7029</v>
      </c>
      <c r="EL221" s="9">
        <v>-24.8779</v>
      </c>
      <c r="EM221" s="9">
        <v>-4.7424499999999998</v>
      </c>
      <c r="EN221" s="9">
        <v>2980.2</v>
      </c>
      <c r="EO221" s="9"/>
      <c r="EP221" s="9"/>
      <c r="EQ221" s="9"/>
      <c r="ER221" s="9"/>
      <c r="ES221" s="9"/>
      <c r="ET221" s="9"/>
      <c r="EU221">
        <v>2394.6452380952001</v>
      </c>
      <c r="EV221" s="9"/>
      <c r="EW221" s="9"/>
      <c r="EX221" s="9"/>
      <c r="EY221" s="9"/>
      <c r="EZ221" s="9"/>
      <c r="FA221" s="9"/>
      <c r="FB221" s="9">
        <v>99.223392857099995</v>
      </c>
      <c r="FC221" s="9">
        <v>71.627619047600007</v>
      </c>
      <c r="FD221" s="9">
        <v>6851.5124999999998</v>
      </c>
      <c r="FE221" s="9">
        <v>66.333333333300004</v>
      </c>
      <c r="FF221" s="9">
        <v>1334.74</v>
      </c>
      <c r="FG221" s="9">
        <v>14355813.5</v>
      </c>
      <c r="FH221" s="9">
        <v>974174.2</v>
      </c>
      <c r="FI221" s="9">
        <v>1200334</v>
      </c>
      <c r="FJ221" s="9">
        <v>7126228.2999999998</v>
      </c>
      <c r="FK221" s="9">
        <v>139773.20000000001</v>
      </c>
      <c r="FL221" s="9">
        <v>217276.9</v>
      </c>
      <c r="FM221" s="9">
        <v>912546.34</v>
      </c>
      <c r="FN221" s="9">
        <v>28833.1</v>
      </c>
      <c r="FO221" s="9">
        <v>85366.17</v>
      </c>
      <c r="FP221" s="9">
        <v>3189835.4</v>
      </c>
      <c r="FQ221" s="9">
        <v>148139.1</v>
      </c>
      <c r="FR221" s="9">
        <v>228251.5</v>
      </c>
      <c r="FS221" s="9">
        <v>472643</v>
      </c>
      <c r="FT221" s="9">
        <v>7225766.9900000002</v>
      </c>
      <c r="FU221" s="9">
        <v>834401.01</v>
      </c>
      <c r="FV221" s="9">
        <v>979238.98000000021</v>
      </c>
      <c r="FW221" s="9">
        <v>1768179.54</v>
      </c>
      <c r="FX221" s="9">
        <v>135690.26</v>
      </c>
      <c r="FY221" s="9">
        <v>274040.99</v>
      </c>
      <c r="FZ221" s="9">
        <v>151576.32000000001</v>
      </c>
      <c r="GA221" s="9">
        <v>14185416.050000001</v>
      </c>
      <c r="GB221" s="9">
        <v>4006161.18</v>
      </c>
      <c r="GC221" s="9">
        <v>10179254.869999999</v>
      </c>
      <c r="GD221" s="9">
        <v>10193000.24</v>
      </c>
      <c r="GE221" s="9">
        <v>915360.02</v>
      </c>
      <c r="GF221" s="9">
        <v>9277640.2200000007</v>
      </c>
      <c r="GG221" s="9">
        <v>3992415.81</v>
      </c>
      <c r="GH221" s="9">
        <v>3090801.16</v>
      </c>
      <c r="GI221" s="9">
        <v>901614.65</v>
      </c>
      <c r="GJ221" s="9">
        <v>3677879.58</v>
      </c>
      <c r="GK221" s="9">
        <v>28881588.41</v>
      </c>
      <c r="GL221" s="9">
        <v>3224113.39</v>
      </c>
      <c r="GM221">
        <v>2402.86</v>
      </c>
      <c r="GO221" s="6"/>
      <c r="GP221" s="6"/>
      <c r="GQ221" s="6"/>
    </row>
    <row r="222" spans="1:199" x14ac:dyDescent="0.2">
      <c r="A222" s="8">
        <v>2018</v>
      </c>
      <c r="B222" s="8" t="s">
        <v>491</v>
      </c>
      <c r="C222" s="8" t="s">
        <v>493</v>
      </c>
      <c r="D222" s="9"/>
      <c r="E222" s="9"/>
      <c r="F222" s="9"/>
      <c r="G222" s="9"/>
      <c r="H222" s="9"/>
      <c r="I222" s="9"/>
      <c r="J222" s="9"/>
      <c r="K222" s="9"/>
      <c r="L222" s="9"/>
      <c r="M222" s="9"/>
      <c r="N222" s="9"/>
      <c r="O222" s="9"/>
      <c r="P222" s="9"/>
      <c r="Q222" s="9"/>
      <c r="R222" s="9"/>
      <c r="S222" s="9"/>
      <c r="T222" s="9"/>
      <c r="U222" s="9"/>
      <c r="V222" s="9"/>
      <c r="W222" s="9"/>
      <c r="X222" s="9"/>
      <c r="Y222" s="9"/>
      <c r="Z222" s="9"/>
      <c r="AA222" s="9"/>
      <c r="AB222" s="9"/>
      <c r="AC222" s="9"/>
      <c r="AD222" s="9"/>
      <c r="AE222" s="9"/>
      <c r="AF222" s="9"/>
      <c r="AG222" s="9"/>
      <c r="AH222" s="9"/>
      <c r="AI222" s="9"/>
      <c r="AJ222" s="9"/>
      <c r="AK222" s="9"/>
      <c r="AL222" s="9"/>
      <c r="AM222" s="9"/>
      <c r="AN222" s="9"/>
      <c r="AO222" s="9"/>
      <c r="AP222" s="9"/>
      <c r="AQ222" s="9"/>
      <c r="AR222" s="9"/>
      <c r="AS222" s="9"/>
      <c r="AT222" s="9"/>
      <c r="AU222" s="9"/>
      <c r="AV222" s="9"/>
      <c r="AW222" s="9"/>
      <c r="AX222" s="9"/>
      <c r="AY222" s="9"/>
      <c r="AZ222" s="9"/>
      <c r="BA222" s="9"/>
      <c r="BB222" s="9"/>
      <c r="BC222" s="9"/>
      <c r="BD222" s="9"/>
      <c r="BE222" s="9"/>
      <c r="BF222" s="9"/>
      <c r="BG222" s="9"/>
      <c r="BH222" s="9"/>
      <c r="BI222" s="9"/>
      <c r="BJ222" s="9"/>
      <c r="BK222" s="9"/>
      <c r="BL222" s="9"/>
      <c r="BM222" s="9"/>
      <c r="BN222" s="9">
        <v>874640.8</v>
      </c>
      <c r="BO222" s="9">
        <v>726333.2</v>
      </c>
      <c r="BP222" s="9">
        <v>185772</v>
      </c>
      <c r="BQ222" s="9">
        <v>92651.199999999997</v>
      </c>
      <c r="BR222" s="9">
        <v>100910.3</v>
      </c>
      <c r="BS222" s="9">
        <v>122819.4</v>
      </c>
      <c r="BT222" s="9">
        <v>211558.3</v>
      </c>
      <c r="BU222" s="9">
        <v>64251.4</v>
      </c>
      <c r="BV222" s="9">
        <v>86560.9</v>
      </c>
      <c r="BW222" s="9">
        <v>668460</v>
      </c>
      <c r="BX222" s="9">
        <v>68079.100000000006</v>
      </c>
      <c r="BY222" s="9">
        <v>123566.6</v>
      </c>
      <c r="BZ222" s="9">
        <v>149461.29999999999</v>
      </c>
      <c r="CA222" s="9">
        <v>109254</v>
      </c>
      <c r="CB222" s="9">
        <v>19098.099999999999</v>
      </c>
      <c r="CC222" s="9">
        <v>267080</v>
      </c>
      <c r="CD222" s="9">
        <v>20546.900000000001</v>
      </c>
      <c r="CE222" s="9">
        <v>129097.7</v>
      </c>
      <c r="CF222" s="9">
        <v>3201395.5647405209</v>
      </c>
      <c r="CG222" s="9">
        <v>17045319.3265181</v>
      </c>
      <c r="CH222" s="9">
        <v>11.932960183600001</v>
      </c>
      <c r="CI222" s="9">
        <v>5.9665837631</v>
      </c>
      <c r="CJ222" s="9">
        <v>18.6981097464</v>
      </c>
      <c r="CK222" s="9">
        <v>10.1121645145</v>
      </c>
      <c r="CL222" s="9">
        <v>10</v>
      </c>
      <c r="CM222" s="9">
        <v>112.0177718354</v>
      </c>
      <c r="CN222" s="9">
        <v>29.706210231099998</v>
      </c>
      <c r="CO222" s="9">
        <v>4.9008200448999997</v>
      </c>
      <c r="CP222" s="9">
        <v>17.951625568200001</v>
      </c>
      <c r="CQ222" s="9">
        <v>10.813562904599999</v>
      </c>
      <c r="CR222" s="9">
        <v>5.4827239614999996</v>
      </c>
      <c r="CS222" s="9">
        <v>4.2094760665999997</v>
      </c>
      <c r="CT222" s="9">
        <v>16.175972895299999</v>
      </c>
      <c r="CU222" s="9">
        <v>4.2744808488999997</v>
      </c>
      <c r="CV222" s="9">
        <v>3.306443738</v>
      </c>
      <c r="CW222" s="9">
        <v>5.8865054258000002</v>
      </c>
      <c r="CX222" s="9">
        <v>3.2040876155000002</v>
      </c>
      <c r="CY222" s="9">
        <v>6.1058625351</v>
      </c>
      <c r="CZ222" s="9">
        <v>760</v>
      </c>
      <c r="DA222" s="9">
        <v>627</v>
      </c>
      <c r="DB222" s="9">
        <v>0</v>
      </c>
      <c r="DC222" s="9">
        <v>196</v>
      </c>
      <c r="DD222" s="9">
        <v>39</v>
      </c>
      <c r="DE222" s="9">
        <v>18</v>
      </c>
      <c r="DF222" s="9">
        <v>314</v>
      </c>
      <c r="DG222" s="9">
        <v>38</v>
      </c>
      <c r="DH222" s="9">
        <v>94</v>
      </c>
      <c r="DI222" s="9">
        <v>4</v>
      </c>
      <c r="DJ222" s="9">
        <v>2</v>
      </c>
      <c r="DK222" s="9">
        <v>85</v>
      </c>
      <c r="DL222" s="9">
        <v>1</v>
      </c>
      <c r="DM222" s="9">
        <v>38</v>
      </c>
      <c r="DN222" s="9">
        <v>0</v>
      </c>
      <c r="DO222" s="9">
        <v>596.62</v>
      </c>
      <c r="DP222" s="9">
        <v>146.11000000000001</v>
      </c>
      <c r="DQ222" s="9">
        <v>74.760000000000005</v>
      </c>
      <c r="DR222" s="9">
        <v>71.349999999999994</v>
      </c>
      <c r="DS222" s="9">
        <v>66.56</v>
      </c>
      <c r="DT222" s="9">
        <v>11.59</v>
      </c>
      <c r="DU222" s="9">
        <v>294.47000000000003</v>
      </c>
      <c r="DV222" s="9">
        <v>176.28</v>
      </c>
      <c r="DW222" s="9">
        <v>98.13</v>
      </c>
      <c r="DX222" s="9">
        <v>88.64</v>
      </c>
      <c r="DY222" s="9">
        <v>42.09</v>
      </c>
      <c r="DZ222" s="9">
        <v>21.21</v>
      </c>
      <c r="EA222" s="9">
        <v>-116.58</v>
      </c>
      <c r="EB222" s="9">
        <v>94.992289999999997</v>
      </c>
      <c r="EC222" s="9">
        <v>-135.93299999999999</v>
      </c>
      <c r="ED222" s="9">
        <v>-97.164900000000003</v>
      </c>
      <c r="EE222" s="9">
        <v>21.525459999999999</v>
      </c>
      <c r="EF222" s="9">
        <v>6.6178480000000004</v>
      </c>
      <c r="EG222" s="9">
        <v>-307.91699999999997</v>
      </c>
      <c r="EH222" s="9">
        <v>-154.46700000000001</v>
      </c>
      <c r="EI222" s="9">
        <v>37.985149999999997</v>
      </c>
      <c r="EJ222" s="9">
        <v>-22.355899999999998</v>
      </c>
      <c r="EK222" s="9">
        <v>-169.08</v>
      </c>
      <c r="EL222" s="9">
        <v>50.731870000000001</v>
      </c>
      <c r="EM222" s="9">
        <v>248.68729999999999</v>
      </c>
      <c r="EN222" s="9">
        <v>3256.3</v>
      </c>
      <c r="EO222" s="9"/>
      <c r="EP222" s="9"/>
      <c r="EQ222" s="9"/>
      <c r="ER222" s="9"/>
      <c r="ES222" s="9"/>
      <c r="ET222" s="9"/>
      <c r="EU222">
        <v>2405.1913043477998</v>
      </c>
      <c r="EV222" s="9"/>
      <c r="EW222" s="9"/>
      <c r="EX222" s="9"/>
      <c r="EY222" s="9"/>
      <c r="EZ222" s="9"/>
      <c r="FA222" s="9"/>
      <c r="FB222" s="9">
        <v>109.375</v>
      </c>
      <c r="FC222" s="9">
        <v>76.646956521700005</v>
      </c>
      <c r="FD222" s="9">
        <v>6825.2738095238001</v>
      </c>
      <c r="FE222" s="9">
        <v>66.630434782600005</v>
      </c>
      <c r="FF222" s="9">
        <v>1303.0261904762001</v>
      </c>
      <c r="FG222" s="9">
        <v>14859731.300000001</v>
      </c>
      <c r="FH222" s="9">
        <v>936518.4</v>
      </c>
      <c r="FI222" s="9">
        <v>1213480.7</v>
      </c>
      <c r="FJ222" s="9">
        <v>7329958.7000000002</v>
      </c>
      <c r="FK222" s="9">
        <v>128021.7</v>
      </c>
      <c r="FL222" s="9">
        <v>224961.9</v>
      </c>
      <c r="FM222" s="9">
        <v>963580.95</v>
      </c>
      <c r="FN222" s="9">
        <v>22552.11</v>
      </c>
      <c r="FO222" s="9">
        <v>89429.49</v>
      </c>
      <c r="FP222" s="9">
        <v>3292188.1</v>
      </c>
      <c r="FQ222" s="9">
        <v>157941.6</v>
      </c>
      <c r="FR222" s="9">
        <v>248043.8</v>
      </c>
      <c r="FS222" s="9">
        <v>450573.6</v>
      </c>
      <c r="FT222" s="9">
        <v>7523986.5199999986</v>
      </c>
      <c r="FU222" s="9">
        <v>808496.67</v>
      </c>
      <c r="FV222" s="9">
        <v>982732.66</v>
      </c>
      <c r="FW222" s="9">
        <v>1885628.52</v>
      </c>
      <c r="FX222" s="9">
        <v>107331.63</v>
      </c>
      <c r="FY222" s="9">
        <v>283815.55</v>
      </c>
      <c r="FZ222" s="9">
        <v>152202.69</v>
      </c>
      <c r="GA222" s="9">
        <v>15029810.51</v>
      </c>
      <c r="GB222" s="9">
        <v>4568036.63</v>
      </c>
      <c r="GC222" s="9">
        <v>10461773.880000001</v>
      </c>
      <c r="GD222" s="9">
        <v>10513402.73</v>
      </c>
      <c r="GE222" s="9">
        <v>1019717.62</v>
      </c>
      <c r="GF222" s="9">
        <v>9493685.1099999994</v>
      </c>
      <c r="GG222" s="9">
        <v>4516407.78</v>
      </c>
      <c r="GH222" s="9">
        <v>3548319.01</v>
      </c>
      <c r="GI222" s="9">
        <v>968088.77</v>
      </c>
      <c r="GJ222" s="9">
        <v>3674435.08</v>
      </c>
      <c r="GK222" s="9">
        <v>29823306.390000001</v>
      </c>
      <c r="GL222" s="9">
        <v>3266874.83</v>
      </c>
      <c r="GM222">
        <v>2409.8000000000002</v>
      </c>
      <c r="GO222" s="6"/>
      <c r="GP222" s="6"/>
      <c r="GQ222" s="6"/>
    </row>
    <row r="223" spans="1:199" x14ac:dyDescent="0.2">
      <c r="A223" s="8">
        <v>2018</v>
      </c>
      <c r="B223" s="8" t="s">
        <v>491</v>
      </c>
      <c r="C223" s="8" t="s">
        <v>494</v>
      </c>
      <c r="D223" s="9">
        <v>8689394.5999999996</v>
      </c>
      <c r="E223" s="9">
        <v>1830679.7</v>
      </c>
      <c r="F223" s="9">
        <v>1717062.3</v>
      </c>
      <c r="G223" s="9">
        <v>562354.9</v>
      </c>
      <c r="H223" s="9">
        <v>166350.79999999999</v>
      </c>
      <c r="I223" s="9">
        <v>261376.9</v>
      </c>
      <c r="J223" s="9">
        <v>606731.30000000005</v>
      </c>
      <c r="K223" s="9">
        <v>398588.8</v>
      </c>
      <c r="L223" s="9">
        <v>124822.39999999999</v>
      </c>
      <c r="M223" s="9">
        <v>2051896.7</v>
      </c>
      <c r="N223" s="9">
        <v>969530.8</v>
      </c>
      <c r="O223" s="9">
        <v>7225590.3119999999</v>
      </c>
      <c r="P223" s="9">
        <v>1592916.7379999999</v>
      </c>
      <c r="Q223" s="9">
        <v>873106.147</v>
      </c>
      <c r="R223" s="9">
        <v>476779.13099999999</v>
      </c>
      <c r="S223" s="9">
        <v>126671.43399999999</v>
      </c>
      <c r="T223" s="9">
        <v>229715.28400000001</v>
      </c>
      <c r="U223" s="9">
        <v>682275.91799999995</v>
      </c>
      <c r="V223" s="9">
        <v>257755.94899999999</v>
      </c>
      <c r="W223" s="9">
        <v>135569.35999999999</v>
      </c>
      <c r="X223" s="9">
        <v>1869903.43</v>
      </c>
      <c r="Y223" s="9">
        <v>980896.91899999999</v>
      </c>
      <c r="Z223" s="9">
        <v>8517119.6999999993</v>
      </c>
      <c r="AA223" s="9">
        <v>4314474.5999999996</v>
      </c>
      <c r="AB223" s="9">
        <v>974607.2</v>
      </c>
      <c r="AC223" s="9">
        <v>2406113.5</v>
      </c>
      <c r="AD223" s="9">
        <v>902474.8</v>
      </c>
      <c r="AE223" s="9">
        <v>5334213.9000000004</v>
      </c>
      <c r="AF223" s="9">
        <v>5414764.4000000004</v>
      </c>
      <c r="AG223" s="9">
        <v>6824740.2000000002</v>
      </c>
      <c r="AH223" s="9">
        <v>4081621.9</v>
      </c>
      <c r="AI223" s="9">
        <v>1008596.1</v>
      </c>
      <c r="AJ223" s="9">
        <v>1958345</v>
      </c>
      <c r="AK223" s="9">
        <v>672502.3</v>
      </c>
      <c r="AL223" s="9">
        <v>3714904.4</v>
      </c>
      <c r="AM223" s="9">
        <v>4611229.5</v>
      </c>
      <c r="AN223" s="9">
        <v>1274650</v>
      </c>
      <c r="AO223" s="9">
        <v>683191</v>
      </c>
      <c r="AP223" s="9">
        <v>591459</v>
      </c>
      <c r="AQ223" s="9">
        <v>104095</v>
      </c>
      <c r="AR223" s="9">
        <v>59811</v>
      </c>
      <c r="AS223" s="9">
        <v>44284</v>
      </c>
      <c r="AT223" s="9">
        <v>880711</v>
      </c>
      <c r="AU223" s="9">
        <v>325875</v>
      </c>
      <c r="AV223" s="9">
        <v>554836</v>
      </c>
      <c r="AW223" s="9">
        <v>1025.5999999999999</v>
      </c>
      <c r="AX223" s="9">
        <v>758.5</v>
      </c>
      <c r="AY223" s="9">
        <v>2467.6999999999998</v>
      </c>
      <c r="AZ223" s="9">
        <v>1163.5999999999999</v>
      </c>
      <c r="BA223" s="9">
        <v>1402.1</v>
      </c>
      <c r="BB223" s="9">
        <v>733.1</v>
      </c>
      <c r="BC223" s="9">
        <v>966.5</v>
      </c>
      <c r="BD223" s="9">
        <v>847</v>
      </c>
      <c r="BE223" s="9">
        <v>1083.8</v>
      </c>
      <c r="BF223" s="9">
        <v>653.20000000000005</v>
      </c>
      <c r="BG223" s="9">
        <v>1029.5</v>
      </c>
      <c r="BH223" s="9">
        <v>1193.8</v>
      </c>
      <c r="BI223" s="9">
        <v>1041.5999999999999</v>
      </c>
      <c r="BJ223" s="9">
        <v>782.9</v>
      </c>
      <c r="BK223" s="9">
        <v>807.2</v>
      </c>
      <c r="BL223" s="9">
        <v>612.6</v>
      </c>
      <c r="BM223" s="9">
        <v>878</v>
      </c>
      <c r="BN223" s="9">
        <v>891969.4</v>
      </c>
      <c r="BO223" s="9">
        <v>710489.7</v>
      </c>
      <c r="BP223" s="9">
        <v>157341.20000000001</v>
      </c>
      <c r="BQ223" s="9">
        <v>84933.5</v>
      </c>
      <c r="BR223" s="9">
        <v>73738.899999999994</v>
      </c>
      <c r="BS223" s="9">
        <v>142519.20000000001</v>
      </c>
      <c r="BT223" s="9">
        <v>197477.8</v>
      </c>
      <c r="BU223" s="9">
        <v>66836.100000000006</v>
      </c>
      <c r="BV223" s="9">
        <v>122131.1</v>
      </c>
      <c r="BW223" s="9">
        <v>690472.5</v>
      </c>
      <c r="BX223" s="9">
        <v>97016.7</v>
      </c>
      <c r="BY223" s="9">
        <v>122731.6</v>
      </c>
      <c r="BZ223" s="9">
        <v>207482.6</v>
      </c>
      <c r="CA223" s="9">
        <v>113580.2</v>
      </c>
      <c r="CB223" s="9">
        <v>18226.7</v>
      </c>
      <c r="CC223" s="9">
        <v>228451.5</v>
      </c>
      <c r="CD223" s="9">
        <v>-6918.7</v>
      </c>
      <c r="CE223" s="9">
        <v>77634.8</v>
      </c>
      <c r="CF223" s="9">
        <v>3352765.919882712</v>
      </c>
      <c r="CG223" s="9">
        <v>17342874.461994</v>
      </c>
      <c r="CH223" s="9">
        <v>10.829130176</v>
      </c>
      <c r="CI223" s="9">
        <v>5.5542554263000001</v>
      </c>
      <c r="CJ223" s="9">
        <v>17.997649174599999</v>
      </c>
      <c r="CK223" s="9">
        <v>10.177364199199999</v>
      </c>
      <c r="CL223" s="9">
        <v>10</v>
      </c>
      <c r="CM223" s="9">
        <v>112.5506514297</v>
      </c>
      <c r="CN223" s="9">
        <v>30.034227408700001</v>
      </c>
      <c r="CO223" s="9">
        <v>4.9176357410999998</v>
      </c>
      <c r="CP223" s="9">
        <v>17.8769033869</v>
      </c>
      <c r="CQ223" s="9">
        <v>10.8581748215</v>
      </c>
      <c r="CR223" s="9">
        <v>5.4969542906999997</v>
      </c>
      <c r="CS223" s="9">
        <v>4.2564280721000003</v>
      </c>
      <c r="CT223" s="9">
        <v>16.185050075700001</v>
      </c>
      <c r="CU223" s="9">
        <v>4.2651604123000002</v>
      </c>
      <c r="CV223" s="9">
        <v>3.3897894037</v>
      </c>
      <c r="CW223" s="9">
        <v>5.8864891033999998</v>
      </c>
      <c r="CX223" s="9">
        <v>3.2283448907999999</v>
      </c>
      <c r="CY223" s="9">
        <v>6.1554938226000004</v>
      </c>
      <c r="CZ223" s="9">
        <v>696</v>
      </c>
      <c r="DA223" s="9">
        <v>594</v>
      </c>
      <c r="DB223" s="9">
        <v>0</v>
      </c>
      <c r="DC223" s="9">
        <v>191</v>
      </c>
      <c r="DD223" s="9">
        <v>25</v>
      </c>
      <c r="DE223" s="9">
        <v>15</v>
      </c>
      <c r="DF223" s="9">
        <v>301</v>
      </c>
      <c r="DG223" s="9">
        <v>35</v>
      </c>
      <c r="DH223" s="9">
        <v>78</v>
      </c>
      <c r="DI223" s="9">
        <v>4</v>
      </c>
      <c r="DJ223" s="9">
        <v>1</v>
      </c>
      <c r="DK223" s="9">
        <v>71</v>
      </c>
      <c r="DL223" s="9">
        <v>1</v>
      </c>
      <c r="DM223" s="9">
        <v>23</v>
      </c>
      <c r="DN223" s="9">
        <v>0</v>
      </c>
      <c r="DO223" s="9">
        <v>537.66</v>
      </c>
      <c r="DP223" s="9">
        <v>154.94</v>
      </c>
      <c r="DQ223" s="9">
        <v>77.2</v>
      </c>
      <c r="DR223" s="9">
        <v>77.73</v>
      </c>
      <c r="DS223" s="9">
        <v>63.41</v>
      </c>
      <c r="DT223" s="9">
        <v>11.87</v>
      </c>
      <c r="DU223" s="9">
        <v>216.58</v>
      </c>
      <c r="DV223" s="9">
        <v>128.66999999999999</v>
      </c>
      <c r="DW223" s="9">
        <v>74.59</v>
      </c>
      <c r="DX223" s="9">
        <v>102.52</v>
      </c>
      <c r="DY223" s="9">
        <v>46.31</v>
      </c>
      <c r="DZ223" s="9">
        <v>24.3</v>
      </c>
      <c r="EA223" s="9">
        <v>-223.411</v>
      </c>
      <c r="EB223" s="9">
        <v>86.486770000000007</v>
      </c>
      <c r="EC223" s="9">
        <v>-147.904</v>
      </c>
      <c r="ED223" s="9">
        <v>-185.26900000000001</v>
      </c>
      <c r="EE223" s="9">
        <v>23.275839999999999</v>
      </c>
      <c r="EF223" s="9">
        <v>11.34939</v>
      </c>
      <c r="EG223" s="9">
        <v>3.3543210000000001</v>
      </c>
      <c r="EH223" s="9">
        <v>-264.42599999999999</v>
      </c>
      <c r="EI223" s="9">
        <v>177.10890000000001</v>
      </c>
      <c r="EJ223" s="9">
        <v>-21.0853</v>
      </c>
      <c r="EK223" s="9">
        <v>111.7567</v>
      </c>
      <c r="EL223" s="9">
        <v>-158.29900000000001</v>
      </c>
      <c r="EM223" s="9">
        <v>-373.71499999999997</v>
      </c>
      <c r="EN223" s="9">
        <v>2989.4</v>
      </c>
      <c r="EO223" s="9"/>
      <c r="EP223" s="9"/>
      <c r="EQ223" s="9"/>
      <c r="ER223" s="9"/>
      <c r="ES223" s="9"/>
      <c r="ET223" s="9"/>
      <c r="EU223">
        <v>2432.2979999999998</v>
      </c>
      <c r="EV223" s="9">
        <v>27660.97</v>
      </c>
      <c r="EW223" s="9">
        <v>6929.3</v>
      </c>
      <c r="EX223" s="9">
        <v>2064.6999999999998</v>
      </c>
      <c r="EY223" s="9">
        <v>2310.7800000000002</v>
      </c>
      <c r="EZ223" s="9">
        <v>7895.49</v>
      </c>
      <c r="FA223" s="9">
        <v>8460.7000000000007</v>
      </c>
      <c r="FB223" s="9">
        <v>121.5244897959</v>
      </c>
      <c r="FC223" s="9">
        <v>75.191428571399996</v>
      </c>
      <c r="FD223" s="9">
        <v>6965.8571428571004</v>
      </c>
      <c r="FE223" s="9">
        <v>66.857142857100001</v>
      </c>
      <c r="FF223" s="9">
        <v>1281.5666666667</v>
      </c>
      <c r="FG223" s="9">
        <v>15277098.199999999</v>
      </c>
      <c r="FH223" s="9">
        <v>825291</v>
      </c>
      <c r="FI223" s="9">
        <v>1310331.8999999999</v>
      </c>
      <c r="FJ223" s="9">
        <v>7470652.9000000004</v>
      </c>
      <c r="FK223" s="9">
        <v>119821.5</v>
      </c>
      <c r="FL223" s="9">
        <v>220574</v>
      </c>
      <c r="FM223" s="9">
        <v>1027999.65</v>
      </c>
      <c r="FN223" s="9">
        <v>19664.650000000001</v>
      </c>
      <c r="FO223" s="9">
        <v>88677.36</v>
      </c>
      <c r="FP223" s="9">
        <v>3379352</v>
      </c>
      <c r="FQ223" s="9">
        <v>161162.29999999999</v>
      </c>
      <c r="FR223" s="9">
        <v>268191.3</v>
      </c>
      <c r="FS223" s="9">
        <v>461779.8</v>
      </c>
      <c r="FT223" s="9">
        <v>7800717.0700000003</v>
      </c>
      <c r="FU223" s="9">
        <v>705469.52</v>
      </c>
      <c r="FV223" s="9">
        <v>1084029.6100000001</v>
      </c>
      <c r="FW223" s="9">
        <v>2005940.64</v>
      </c>
      <c r="FX223" s="9">
        <v>92721.26</v>
      </c>
      <c r="FY223" s="9">
        <v>285880</v>
      </c>
      <c r="FZ223" s="9">
        <v>156231.93</v>
      </c>
      <c r="GA223" s="9">
        <v>15464343.699999999</v>
      </c>
      <c r="GB223" s="9">
        <v>4742107.8900000006</v>
      </c>
      <c r="GC223" s="9">
        <v>10722235.810000001</v>
      </c>
      <c r="GD223" s="9">
        <v>10804240.720000001</v>
      </c>
      <c r="GE223" s="9">
        <v>1080194.6100000001</v>
      </c>
      <c r="GF223" s="9">
        <v>9724046.1099999994</v>
      </c>
      <c r="GG223" s="9">
        <v>4660102.9800000004</v>
      </c>
      <c r="GH223" s="9">
        <v>3661913.28</v>
      </c>
      <c r="GI223" s="9">
        <v>998189.7</v>
      </c>
      <c r="GJ223" s="9">
        <v>3702409.93</v>
      </c>
      <c r="GK223" s="9">
        <v>30258805.300000001</v>
      </c>
      <c r="GL223" s="9">
        <v>3180392.56</v>
      </c>
      <c r="GM223">
        <v>2462.8200000000002</v>
      </c>
      <c r="GO223" s="6"/>
      <c r="GP223" s="6"/>
      <c r="GQ223" s="6"/>
    </row>
    <row r="224" spans="1:199" x14ac:dyDescent="0.2">
      <c r="A224" s="8">
        <v>2018</v>
      </c>
      <c r="B224" s="8" t="s">
        <v>495</v>
      </c>
      <c r="C224" s="8" t="s">
        <v>496</v>
      </c>
      <c r="D224" s="9"/>
      <c r="E224" s="9"/>
      <c r="F224" s="9"/>
      <c r="G224" s="9"/>
      <c r="H224" s="9"/>
      <c r="I224" s="9"/>
      <c r="J224" s="9"/>
      <c r="K224" s="9"/>
      <c r="L224" s="9"/>
      <c r="M224" s="9"/>
      <c r="N224" s="9"/>
      <c r="O224" s="9"/>
      <c r="P224" s="9"/>
      <c r="Q224" s="9"/>
      <c r="R224" s="9"/>
      <c r="S224" s="9"/>
      <c r="T224" s="9"/>
      <c r="U224" s="9"/>
      <c r="V224" s="9"/>
      <c r="W224" s="9"/>
      <c r="X224" s="9"/>
      <c r="Y224" s="9"/>
      <c r="Z224" s="9"/>
      <c r="AA224" s="9"/>
      <c r="AB224" s="9"/>
      <c r="AC224" s="9"/>
      <c r="AD224" s="9"/>
      <c r="AE224" s="9"/>
      <c r="AF224" s="9"/>
      <c r="AG224" s="9"/>
      <c r="AH224" s="9"/>
      <c r="AI224" s="9"/>
      <c r="AJ224" s="9"/>
      <c r="AK224" s="9"/>
      <c r="AL224" s="9"/>
      <c r="AM224" s="9"/>
      <c r="AN224" s="9"/>
      <c r="AO224" s="9"/>
      <c r="AP224" s="9"/>
      <c r="AQ224" s="9"/>
      <c r="AR224" s="9"/>
      <c r="AS224" s="9"/>
      <c r="AT224" s="9"/>
      <c r="AU224" s="9"/>
      <c r="AV224" s="9"/>
      <c r="AW224" s="9"/>
      <c r="AX224" s="9"/>
      <c r="AY224" s="9"/>
      <c r="AZ224" s="9"/>
      <c r="BA224" s="9"/>
      <c r="BB224" s="9"/>
      <c r="BC224" s="9"/>
      <c r="BD224" s="9"/>
      <c r="BE224" s="9"/>
      <c r="BF224" s="9"/>
      <c r="BG224" s="9"/>
      <c r="BH224" s="9"/>
      <c r="BI224" s="9"/>
      <c r="BJ224" s="9"/>
      <c r="BK224" s="9"/>
      <c r="BL224" s="9"/>
      <c r="BM224" s="9"/>
      <c r="BN224" s="9">
        <v>1068410.2</v>
      </c>
      <c r="BO224" s="9">
        <v>811218.6</v>
      </c>
      <c r="BP224" s="9">
        <v>236632.4</v>
      </c>
      <c r="BQ224" s="9">
        <v>165618.29999999999</v>
      </c>
      <c r="BR224" s="9">
        <v>71667.5</v>
      </c>
      <c r="BS224" s="9">
        <v>146173.5</v>
      </c>
      <c r="BT224" s="9">
        <v>195188.5</v>
      </c>
      <c r="BU224" s="9">
        <v>72894.8</v>
      </c>
      <c r="BV224" s="9">
        <v>102817.4</v>
      </c>
      <c r="BW224" s="9">
        <v>464358.8</v>
      </c>
      <c r="BX224" s="9">
        <v>4880.5</v>
      </c>
      <c r="BY224" s="9">
        <v>79337.100000000006</v>
      </c>
      <c r="BZ224" s="9">
        <v>123901.8</v>
      </c>
      <c r="CA224" s="9">
        <v>35219.5</v>
      </c>
      <c r="CB224" s="9">
        <v>8560.6</v>
      </c>
      <c r="CC224" s="9">
        <v>217339.8</v>
      </c>
      <c r="CD224" s="9">
        <v>2570.5</v>
      </c>
      <c r="CE224" s="9">
        <v>166411.1</v>
      </c>
      <c r="CF224" s="9">
        <v>3090154.6825762722</v>
      </c>
      <c r="CG224" s="9">
        <v>17211715.522018589</v>
      </c>
      <c r="CH224" s="9">
        <v>10.6808145151</v>
      </c>
      <c r="CI224" s="9">
        <v>5.6475891325000003</v>
      </c>
      <c r="CJ224" s="9">
        <v>17.7626150426</v>
      </c>
      <c r="CK224" s="9">
        <v>10.435388920499999</v>
      </c>
      <c r="CL224" s="9">
        <v>10</v>
      </c>
      <c r="CM224" s="9">
        <v>113.152554522</v>
      </c>
      <c r="CN224" s="9">
        <v>30.140135248100002</v>
      </c>
      <c r="CO224" s="9">
        <v>4.9637405654000002</v>
      </c>
      <c r="CP224" s="9">
        <v>17.959236238199999</v>
      </c>
      <c r="CQ224" s="9">
        <v>10.8502057026</v>
      </c>
      <c r="CR224" s="9">
        <v>5.5095427515999997</v>
      </c>
      <c r="CS224" s="9">
        <v>4.2940493057999998</v>
      </c>
      <c r="CT224" s="9">
        <v>16.4256392773</v>
      </c>
      <c r="CU224" s="9">
        <v>4.2642357378</v>
      </c>
      <c r="CV224" s="9">
        <v>3.4420975529</v>
      </c>
      <c r="CW224" s="9">
        <v>5.8871382784000001</v>
      </c>
      <c r="CX224" s="9">
        <v>3.2513789184999999</v>
      </c>
      <c r="CY224" s="9">
        <v>6.1651549455000003</v>
      </c>
      <c r="CZ224" s="9">
        <v>535</v>
      </c>
      <c r="DA224" s="9">
        <v>472</v>
      </c>
      <c r="DB224" s="9">
        <v>0</v>
      </c>
      <c r="DC224" s="9">
        <v>162</v>
      </c>
      <c r="DD224" s="9">
        <v>25</v>
      </c>
      <c r="DE224" s="9">
        <v>16</v>
      </c>
      <c r="DF224" s="9">
        <v>206</v>
      </c>
      <c r="DG224" s="9">
        <v>39</v>
      </c>
      <c r="DH224" s="9">
        <v>47</v>
      </c>
      <c r="DI224" s="9">
        <v>3</v>
      </c>
      <c r="DJ224" s="9">
        <v>1</v>
      </c>
      <c r="DK224" s="9">
        <v>39</v>
      </c>
      <c r="DL224" s="9">
        <v>1</v>
      </c>
      <c r="DM224" s="9">
        <v>16</v>
      </c>
      <c r="DN224" s="9">
        <v>0</v>
      </c>
      <c r="DO224" s="9">
        <v>548.86</v>
      </c>
      <c r="DP224" s="9">
        <v>156.43</v>
      </c>
      <c r="DQ224" s="9">
        <v>77.209999999999994</v>
      </c>
      <c r="DR224" s="9">
        <v>79.22</v>
      </c>
      <c r="DS224" s="9">
        <v>71.760000000000005</v>
      </c>
      <c r="DT224" s="9">
        <v>12.64</v>
      </c>
      <c r="DU224" s="9">
        <v>204.47</v>
      </c>
      <c r="DV224" s="9">
        <v>123.69</v>
      </c>
      <c r="DW224" s="9">
        <v>61.74</v>
      </c>
      <c r="DX224" s="9">
        <v>115.89</v>
      </c>
      <c r="DY224" s="9">
        <v>63.68</v>
      </c>
      <c r="DZ224" s="9">
        <v>19.61</v>
      </c>
      <c r="EA224" s="9">
        <v>-179.53</v>
      </c>
      <c r="EB224" s="9">
        <v>-5.3346</v>
      </c>
      <c r="EC224" s="9">
        <v>-107.623</v>
      </c>
      <c r="ED224" s="9">
        <v>-86.702600000000004</v>
      </c>
      <c r="EE224" s="9">
        <v>20.130089999999999</v>
      </c>
      <c r="EF224" s="9">
        <v>5.0444880000000003</v>
      </c>
      <c r="EG224" s="9">
        <v>-231.958</v>
      </c>
      <c r="EH224" s="9">
        <v>-168.512</v>
      </c>
      <c r="EI224" s="9">
        <v>-10.481199999999999</v>
      </c>
      <c r="EJ224" s="9">
        <v>21.117190000000001</v>
      </c>
      <c r="EK224" s="9">
        <v>-74.082300000000004</v>
      </c>
      <c r="EL224" s="9">
        <v>-120.77500000000001</v>
      </c>
      <c r="EM224" s="9">
        <v>-63.301699999999997</v>
      </c>
      <c r="EN224" s="9">
        <v>2952.9</v>
      </c>
      <c r="EO224" s="9"/>
      <c r="EP224" s="9"/>
      <c r="EQ224" s="9"/>
      <c r="ER224" s="9"/>
      <c r="ES224" s="9"/>
      <c r="ET224" s="9"/>
      <c r="EU224">
        <v>2397.6452380952001</v>
      </c>
      <c r="EV224" s="9"/>
      <c r="EW224" s="9"/>
      <c r="EX224" s="9"/>
      <c r="EY224" s="9"/>
      <c r="EZ224" s="9"/>
      <c r="FA224" s="9"/>
      <c r="FB224" s="9">
        <v>125.0858766234</v>
      </c>
      <c r="FC224" s="9">
        <v>74.437727272700002</v>
      </c>
      <c r="FD224" s="9">
        <v>6250.75</v>
      </c>
      <c r="FE224" s="9">
        <v>67.045454545499993</v>
      </c>
      <c r="FF224" s="9">
        <v>1238.5250000000001</v>
      </c>
      <c r="FG224" s="9">
        <v>15469585.300000001</v>
      </c>
      <c r="FH224" s="9">
        <v>1031572.3</v>
      </c>
      <c r="FI224" s="9">
        <v>1323513.7</v>
      </c>
      <c r="FJ224" s="9">
        <v>7604563.5999999996</v>
      </c>
      <c r="FK224" s="9">
        <v>151659</v>
      </c>
      <c r="FL224" s="9">
        <v>223093.4</v>
      </c>
      <c r="FM224" s="9">
        <v>1043319.87</v>
      </c>
      <c r="FN224" s="9">
        <v>24624.02</v>
      </c>
      <c r="FO224" s="9">
        <v>87090.89</v>
      </c>
      <c r="FP224" s="9">
        <v>3439127.8</v>
      </c>
      <c r="FQ224" s="9">
        <v>167861.6</v>
      </c>
      <c r="FR224" s="9">
        <v>295042.5</v>
      </c>
      <c r="FS224" s="9">
        <v>445318.7</v>
      </c>
      <c r="FT224" s="9">
        <v>7859293.5</v>
      </c>
      <c r="FU224" s="9">
        <v>879913.3</v>
      </c>
      <c r="FV224" s="9">
        <v>1094692.08</v>
      </c>
      <c r="FW224" s="9">
        <v>2030287.95</v>
      </c>
      <c r="FX224" s="9">
        <v>101556.36</v>
      </c>
      <c r="FY224" s="9">
        <v>295228.12</v>
      </c>
      <c r="FZ224" s="9">
        <v>156432.13</v>
      </c>
      <c r="GA224" s="9">
        <v>15269512.720000001</v>
      </c>
      <c r="GB224" s="9">
        <v>4312058.78</v>
      </c>
      <c r="GC224" s="9">
        <v>10957453.939999999</v>
      </c>
      <c r="GD224" s="9">
        <v>10831687.210000001</v>
      </c>
      <c r="GE224" s="9">
        <v>1044285.63</v>
      </c>
      <c r="GF224" s="9">
        <v>9787401.5800000001</v>
      </c>
      <c r="GG224" s="9">
        <v>4437825.51</v>
      </c>
      <c r="GH224" s="9">
        <v>3267773.15</v>
      </c>
      <c r="GI224" s="9">
        <v>1170052.3600000001</v>
      </c>
      <c r="GJ224" s="9">
        <v>3825893.69</v>
      </c>
      <c r="GK224" s="9">
        <v>30038533.210000001</v>
      </c>
      <c r="GL224" s="9">
        <v>3152091.46</v>
      </c>
      <c r="GM224">
        <v>2463.25</v>
      </c>
      <c r="GO224" s="6"/>
      <c r="GP224" s="6"/>
      <c r="GQ224" s="6"/>
    </row>
    <row r="225" spans="1:199" x14ac:dyDescent="0.2">
      <c r="A225" s="8">
        <v>2018</v>
      </c>
      <c r="B225" s="8" t="s">
        <v>495</v>
      </c>
      <c r="C225" s="8" t="s">
        <v>497</v>
      </c>
      <c r="D225" s="9"/>
      <c r="E225" s="9"/>
      <c r="F225" s="9"/>
      <c r="G225" s="9"/>
      <c r="H225" s="9"/>
      <c r="I225" s="9"/>
      <c r="J225" s="9"/>
      <c r="K225" s="9"/>
      <c r="L225" s="9"/>
      <c r="M225" s="9"/>
      <c r="N225" s="9"/>
      <c r="O225" s="9"/>
      <c r="P225" s="9"/>
      <c r="Q225" s="9"/>
      <c r="R225" s="9"/>
      <c r="S225" s="9"/>
      <c r="T225" s="9"/>
      <c r="U225" s="9"/>
      <c r="V225" s="9"/>
      <c r="W225" s="9"/>
      <c r="X225" s="9"/>
      <c r="Y225" s="9"/>
      <c r="Z225" s="9"/>
      <c r="AA225" s="9"/>
      <c r="AB225" s="9"/>
      <c r="AC225" s="9"/>
      <c r="AD225" s="9"/>
      <c r="AE225" s="9"/>
      <c r="AF225" s="9"/>
      <c r="AG225" s="9"/>
      <c r="AH225" s="9"/>
      <c r="AI225" s="9"/>
      <c r="AJ225" s="9"/>
      <c r="AK225" s="9"/>
      <c r="AL225" s="9"/>
      <c r="AM225" s="9"/>
      <c r="AN225" s="9"/>
      <c r="AO225" s="9"/>
      <c r="AP225" s="9"/>
      <c r="AQ225" s="9"/>
      <c r="AR225" s="9"/>
      <c r="AS225" s="9"/>
      <c r="AT225" s="9"/>
      <c r="AU225" s="9"/>
      <c r="AV225" s="9"/>
      <c r="AW225" s="9"/>
      <c r="AX225" s="9"/>
      <c r="AY225" s="9"/>
      <c r="AZ225" s="9"/>
      <c r="BA225" s="9"/>
      <c r="BB225" s="9"/>
      <c r="BC225" s="9"/>
      <c r="BD225" s="9"/>
      <c r="BE225" s="9"/>
      <c r="BF225" s="9"/>
      <c r="BG225" s="9"/>
      <c r="BH225" s="9"/>
      <c r="BI225" s="9"/>
      <c r="BJ225" s="9"/>
      <c r="BK225" s="9"/>
      <c r="BL225" s="9"/>
      <c r="BM225" s="9"/>
      <c r="BN225" s="9">
        <v>813292</v>
      </c>
      <c r="BO225" s="9">
        <v>673228.5</v>
      </c>
      <c r="BP225" s="9">
        <v>133615.9</v>
      </c>
      <c r="BQ225" s="9">
        <v>69991.8</v>
      </c>
      <c r="BR225" s="9">
        <v>63649</v>
      </c>
      <c r="BS225" s="9">
        <v>138497.5</v>
      </c>
      <c r="BT225" s="9">
        <v>201217.2</v>
      </c>
      <c r="BU225" s="9">
        <v>80799.3</v>
      </c>
      <c r="BV225" s="9">
        <v>91698.3</v>
      </c>
      <c r="BW225" s="9">
        <v>519863.5</v>
      </c>
      <c r="BX225" s="9">
        <v>21145.7</v>
      </c>
      <c r="BY225" s="9">
        <v>86818.9</v>
      </c>
      <c r="BZ225" s="9">
        <v>116283.7</v>
      </c>
      <c r="CA225" s="9">
        <v>60043.5</v>
      </c>
      <c r="CB225" s="9">
        <v>15708.3</v>
      </c>
      <c r="CC225" s="9">
        <v>241009.2</v>
      </c>
      <c r="CD225" s="9">
        <v>8566.4</v>
      </c>
      <c r="CE225" s="9">
        <v>104421.8</v>
      </c>
      <c r="CF225" s="9">
        <v>3221727.9519157209</v>
      </c>
      <c r="CG225" s="9">
        <v>17440405.90377349</v>
      </c>
      <c r="CH225" s="9">
        <v>12.1017195684</v>
      </c>
      <c r="CI225" s="9">
        <v>5.0369484986000002</v>
      </c>
      <c r="CJ225" s="9">
        <v>18.127382193199999</v>
      </c>
      <c r="CK225" s="9">
        <v>10.2074853691</v>
      </c>
      <c r="CL225" s="9">
        <v>10</v>
      </c>
      <c r="CM225" s="9">
        <v>112.22626277179999</v>
      </c>
      <c r="CN225" s="9">
        <v>28.668495200500001</v>
      </c>
      <c r="CO225" s="9">
        <v>4.9090172022000003</v>
      </c>
      <c r="CP225" s="9">
        <v>18.100180911300001</v>
      </c>
      <c r="CQ225" s="9">
        <v>10.883835946</v>
      </c>
      <c r="CR225" s="9">
        <v>5.5217775062000003</v>
      </c>
      <c r="CS225" s="9">
        <v>4.3631381734000003</v>
      </c>
      <c r="CT225" s="9">
        <v>16.349518081199999</v>
      </c>
      <c r="CU225" s="9">
        <v>4.2881910444000004</v>
      </c>
      <c r="CV225" s="9">
        <v>3.4837754715</v>
      </c>
      <c r="CW225" s="9">
        <v>6.218926196</v>
      </c>
      <c r="CX225" s="9">
        <v>3.2725673533999999</v>
      </c>
      <c r="CY225" s="9">
        <v>6.1668396855000003</v>
      </c>
      <c r="CZ225" s="9">
        <v>555</v>
      </c>
      <c r="DA225" s="9">
        <v>486</v>
      </c>
      <c r="DB225" s="9">
        <v>0</v>
      </c>
      <c r="DC225" s="9">
        <v>152</v>
      </c>
      <c r="DD225" s="9">
        <v>29</v>
      </c>
      <c r="DE225" s="9">
        <v>15</v>
      </c>
      <c r="DF225" s="9">
        <v>226</v>
      </c>
      <c r="DG225" s="9">
        <v>36</v>
      </c>
      <c r="DH225" s="9">
        <v>40</v>
      </c>
      <c r="DI225" s="9">
        <v>8</v>
      </c>
      <c r="DJ225" s="9">
        <v>0</v>
      </c>
      <c r="DK225" s="9">
        <v>24</v>
      </c>
      <c r="DL225" s="9">
        <v>1</v>
      </c>
      <c r="DM225" s="9">
        <v>27</v>
      </c>
      <c r="DN225" s="9">
        <v>0</v>
      </c>
      <c r="DO225" s="9">
        <v>535.9</v>
      </c>
      <c r="DP225" s="9">
        <v>153.06</v>
      </c>
      <c r="DQ225" s="9">
        <v>77.45</v>
      </c>
      <c r="DR225" s="9">
        <v>75.62</v>
      </c>
      <c r="DS225" s="9">
        <v>61.97</v>
      </c>
      <c r="DT225" s="9">
        <v>11.07</v>
      </c>
      <c r="DU225" s="9">
        <v>214.73</v>
      </c>
      <c r="DV225" s="9">
        <v>127.4</v>
      </c>
      <c r="DW225" s="9">
        <v>70.83</v>
      </c>
      <c r="DX225" s="9">
        <v>105.79</v>
      </c>
      <c r="DY225" s="9">
        <v>44.67</v>
      </c>
      <c r="DZ225" s="9">
        <v>32.65</v>
      </c>
      <c r="EA225" s="9">
        <v>-236.81200000000001</v>
      </c>
      <c r="EB225" s="9">
        <v>-48.567500000000003</v>
      </c>
      <c r="EC225" s="9">
        <v>-99.627600000000001</v>
      </c>
      <c r="ED225" s="9">
        <v>-119.408</v>
      </c>
      <c r="EE225" s="9">
        <v>30.79072</v>
      </c>
      <c r="EF225" s="9">
        <v>7.6308699999999998</v>
      </c>
      <c r="EG225" s="9">
        <v>-148.61600000000001</v>
      </c>
      <c r="EH225" s="9">
        <v>-125.117</v>
      </c>
      <c r="EI225" s="9">
        <v>-30.2441</v>
      </c>
      <c r="EJ225" s="9">
        <v>8.2275200000000002</v>
      </c>
      <c r="EK225" s="9">
        <v>-1.48299</v>
      </c>
      <c r="EL225" s="9">
        <v>-81.932000000000002</v>
      </c>
      <c r="EM225" s="9">
        <v>-162.49700000000001</v>
      </c>
      <c r="EN225" s="9">
        <v>2854.1</v>
      </c>
      <c r="EO225" s="9"/>
      <c r="EP225" s="9"/>
      <c r="EQ225" s="9"/>
      <c r="ER225" s="9"/>
      <c r="ES225" s="9"/>
      <c r="ET225" s="9"/>
      <c r="EU225">
        <v>2464.1178260870001</v>
      </c>
      <c r="EV225" s="9"/>
      <c r="EW225" s="9"/>
      <c r="EX225" s="9"/>
      <c r="EY225" s="9"/>
      <c r="EZ225" s="9"/>
      <c r="FA225" s="9"/>
      <c r="FB225" s="9">
        <v>123.73490259739999</v>
      </c>
      <c r="FC225" s="9">
        <v>73.128695652199994</v>
      </c>
      <c r="FD225" s="9">
        <v>6051.0454545455004</v>
      </c>
      <c r="FE225" s="9">
        <v>68.021739130399993</v>
      </c>
      <c r="FF225" s="9">
        <v>1201.2454545455</v>
      </c>
      <c r="FG225" s="9">
        <v>15807226.1</v>
      </c>
      <c r="FH225" s="9">
        <v>1014405.6</v>
      </c>
      <c r="FI225" s="9">
        <v>1359263.6</v>
      </c>
      <c r="FJ225" s="9">
        <v>7854172.7999999998</v>
      </c>
      <c r="FK225" s="9">
        <v>145183.1</v>
      </c>
      <c r="FL225" s="9">
        <v>221381.2</v>
      </c>
      <c r="FM225" s="9">
        <v>1055061.57</v>
      </c>
      <c r="FN225" s="9">
        <v>23722.07</v>
      </c>
      <c r="FO225" s="9">
        <v>84891.29</v>
      </c>
      <c r="FP225" s="9">
        <v>3636519.6</v>
      </c>
      <c r="FQ225" s="9">
        <v>177906.9</v>
      </c>
      <c r="FR225" s="9">
        <v>313639.8</v>
      </c>
      <c r="FS225" s="9">
        <v>473598.5</v>
      </c>
      <c r="FT225" s="9">
        <v>7947325.8099999987</v>
      </c>
      <c r="FU225" s="9">
        <v>869222.53</v>
      </c>
      <c r="FV225" s="9">
        <v>1132154.8999999999</v>
      </c>
      <c r="FW225" s="9">
        <v>2113599.34</v>
      </c>
      <c r="FX225" s="9">
        <v>102626.1</v>
      </c>
      <c r="FY225" s="9">
        <v>290081.40999999997</v>
      </c>
      <c r="FZ225" s="9">
        <v>157124.57999999999</v>
      </c>
      <c r="GA225" s="9">
        <v>15508688.35</v>
      </c>
      <c r="GB225" s="9">
        <v>4519751.4000000004</v>
      </c>
      <c r="GC225" s="9">
        <v>10988936.949999999</v>
      </c>
      <c r="GD225" s="9">
        <v>10879085.15</v>
      </c>
      <c r="GE225" s="9">
        <v>1049969.98</v>
      </c>
      <c r="GF225" s="9">
        <v>9829115.1699999999</v>
      </c>
      <c r="GG225" s="9">
        <v>4629603.2000000011</v>
      </c>
      <c r="GH225" s="9">
        <v>3469781.42</v>
      </c>
      <c r="GI225" s="9">
        <v>1159821.78</v>
      </c>
      <c r="GJ225" s="9">
        <v>3816749.76</v>
      </c>
      <c r="GK225" s="9">
        <v>30181133.010000002</v>
      </c>
      <c r="GL225" s="9">
        <v>3047191.83</v>
      </c>
      <c r="GM225">
        <v>2472.9899999999998</v>
      </c>
      <c r="GO225" s="6"/>
      <c r="GP225" s="6"/>
      <c r="GQ225" s="6"/>
    </row>
    <row r="226" spans="1:199" x14ac:dyDescent="0.2">
      <c r="A226" s="8">
        <v>2018</v>
      </c>
      <c r="B226" s="8" t="s">
        <v>495</v>
      </c>
      <c r="C226" s="8" t="s">
        <v>498</v>
      </c>
      <c r="D226" s="9">
        <v>8369557.5999999996</v>
      </c>
      <c r="E226" s="9">
        <v>879220.3</v>
      </c>
      <c r="F226" s="9">
        <v>1881436</v>
      </c>
      <c r="G226" s="9">
        <v>877870</v>
      </c>
      <c r="H226" s="9">
        <v>121766.9</v>
      </c>
      <c r="I226" s="9">
        <v>254940.5</v>
      </c>
      <c r="J226" s="9">
        <v>639843.5</v>
      </c>
      <c r="K226" s="9">
        <v>479093.8</v>
      </c>
      <c r="L226" s="9">
        <v>171155.5</v>
      </c>
      <c r="M226" s="9">
        <v>2013440</v>
      </c>
      <c r="N226" s="9">
        <v>1050791.1000000001</v>
      </c>
      <c r="O226" s="9">
        <v>6841727.7709999997</v>
      </c>
      <c r="P226" s="9">
        <v>1071701.4550000001</v>
      </c>
      <c r="Q226" s="9">
        <v>1102820.669</v>
      </c>
      <c r="R226" s="9">
        <v>522617.788</v>
      </c>
      <c r="S226" s="9">
        <v>112162.342</v>
      </c>
      <c r="T226" s="9">
        <v>187982.79500000001</v>
      </c>
      <c r="U226" s="9">
        <v>734632.64500000002</v>
      </c>
      <c r="V226" s="9">
        <v>349806.6</v>
      </c>
      <c r="W226" s="9">
        <v>144899.29399999999</v>
      </c>
      <c r="X226" s="9">
        <v>1822739.675</v>
      </c>
      <c r="Y226" s="9">
        <v>792364.50800000003</v>
      </c>
      <c r="Z226" s="9">
        <v>8181737.7000000002</v>
      </c>
      <c r="AA226" s="9">
        <v>4421282.8</v>
      </c>
      <c r="AB226" s="9">
        <v>764190.7</v>
      </c>
      <c r="AC226" s="9">
        <v>2642670.5</v>
      </c>
      <c r="AD226" s="9">
        <v>783448.4</v>
      </c>
      <c r="AE226" s="9">
        <v>5166162.4000000004</v>
      </c>
      <c r="AF226" s="9">
        <v>5596017.0999999996</v>
      </c>
      <c r="AG226" s="9">
        <v>6919097.4000000004</v>
      </c>
      <c r="AH226" s="9">
        <v>4126941.7</v>
      </c>
      <c r="AI226" s="9">
        <v>786164.4</v>
      </c>
      <c r="AJ226" s="9">
        <v>2144887.5</v>
      </c>
      <c r="AK226" s="9">
        <v>931144.5</v>
      </c>
      <c r="AL226" s="9">
        <v>3407469.9</v>
      </c>
      <c r="AM226" s="9">
        <v>4477510.5999999996</v>
      </c>
      <c r="AN226" s="9">
        <v>1238868</v>
      </c>
      <c r="AO226" s="9">
        <v>670004</v>
      </c>
      <c r="AP226" s="9">
        <v>568864</v>
      </c>
      <c r="AQ226" s="9">
        <v>92397</v>
      </c>
      <c r="AR226" s="9">
        <v>51015</v>
      </c>
      <c r="AS226" s="9">
        <v>41382</v>
      </c>
      <c r="AT226" s="9">
        <v>840330</v>
      </c>
      <c r="AU226" s="9">
        <v>306768</v>
      </c>
      <c r="AV226" s="9">
        <v>533562</v>
      </c>
      <c r="AW226" s="9">
        <v>1031.8</v>
      </c>
      <c r="AX226" s="9">
        <v>769.6</v>
      </c>
      <c r="AY226" s="9">
        <v>2393.6999999999998</v>
      </c>
      <c r="AZ226" s="9">
        <v>1118.7</v>
      </c>
      <c r="BA226" s="9">
        <v>1420.3</v>
      </c>
      <c r="BB226" s="9">
        <v>766.5</v>
      </c>
      <c r="BC226" s="9">
        <v>1015.8</v>
      </c>
      <c r="BD226" s="9">
        <v>883.5</v>
      </c>
      <c r="BE226" s="9">
        <v>1107.3</v>
      </c>
      <c r="BF226" s="9">
        <v>672.6</v>
      </c>
      <c r="BG226" s="9">
        <v>1030.8</v>
      </c>
      <c r="BH226" s="9">
        <v>1285.8</v>
      </c>
      <c r="BI226" s="9">
        <v>1095.0999999999999</v>
      </c>
      <c r="BJ226" s="9">
        <v>732.9</v>
      </c>
      <c r="BK226" s="9">
        <v>828.3</v>
      </c>
      <c r="BL226" s="9">
        <v>631.6</v>
      </c>
      <c r="BM226" s="9">
        <v>828.6</v>
      </c>
      <c r="BN226" s="9">
        <v>748527.8</v>
      </c>
      <c r="BO226" s="9">
        <v>642006.80000000005</v>
      </c>
      <c r="BP226" s="9">
        <v>120635</v>
      </c>
      <c r="BQ226" s="9">
        <v>58469</v>
      </c>
      <c r="BR226" s="9">
        <v>62179.1</v>
      </c>
      <c r="BS226" s="9">
        <v>149014.5</v>
      </c>
      <c r="BT226" s="9">
        <v>185110</v>
      </c>
      <c r="BU226" s="9">
        <v>55755.3</v>
      </c>
      <c r="BV226" s="9">
        <v>57587.199999999997</v>
      </c>
      <c r="BW226" s="9">
        <v>615069.4</v>
      </c>
      <c r="BX226" s="9">
        <v>76507.8</v>
      </c>
      <c r="BY226" s="9">
        <v>111727.3</v>
      </c>
      <c r="BZ226" s="9">
        <v>155413.1</v>
      </c>
      <c r="CA226" s="9">
        <v>104097.60000000001</v>
      </c>
      <c r="CB226" s="9">
        <v>13006.2</v>
      </c>
      <c r="CC226" s="9">
        <v>230825.1</v>
      </c>
      <c r="CD226" s="9">
        <v>5351.9</v>
      </c>
      <c r="CE226" s="9">
        <v>177154.6</v>
      </c>
      <c r="CF226" s="9">
        <v>3423121.454943629</v>
      </c>
      <c r="CG226" s="9">
        <v>17920219.430219281</v>
      </c>
      <c r="CH226" s="9">
        <v>11.4</v>
      </c>
      <c r="CI226" s="9">
        <v>4.9000000000000004</v>
      </c>
      <c r="CJ226" s="9">
        <v>17.7</v>
      </c>
      <c r="CK226" s="9">
        <v>9.8000000000000007</v>
      </c>
      <c r="CL226" s="9">
        <v>10</v>
      </c>
      <c r="CM226" s="9">
        <v>112.15559252200001</v>
      </c>
      <c r="CN226" s="9">
        <v>27.9944030369</v>
      </c>
      <c r="CO226" s="9">
        <v>4.9435147606000003</v>
      </c>
      <c r="CP226" s="9">
        <v>18.2187177586</v>
      </c>
      <c r="CQ226" s="9">
        <v>11.0436459026</v>
      </c>
      <c r="CR226" s="9">
        <v>5.5354328355</v>
      </c>
      <c r="CS226" s="9">
        <v>4.4174329894</v>
      </c>
      <c r="CT226" s="9">
        <v>16.523300367699999</v>
      </c>
      <c r="CU226" s="9">
        <v>4.2954950414999997</v>
      </c>
      <c r="CV226" s="9">
        <v>3.5279781985000001</v>
      </c>
      <c r="CW226" s="9">
        <v>6.2191695188000002</v>
      </c>
      <c r="CX226" s="9">
        <v>3.2403228818000001</v>
      </c>
      <c r="CY226" s="9">
        <v>6.1961792302000003</v>
      </c>
      <c r="CZ226" s="9">
        <v>612</v>
      </c>
      <c r="DA226" s="9">
        <v>550</v>
      </c>
      <c r="DB226" s="9">
        <v>0</v>
      </c>
      <c r="DC226" s="9">
        <v>159</v>
      </c>
      <c r="DD226" s="9">
        <v>30</v>
      </c>
      <c r="DE226" s="9">
        <v>15</v>
      </c>
      <c r="DF226" s="9">
        <v>285</v>
      </c>
      <c r="DG226" s="9">
        <v>29</v>
      </c>
      <c r="DH226" s="9">
        <v>31</v>
      </c>
      <c r="DI226" s="9">
        <v>10</v>
      </c>
      <c r="DJ226" s="9">
        <v>0</v>
      </c>
      <c r="DK226" s="9">
        <v>14</v>
      </c>
      <c r="DL226" s="9">
        <v>0</v>
      </c>
      <c r="DM226" s="9">
        <v>30</v>
      </c>
      <c r="DN226" s="9">
        <v>0</v>
      </c>
      <c r="DO226" s="9">
        <v>548.74</v>
      </c>
      <c r="DP226" s="9">
        <v>126.65</v>
      </c>
      <c r="DQ226" s="9">
        <v>67.48</v>
      </c>
      <c r="DR226" s="9">
        <v>59.17</v>
      </c>
      <c r="DS226" s="9">
        <v>52.5</v>
      </c>
      <c r="DT226" s="9">
        <v>10.75</v>
      </c>
      <c r="DU226" s="9">
        <v>264.23</v>
      </c>
      <c r="DV226" s="9">
        <v>176.2</v>
      </c>
      <c r="DW226" s="9">
        <v>67.400000000000006</v>
      </c>
      <c r="DX226" s="9">
        <v>104.87</v>
      </c>
      <c r="DY226" s="9">
        <v>52.26</v>
      </c>
      <c r="DZ226" s="9">
        <v>26.39</v>
      </c>
      <c r="EA226" s="9">
        <v>-150.24600000000001</v>
      </c>
      <c r="EB226" s="9">
        <v>38.111539999999998</v>
      </c>
      <c r="EC226" s="9">
        <v>-154.447</v>
      </c>
      <c r="ED226" s="9">
        <v>-88.477999999999994</v>
      </c>
      <c r="EE226" s="9">
        <v>54.567030000000003</v>
      </c>
      <c r="EF226" s="9">
        <v>8.3096490000000003</v>
      </c>
      <c r="EG226" s="9">
        <v>-34.214700000000001</v>
      </c>
      <c r="EH226" s="9">
        <v>-174.191</v>
      </c>
      <c r="EI226" s="9">
        <v>28.618829999999999</v>
      </c>
      <c r="EJ226" s="9">
        <v>-1.36286</v>
      </c>
      <c r="EK226" s="9">
        <v>112.7208</v>
      </c>
      <c r="EL226" s="9">
        <v>30.21547</v>
      </c>
      <c r="EM226" s="9">
        <v>-77.506500000000003</v>
      </c>
      <c r="EN226" s="9">
        <v>2894</v>
      </c>
      <c r="EO226" s="9"/>
      <c r="EP226" s="9"/>
      <c r="EQ226" s="9"/>
      <c r="ER226" s="9"/>
      <c r="ES226" s="9"/>
      <c r="ET226" s="9"/>
      <c r="EU226">
        <v>2503.3054999999999</v>
      </c>
      <c r="EV226" s="9">
        <v>27901.63</v>
      </c>
      <c r="EW226" s="9">
        <v>7048.57</v>
      </c>
      <c r="EX226" s="9">
        <v>1995.91</v>
      </c>
      <c r="EY226" s="9">
        <v>2309.29</v>
      </c>
      <c r="EZ226" s="9">
        <v>7676.43</v>
      </c>
      <c r="FA226" s="9">
        <v>8871.43</v>
      </c>
      <c r="FB226" s="9">
        <v>122.22910714290001</v>
      </c>
      <c r="FC226" s="9">
        <v>78.86</v>
      </c>
      <c r="FD226" s="9">
        <v>6050.7624999999998</v>
      </c>
      <c r="FE226" s="9">
        <v>68.8</v>
      </c>
      <c r="FF226" s="9">
        <v>1198.4725000000001</v>
      </c>
      <c r="FG226" s="9">
        <v>16206667.199999999</v>
      </c>
      <c r="FH226" s="9">
        <v>986941.3</v>
      </c>
      <c r="FI226" s="9">
        <v>1351140.2</v>
      </c>
      <c r="FJ226" s="9">
        <v>8093536.2000000002</v>
      </c>
      <c r="FK226" s="9">
        <v>138317</v>
      </c>
      <c r="FL226" s="9">
        <v>228187.9</v>
      </c>
      <c r="FM226" s="9">
        <v>1075583.75</v>
      </c>
      <c r="FN226" s="9">
        <v>21408.68</v>
      </c>
      <c r="FO226" s="9">
        <v>88324.13</v>
      </c>
      <c r="FP226" s="9">
        <v>3755948.8</v>
      </c>
      <c r="FQ226" s="9">
        <v>186493.7</v>
      </c>
      <c r="FR226" s="9">
        <v>327791.3</v>
      </c>
      <c r="FS226" s="9">
        <v>496782.8</v>
      </c>
      <c r="FT226" s="9">
        <v>8110236.9199999999</v>
      </c>
      <c r="FU226" s="9">
        <v>848624.3</v>
      </c>
      <c r="FV226" s="9">
        <v>1120058.1599999999</v>
      </c>
      <c r="FW226" s="9">
        <v>2119731.6</v>
      </c>
      <c r="FX226" s="9">
        <v>98521.37</v>
      </c>
      <c r="FY226" s="9">
        <v>298984.26</v>
      </c>
      <c r="FZ226" s="9">
        <v>158233.44</v>
      </c>
      <c r="GA226" s="9">
        <v>15950176.51</v>
      </c>
      <c r="GB226" s="9">
        <v>4822678.95</v>
      </c>
      <c r="GC226" s="9">
        <v>11127497.560000001</v>
      </c>
      <c r="GD226" s="9">
        <v>10992471.560000001</v>
      </c>
      <c r="GE226" s="9">
        <v>1032468.65</v>
      </c>
      <c r="GF226" s="9">
        <v>9960002.9100000001</v>
      </c>
      <c r="GG226" s="9">
        <v>4957704.9500000011</v>
      </c>
      <c r="GH226" s="9">
        <v>3790210.3</v>
      </c>
      <c r="GI226" s="9">
        <v>1167494.6499999999</v>
      </c>
      <c r="GJ226" s="9">
        <v>3854035.61</v>
      </c>
      <c r="GK226" s="9">
        <v>31033349.260000002</v>
      </c>
      <c r="GL226" s="9">
        <v>3098024.22</v>
      </c>
      <c r="GM226">
        <v>2552.13</v>
      </c>
      <c r="GO226" s="6"/>
      <c r="GP226" s="6"/>
      <c r="GQ226" s="6"/>
    </row>
    <row r="227" spans="1:199" x14ac:dyDescent="0.2">
      <c r="A227" s="8">
        <v>2018</v>
      </c>
      <c r="B227" s="8" t="s">
        <v>499</v>
      </c>
      <c r="C227" s="8" t="s">
        <v>500</v>
      </c>
      <c r="D227" s="9"/>
      <c r="E227" s="9"/>
      <c r="F227" s="9"/>
      <c r="G227" s="9"/>
      <c r="H227" s="9"/>
      <c r="I227" s="9"/>
      <c r="J227" s="9"/>
      <c r="K227" s="9"/>
      <c r="L227" s="9"/>
      <c r="M227" s="9"/>
      <c r="N227" s="9"/>
      <c r="O227" s="9"/>
      <c r="P227" s="9"/>
      <c r="Q227" s="9"/>
      <c r="R227" s="9"/>
      <c r="S227" s="9"/>
      <c r="T227" s="9"/>
      <c r="U227" s="9"/>
      <c r="V227" s="9"/>
      <c r="W227" s="9"/>
      <c r="X227" s="9"/>
      <c r="Y227" s="9"/>
      <c r="Z227" s="9"/>
      <c r="AA227" s="9"/>
      <c r="AB227" s="9"/>
      <c r="AC227" s="9"/>
      <c r="AD227" s="9"/>
      <c r="AE227" s="9"/>
      <c r="AF227" s="9"/>
      <c r="AG227" s="9"/>
      <c r="AH227" s="9"/>
      <c r="AI227" s="9"/>
      <c r="AJ227" s="9"/>
      <c r="AK227" s="9"/>
      <c r="AL227" s="9"/>
      <c r="AM227" s="9"/>
      <c r="AN227" s="9"/>
      <c r="AO227" s="9"/>
      <c r="AP227" s="9"/>
      <c r="AQ227" s="9"/>
      <c r="AR227" s="9"/>
      <c r="AS227" s="9"/>
      <c r="AT227" s="9"/>
      <c r="AU227" s="9"/>
      <c r="AV227" s="9"/>
      <c r="AW227" s="9"/>
      <c r="AX227" s="9"/>
      <c r="AY227" s="9"/>
      <c r="AZ227" s="9"/>
      <c r="BA227" s="9"/>
      <c r="BB227" s="9"/>
      <c r="BC227" s="9"/>
      <c r="BD227" s="9"/>
      <c r="BE227" s="9"/>
      <c r="BF227" s="9"/>
      <c r="BG227" s="9"/>
      <c r="BH227" s="9"/>
      <c r="BI227" s="9"/>
      <c r="BJ227" s="9"/>
      <c r="BK227" s="9"/>
      <c r="BL227" s="9"/>
      <c r="BM227" s="9"/>
      <c r="BN227" s="9">
        <v>1086404.1000000001</v>
      </c>
      <c r="BO227" s="9">
        <v>932374.8</v>
      </c>
      <c r="BP227" s="9">
        <v>341149.2</v>
      </c>
      <c r="BQ227" s="9">
        <v>258265.9</v>
      </c>
      <c r="BR227" s="9">
        <v>83048</v>
      </c>
      <c r="BS227" s="9">
        <v>143445.79999999999</v>
      </c>
      <c r="BT227" s="9">
        <v>221956.3</v>
      </c>
      <c r="BU227" s="9">
        <v>70168.3</v>
      </c>
      <c r="BV227" s="9">
        <v>70453</v>
      </c>
      <c r="BW227" s="9">
        <v>693431.4</v>
      </c>
      <c r="BX227" s="9">
        <v>6682.4</v>
      </c>
      <c r="BY227" s="9">
        <v>134473.60000000001</v>
      </c>
      <c r="BZ227" s="9">
        <v>163208.4</v>
      </c>
      <c r="CA227" s="9">
        <v>153894.20000000001</v>
      </c>
      <c r="CB227" s="9">
        <v>13364.5</v>
      </c>
      <c r="CC227" s="9">
        <v>228490.7</v>
      </c>
      <c r="CD227" s="9">
        <v>7919.2</v>
      </c>
      <c r="CE227" s="9">
        <v>202498.1</v>
      </c>
      <c r="CF227" s="9">
        <v>3444218.2975887558</v>
      </c>
      <c r="CG227" s="9">
        <v>18332537.583170969</v>
      </c>
      <c r="CH227" s="9">
        <v>11.7087861501</v>
      </c>
      <c r="CI227" s="9">
        <v>4.7826309542000001</v>
      </c>
      <c r="CJ227" s="9">
        <v>17.601164147599999</v>
      </c>
      <c r="CK227" s="9">
        <v>10.0207664452</v>
      </c>
      <c r="CL227" s="9">
        <v>10</v>
      </c>
      <c r="CM227" s="9">
        <v>113.23491731919999</v>
      </c>
      <c r="CN227" s="9">
        <v>27.959398721900001</v>
      </c>
      <c r="CO227" s="9">
        <v>4.9680983597999999</v>
      </c>
      <c r="CP227" s="9">
        <v>18.4613084207</v>
      </c>
      <c r="CQ227" s="9">
        <v>11.3542861719</v>
      </c>
      <c r="CR227" s="9">
        <v>5.5572754941999998</v>
      </c>
      <c r="CS227" s="9">
        <v>4.4441509629000002</v>
      </c>
      <c r="CT227" s="9">
        <v>16.939363927900001</v>
      </c>
      <c r="CU227" s="9">
        <v>4.3026032721999998</v>
      </c>
      <c r="CV227" s="9">
        <v>3.5472071768000002</v>
      </c>
      <c r="CW227" s="9">
        <v>6.2192774014000003</v>
      </c>
      <c r="CX227" s="9">
        <v>3.2516653859</v>
      </c>
      <c r="CY227" s="9">
        <v>6.2302820234</v>
      </c>
      <c r="CZ227" s="9">
        <v>662</v>
      </c>
      <c r="DA227" s="9">
        <v>594</v>
      </c>
      <c r="DB227" s="9">
        <v>0</v>
      </c>
      <c r="DC227" s="9">
        <v>181</v>
      </c>
      <c r="DD227" s="9">
        <v>34</v>
      </c>
      <c r="DE227" s="9">
        <v>14</v>
      </c>
      <c r="DF227" s="9">
        <v>316</v>
      </c>
      <c r="DG227" s="9">
        <v>10</v>
      </c>
      <c r="DH227" s="9">
        <v>32</v>
      </c>
      <c r="DI227" s="9">
        <v>13</v>
      </c>
      <c r="DJ227" s="9">
        <v>1</v>
      </c>
      <c r="DK227" s="9">
        <v>14</v>
      </c>
      <c r="DL227" s="9">
        <v>2</v>
      </c>
      <c r="DM227" s="9">
        <v>33</v>
      </c>
      <c r="DN227" s="9">
        <v>0</v>
      </c>
      <c r="DO227" s="9">
        <v>526.01</v>
      </c>
      <c r="DP227" s="9">
        <v>158.72</v>
      </c>
      <c r="DQ227" s="9">
        <v>88.05</v>
      </c>
      <c r="DR227" s="9">
        <v>70.66</v>
      </c>
      <c r="DS227" s="9">
        <v>55.67</v>
      </c>
      <c r="DT227" s="9">
        <v>13.02</v>
      </c>
      <c r="DU227" s="9">
        <v>219.37</v>
      </c>
      <c r="DV227" s="9">
        <v>136.9</v>
      </c>
      <c r="DW227" s="9">
        <v>59.3</v>
      </c>
      <c r="DX227" s="9">
        <v>91.77</v>
      </c>
      <c r="DY227" s="9">
        <v>46.26</v>
      </c>
      <c r="DZ227" s="9">
        <v>19.43</v>
      </c>
      <c r="EA227" s="9">
        <v>-187.68700000000001</v>
      </c>
      <c r="EB227" s="9">
        <v>47.231110000000001</v>
      </c>
      <c r="EC227" s="9">
        <v>-210.58</v>
      </c>
      <c r="ED227" s="9">
        <v>-55.140799999999999</v>
      </c>
      <c r="EE227" s="9">
        <v>30.803039999999999</v>
      </c>
      <c r="EF227" s="9">
        <v>13.92694</v>
      </c>
      <c r="EG227" s="9">
        <v>-609.39800000000002</v>
      </c>
      <c r="EH227" s="9">
        <v>-191.22399999999999</v>
      </c>
      <c r="EI227" s="9">
        <v>-469.28</v>
      </c>
      <c r="EJ227" s="9">
        <v>0.31413200000000002</v>
      </c>
      <c r="EK227" s="9">
        <v>50.792279999999998</v>
      </c>
      <c r="EL227" s="9">
        <v>-11.5419</v>
      </c>
      <c r="EM227" s="9">
        <v>424.0967</v>
      </c>
      <c r="EN227" s="9">
        <v>3413.6</v>
      </c>
      <c r="EO227" s="9"/>
      <c r="EP227" s="9"/>
      <c r="EQ227" s="9"/>
      <c r="ER227" s="9"/>
      <c r="ES227" s="9"/>
      <c r="ET227" s="9"/>
      <c r="EU227">
        <v>2564.1434782608999</v>
      </c>
      <c r="EV227" s="9"/>
      <c r="EW227" s="9"/>
      <c r="EX227" s="9"/>
      <c r="EY227" s="9"/>
      <c r="EZ227" s="9"/>
      <c r="FA227" s="9"/>
      <c r="FB227" s="9">
        <v>114.76211180120001</v>
      </c>
      <c r="FC227" s="9">
        <v>80.470434782599995</v>
      </c>
      <c r="FD227" s="9">
        <v>6219.5869565216999</v>
      </c>
      <c r="FE227" s="9">
        <v>72.021739130399993</v>
      </c>
      <c r="FF227" s="9">
        <v>1215.3934782609001</v>
      </c>
      <c r="FG227" s="9">
        <v>16312446.800000001</v>
      </c>
      <c r="FH227" s="9">
        <v>1038699.2</v>
      </c>
      <c r="FI227" s="9">
        <v>1954229.8</v>
      </c>
      <c r="FJ227" s="9">
        <v>8289567.7999999998</v>
      </c>
      <c r="FK227" s="9">
        <v>137326.39999999999</v>
      </c>
      <c r="FL227" s="9">
        <v>256997</v>
      </c>
      <c r="FM227" s="9">
        <v>1117804.74</v>
      </c>
      <c r="FN227" s="9">
        <v>20305.38</v>
      </c>
      <c r="FO227" s="9">
        <v>94368.91</v>
      </c>
      <c r="FP227" s="9">
        <v>3860548.2</v>
      </c>
      <c r="FQ227" s="9">
        <v>208249.60000000001</v>
      </c>
      <c r="FR227" s="9">
        <v>350982.8</v>
      </c>
      <c r="FS227" s="9">
        <v>466580.3</v>
      </c>
      <c r="FT227" s="9">
        <v>8019043.9100000001</v>
      </c>
      <c r="FU227" s="9">
        <v>901372.87</v>
      </c>
      <c r="FV227" s="9">
        <v>1693397.79</v>
      </c>
      <c r="FW227" s="9">
        <v>2130115.65</v>
      </c>
      <c r="FX227" s="9">
        <v>101993.61</v>
      </c>
      <c r="FY227" s="9">
        <v>350493.87</v>
      </c>
      <c r="FZ227" s="9">
        <v>158231.12</v>
      </c>
      <c r="GA227" s="9">
        <v>16137766.93</v>
      </c>
      <c r="GB227" s="9">
        <v>4864640.3599999994</v>
      </c>
      <c r="GC227" s="9">
        <v>11273126.57</v>
      </c>
      <c r="GD227" s="9">
        <v>11212392.74</v>
      </c>
      <c r="GE227" s="9">
        <v>1069149.58</v>
      </c>
      <c r="GF227" s="9">
        <v>10143243.16</v>
      </c>
      <c r="GG227" s="9">
        <v>4925374.1900000004</v>
      </c>
      <c r="GH227" s="9">
        <v>3795490.78</v>
      </c>
      <c r="GI227" s="9">
        <v>1129883.4099999999</v>
      </c>
      <c r="GJ227" s="9">
        <v>4188305.38</v>
      </c>
      <c r="GK227" s="9">
        <v>31153787.890000001</v>
      </c>
      <c r="GL227" s="9">
        <v>2807691.83</v>
      </c>
      <c r="GM227">
        <v>2564.44</v>
      </c>
      <c r="GO227" s="6"/>
      <c r="GP227" s="6"/>
      <c r="GQ227" s="6"/>
    </row>
    <row r="228" spans="1:199" x14ac:dyDescent="0.2">
      <c r="A228" s="8">
        <v>2018</v>
      </c>
      <c r="B228" s="8" t="s">
        <v>499</v>
      </c>
      <c r="C228" s="8" t="s">
        <v>501</v>
      </c>
      <c r="D228" s="9"/>
      <c r="E228" s="9"/>
      <c r="F228" s="9"/>
      <c r="G228" s="9"/>
      <c r="H228" s="9"/>
      <c r="I228" s="9"/>
      <c r="J228" s="9"/>
      <c r="K228" s="9"/>
      <c r="L228" s="9"/>
      <c r="M228" s="9"/>
      <c r="N228" s="9"/>
      <c r="O228" s="9"/>
      <c r="P228" s="9"/>
      <c r="Q228" s="9"/>
      <c r="R228" s="9"/>
      <c r="S228" s="9"/>
      <c r="T228" s="9"/>
      <c r="U228" s="9"/>
      <c r="V228" s="9"/>
      <c r="W228" s="9"/>
      <c r="X228" s="9"/>
      <c r="Y228" s="9"/>
      <c r="Z228" s="9"/>
      <c r="AA228" s="9"/>
      <c r="AB228" s="9"/>
      <c r="AC228" s="9"/>
      <c r="AD228" s="9"/>
      <c r="AE228" s="9"/>
      <c r="AF228" s="9"/>
      <c r="AG228" s="9"/>
      <c r="AH228" s="9"/>
      <c r="AI228" s="9"/>
      <c r="AJ228" s="9"/>
      <c r="AK228" s="9"/>
      <c r="AL228" s="9"/>
      <c r="AM228" s="9"/>
      <c r="AN228" s="9"/>
      <c r="AO228" s="9"/>
      <c r="AP228" s="9"/>
      <c r="AQ228" s="9"/>
      <c r="AR228" s="9"/>
      <c r="AS228" s="9"/>
      <c r="AT228" s="9"/>
      <c r="AU228" s="9"/>
      <c r="AV228" s="9"/>
      <c r="AW228" s="9"/>
      <c r="AX228" s="9"/>
      <c r="AY228" s="9"/>
      <c r="AZ228" s="9"/>
      <c r="BA228" s="9"/>
      <c r="BB228" s="9"/>
      <c r="BC228" s="9"/>
      <c r="BD228" s="9"/>
      <c r="BE228" s="9"/>
      <c r="BF228" s="9"/>
      <c r="BG228" s="9"/>
      <c r="BH228" s="9"/>
      <c r="BI228" s="9"/>
      <c r="BJ228" s="9"/>
      <c r="BK228" s="9"/>
      <c r="BL228" s="9"/>
      <c r="BM228" s="9"/>
      <c r="BN228" s="9">
        <v>767571.6</v>
      </c>
      <c r="BO228" s="9">
        <v>638114.6</v>
      </c>
      <c r="BP228" s="9">
        <v>117868.2</v>
      </c>
      <c r="BQ228" s="9">
        <v>54649.3</v>
      </c>
      <c r="BR228" s="9">
        <v>64161.5</v>
      </c>
      <c r="BS228" s="9">
        <v>132649</v>
      </c>
      <c r="BT228" s="9">
        <v>206686.1</v>
      </c>
      <c r="BU228" s="9">
        <v>70137.100000000006</v>
      </c>
      <c r="BV228" s="9">
        <v>70755</v>
      </c>
      <c r="BW228" s="9">
        <v>600733.6</v>
      </c>
      <c r="BX228" s="9">
        <v>6154.7</v>
      </c>
      <c r="BY228" s="9">
        <v>139181.70000000001</v>
      </c>
      <c r="BZ228" s="9">
        <v>160800.70000000001</v>
      </c>
      <c r="CA228" s="9">
        <v>46778.9</v>
      </c>
      <c r="CB228" s="9">
        <v>25022.1</v>
      </c>
      <c r="CC228" s="9">
        <v>228950.2</v>
      </c>
      <c r="CD228" s="9">
        <v>8951.9</v>
      </c>
      <c r="CE228" s="9">
        <v>177459.4</v>
      </c>
      <c r="CF228" s="9">
        <v>3447022.329079207</v>
      </c>
      <c r="CG228" s="9">
        <v>18651362.662961241</v>
      </c>
      <c r="CH228" s="9">
        <v>11.6371627091</v>
      </c>
      <c r="CI228" s="9">
        <v>4.1375099618000002</v>
      </c>
      <c r="CJ228" s="9">
        <v>17.198006857799999</v>
      </c>
      <c r="CK228" s="9">
        <v>10.5024629116</v>
      </c>
      <c r="CL228" s="9">
        <v>11</v>
      </c>
      <c r="CM228" s="9">
        <v>115.2640280979</v>
      </c>
      <c r="CN228" s="9">
        <v>28.4541306566</v>
      </c>
      <c r="CO228" s="9">
        <v>4.9833869721999999</v>
      </c>
      <c r="CP228" s="9">
        <v>18.852855373200001</v>
      </c>
      <c r="CQ228" s="9">
        <v>11.8624325117</v>
      </c>
      <c r="CR228" s="9">
        <v>5.6143633339000001</v>
      </c>
      <c r="CS228" s="9">
        <v>4.5029935724000003</v>
      </c>
      <c r="CT228" s="9">
        <v>17.2577010322</v>
      </c>
      <c r="CU228" s="9">
        <v>4.3062528627000001</v>
      </c>
      <c r="CV228" s="9">
        <v>3.5871300201</v>
      </c>
      <c r="CW228" s="9">
        <v>6.2192774014000003</v>
      </c>
      <c r="CX228" s="9">
        <v>3.3201053212999998</v>
      </c>
      <c r="CY228" s="9">
        <v>6.3033990401000004</v>
      </c>
      <c r="CZ228" s="9">
        <v>536</v>
      </c>
      <c r="DA228" s="9">
        <v>462</v>
      </c>
      <c r="DB228" s="9">
        <v>0</v>
      </c>
      <c r="DC228" s="9">
        <v>155</v>
      </c>
      <c r="DD228" s="9">
        <v>33</v>
      </c>
      <c r="DE228" s="9">
        <v>16</v>
      </c>
      <c r="DF228" s="9">
        <v>179</v>
      </c>
      <c r="DG228" s="9">
        <v>40</v>
      </c>
      <c r="DH228" s="9">
        <v>31</v>
      </c>
      <c r="DI228" s="9">
        <v>14</v>
      </c>
      <c r="DJ228" s="9">
        <v>1</v>
      </c>
      <c r="DK228" s="9">
        <v>13</v>
      </c>
      <c r="DL228" s="9">
        <v>4</v>
      </c>
      <c r="DM228" s="9">
        <v>39</v>
      </c>
      <c r="DN228" s="9">
        <v>0</v>
      </c>
      <c r="DO228" s="9">
        <v>495.95</v>
      </c>
      <c r="DP228" s="9">
        <v>150.13</v>
      </c>
      <c r="DQ228" s="9">
        <v>78.510000000000005</v>
      </c>
      <c r="DR228" s="9">
        <v>71.62</v>
      </c>
      <c r="DS228" s="9">
        <v>55.45</v>
      </c>
      <c r="DT228" s="9">
        <v>11.84</v>
      </c>
      <c r="DU228" s="9">
        <v>190.15</v>
      </c>
      <c r="DV228" s="9">
        <v>121.8</v>
      </c>
      <c r="DW228" s="9">
        <v>42.93</v>
      </c>
      <c r="DX228" s="9">
        <v>99.79</v>
      </c>
      <c r="DY228" s="9">
        <v>54.57</v>
      </c>
      <c r="DZ228" s="9">
        <v>27.15</v>
      </c>
      <c r="EA228" s="9">
        <v>-191.08699999999999</v>
      </c>
      <c r="EB228" s="9">
        <v>31.876729999999998</v>
      </c>
      <c r="EC228" s="9">
        <v>-177.364</v>
      </c>
      <c r="ED228" s="9">
        <v>-62.043399999999998</v>
      </c>
      <c r="EE228" s="9">
        <v>16.443750000000001</v>
      </c>
      <c r="EF228" s="9">
        <v>4.3433159999999997</v>
      </c>
      <c r="EG228" s="9">
        <v>-64.847700000000003</v>
      </c>
      <c r="EH228" s="9">
        <v>-107.33799999999999</v>
      </c>
      <c r="EI228" s="9">
        <v>23.090050000000002</v>
      </c>
      <c r="EJ228" s="9">
        <v>-0.10099</v>
      </c>
      <c r="EK228" s="9">
        <v>19.501609999999999</v>
      </c>
      <c r="EL228" s="9">
        <v>55.37679</v>
      </c>
      <c r="EM228" s="9">
        <v>-66.519499999999994</v>
      </c>
      <c r="EN228" s="9">
        <v>3485.416744315</v>
      </c>
      <c r="EO228" s="9">
        <v>871.02095255569998</v>
      </c>
      <c r="EP228" s="9">
        <v>1864.6456215031001</v>
      </c>
      <c r="EQ228" s="9">
        <v>7.4996288367000004</v>
      </c>
      <c r="ER228" s="9">
        <v>55.050644499900002</v>
      </c>
      <c r="ES228" s="9">
        <v>687.19989691959995</v>
      </c>
      <c r="ET228" s="9">
        <v>0</v>
      </c>
      <c r="EU228">
        <v>2581.8805000000002</v>
      </c>
      <c r="EV228" s="9"/>
      <c r="EW228" s="9"/>
      <c r="EX228" s="9"/>
      <c r="EY228" s="9"/>
      <c r="EZ228" s="9"/>
      <c r="FA228" s="9"/>
      <c r="FB228" s="9">
        <v>107.55292207790001</v>
      </c>
      <c r="FC228" s="9">
        <v>65.173636363599996</v>
      </c>
      <c r="FD228" s="9">
        <v>6195.9204545455004</v>
      </c>
      <c r="FE228" s="9">
        <v>72.295454545499993</v>
      </c>
      <c r="FF228" s="9">
        <v>1220.9454545455001</v>
      </c>
      <c r="FG228" s="9">
        <v>16575583.1</v>
      </c>
      <c r="FH228" s="9">
        <v>968610.5</v>
      </c>
      <c r="FI228" s="9">
        <v>2060798.8</v>
      </c>
      <c r="FJ228" s="9">
        <v>8542321</v>
      </c>
      <c r="FK228" s="9">
        <v>147386.5</v>
      </c>
      <c r="FL228" s="9">
        <v>251106.5</v>
      </c>
      <c r="FM228" s="9">
        <v>1155830.07</v>
      </c>
      <c r="FN228" s="9">
        <v>24970.27</v>
      </c>
      <c r="FO228" s="9">
        <v>95543.74</v>
      </c>
      <c r="FP228" s="9">
        <v>4041903.1</v>
      </c>
      <c r="FQ228" s="9">
        <v>221278.3</v>
      </c>
      <c r="FR228" s="9">
        <v>365192.4</v>
      </c>
      <c r="FS228" s="9">
        <v>533178</v>
      </c>
      <c r="FT228" s="9">
        <v>8028804.9800000004</v>
      </c>
      <c r="FU228" s="9">
        <v>821224</v>
      </c>
      <c r="FV228" s="9">
        <v>1805235.19</v>
      </c>
      <c r="FW228" s="9">
        <v>2160160.69</v>
      </c>
      <c r="FX228" s="9">
        <v>102275.8</v>
      </c>
      <c r="FY228" s="9">
        <v>351877.13</v>
      </c>
      <c r="FZ228" s="9">
        <v>326106.95</v>
      </c>
      <c r="GA228" s="9">
        <v>16703887.85</v>
      </c>
      <c r="GB228" s="9">
        <v>5125399.26</v>
      </c>
      <c r="GC228" s="9">
        <v>11578488.59</v>
      </c>
      <c r="GD228" s="9">
        <v>11529820.300000001</v>
      </c>
      <c r="GE228" s="9">
        <v>1118549.44</v>
      </c>
      <c r="GF228" s="9">
        <v>10411270.859999999</v>
      </c>
      <c r="GG228" s="9">
        <v>5174067.55</v>
      </c>
      <c r="GH228" s="9">
        <v>4006849.82</v>
      </c>
      <c r="GI228" s="9">
        <v>1167217.73</v>
      </c>
      <c r="GJ228" s="9">
        <v>4186265.66</v>
      </c>
      <c r="GK228" s="9">
        <v>31916759.510000002</v>
      </c>
      <c r="GL228" s="9">
        <v>2822489.66</v>
      </c>
      <c r="GM228">
        <v>2627.04</v>
      </c>
      <c r="GO228" s="6"/>
      <c r="GP228" s="6"/>
      <c r="GQ228" s="6"/>
    </row>
    <row r="229" spans="1:199" x14ac:dyDescent="0.2">
      <c r="A229" s="8">
        <v>2018</v>
      </c>
      <c r="B229" s="8" t="s">
        <v>499</v>
      </c>
      <c r="C229" s="8" t="s">
        <v>502</v>
      </c>
      <c r="D229" s="9">
        <v>8529511.5</v>
      </c>
      <c r="E229" s="9">
        <v>563592.1</v>
      </c>
      <c r="F229" s="9">
        <v>2175528</v>
      </c>
      <c r="G229" s="9">
        <v>965437</v>
      </c>
      <c r="H229" s="9">
        <v>210530.2</v>
      </c>
      <c r="I229" s="9">
        <v>612907.30000000005</v>
      </c>
      <c r="J229" s="9">
        <v>1264292.8999999999</v>
      </c>
      <c r="K229" s="9">
        <v>265483.59999999998</v>
      </c>
      <c r="L229" s="9">
        <v>145605.1</v>
      </c>
      <c r="M229" s="9">
        <v>1593472.5</v>
      </c>
      <c r="N229" s="9">
        <v>732662.9</v>
      </c>
      <c r="O229" s="9">
        <v>7542975.4210000001</v>
      </c>
      <c r="P229" s="9">
        <v>741657.06099999999</v>
      </c>
      <c r="Q229" s="9">
        <v>1331477.3019999999</v>
      </c>
      <c r="R229" s="9">
        <v>769936.34499999997</v>
      </c>
      <c r="S229" s="9">
        <v>191283.70300000001</v>
      </c>
      <c r="T229" s="9">
        <v>446256.22</v>
      </c>
      <c r="U229" s="9">
        <v>964899.79099999997</v>
      </c>
      <c r="V229" s="9">
        <v>631949.38199999998</v>
      </c>
      <c r="W229" s="9">
        <v>123838.94</v>
      </c>
      <c r="X229" s="9">
        <v>1834388.7239999999</v>
      </c>
      <c r="Y229" s="9">
        <v>507287.95299999998</v>
      </c>
      <c r="Z229" s="9">
        <v>9069740.5999999996</v>
      </c>
      <c r="AA229" s="9">
        <v>4699096.5</v>
      </c>
      <c r="AB229" s="9">
        <v>1218323.8</v>
      </c>
      <c r="AC229" s="9">
        <v>2948575.4</v>
      </c>
      <c r="AD229" s="9">
        <v>1162675.8999999999</v>
      </c>
      <c r="AE229" s="9">
        <v>4728682.8</v>
      </c>
      <c r="AF229" s="9">
        <v>5687613.7999999998</v>
      </c>
      <c r="AG229" s="9">
        <v>7600839.2999999998</v>
      </c>
      <c r="AH229" s="9">
        <v>4442534.8</v>
      </c>
      <c r="AI229" s="9">
        <v>1132273.5</v>
      </c>
      <c r="AJ229" s="9">
        <v>2281256.6</v>
      </c>
      <c r="AK229" s="9">
        <v>1481652.7</v>
      </c>
      <c r="AL229" s="9">
        <v>2841761.2</v>
      </c>
      <c r="AM229" s="9">
        <v>4578639.5</v>
      </c>
      <c r="AN229" s="9">
        <v>1256356</v>
      </c>
      <c r="AO229" s="9">
        <v>677398</v>
      </c>
      <c r="AP229" s="9">
        <v>578958</v>
      </c>
      <c r="AQ229" s="9">
        <v>88907</v>
      </c>
      <c r="AR229" s="9">
        <v>55255</v>
      </c>
      <c r="AS229" s="9">
        <v>33652</v>
      </c>
      <c r="AT229" s="9">
        <v>827762</v>
      </c>
      <c r="AU229" s="9">
        <v>304066</v>
      </c>
      <c r="AV229" s="9">
        <v>523696</v>
      </c>
      <c r="AW229" s="9">
        <v>1120.3</v>
      </c>
      <c r="AX229" s="9">
        <v>817.5</v>
      </c>
      <c r="AY229" s="9">
        <v>2501.3000000000002</v>
      </c>
      <c r="AZ229" s="9">
        <v>1183.8</v>
      </c>
      <c r="BA229" s="9">
        <v>1555.2</v>
      </c>
      <c r="BB229" s="9">
        <v>808.1</v>
      </c>
      <c r="BC229" s="9">
        <v>1123.7</v>
      </c>
      <c r="BD229" s="9">
        <v>914.4</v>
      </c>
      <c r="BE229" s="9">
        <v>1156.9000000000001</v>
      </c>
      <c r="BF229" s="9">
        <v>704.2</v>
      </c>
      <c r="BG229" s="9">
        <v>1096.4000000000001</v>
      </c>
      <c r="BH229" s="9">
        <v>1296</v>
      </c>
      <c r="BI229" s="9">
        <v>1116.3</v>
      </c>
      <c r="BJ229" s="9">
        <v>879.9</v>
      </c>
      <c r="BK229" s="9">
        <v>917.4</v>
      </c>
      <c r="BL229" s="9">
        <v>725.7</v>
      </c>
      <c r="BM229" s="9">
        <v>936.1</v>
      </c>
      <c r="BN229" s="9">
        <v>1017989.4</v>
      </c>
      <c r="BO229" s="9">
        <v>850480.4</v>
      </c>
      <c r="BP229" s="9">
        <v>213682.2</v>
      </c>
      <c r="BQ229" s="9">
        <v>96350.9</v>
      </c>
      <c r="BR229" s="9">
        <v>118306.8</v>
      </c>
      <c r="BS229" s="9">
        <v>203473.7</v>
      </c>
      <c r="BT229" s="9">
        <v>233836.5</v>
      </c>
      <c r="BU229" s="9">
        <v>63322.8</v>
      </c>
      <c r="BV229" s="9">
        <v>147119.79999999999</v>
      </c>
      <c r="BW229" s="9">
        <v>2512866.1</v>
      </c>
      <c r="BX229" s="9">
        <v>-28734</v>
      </c>
      <c r="BY229" s="9">
        <v>272936.3</v>
      </c>
      <c r="BZ229" s="9">
        <v>216807.3</v>
      </c>
      <c r="CA229" s="9">
        <v>102651.5</v>
      </c>
      <c r="CB229" s="9">
        <v>36319.5</v>
      </c>
      <c r="CC229" s="9">
        <v>276366.59999999998</v>
      </c>
      <c r="CD229" s="9">
        <v>14045.1</v>
      </c>
      <c r="CE229" s="9">
        <v>384647.7</v>
      </c>
      <c r="CF229" s="9">
        <v>4030953.636233103</v>
      </c>
      <c r="CG229" s="9">
        <v>19474697.569629829</v>
      </c>
      <c r="CH229" s="9">
        <v>11.2</v>
      </c>
      <c r="CI229" s="9">
        <v>4.5</v>
      </c>
      <c r="CJ229" s="9">
        <v>16.899999999999999</v>
      </c>
      <c r="CK229" s="9">
        <v>8.8000000000000007</v>
      </c>
      <c r="CL229" s="9">
        <v>11</v>
      </c>
      <c r="CM229" s="9">
        <v>115.96293512699999</v>
      </c>
      <c r="CN229" s="9">
        <v>28.971182871300002</v>
      </c>
      <c r="CO229" s="9">
        <v>4.9966532337</v>
      </c>
      <c r="CP229" s="9">
        <v>18.939692826400002</v>
      </c>
      <c r="CQ229" s="9">
        <v>11.9872379129</v>
      </c>
      <c r="CR229" s="9">
        <v>5.6299478730999999</v>
      </c>
      <c r="CS229" s="9">
        <v>4.5244035413999999</v>
      </c>
      <c r="CT229" s="9">
        <v>17.155025062499998</v>
      </c>
      <c r="CU229" s="9">
        <v>4.3064468961999998</v>
      </c>
      <c r="CV229" s="9">
        <v>3.5988186258999999</v>
      </c>
      <c r="CW229" s="9">
        <v>6.2192774014000003</v>
      </c>
      <c r="CX229" s="9">
        <v>3.3210283753000001</v>
      </c>
      <c r="CY229" s="9">
        <v>6.3132205067999996</v>
      </c>
      <c r="CZ229" s="9">
        <v>531</v>
      </c>
      <c r="DA229" s="9">
        <v>471</v>
      </c>
      <c r="DB229" s="9">
        <v>0</v>
      </c>
      <c r="DC229" s="9">
        <v>188</v>
      </c>
      <c r="DD229" s="9">
        <v>35</v>
      </c>
      <c r="DE229" s="9">
        <v>14</v>
      </c>
      <c r="DF229" s="9">
        <v>169</v>
      </c>
      <c r="DG229" s="9">
        <v>25</v>
      </c>
      <c r="DH229" s="9">
        <v>27</v>
      </c>
      <c r="DI229" s="9">
        <v>15</v>
      </c>
      <c r="DJ229" s="9">
        <v>2</v>
      </c>
      <c r="DK229" s="9">
        <v>7</v>
      </c>
      <c r="DL229" s="9">
        <v>4</v>
      </c>
      <c r="DM229" s="9">
        <v>30</v>
      </c>
      <c r="DN229" s="9">
        <v>0</v>
      </c>
      <c r="DO229" s="9">
        <v>503.26</v>
      </c>
      <c r="DP229" s="9">
        <v>152.33000000000001</v>
      </c>
      <c r="DQ229" s="9">
        <v>80.489999999999995</v>
      </c>
      <c r="DR229" s="9">
        <v>71.84</v>
      </c>
      <c r="DS229" s="9">
        <v>53.39</v>
      </c>
      <c r="DT229" s="9">
        <v>12.26</v>
      </c>
      <c r="DU229" s="9">
        <v>191.02</v>
      </c>
      <c r="DV229" s="9">
        <v>127.18</v>
      </c>
      <c r="DW229" s="9">
        <v>33.75</v>
      </c>
      <c r="DX229" s="9">
        <v>106.11</v>
      </c>
      <c r="DY229" s="9">
        <v>62.15</v>
      </c>
      <c r="DZ229" s="9">
        <v>13.18</v>
      </c>
      <c r="EA229" s="9">
        <v>-441.57100000000003</v>
      </c>
      <c r="EB229" s="9">
        <v>18.20074</v>
      </c>
      <c r="EC229" s="9">
        <v>-246.67</v>
      </c>
      <c r="ED229" s="9">
        <v>-236.28399999999999</v>
      </c>
      <c r="EE229" s="9">
        <v>23.182700000000001</v>
      </c>
      <c r="EF229" s="9">
        <v>10.84563</v>
      </c>
      <c r="EG229" s="9">
        <v>-349.61900000000003</v>
      </c>
      <c r="EH229" s="9">
        <v>-361.13299999999998</v>
      </c>
      <c r="EI229" s="9">
        <v>-2.9965700000000002</v>
      </c>
      <c r="EJ229" s="9">
        <v>0.150617</v>
      </c>
      <c r="EK229" s="9">
        <v>14.359690000000001</v>
      </c>
      <c r="EL229" s="9">
        <v>57.1203</v>
      </c>
      <c r="EM229" s="9">
        <v>-23.985900000000001</v>
      </c>
      <c r="EN229" s="9">
        <v>3549.6447290133001</v>
      </c>
      <c r="EO229" s="9">
        <v>1661.0506295319999</v>
      </c>
      <c r="EP229" s="9">
        <v>1056.3582136022001</v>
      </c>
      <c r="EQ229" s="9">
        <v>7.5376080761999997</v>
      </c>
      <c r="ER229" s="9">
        <v>55.3294291781</v>
      </c>
      <c r="ES229" s="9">
        <v>769.36884862479997</v>
      </c>
      <c r="ET229" s="9">
        <v>0</v>
      </c>
      <c r="EU229">
        <v>2637.3533333332998</v>
      </c>
      <c r="EV229" s="9">
        <v>28714.89</v>
      </c>
      <c r="EW229" s="9">
        <v>7184.19</v>
      </c>
      <c r="EX229" s="9">
        <v>2030.22</v>
      </c>
      <c r="EY229" s="9">
        <v>2230.37</v>
      </c>
      <c r="EZ229" s="9">
        <v>8041.87</v>
      </c>
      <c r="FA229" s="9">
        <v>9228.23</v>
      </c>
      <c r="FB229" s="9">
        <v>106.1436090226</v>
      </c>
      <c r="FC229" s="9">
        <v>56.463809523800002</v>
      </c>
      <c r="FD229" s="9">
        <v>6075.3157894736996</v>
      </c>
      <c r="FE229" s="9">
        <v>68.904761904799997</v>
      </c>
      <c r="FF229" s="9">
        <v>1247.9235294118</v>
      </c>
      <c r="FG229" s="9">
        <v>17082385.899999999</v>
      </c>
      <c r="FH229" s="9">
        <v>843397.2</v>
      </c>
      <c r="FI229" s="9">
        <v>1778266.3</v>
      </c>
      <c r="FJ229" s="9">
        <v>8912464.5999999996</v>
      </c>
      <c r="FK229" s="9">
        <v>119959.5</v>
      </c>
      <c r="FL229" s="9">
        <v>248411.6</v>
      </c>
      <c r="FM229" s="9">
        <v>1195501.6100000001</v>
      </c>
      <c r="FN229" s="9">
        <v>17303.939999999999</v>
      </c>
      <c r="FO229" s="9">
        <v>89331.34</v>
      </c>
      <c r="FP229" s="9">
        <v>4382079.5</v>
      </c>
      <c r="FQ229" s="9">
        <v>215020.3</v>
      </c>
      <c r="FR229" s="9">
        <v>401969.3</v>
      </c>
      <c r="FS229" s="9">
        <v>499358.8</v>
      </c>
      <c r="FT229" s="9">
        <v>8165466</v>
      </c>
      <c r="FU229" s="9">
        <v>723437.66999999993</v>
      </c>
      <c r="FV229" s="9">
        <v>1525399.4</v>
      </c>
      <c r="FW229" s="9">
        <v>2207312.0499999998</v>
      </c>
      <c r="FX229" s="9">
        <v>79160.08</v>
      </c>
      <c r="FY229" s="9">
        <v>346366.46</v>
      </c>
      <c r="FZ229" s="9">
        <v>399895</v>
      </c>
      <c r="GA229" s="9">
        <v>17511137.32</v>
      </c>
      <c r="GB229" s="9">
        <v>5322878.49</v>
      </c>
      <c r="GC229" s="9">
        <v>12188258.83</v>
      </c>
      <c r="GD229" s="9">
        <v>12212564.33</v>
      </c>
      <c r="GE229" s="9">
        <v>1271794.7</v>
      </c>
      <c r="GF229" s="9">
        <v>10940769.630000001</v>
      </c>
      <c r="GG229" s="9">
        <v>5298572.99</v>
      </c>
      <c r="GH229" s="9">
        <v>4051083.79</v>
      </c>
      <c r="GI229" s="9">
        <v>1247489.2</v>
      </c>
      <c r="GJ229" s="9">
        <v>4100702.58</v>
      </c>
      <c r="GK229" s="9">
        <v>33053270.879999999</v>
      </c>
      <c r="GL229" s="9">
        <v>3259944.97</v>
      </c>
      <c r="GM229">
        <v>2643.69</v>
      </c>
      <c r="GO229" s="6"/>
      <c r="GP229" s="6"/>
      <c r="GQ229" s="6"/>
    </row>
    <row r="230" spans="1:199" x14ac:dyDescent="0.2">
      <c r="A230" s="8">
        <v>2019</v>
      </c>
      <c r="B230" s="8" t="s">
        <v>503</v>
      </c>
      <c r="C230" s="8" t="s">
        <v>504</v>
      </c>
      <c r="D230" s="9"/>
      <c r="E230" s="9"/>
      <c r="F230" s="9"/>
      <c r="G230" s="9"/>
      <c r="H230" s="9"/>
      <c r="I230" s="9"/>
      <c r="J230" s="9"/>
      <c r="K230" s="9"/>
      <c r="L230" s="9"/>
      <c r="M230" s="9"/>
      <c r="N230" s="9"/>
      <c r="O230" s="9"/>
      <c r="P230" s="9"/>
      <c r="Q230" s="9"/>
      <c r="R230" s="9"/>
      <c r="S230" s="9"/>
      <c r="T230" s="9"/>
      <c r="U230" s="9"/>
      <c r="V230" s="9"/>
      <c r="W230" s="9"/>
      <c r="X230" s="9"/>
      <c r="Y230" s="9"/>
      <c r="Z230" s="9"/>
      <c r="AA230" s="9"/>
      <c r="AB230" s="9"/>
      <c r="AC230" s="9"/>
      <c r="AD230" s="9"/>
      <c r="AE230" s="9"/>
      <c r="AF230" s="9"/>
      <c r="AG230" s="9"/>
      <c r="AH230" s="9"/>
      <c r="AI230" s="9"/>
      <c r="AJ230" s="9"/>
      <c r="AK230" s="9"/>
      <c r="AL230" s="9"/>
      <c r="AM230" s="9"/>
      <c r="AN230" s="9"/>
      <c r="AO230" s="9"/>
      <c r="AP230" s="9"/>
      <c r="AQ230" s="9"/>
      <c r="AR230" s="9"/>
      <c r="AS230" s="9"/>
      <c r="AT230" s="9"/>
      <c r="AU230" s="9"/>
      <c r="AV230" s="9"/>
      <c r="AW230" s="9"/>
      <c r="AX230" s="9"/>
      <c r="AY230" s="9"/>
      <c r="AZ230" s="9"/>
      <c r="BA230" s="9"/>
      <c r="BB230" s="9"/>
      <c r="BC230" s="9"/>
      <c r="BD230" s="9"/>
      <c r="BE230" s="9"/>
      <c r="BF230" s="9"/>
      <c r="BG230" s="9"/>
      <c r="BH230" s="9"/>
      <c r="BI230" s="9"/>
      <c r="BJ230" s="9"/>
      <c r="BK230" s="9"/>
      <c r="BL230" s="9"/>
      <c r="BM230" s="9"/>
      <c r="BN230" s="9">
        <v>848850.6</v>
      </c>
      <c r="BO230" s="9">
        <v>626250.80000000005</v>
      </c>
      <c r="BP230" s="9">
        <v>118755.7</v>
      </c>
      <c r="BQ230" s="9">
        <v>82507.8</v>
      </c>
      <c r="BR230" s="9">
        <v>36271</v>
      </c>
      <c r="BS230" s="9">
        <v>125975.5</v>
      </c>
      <c r="BT230" s="9">
        <v>121263.5</v>
      </c>
      <c r="BU230" s="9">
        <v>89261</v>
      </c>
      <c r="BV230" s="9">
        <v>64325</v>
      </c>
      <c r="BW230" s="9">
        <v>526524.4</v>
      </c>
      <c r="BX230" s="9">
        <v>1205.5999999999999</v>
      </c>
      <c r="BY230" s="9">
        <v>68508.5</v>
      </c>
      <c r="BZ230" s="9">
        <v>156031.20000000001</v>
      </c>
      <c r="CA230" s="9">
        <v>2526.3000000000002</v>
      </c>
      <c r="CB230" s="9">
        <v>12981.4</v>
      </c>
      <c r="CC230" s="9">
        <v>286477.09999999998</v>
      </c>
      <c r="CD230" s="9">
        <v>2832</v>
      </c>
      <c r="CE230" s="9">
        <v>30504.6</v>
      </c>
      <c r="CF230" s="9">
        <v>3678221.5981399119</v>
      </c>
      <c r="CG230" s="9">
        <v>19642340.111621581</v>
      </c>
      <c r="CH230" s="9">
        <v>10.6</v>
      </c>
      <c r="CI230" s="9">
        <v>4.5999999999999996</v>
      </c>
      <c r="CJ230" s="9">
        <v>17.2</v>
      </c>
      <c r="CK230" s="9">
        <v>9.6</v>
      </c>
      <c r="CL230" s="9">
        <v>11</v>
      </c>
      <c r="CM230" s="9">
        <v>116.63579722590001</v>
      </c>
      <c r="CN230" s="9">
        <v>29.949928490200001</v>
      </c>
      <c r="CO230" s="9">
        <v>5.0365127330000004</v>
      </c>
      <c r="CP230" s="9">
        <v>19.072639049599999</v>
      </c>
      <c r="CQ230" s="9">
        <v>11.803044053400001</v>
      </c>
      <c r="CR230" s="9">
        <v>5.6416165834000003</v>
      </c>
      <c r="CS230" s="9">
        <v>4.5405929533</v>
      </c>
      <c r="CT230" s="9">
        <v>16.7698559528</v>
      </c>
      <c r="CU230" s="9">
        <v>4.3064470220000004</v>
      </c>
      <c r="CV230" s="9">
        <v>3.6055536994000001</v>
      </c>
      <c r="CW230" s="9">
        <v>6.2172461444999998</v>
      </c>
      <c r="CX230" s="9">
        <v>3.3465446493000002</v>
      </c>
      <c r="CY230" s="9">
        <v>6.3458158951000003</v>
      </c>
      <c r="CZ230" s="9">
        <v>607</v>
      </c>
      <c r="DA230" s="9">
        <v>554</v>
      </c>
      <c r="DB230" s="9">
        <v>130</v>
      </c>
      <c r="DC230" s="9">
        <v>157</v>
      </c>
      <c r="DD230" s="9">
        <v>26</v>
      </c>
      <c r="DE230" s="9">
        <v>17</v>
      </c>
      <c r="DF230" s="9">
        <v>169</v>
      </c>
      <c r="DG230" s="9">
        <v>27</v>
      </c>
      <c r="DH230" s="9">
        <v>24</v>
      </c>
      <c r="DI230" s="9">
        <v>8</v>
      </c>
      <c r="DJ230" s="9">
        <v>1</v>
      </c>
      <c r="DK230" s="9">
        <v>10</v>
      </c>
      <c r="DL230" s="9">
        <v>2</v>
      </c>
      <c r="DM230" s="9">
        <v>27</v>
      </c>
      <c r="DN230" s="9">
        <v>0</v>
      </c>
      <c r="DO230" s="9">
        <v>503.98</v>
      </c>
      <c r="DP230" s="9">
        <v>139.36000000000001</v>
      </c>
      <c r="DQ230" s="9">
        <v>63.08</v>
      </c>
      <c r="DR230" s="9">
        <v>76.28</v>
      </c>
      <c r="DS230" s="9">
        <v>50.4</v>
      </c>
      <c r="DT230" s="9">
        <v>9.68</v>
      </c>
      <c r="DU230" s="9">
        <v>207.02</v>
      </c>
      <c r="DV230" s="9">
        <v>157.66</v>
      </c>
      <c r="DW230" s="9">
        <v>35.64</v>
      </c>
      <c r="DX230" s="9">
        <v>106.49</v>
      </c>
      <c r="DY230" s="9">
        <v>65.98</v>
      </c>
      <c r="DZ230" s="9">
        <v>28.41</v>
      </c>
      <c r="EA230" s="9">
        <v>-132.38399999999999</v>
      </c>
      <c r="EB230" s="9">
        <v>148.99719999999999</v>
      </c>
      <c r="EC230" s="9">
        <v>-207.51599999999999</v>
      </c>
      <c r="ED230" s="9">
        <v>-90.578599999999994</v>
      </c>
      <c r="EE230" s="9">
        <v>16.714210000000001</v>
      </c>
      <c r="EF230" s="9">
        <v>8.4616089999999993</v>
      </c>
      <c r="EG230" s="9">
        <v>-279.98399999999998</v>
      </c>
      <c r="EH230" s="9">
        <v>-223.096</v>
      </c>
      <c r="EI230" s="9">
        <v>-273.072</v>
      </c>
      <c r="EJ230" s="9">
        <v>0.68890300000000004</v>
      </c>
      <c r="EK230" s="9">
        <v>215.494</v>
      </c>
      <c r="EL230" s="9">
        <v>-27.464600000000001</v>
      </c>
      <c r="EM230" s="9">
        <v>128.5975</v>
      </c>
      <c r="EN230" s="9">
        <v>3624.8232006100002</v>
      </c>
      <c r="EO230" s="9">
        <v>640.84460942570001</v>
      </c>
      <c r="EP230" s="9">
        <v>2211.6769938052998</v>
      </c>
      <c r="EQ230" s="9">
        <v>7.5947745711000003</v>
      </c>
      <c r="ER230" s="9">
        <v>55.749056930199998</v>
      </c>
      <c r="ES230" s="9">
        <v>708.95776587759997</v>
      </c>
      <c r="ET230" s="9">
        <v>0</v>
      </c>
      <c r="EU230">
        <v>2649.6795454544999</v>
      </c>
      <c r="EV230" s="9"/>
      <c r="EW230" s="9"/>
      <c r="EX230" s="9"/>
      <c r="EY230" s="9"/>
      <c r="EZ230" s="9"/>
      <c r="FA230" s="9"/>
      <c r="FB230" s="9">
        <v>105.40129870129999</v>
      </c>
      <c r="FC230" s="9">
        <v>59.272608695700001</v>
      </c>
      <c r="FD230" s="9">
        <v>5939.1022727273003</v>
      </c>
      <c r="FE230" s="9">
        <v>75.2</v>
      </c>
      <c r="FF230" s="9">
        <v>1291.7454545455</v>
      </c>
      <c r="FG230" s="9">
        <v>17076161.800000001</v>
      </c>
      <c r="FH230" s="9">
        <v>830148</v>
      </c>
      <c r="FI230" s="9">
        <v>1781886.9</v>
      </c>
      <c r="FJ230" s="9">
        <v>8987789.5999999996</v>
      </c>
      <c r="FK230" s="9">
        <v>141051.29999999999</v>
      </c>
      <c r="FL230" s="9">
        <v>254914.2</v>
      </c>
      <c r="FM230" s="9">
        <v>1221147.79</v>
      </c>
      <c r="FN230" s="9">
        <v>19680.560000000001</v>
      </c>
      <c r="FO230" s="9">
        <v>89418.71</v>
      </c>
      <c r="FP230" s="9">
        <v>4372603.5</v>
      </c>
      <c r="FQ230" s="9">
        <v>237385.8</v>
      </c>
      <c r="FR230" s="9">
        <v>393960.5</v>
      </c>
      <c r="FS230" s="9">
        <v>475122.6</v>
      </c>
      <c r="FT230" s="9">
        <v>8083916.8300000001</v>
      </c>
      <c r="FU230" s="9">
        <v>689096.66</v>
      </c>
      <c r="FV230" s="9">
        <v>1522517.38</v>
      </c>
      <c r="FW230" s="9">
        <v>2167547.5499999998</v>
      </c>
      <c r="FX230" s="9">
        <v>88740.78</v>
      </c>
      <c r="FY230" s="9">
        <v>304818.78999999998</v>
      </c>
      <c r="FZ230" s="9">
        <v>401250.68</v>
      </c>
      <c r="GA230" s="9">
        <v>17040363.32</v>
      </c>
      <c r="GB230" s="9">
        <v>4970524.3</v>
      </c>
      <c r="GC230" s="9">
        <v>12069839.02</v>
      </c>
      <c r="GD230" s="9">
        <v>12007321.310000001</v>
      </c>
      <c r="GE230" s="9">
        <v>1139131.5900000001</v>
      </c>
      <c r="GF230" s="9">
        <v>10868189.720000001</v>
      </c>
      <c r="GG230" s="9">
        <v>5033042.01</v>
      </c>
      <c r="GH230" s="9">
        <v>3831392.71</v>
      </c>
      <c r="GI230" s="9">
        <v>1201649.3</v>
      </c>
      <c r="GJ230" s="9">
        <v>4778208.63</v>
      </c>
      <c r="GK230" s="9">
        <v>32691037.899999999</v>
      </c>
      <c r="GL230" s="9">
        <v>3311840.02</v>
      </c>
      <c r="GM230">
        <v>2628.7</v>
      </c>
      <c r="GO230" s="6"/>
      <c r="GP230" s="6"/>
      <c r="GQ230" s="6"/>
    </row>
    <row r="231" spans="1:199" x14ac:dyDescent="0.2">
      <c r="A231" s="8">
        <v>2019</v>
      </c>
      <c r="B231" s="8" t="s">
        <v>503</v>
      </c>
      <c r="C231" s="8" t="s">
        <v>505</v>
      </c>
      <c r="D231" s="9"/>
      <c r="E231" s="9"/>
      <c r="F231" s="9"/>
      <c r="G231" s="9"/>
      <c r="H231" s="9"/>
      <c r="I231" s="9"/>
      <c r="J231" s="9"/>
      <c r="K231" s="9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9"/>
      <c r="W231" s="9"/>
      <c r="X231" s="9"/>
      <c r="Y231" s="9"/>
      <c r="Z231" s="9"/>
      <c r="AA231" s="9"/>
      <c r="AB231" s="9"/>
      <c r="AC231" s="9"/>
      <c r="AD231" s="9"/>
      <c r="AE231" s="9"/>
      <c r="AF231" s="9"/>
      <c r="AG231" s="9"/>
      <c r="AH231" s="9"/>
      <c r="AI231" s="9"/>
      <c r="AJ231" s="9"/>
      <c r="AK231" s="9"/>
      <c r="AL231" s="9"/>
      <c r="AM231" s="9"/>
      <c r="AN231" s="9"/>
      <c r="AO231" s="9"/>
      <c r="AP231" s="9"/>
      <c r="AQ231" s="9"/>
      <c r="AR231" s="9"/>
      <c r="AS231" s="9"/>
      <c r="AT231" s="9"/>
      <c r="AU231" s="9"/>
      <c r="AV231" s="9"/>
      <c r="AW231" s="9"/>
      <c r="AX231" s="9"/>
      <c r="AY231" s="9"/>
      <c r="AZ231" s="9"/>
      <c r="BA231" s="9"/>
      <c r="BB231" s="9"/>
      <c r="BC231" s="9"/>
      <c r="BD231" s="9"/>
      <c r="BE231" s="9"/>
      <c r="BF231" s="9"/>
      <c r="BG231" s="9"/>
      <c r="BH231" s="9"/>
      <c r="BI231" s="9"/>
      <c r="BJ231" s="9"/>
      <c r="BK231" s="9"/>
      <c r="BL231" s="9"/>
      <c r="BM231" s="9"/>
      <c r="BN231" s="9">
        <v>789266.8</v>
      </c>
      <c r="BO231" s="9">
        <v>705180.2</v>
      </c>
      <c r="BP231" s="9">
        <v>272009.2</v>
      </c>
      <c r="BQ231" s="9">
        <v>169468.3</v>
      </c>
      <c r="BR231" s="9">
        <v>102540.9</v>
      </c>
      <c r="BS231" s="9">
        <v>136725</v>
      </c>
      <c r="BT231" s="9">
        <v>151537.20000000001</v>
      </c>
      <c r="BU231" s="9">
        <v>60882.1</v>
      </c>
      <c r="BV231" s="9">
        <v>58584.2</v>
      </c>
      <c r="BW231" s="9">
        <v>630853.5</v>
      </c>
      <c r="BX231" s="9">
        <v>-6300.7</v>
      </c>
      <c r="BY231" s="9">
        <v>105853.4</v>
      </c>
      <c r="BZ231" s="9">
        <v>185289</v>
      </c>
      <c r="CA231" s="9">
        <v>60532.3</v>
      </c>
      <c r="CB231" s="9">
        <v>19354.3</v>
      </c>
      <c r="CC231" s="9">
        <v>203258.4</v>
      </c>
      <c r="CD231" s="9">
        <v>5897.2</v>
      </c>
      <c r="CE231" s="9">
        <v>26061.3</v>
      </c>
      <c r="CF231" s="9">
        <v>3458458.8428952289</v>
      </c>
      <c r="CG231" s="9">
        <v>19582373.952604961</v>
      </c>
      <c r="CH231" s="9">
        <v>10.6038942141</v>
      </c>
      <c r="CI231" s="9">
        <v>4.4744301039999996</v>
      </c>
      <c r="CJ231" s="9">
        <v>17.071080657300001</v>
      </c>
      <c r="CK231" s="9">
        <v>11.0626965738</v>
      </c>
      <c r="CL231" s="9">
        <v>11</v>
      </c>
      <c r="CM231" s="9">
        <v>117.1769381594</v>
      </c>
      <c r="CN231" s="9">
        <v>30.262992574599998</v>
      </c>
      <c r="CO231" s="9">
        <v>5.0504051176000004</v>
      </c>
      <c r="CP231" s="9">
        <v>19.1437650182</v>
      </c>
      <c r="CQ231" s="9">
        <v>11.8371820364</v>
      </c>
      <c r="CR231" s="9">
        <v>5.6577483187000004</v>
      </c>
      <c r="CS231" s="9">
        <v>4.5564505654999996</v>
      </c>
      <c r="CT231" s="9">
        <v>16.80031438</v>
      </c>
      <c r="CU231" s="9">
        <v>4.3064468961999998</v>
      </c>
      <c r="CV231" s="9">
        <v>3.6098814542</v>
      </c>
      <c r="CW231" s="9">
        <v>6.2172461444999998</v>
      </c>
      <c r="CX231" s="9">
        <v>3.3649935171999998</v>
      </c>
      <c r="CY231" s="9">
        <v>6.3695121365</v>
      </c>
      <c r="CZ231" s="9">
        <v>486</v>
      </c>
      <c r="DA231" s="9">
        <v>464</v>
      </c>
      <c r="DB231" s="9">
        <v>66</v>
      </c>
      <c r="DC231" s="9">
        <v>152</v>
      </c>
      <c r="DD231" s="9">
        <v>26</v>
      </c>
      <c r="DE231" s="9">
        <v>17</v>
      </c>
      <c r="DF231" s="9">
        <v>163</v>
      </c>
      <c r="DG231" s="9">
        <v>26</v>
      </c>
      <c r="DH231" s="9">
        <v>7</v>
      </c>
      <c r="DI231" s="9">
        <v>1</v>
      </c>
      <c r="DJ231" s="9">
        <v>1</v>
      </c>
      <c r="DK231" s="9">
        <v>2</v>
      </c>
      <c r="DL231" s="9">
        <v>1</v>
      </c>
      <c r="DM231" s="9">
        <v>15</v>
      </c>
      <c r="DN231" s="9">
        <v>0</v>
      </c>
      <c r="DO231" s="9">
        <v>333.54</v>
      </c>
      <c r="DP231" s="9">
        <v>96.45</v>
      </c>
      <c r="DQ231" s="9">
        <v>48.39</v>
      </c>
      <c r="DR231" s="9">
        <v>48.06</v>
      </c>
      <c r="DS231" s="9">
        <v>35.29</v>
      </c>
      <c r="DT231" s="9">
        <v>4.3499999999999996</v>
      </c>
      <c r="DU231" s="9">
        <v>126.74</v>
      </c>
      <c r="DV231" s="9">
        <v>99.39</v>
      </c>
      <c r="DW231" s="9">
        <v>21.05</v>
      </c>
      <c r="DX231" s="9">
        <v>74.66</v>
      </c>
      <c r="DY231" s="9">
        <v>45.02</v>
      </c>
      <c r="DZ231" s="9">
        <v>18.260000000000002</v>
      </c>
      <c r="EA231" s="9">
        <v>-148.96899999999999</v>
      </c>
      <c r="EB231" s="9">
        <v>130.6994</v>
      </c>
      <c r="EC231" s="9">
        <v>-232.79400000000001</v>
      </c>
      <c r="ED231" s="9">
        <v>-91.327699999999993</v>
      </c>
      <c r="EE231" s="9">
        <v>44.453189999999999</v>
      </c>
      <c r="EF231" s="9">
        <v>8.0847929999999995</v>
      </c>
      <c r="EG231" s="9">
        <v>-225.804</v>
      </c>
      <c r="EH231" s="9">
        <v>-158.63</v>
      </c>
      <c r="EI231" s="9">
        <v>-76.587199999999996</v>
      </c>
      <c r="EJ231" s="9">
        <v>-1.0372600000000001</v>
      </c>
      <c r="EK231" s="9">
        <v>10.45082</v>
      </c>
      <c r="EL231" s="9">
        <v>-30.886800000000001</v>
      </c>
      <c r="EM231" s="9">
        <v>54.032789999999999</v>
      </c>
      <c r="EN231" s="9">
        <v>3621.6678503503999</v>
      </c>
      <c r="EO231" s="9">
        <v>575.36302856290001</v>
      </c>
      <c r="EP231" s="9">
        <v>2333.0720199979</v>
      </c>
      <c r="EQ231" s="9">
        <v>7.5823956947999998</v>
      </c>
      <c r="ER231" s="9">
        <v>54.364215397899997</v>
      </c>
      <c r="ES231" s="9">
        <v>651.28619069679996</v>
      </c>
      <c r="ET231" s="9">
        <v>0</v>
      </c>
      <c r="EU231">
        <v>2633.3741176470999</v>
      </c>
      <c r="EV231" s="9"/>
      <c r="EW231" s="9"/>
      <c r="EX231" s="9"/>
      <c r="EY231" s="9"/>
      <c r="EZ231" s="9"/>
      <c r="FA231" s="9"/>
      <c r="FB231" s="9">
        <v>101.3571428571</v>
      </c>
      <c r="FC231" s="9">
        <v>64.134</v>
      </c>
      <c r="FD231" s="9">
        <v>6300.4875000000002</v>
      </c>
      <c r="FE231" s="9">
        <v>87.59</v>
      </c>
      <c r="FF231" s="9">
        <v>1320.0650000000001</v>
      </c>
      <c r="FG231" s="9">
        <v>17104155.699999999</v>
      </c>
      <c r="FH231" s="9">
        <v>922345.8</v>
      </c>
      <c r="FI231" s="9">
        <v>1838323.4</v>
      </c>
      <c r="FJ231" s="9">
        <v>8966056.6999999993</v>
      </c>
      <c r="FK231" s="9">
        <v>174089.9</v>
      </c>
      <c r="FL231" s="9">
        <v>257131.5</v>
      </c>
      <c r="FM231" s="9">
        <v>1233620.72</v>
      </c>
      <c r="FN231" s="9">
        <v>24769.99</v>
      </c>
      <c r="FO231" s="9">
        <v>85723.19</v>
      </c>
      <c r="FP231" s="9">
        <v>4301985.9000000004</v>
      </c>
      <c r="FQ231" s="9">
        <v>242390.39999999999</v>
      </c>
      <c r="FR231" s="9">
        <v>386623.6</v>
      </c>
      <c r="FS231" s="9">
        <v>493589.4</v>
      </c>
      <c r="FT231" s="9">
        <v>8133643.6699999999</v>
      </c>
      <c r="FU231" s="9">
        <v>748255.9</v>
      </c>
      <c r="FV231" s="9">
        <v>1576736.57</v>
      </c>
      <c r="FW231" s="9">
        <v>2233995.75</v>
      </c>
      <c r="FX231" s="9">
        <v>100942.72</v>
      </c>
      <c r="FY231" s="9">
        <v>395130.45</v>
      </c>
      <c r="FZ231" s="9">
        <v>395905.63</v>
      </c>
      <c r="GA231" s="9">
        <v>16987024.550000001</v>
      </c>
      <c r="GB231" s="9">
        <v>4770009.34</v>
      </c>
      <c r="GC231" s="9">
        <v>12217015.210000001</v>
      </c>
      <c r="GD231" s="9">
        <v>11981968.85</v>
      </c>
      <c r="GE231" s="9">
        <v>1033482.06</v>
      </c>
      <c r="GF231" s="9">
        <v>10948486.789999999</v>
      </c>
      <c r="GG231" s="9">
        <v>5005055.6999999993</v>
      </c>
      <c r="GH231" s="9">
        <v>3736527.28</v>
      </c>
      <c r="GI231" s="9">
        <v>1268528.42</v>
      </c>
      <c r="GJ231" s="9">
        <v>4936649.6300000008</v>
      </c>
      <c r="GK231" s="9">
        <v>32765560.780000001</v>
      </c>
      <c r="GL231" s="9">
        <v>3318900.07</v>
      </c>
      <c r="GM231">
        <v>2635.33</v>
      </c>
      <c r="GO231" s="6"/>
      <c r="GP231" s="6"/>
      <c r="GQ231" s="6"/>
    </row>
    <row r="232" spans="1:199" x14ac:dyDescent="0.2">
      <c r="A232" s="8">
        <v>2019</v>
      </c>
      <c r="B232" s="8" t="s">
        <v>503</v>
      </c>
      <c r="C232" s="8" t="s">
        <v>506</v>
      </c>
      <c r="D232" s="9">
        <v>7965579.3940000003</v>
      </c>
      <c r="E232" s="9">
        <v>236913.182</v>
      </c>
      <c r="F232" s="9">
        <v>2359249.1850000001</v>
      </c>
      <c r="G232" s="9">
        <v>708177.39500000002</v>
      </c>
      <c r="H232" s="9">
        <v>198680.87100000001</v>
      </c>
      <c r="I232" s="9">
        <v>75183.531000000003</v>
      </c>
      <c r="J232" s="9">
        <v>636056.25100000005</v>
      </c>
      <c r="K232" s="9">
        <v>422476.85499999998</v>
      </c>
      <c r="L232" s="9">
        <v>131899.98000000001</v>
      </c>
      <c r="M232" s="9">
        <v>2344214.568</v>
      </c>
      <c r="N232" s="9">
        <v>852727.576</v>
      </c>
      <c r="O232" s="9">
        <v>5252874.1009999998</v>
      </c>
      <c r="P232" s="9">
        <v>203926.60200000001</v>
      </c>
      <c r="Q232" s="9">
        <v>955662.61699999997</v>
      </c>
      <c r="R232" s="9">
        <v>317701.28000000003</v>
      </c>
      <c r="S232" s="9">
        <v>197308.74299999999</v>
      </c>
      <c r="T232" s="9">
        <v>62439.548999999999</v>
      </c>
      <c r="U232" s="9">
        <v>581267.41200000001</v>
      </c>
      <c r="V232" s="9">
        <v>267697.04499999998</v>
      </c>
      <c r="W232" s="9">
        <v>129255.79399999999</v>
      </c>
      <c r="X232" s="9">
        <v>1893407.0260000001</v>
      </c>
      <c r="Y232" s="9">
        <v>644208.03300000005</v>
      </c>
      <c r="Z232" s="9">
        <v>7658989.358</v>
      </c>
      <c r="AA232" s="9">
        <v>4730060.0619999999</v>
      </c>
      <c r="AB232" s="9">
        <v>979861.99549999996</v>
      </c>
      <c r="AC232" s="9">
        <v>2139209.4750000001</v>
      </c>
      <c r="AD232" s="9">
        <v>385712.18199999997</v>
      </c>
      <c r="AE232" s="9">
        <v>4916864.5729999999</v>
      </c>
      <c r="AF232" s="9">
        <v>5492718.9299999997</v>
      </c>
      <c r="AG232" s="9">
        <v>5481667.2000000002</v>
      </c>
      <c r="AH232" s="9">
        <v>4348672.0999999996</v>
      </c>
      <c r="AI232" s="9">
        <v>949989.7</v>
      </c>
      <c r="AJ232" s="9">
        <v>1616321.6</v>
      </c>
      <c r="AK232" s="9">
        <v>27125.599999999999</v>
      </c>
      <c r="AL232" s="9">
        <v>2993351.5</v>
      </c>
      <c r="AM232" s="9">
        <v>4453793.2</v>
      </c>
      <c r="AN232" s="9">
        <v>1143129</v>
      </c>
      <c r="AO232" s="9">
        <v>605933</v>
      </c>
      <c r="AP232" s="9">
        <v>537196</v>
      </c>
      <c r="AQ232" s="9">
        <v>153592</v>
      </c>
      <c r="AR232" s="9">
        <v>89114</v>
      </c>
      <c r="AS232" s="9">
        <v>64478</v>
      </c>
      <c r="AT232" s="9">
        <v>839059</v>
      </c>
      <c r="AU232" s="9">
        <v>320742</v>
      </c>
      <c r="AV232" s="9">
        <v>518317</v>
      </c>
      <c r="AW232" s="9">
        <v>1157.9000000000001</v>
      </c>
      <c r="AX232" s="9">
        <v>833</v>
      </c>
      <c r="AY232" s="9">
        <v>2825.1</v>
      </c>
      <c r="AZ232" s="9">
        <v>1196.8</v>
      </c>
      <c r="BA232" s="9">
        <v>1586</v>
      </c>
      <c r="BB232" s="9">
        <v>857.3</v>
      </c>
      <c r="BC232" s="9">
        <v>1247.2</v>
      </c>
      <c r="BD232" s="9">
        <v>934.8</v>
      </c>
      <c r="BE232" s="9">
        <v>1202.0999999999999</v>
      </c>
      <c r="BF232" s="9">
        <v>729.9</v>
      </c>
      <c r="BG232" s="9">
        <v>1068.8</v>
      </c>
      <c r="BH232" s="9">
        <v>1380.4</v>
      </c>
      <c r="BI232" s="9">
        <v>1266</v>
      </c>
      <c r="BJ232" s="9">
        <v>906.5</v>
      </c>
      <c r="BK232" s="9">
        <v>928.5</v>
      </c>
      <c r="BL232" s="9">
        <v>739.9</v>
      </c>
      <c r="BM232" s="9">
        <v>927.4</v>
      </c>
      <c r="BN232" s="9">
        <v>794975.4</v>
      </c>
      <c r="BO232" s="9">
        <v>640046.19999999995</v>
      </c>
      <c r="BP232" s="9">
        <v>146867.20000000001</v>
      </c>
      <c r="BQ232" s="9">
        <v>90021</v>
      </c>
      <c r="BR232" s="9">
        <v>56845.5</v>
      </c>
      <c r="BS232" s="9">
        <v>176211.9</v>
      </c>
      <c r="BT232" s="9">
        <v>108751.9</v>
      </c>
      <c r="BU232" s="9">
        <v>63309</v>
      </c>
      <c r="BV232" s="9">
        <v>69039.100000000006</v>
      </c>
      <c r="BW232" s="9">
        <v>811148.6</v>
      </c>
      <c r="BX232" s="9">
        <v>5647.7</v>
      </c>
      <c r="BY232" s="9">
        <v>120628.1</v>
      </c>
      <c r="BZ232" s="9">
        <v>190190.4</v>
      </c>
      <c r="CA232" s="9">
        <v>108042.6</v>
      </c>
      <c r="CB232" s="9">
        <v>19782.5</v>
      </c>
      <c r="CC232" s="9">
        <v>261079.6</v>
      </c>
      <c r="CD232" s="9">
        <v>6406.9</v>
      </c>
      <c r="CE232" s="9">
        <v>111425.60000000001</v>
      </c>
      <c r="CF232" s="9">
        <v>3666644.7315399726</v>
      </c>
      <c r="CG232" s="9">
        <v>19699594.563517932</v>
      </c>
      <c r="CH232" s="9">
        <v>12.707194494499999</v>
      </c>
      <c r="CI232" s="9">
        <v>4.2047387465000003</v>
      </c>
      <c r="CJ232" s="9">
        <v>17.100000000000001</v>
      </c>
      <c r="CK232" s="9">
        <v>10.3</v>
      </c>
      <c r="CL232" s="9">
        <v>11</v>
      </c>
      <c r="CM232" s="9">
        <v>118.0371997238</v>
      </c>
      <c r="CN232" s="9">
        <v>30.844999542</v>
      </c>
      <c r="CO232" s="9">
        <v>5.0599750433999997</v>
      </c>
      <c r="CP232" s="9">
        <v>19.267150549899998</v>
      </c>
      <c r="CQ232" s="9">
        <v>11.843298687100001</v>
      </c>
      <c r="CR232" s="9">
        <v>5.6742196064000003</v>
      </c>
      <c r="CS232" s="9">
        <v>4.5773827154999998</v>
      </c>
      <c r="CT232" s="9">
        <v>16.8346749291</v>
      </c>
      <c r="CU232" s="9">
        <v>4.3035947391000002</v>
      </c>
      <c r="CV232" s="9">
        <v>3.6157104492999999</v>
      </c>
      <c r="CW232" s="9">
        <v>6.2188902927000003</v>
      </c>
      <c r="CX232" s="9">
        <v>3.4024799922</v>
      </c>
      <c r="CY232" s="9">
        <v>6.3948231771000001</v>
      </c>
      <c r="CZ232" s="9">
        <v>678</v>
      </c>
      <c r="DA232" s="9">
        <v>645</v>
      </c>
      <c r="DB232" s="9">
        <v>0</v>
      </c>
      <c r="DC232" s="9">
        <v>195</v>
      </c>
      <c r="DD232" s="9">
        <v>54</v>
      </c>
      <c r="DE232" s="9">
        <v>28</v>
      </c>
      <c r="DF232" s="9">
        <v>309</v>
      </c>
      <c r="DG232" s="9">
        <v>35</v>
      </c>
      <c r="DH232" s="9">
        <v>11</v>
      </c>
      <c r="DI232" s="9">
        <v>4</v>
      </c>
      <c r="DJ232" s="9">
        <v>1</v>
      </c>
      <c r="DK232" s="9">
        <v>4</v>
      </c>
      <c r="DL232" s="9">
        <v>0</v>
      </c>
      <c r="DM232" s="9">
        <v>21</v>
      </c>
      <c r="DN232" s="9">
        <v>0</v>
      </c>
      <c r="DO232" s="9">
        <v>448.23</v>
      </c>
      <c r="DP232" s="9">
        <v>115.48</v>
      </c>
      <c r="DQ232" s="9">
        <v>58.73</v>
      </c>
      <c r="DR232" s="9">
        <v>56.76</v>
      </c>
      <c r="DS232" s="9">
        <v>61.33</v>
      </c>
      <c r="DT232" s="9">
        <v>23.02</v>
      </c>
      <c r="DU232" s="9">
        <v>185.17</v>
      </c>
      <c r="DV232" s="9">
        <v>117.57</v>
      </c>
      <c r="DW232" s="9">
        <v>47.03</v>
      </c>
      <c r="DX232" s="9">
        <v>85.82</v>
      </c>
      <c r="DY232" s="9">
        <v>51.99</v>
      </c>
      <c r="DZ232" s="9">
        <v>22.3</v>
      </c>
      <c r="EA232" s="9">
        <v>-116.73699999999999</v>
      </c>
      <c r="EB232" s="9">
        <v>184.48509999999999</v>
      </c>
      <c r="EC232" s="9">
        <v>-206.553</v>
      </c>
      <c r="ED232" s="9">
        <v>-106.727</v>
      </c>
      <c r="EE232" s="9">
        <v>12.057309999999999</v>
      </c>
      <c r="EF232" s="9">
        <v>8.1257210000000004</v>
      </c>
      <c r="EG232" s="9">
        <v>-51.786799999999999</v>
      </c>
      <c r="EH232" s="9">
        <v>-100.09399999999999</v>
      </c>
      <c r="EI232" s="9">
        <v>8.1729620000000001</v>
      </c>
      <c r="EJ232" s="9">
        <v>-0.12827</v>
      </c>
      <c r="EK232" s="9">
        <v>40.262030000000003</v>
      </c>
      <c r="EL232" s="9">
        <v>93.755459999999999</v>
      </c>
      <c r="EM232" s="9">
        <v>36.931159999999998</v>
      </c>
      <c r="EN232" s="9">
        <v>3660.4039671208002</v>
      </c>
      <c r="EO232" s="9">
        <v>576.44694563120004</v>
      </c>
      <c r="EP232" s="9">
        <v>2366.2815922304999</v>
      </c>
      <c r="EQ232" s="9">
        <v>7.5629618528</v>
      </c>
      <c r="ER232" s="9">
        <v>54.098957878299998</v>
      </c>
      <c r="ES232" s="9">
        <v>656.01350952790006</v>
      </c>
      <c r="ET232" s="9">
        <v>0</v>
      </c>
      <c r="EU232">
        <v>2632.5065</v>
      </c>
      <c r="EV232" s="9">
        <v>29545.93</v>
      </c>
      <c r="EW232" s="9">
        <v>7424.06</v>
      </c>
      <c r="EX232" s="9">
        <v>2072.41</v>
      </c>
      <c r="EY232" s="9">
        <v>2380.35</v>
      </c>
      <c r="EZ232" s="9">
        <v>8299.2900000000009</v>
      </c>
      <c r="FA232" s="9">
        <v>9369.81</v>
      </c>
      <c r="FB232" s="9">
        <v>99.6698979592</v>
      </c>
      <c r="FC232" s="9">
        <v>66.410952381000001</v>
      </c>
      <c r="FD232" s="9">
        <v>6439.4642857142999</v>
      </c>
      <c r="FE232" s="9">
        <v>87.071428571400006</v>
      </c>
      <c r="FF232" s="9">
        <v>1300.8976190476001</v>
      </c>
      <c r="FG232" s="9">
        <v>17327282.399999999</v>
      </c>
      <c r="FH232" s="9">
        <v>909284.1</v>
      </c>
      <c r="FI232" s="9">
        <v>1859267.4</v>
      </c>
      <c r="FJ232" s="9">
        <v>9070554.0999999996</v>
      </c>
      <c r="FK232" s="9">
        <v>189551.1</v>
      </c>
      <c r="FL232" s="9">
        <v>265509</v>
      </c>
      <c r="FM232" s="9">
        <v>1309575.8500000001</v>
      </c>
      <c r="FN232" s="9">
        <v>25619.05</v>
      </c>
      <c r="FO232" s="9">
        <v>89952.72</v>
      </c>
      <c r="FP232" s="9">
        <v>4267825.3</v>
      </c>
      <c r="FQ232" s="9">
        <v>262389.09999999998</v>
      </c>
      <c r="FR232" s="9">
        <v>377686.4</v>
      </c>
      <c r="FS232" s="9">
        <v>533180</v>
      </c>
      <c r="FT232" s="9">
        <v>8250351.9200000018</v>
      </c>
      <c r="FU232" s="9">
        <v>719732.96</v>
      </c>
      <c r="FV232" s="9">
        <v>1587382.01</v>
      </c>
      <c r="FW232" s="9">
        <v>2224367.38</v>
      </c>
      <c r="FX232" s="9">
        <v>104721.21</v>
      </c>
      <c r="FY232" s="9">
        <v>395162.08</v>
      </c>
      <c r="FZ232" s="9">
        <v>411596.28</v>
      </c>
      <c r="GA232" s="9">
        <v>17041384.719999999</v>
      </c>
      <c r="GB232" s="9">
        <v>4866132.3899999997</v>
      </c>
      <c r="GC232" s="9">
        <v>12175252.33</v>
      </c>
      <c r="GD232" s="9">
        <v>11990840.9</v>
      </c>
      <c r="GE232" s="9">
        <v>1026393.18</v>
      </c>
      <c r="GF232" s="9">
        <v>10964447.720000001</v>
      </c>
      <c r="GG232" s="9">
        <v>5050543.82</v>
      </c>
      <c r="GH232" s="9">
        <v>3839739.21</v>
      </c>
      <c r="GI232" s="9">
        <v>1210804.6100000001</v>
      </c>
      <c r="GJ232" s="9">
        <v>5121936.47</v>
      </c>
      <c r="GK232" s="9">
        <v>33516075.149999999</v>
      </c>
      <c r="GL232" s="9">
        <v>3349079.43</v>
      </c>
      <c r="GM232">
        <v>2631.51</v>
      </c>
      <c r="GO232" s="6"/>
      <c r="GP232" s="6"/>
      <c r="GQ232" s="6"/>
    </row>
    <row r="233" spans="1:199" x14ac:dyDescent="0.2">
      <c r="A233" s="8">
        <v>2019</v>
      </c>
      <c r="B233" s="8" t="s">
        <v>507</v>
      </c>
      <c r="C233" s="8" t="s">
        <v>508</v>
      </c>
      <c r="D233" s="9"/>
      <c r="E233" s="9"/>
      <c r="F233" s="9"/>
      <c r="G233" s="9"/>
      <c r="H233" s="9"/>
      <c r="I233" s="9"/>
      <c r="J233" s="9"/>
      <c r="K233" s="9"/>
      <c r="L233" s="9"/>
      <c r="M233" s="9"/>
      <c r="N233" s="9"/>
      <c r="O233" s="9"/>
      <c r="P233" s="9"/>
      <c r="Q233" s="9"/>
      <c r="R233" s="9"/>
      <c r="S233" s="9"/>
      <c r="T233" s="9"/>
      <c r="U233" s="9"/>
      <c r="V233" s="9"/>
      <c r="W233" s="9"/>
      <c r="X233" s="9"/>
      <c r="Y233" s="9"/>
      <c r="Z233" s="9"/>
      <c r="AA233" s="9"/>
      <c r="AB233" s="9"/>
      <c r="AC233" s="9"/>
      <c r="AD233" s="9"/>
      <c r="AE233" s="9"/>
      <c r="AF233" s="9"/>
      <c r="AG233" s="9"/>
      <c r="AH233" s="9"/>
      <c r="AI233" s="9"/>
      <c r="AJ233" s="9"/>
      <c r="AK233" s="9"/>
      <c r="AL233" s="9"/>
      <c r="AM233" s="9"/>
      <c r="AN233" s="9"/>
      <c r="AO233" s="9"/>
      <c r="AP233" s="9"/>
      <c r="AQ233" s="9"/>
      <c r="AR233" s="9"/>
      <c r="AS233" s="9"/>
      <c r="AT233" s="9"/>
      <c r="AU233" s="9"/>
      <c r="AV233" s="9"/>
      <c r="AW233" s="9"/>
      <c r="AX233" s="9"/>
      <c r="AY233" s="9"/>
      <c r="AZ233" s="9"/>
      <c r="BA233" s="9"/>
      <c r="BB233" s="9"/>
      <c r="BC233" s="9"/>
      <c r="BD233" s="9"/>
      <c r="BE233" s="9"/>
      <c r="BF233" s="9"/>
      <c r="BG233" s="9"/>
      <c r="BH233" s="9"/>
      <c r="BI233" s="9"/>
      <c r="BJ233" s="9"/>
      <c r="BK233" s="9"/>
      <c r="BL233" s="9"/>
      <c r="BM233" s="9"/>
      <c r="BN233" s="9">
        <v>1073642</v>
      </c>
      <c r="BO233" s="9">
        <v>886234.3</v>
      </c>
      <c r="BP233" s="9">
        <v>270955.7</v>
      </c>
      <c r="BQ233" s="9">
        <v>222184.3</v>
      </c>
      <c r="BR233" s="9">
        <v>64984.7</v>
      </c>
      <c r="BS233" s="9">
        <v>169232.7</v>
      </c>
      <c r="BT233" s="9">
        <v>218071.6</v>
      </c>
      <c r="BU233" s="9">
        <v>63731</v>
      </c>
      <c r="BV233" s="9">
        <v>82352.5</v>
      </c>
      <c r="BW233" s="9">
        <v>509443.8</v>
      </c>
      <c r="BX233" s="9">
        <v>53762.1</v>
      </c>
      <c r="BY233" s="9">
        <v>140623</v>
      </c>
      <c r="BZ233" s="9">
        <v>186560.1</v>
      </c>
      <c r="CA233" s="9">
        <v>78660.899999999994</v>
      </c>
      <c r="CB233" s="9">
        <v>22946.799999999999</v>
      </c>
      <c r="CC233" s="9">
        <v>248644.3</v>
      </c>
      <c r="CD233" s="9">
        <v>6639.1</v>
      </c>
      <c r="CE233" s="9">
        <v>145211.20000000001</v>
      </c>
      <c r="CF233" s="9">
        <v>3671113.9444995718</v>
      </c>
      <c r="CG233" s="9">
        <v>19909469.11576169</v>
      </c>
      <c r="CH233" s="9">
        <v>11.078072693199999</v>
      </c>
      <c r="CI233" s="9">
        <v>4.3868335021</v>
      </c>
      <c r="CJ233" s="9">
        <v>17.450155958</v>
      </c>
      <c r="CK233" s="9">
        <v>9.4524404552999997</v>
      </c>
      <c r="CL233" s="9">
        <v>11</v>
      </c>
      <c r="CM233" s="9">
        <v>119.1605526597</v>
      </c>
      <c r="CN233" s="9">
        <v>31.7063090722</v>
      </c>
      <c r="CO233" s="9">
        <v>5.0765441666999997</v>
      </c>
      <c r="CP233" s="9">
        <v>19.393170886</v>
      </c>
      <c r="CQ233" s="9">
        <v>11.760376296600001</v>
      </c>
      <c r="CR233" s="9">
        <v>5.6885781941999998</v>
      </c>
      <c r="CS233" s="9">
        <v>4.5925305012999997</v>
      </c>
      <c r="CT233" s="9">
        <v>16.943606516300001</v>
      </c>
      <c r="CU233" s="9">
        <v>4.3057669803999996</v>
      </c>
      <c r="CV233" s="9">
        <v>3.6360388578</v>
      </c>
      <c r="CW233" s="9">
        <v>6.2189229303999998</v>
      </c>
      <c r="CX233" s="9">
        <v>3.4044345494999999</v>
      </c>
      <c r="CY233" s="9">
        <v>6.4342737083000001</v>
      </c>
      <c r="CZ233" s="9">
        <v>740</v>
      </c>
      <c r="DA233" s="9">
        <v>638</v>
      </c>
      <c r="DB233" s="9">
        <v>0</v>
      </c>
      <c r="DC233" s="9">
        <v>198</v>
      </c>
      <c r="DD233" s="9">
        <v>53</v>
      </c>
      <c r="DE233" s="9">
        <v>16</v>
      </c>
      <c r="DF233" s="9">
        <v>319</v>
      </c>
      <c r="DG233" s="9">
        <v>31</v>
      </c>
      <c r="DH233" s="9">
        <v>79</v>
      </c>
      <c r="DI233" s="9">
        <v>4</v>
      </c>
      <c r="DJ233" s="9">
        <v>2</v>
      </c>
      <c r="DK233" s="9">
        <v>71</v>
      </c>
      <c r="DL233" s="9">
        <v>0</v>
      </c>
      <c r="DM233" s="9">
        <v>22</v>
      </c>
      <c r="DN233" s="9">
        <v>0</v>
      </c>
      <c r="DO233" s="9">
        <v>480.49</v>
      </c>
      <c r="DP233" s="9">
        <v>147.15</v>
      </c>
      <c r="DQ233" s="9">
        <v>78.819999999999993</v>
      </c>
      <c r="DR233" s="9">
        <v>68.33</v>
      </c>
      <c r="DS233" s="9">
        <v>54.29</v>
      </c>
      <c r="DT233" s="9">
        <v>9.33</v>
      </c>
      <c r="DU233" s="9">
        <v>198.3</v>
      </c>
      <c r="DV233" s="9">
        <v>126.62</v>
      </c>
      <c r="DW233" s="9">
        <v>59.19</v>
      </c>
      <c r="DX233" s="9">
        <v>80.319999999999993</v>
      </c>
      <c r="DY233" s="9">
        <v>44.33</v>
      </c>
      <c r="DZ233" s="9">
        <v>21.8</v>
      </c>
      <c r="EA233" s="9">
        <v>-33.726799999999997</v>
      </c>
      <c r="EB233" s="9">
        <v>225.10380000000001</v>
      </c>
      <c r="EC233" s="9">
        <v>-177.52699999999999</v>
      </c>
      <c r="ED233" s="9">
        <v>-97.931100000000001</v>
      </c>
      <c r="EE233" s="9">
        <v>16.62726</v>
      </c>
      <c r="EF233" s="9">
        <v>10.5456</v>
      </c>
      <c r="EG233" s="9">
        <v>-55.879100000000001</v>
      </c>
      <c r="EH233" s="9">
        <v>-144.34700000000001</v>
      </c>
      <c r="EI233" s="9">
        <v>-27.1281</v>
      </c>
      <c r="EJ233" s="9">
        <v>-0.63780000000000003</v>
      </c>
      <c r="EK233" s="9">
        <v>116.2333</v>
      </c>
      <c r="EL233" s="9">
        <v>70.592110000000005</v>
      </c>
      <c r="EM233" s="9">
        <v>103.2901</v>
      </c>
      <c r="EN233" s="9">
        <v>3759.0156151118999</v>
      </c>
      <c r="EO233" s="9">
        <v>568.06023034270004</v>
      </c>
      <c r="EP233" s="9">
        <v>2476.3254544517999</v>
      </c>
      <c r="EQ233" s="9">
        <v>7.5100697876</v>
      </c>
      <c r="ER233" s="9">
        <v>53.845653539600001</v>
      </c>
      <c r="ES233" s="9">
        <v>653.27420699029994</v>
      </c>
      <c r="ET233" s="9">
        <v>0</v>
      </c>
      <c r="EU233">
        <v>2634.9272727273001</v>
      </c>
      <c r="EV233" s="9"/>
      <c r="EW233" s="9"/>
      <c r="EX233" s="9"/>
      <c r="EY233" s="9"/>
      <c r="EZ233" s="9"/>
      <c r="FA233" s="9"/>
      <c r="FB233" s="9">
        <v>88.7646428571</v>
      </c>
      <c r="FC233" s="9">
        <v>71.196818181799998</v>
      </c>
      <c r="FD233" s="9">
        <v>6438.3625000000002</v>
      </c>
      <c r="FE233" s="9">
        <v>94.5</v>
      </c>
      <c r="FF233" s="9">
        <v>1286.4449999999999</v>
      </c>
      <c r="FG233" s="9">
        <v>17510100.800000001</v>
      </c>
      <c r="FH233" s="9">
        <v>976366.3</v>
      </c>
      <c r="FI233" s="9">
        <v>1943828.3</v>
      </c>
      <c r="FJ233" s="9">
        <v>9115106.0999999996</v>
      </c>
      <c r="FK233" s="9">
        <v>184552.2</v>
      </c>
      <c r="FL233" s="9">
        <v>282926.7</v>
      </c>
      <c r="FM233" s="9">
        <v>1399189.86</v>
      </c>
      <c r="FN233" s="9">
        <v>24037.63</v>
      </c>
      <c r="FO233" s="9">
        <v>92985.76</v>
      </c>
      <c r="FP233" s="9">
        <v>4225424.5999999996</v>
      </c>
      <c r="FQ233" s="9">
        <v>265343.2</v>
      </c>
      <c r="FR233" s="9">
        <v>367826.1</v>
      </c>
      <c r="FS233" s="9">
        <v>520162.2</v>
      </c>
      <c r="FT233" s="9">
        <v>8388614.5500000007</v>
      </c>
      <c r="FU233" s="9">
        <v>791814.11</v>
      </c>
      <c r="FV233" s="9">
        <v>1654521.44</v>
      </c>
      <c r="FW233" s="9">
        <v>2282034.4500000002</v>
      </c>
      <c r="FX233" s="9">
        <v>106200.59</v>
      </c>
      <c r="FY233" s="9">
        <v>462154.28</v>
      </c>
      <c r="FZ233" s="9">
        <v>412216.94</v>
      </c>
      <c r="GA233" s="9">
        <v>17326229.100000001</v>
      </c>
      <c r="GB233" s="9">
        <v>5264068.5199999996</v>
      </c>
      <c r="GC233" s="9">
        <v>12062160.58</v>
      </c>
      <c r="GD233" s="9">
        <v>11977150.65</v>
      </c>
      <c r="GE233" s="9">
        <v>1101285.7</v>
      </c>
      <c r="GF233" s="9">
        <v>10875864.949999999</v>
      </c>
      <c r="GG233" s="9">
        <v>5349078.4499999993</v>
      </c>
      <c r="GH233" s="9">
        <v>4162782.82</v>
      </c>
      <c r="GI233" s="9">
        <v>1186295.6299999999</v>
      </c>
      <c r="GJ233" s="9">
        <v>5010424.3900000006</v>
      </c>
      <c r="GK233" s="9">
        <v>33632599.159999996</v>
      </c>
      <c r="GL233" s="9">
        <v>3034175.71</v>
      </c>
      <c r="GM233">
        <v>2642.78</v>
      </c>
      <c r="GO233" s="6"/>
      <c r="GP233" s="6"/>
      <c r="GQ233" s="6"/>
    </row>
    <row r="234" spans="1:199" x14ac:dyDescent="0.2">
      <c r="A234" s="8">
        <v>2019</v>
      </c>
      <c r="B234" s="8" t="s">
        <v>507</v>
      </c>
      <c r="C234" s="8" t="s">
        <v>509</v>
      </c>
      <c r="D234" s="9"/>
      <c r="E234" s="9"/>
      <c r="F234" s="9"/>
      <c r="G234" s="9"/>
      <c r="H234" s="9"/>
      <c r="I234" s="9"/>
      <c r="J234" s="9"/>
      <c r="K234" s="9"/>
      <c r="L234" s="9"/>
      <c r="M234" s="9"/>
      <c r="N234" s="9"/>
      <c r="O234" s="9"/>
      <c r="P234" s="9"/>
      <c r="Q234" s="9"/>
      <c r="R234" s="9"/>
      <c r="S234" s="9"/>
      <c r="T234" s="9"/>
      <c r="U234" s="9"/>
      <c r="V234" s="9"/>
      <c r="W234" s="9"/>
      <c r="X234" s="9"/>
      <c r="Y234" s="9"/>
      <c r="Z234" s="9"/>
      <c r="AA234" s="9"/>
      <c r="AB234" s="9"/>
      <c r="AC234" s="9"/>
      <c r="AD234" s="9"/>
      <c r="AE234" s="9"/>
      <c r="AF234" s="9"/>
      <c r="AG234" s="9"/>
      <c r="AH234" s="9"/>
      <c r="AI234" s="9"/>
      <c r="AJ234" s="9"/>
      <c r="AK234" s="9"/>
      <c r="AL234" s="9"/>
      <c r="AM234" s="9"/>
      <c r="AN234" s="9"/>
      <c r="AO234" s="9"/>
      <c r="AP234" s="9"/>
      <c r="AQ234" s="9"/>
      <c r="AR234" s="9"/>
      <c r="AS234" s="9"/>
      <c r="AT234" s="9"/>
      <c r="AU234" s="9"/>
      <c r="AV234" s="9"/>
      <c r="AW234" s="9"/>
      <c r="AX234" s="9"/>
      <c r="AY234" s="9"/>
      <c r="AZ234" s="9"/>
      <c r="BA234" s="9"/>
      <c r="BB234" s="9"/>
      <c r="BC234" s="9"/>
      <c r="BD234" s="9"/>
      <c r="BE234" s="9"/>
      <c r="BF234" s="9"/>
      <c r="BG234" s="9"/>
      <c r="BH234" s="9"/>
      <c r="BI234" s="9"/>
      <c r="BJ234" s="9"/>
      <c r="BK234" s="9"/>
      <c r="BL234" s="9"/>
      <c r="BM234" s="9"/>
      <c r="BN234" s="9">
        <v>891224.8</v>
      </c>
      <c r="BO234" s="9">
        <v>731182.7</v>
      </c>
      <c r="BP234" s="9">
        <v>152343.5</v>
      </c>
      <c r="BQ234" s="9">
        <v>89840.9</v>
      </c>
      <c r="BR234" s="9">
        <v>76684.2</v>
      </c>
      <c r="BS234" s="9">
        <v>137997.1</v>
      </c>
      <c r="BT234" s="9">
        <v>216065.1</v>
      </c>
      <c r="BU234" s="9">
        <v>65563.899999999994</v>
      </c>
      <c r="BV234" s="9">
        <v>88698.5</v>
      </c>
      <c r="BW234" s="9">
        <v>725778.8</v>
      </c>
      <c r="BX234" s="9">
        <v>23752.6</v>
      </c>
      <c r="BY234" s="9">
        <v>153552</v>
      </c>
      <c r="BZ234" s="9">
        <v>181620.2</v>
      </c>
      <c r="CA234" s="9">
        <v>105517.7</v>
      </c>
      <c r="CB234" s="9">
        <v>26929.1</v>
      </c>
      <c r="CC234" s="9">
        <v>258159.9</v>
      </c>
      <c r="CD234" s="9">
        <v>7820.1</v>
      </c>
      <c r="CE234" s="9">
        <v>210798.3</v>
      </c>
      <c r="CF234" s="9">
        <v>3796846.1900890921</v>
      </c>
      <c r="CG234" s="9">
        <v>20300395.07370615</v>
      </c>
      <c r="CH234" s="9">
        <v>9.4</v>
      </c>
      <c r="CI234" s="9">
        <v>6.3</v>
      </c>
      <c r="CJ234" s="9">
        <v>17.3</v>
      </c>
      <c r="CK234" s="9">
        <v>10.1</v>
      </c>
      <c r="CL234" s="9">
        <v>11</v>
      </c>
      <c r="CM234" s="9">
        <v>120.8587398727</v>
      </c>
      <c r="CN234" s="9">
        <v>33.051414278099998</v>
      </c>
      <c r="CO234" s="9">
        <v>5.0949620967999998</v>
      </c>
      <c r="CP234" s="9">
        <v>19.483880410699999</v>
      </c>
      <c r="CQ234" s="9">
        <v>11.782337445</v>
      </c>
      <c r="CR234" s="9">
        <v>5.7095222423000003</v>
      </c>
      <c r="CS234" s="9">
        <v>4.6081341620999998</v>
      </c>
      <c r="CT234" s="9">
        <v>17.0182796247</v>
      </c>
      <c r="CU234" s="9">
        <v>4.3064816647999997</v>
      </c>
      <c r="CV234" s="9">
        <v>3.6523443786000001</v>
      </c>
      <c r="CW234" s="9">
        <v>6.2189229303999998</v>
      </c>
      <c r="CX234" s="9">
        <v>3.4532992552000001</v>
      </c>
      <c r="CY234" s="9">
        <v>6.4791613841000002</v>
      </c>
      <c r="CZ234" s="9">
        <v>751</v>
      </c>
      <c r="DA234" s="9">
        <v>631</v>
      </c>
      <c r="DB234" s="9">
        <v>0</v>
      </c>
      <c r="DC234" s="9">
        <v>192</v>
      </c>
      <c r="DD234" s="9">
        <v>48</v>
      </c>
      <c r="DE234" s="9">
        <v>17</v>
      </c>
      <c r="DF234" s="9">
        <v>311</v>
      </c>
      <c r="DG234" s="9">
        <v>32</v>
      </c>
      <c r="DH234" s="9">
        <v>101</v>
      </c>
      <c r="DI234" s="9">
        <v>3</v>
      </c>
      <c r="DJ234" s="9">
        <v>2</v>
      </c>
      <c r="DK234" s="9">
        <v>94</v>
      </c>
      <c r="DL234" s="9">
        <v>2</v>
      </c>
      <c r="DM234" s="9">
        <v>17</v>
      </c>
      <c r="DN234" s="9">
        <v>0</v>
      </c>
      <c r="DO234" s="9">
        <v>548.80999999999995</v>
      </c>
      <c r="DP234" s="9">
        <v>153.79</v>
      </c>
      <c r="DQ234" s="9">
        <v>76.489999999999995</v>
      </c>
      <c r="DR234" s="9">
        <v>77.31</v>
      </c>
      <c r="DS234" s="9">
        <v>56.7</v>
      </c>
      <c r="DT234" s="9">
        <v>12.19</v>
      </c>
      <c r="DU234" s="9">
        <v>259.35000000000002</v>
      </c>
      <c r="DV234" s="9">
        <v>170.18</v>
      </c>
      <c r="DW234" s="9">
        <v>74.94</v>
      </c>
      <c r="DX234" s="9">
        <v>78.459999999999994</v>
      </c>
      <c r="DY234" s="9">
        <v>45.58</v>
      </c>
      <c r="DZ234" s="9">
        <v>20.09</v>
      </c>
      <c r="EA234" s="9">
        <v>-59.6098</v>
      </c>
      <c r="EB234" s="9">
        <v>168.2183</v>
      </c>
      <c r="EC234" s="9">
        <v>-149.49700000000001</v>
      </c>
      <c r="ED234" s="9">
        <v>-94.105599999999995</v>
      </c>
      <c r="EE234" s="9">
        <v>15.77402</v>
      </c>
      <c r="EF234" s="9">
        <v>12.519740000000001</v>
      </c>
      <c r="EG234" s="9">
        <v>-0.84435000000000004</v>
      </c>
      <c r="EH234" s="9">
        <v>-150.69900000000001</v>
      </c>
      <c r="EI234" s="9">
        <v>14.72472</v>
      </c>
      <c r="EJ234" s="9">
        <v>-0.53749999999999998</v>
      </c>
      <c r="EK234" s="9">
        <v>135.667</v>
      </c>
      <c r="EL234" s="9">
        <v>-43.040999999999997</v>
      </c>
      <c r="EM234" s="9">
        <v>-89.286699999999996</v>
      </c>
      <c r="EN234" s="9">
        <v>3706.0165772914002</v>
      </c>
      <c r="EO234" s="9">
        <v>798.08880177740002</v>
      </c>
      <c r="EP234" s="9">
        <v>2151.7912617913998</v>
      </c>
      <c r="EQ234" s="9">
        <v>7.4921377004999998</v>
      </c>
      <c r="ER234" s="9">
        <v>53.213243103400004</v>
      </c>
      <c r="ES234" s="9">
        <v>695.43113291869997</v>
      </c>
      <c r="ET234" s="9">
        <v>0</v>
      </c>
      <c r="EU234">
        <v>2645.1595652174001</v>
      </c>
      <c r="EV234" s="9"/>
      <c r="EW234" s="9"/>
      <c r="EX234" s="9"/>
      <c r="EY234" s="9"/>
      <c r="EZ234" s="9"/>
      <c r="FA234" s="9"/>
      <c r="FB234" s="9">
        <v>89.564285714299999</v>
      </c>
      <c r="FC234" s="9">
        <v>70.526521739100005</v>
      </c>
      <c r="FD234" s="9">
        <v>6017.9047619047997</v>
      </c>
      <c r="FE234" s="9">
        <v>101.7608695652</v>
      </c>
      <c r="FF234" s="9">
        <v>1283.9476190476</v>
      </c>
      <c r="FG234" s="9">
        <v>17824282.800000001</v>
      </c>
      <c r="FH234" s="9">
        <v>817023.1</v>
      </c>
      <c r="FI234" s="9">
        <v>1968320.9</v>
      </c>
      <c r="FJ234" s="9">
        <v>9263264.0999999996</v>
      </c>
      <c r="FK234" s="9">
        <v>182549.8</v>
      </c>
      <c r="FL234" s="9">
        <v>300389.59999999998</v>
      </c>
      <c r="FM234" s="9">
        <v>1507941.7</v>
      </c>
      <c r="FN234" s="9">
        <v>26943.65</v>
      </c>
      <c r="FO234" s="9">
        <v>96411.49</v>
      </c>
      <c r="FP234" s="9">
        <v>4184981.8</v>
      </c>
      <c r="FQ234" s="9">
        <v>273341.7</v>
      </c>
      <c r="FR234" s="9">
        <v>360070.3</v>
      </c>
      <c r="FS234" s="9">
        <v>533221.4</v>
      </c>
      <c r="FT234" s="9">
        <v>8555563.5899999999</v>
      </c>
      <c r="FU234" s="9">
        <v>634473.30000000005</v>
      </c>
      <c r="FV234" s="9">
        <v>1662476.13</v>
      </c>
      <c r="FW234" s="9">
        <v>2330334.5699999998</v>
      </c>
      <c r="FX234" s="9">
        <v>88088.95</v>
      </c>
      <c r="FY234" s="9">
        <v>458111.45</v>
      </c>
      <c r="FZ234" s="9">
        <v>412771.22</v>
      </c>
      <c r="GA234" s="9">
        <v>17710562.050000001</v>
      </c>
      <c r="GB234" s="9">
        <v>5242436.88</v>
      </c>
      <c r="GC234" s="9">
        <v>12468125.17</v>
      </c>
      <c r="GD234" s="9">
        <v>12291209.18</v>
      </c>
      <c r="GE234" s="9">
        <v>1178292.1399999999</v>
      </c>
      <c r="GF234" s="9">
        <v>11112917.039999999</v>
      </c>
      <c r="GG234" s="9">
        <v>5419352.8699999992</v>
      </c>
      <c r="GH234" s="9">
        <v>4064144.74</v>
      </c>
      <c r="GI234" s="9">
        <v>1355208.13</v>
      </c>
      <c r="GJ234" s="9">
        <v>4993798.8100000015</v>
      </c>
      <c r="GK234" s="9">
        <v>33871523.909999996</v>
      </c>
      <c r="GL234" s="9">
        <v>3083208.32</v>
      </c>
      <c r="GM234">
        <v>2649.35</v>
      </c>
      <c r="GO234" s="6"/>
      <c r="GP234" s="6"/>
      <c r="GQ234" s="6"/>
    </row>
    <row r="235" spans="1:199" x14ac:dyDescent="0.2">
      <c r="A235" s="8">
        <v>2019</v>
      </c>
      <c r="B235" s="8" t="s">
        <v>507</v>
      </c>
      <c r="C235" s="8" t="s">
        <v>510</v>
      </c>
      <c r="D235" s="9">
        <v>9779186.909</v>
      </c>
      <c r="E235" s="9">
        <v>1947699.7069999999</v>
      </c>
      <c r="F235" s="9">
        <v>1804208.22</v>
      </c>
      <c r="G235" s="9">
        <v>618804.63500000001</v>
      </c>
      <c r="H235" s="9">
        <v>187233.06899999999</v>
      </c>
      <c r="I235" s="9">
        <v>306896.43900000001</v>
      </c>
      <c r="J235" s="9">
        <v>736912.61699999997</v>
      </c>
      <c r="K235" s="9">
        <v>428789.51199999999</v>
      </c>
      <c r="L235" s="9">
        <v>142669.538</v>
      </c>
      <c r="M235" s="9">
        <v>2483774.3870000001</v>
      </c>
      <c r="N235" s="9">
        <v>1122198.7860000001</v>
      </c>
      <c r="O235" s="9">
        <v>7720861.2879999997</v>
      </c>
      <c r="P235" s="9">
        <v>1626569.496</v>
      </c>
      <c r="Q235" s="9">
        <v>951376.93299999996</v>
      </c>
      <c r="R235" s="9">
        <v>472872.89299999998</v>
      </c>
      <c r="S235" s="9">
        <v>136352.133</v>
      </c>
      <c r="T235" s="9">
        <v>266222.72899999999</v>
      </c>
      <c r="U235" s="9">
        <v>789295.25800000003</v>
      </c>
      <c r="V235" s="9">
        <v>264989.54800000001</v>
      </c>
      <c r="W235" s="9">
        <v>157091.516</v>
      </c>
      <c r="X235" s="9">
        <v>1989894.7779999999</v>
      </c>
      <c r="Y235" s="9">
        <v>1066196.0049999999</v>
      </c>
      <c r="Z235" s="9">
        <v>9795506.9059999995</v>
      </c>
      <c r="AA235" s="9">
        <v>5056035.4929999998</v>
      </c>
      <c r="AB235" s="9">
        <v>1197277.2009999999</v>
      </c>
      <c r="AC235" s="9">
        <v>2872946.1710000001</v>
      </c>
      <c r="AD235" s="9">
        <v>707627.93530000001</v>
      </c>
      <c r="AE235" s="9">
        <v>6216326.4850000003</v>
      </c>
      <c r="AF235" s="9">
        <v>6254706.3799999999</v>
      </c>
      <c r="AG235" s="9">
        <v>7311837.4000000004</v>
      </c>
      <c r="AH235" s="9">
        <v>4270858.9000000004</v>
      </c>
      <c r="AI235" s="9">
        <v>1148557.1000000001</v>
      </c>
      <c r="AJ235" s="9">
        <v>2221851.1</v>
      </c>
      <c r="AK235" s="9">
        <v>557125.5</v>
      </c>
      <c r="AL235" s="9">
        <v>4000745.7</v>
      </c>
      <c r="AM235" s="9">
        <v>4887300.9000000004</v>
      </c>
      <c r="AN235" s="9">
        <v>1162198</v>
      </c>
      <c r="AO235" s="9">
        <v>613079</v>
      </c>
      <c r="AP235" s="9">
        <v>549119</v>
      </c>
      <c r="AQ235" s="9">
        <v>131105</v>
      </c>
      <c r="AR235" s="9">
        <v>74381</v>
      </c>
      <c r="AS235" s="9">
        <v>56724</v>
      </c>
      <c r="AT235" s="9">
        <v>833541</v>
      </c>
      <c r="AU235" s="9">
        <v>312558</v>
      </c>
      <c r="AV235" s="9">
        <v>520983</v>
      </c>
      <c r="AW235" s="9">
        <v>1161.2</v>
      </c>
      <c r="AX235" s="9">
        <v>860.6</v>
      </c>
      <c r="AY235" s="9">
        <v>2628.8</v>
      </c>
      <c r="AZ235" s="9">
        <v>1187.4000000000001</v>
      </c>
      <c r="BA235" s="9">
        <v>1493.8</v>
      </c>
      <c r="BB235" s="9">
        <v>824.1</v>
      </c>
      <c r="BC235" s="9">
        <v>1177.8</v>
      </c>
      <c r="BD235" s="9">
        <v>942.4</v>
      </c>
      <c r="BE235" s="9">
        <v>1180.5</v>
      </c>
      <c r="BF235" s="9">
        <v>724.5</v>
      </c>
      <c r="BG235" s="9">
        <v>1139.5</v>
      </c>
      <c r="BH235" s="9">
        <v>1337.1</v>
      </c>
      <c r="BI235" s="9">
        <v>1243.2</v>
      </c>
      <c r="BJ235" s="9">
        <v>951.4</v>
      </c>
      <c r="BK235" s="9">
        <v>974.1</v>
      </c>
      <c r="BL235" s="9">
        <v>751.6</v>
      </c>
      <c r="BM235" s="9">
        <v>998.9</v>
      </c>
      <c r="BN235" s="9">
        <v>1150808.8999999999</v>
      </c>
      <c r="BO235" s="9">
        <v>857262</v>
      </c>
      <c r="BP235" s="9">
        <v>181572.2</v>
      </c>
      <c r="BQ235" s="9">
        <v>97824.7</v>
      </c>
      <c r="BR235" s="9">
        <v>88351</v>
      </c>
      <c r="BS235" s="9">
        <v>178421.5</v>
      </c>
      <c r="BT235" s="9">
        <v>234793.9</v>
      </c>
      <c r="BU235" s="9">
        <v>84360</v>
      </c>
      <c r="BV235" s="9">
        <v>91257.4</v>
      </c>
      <c r="BW235" s="9">
        <v>758558.8</v>
      </c>
      <c r="BX235" s="9">
        <v>31803</v>
      </c>
      <c r="BY235" s="9">
        <v>138104.20000000001</v>
      </c>
      <c r="BZ235" s="9">
        <v>258298.7</v>
      </c>
      <c r="CA235" s="9">
        <v>81530</v>
      </c>
      <c r="CB235" s="9">
        <v>21032.5</v>
      </c>
      <c r="CC235" s="9">
        <v>259593.4</v>
      </c>
      <c r="CD235" s="9">
        <v>10119</v>
      </c>
      <c r="CE235" s="9">
        <v>112077.9</v>
      </c>
      <c r="CF235" s="9">
        <v>4104473.2668205919</v>
      </c>
      <c r="CG235" s="9">
        <v>20229409.47651064</v>
      </c>
      <c r="CH235" s="9">
        <v>10.574890332200001</v>
      </c>
      <c r="CI235" s="9">
        <v>3.9121474708999999</v>
      </c>
      <c r="CJ235" s="9">
        <v>17.015681066599999</v>
      </c>
      <c r="CK235" s="9">
        <v>10.8654015504</v>
      </c>
      <c r="CL235" s="9">
        <v>11</v>
      </c>
      <c r="CM235" s="9">
        <v>121.66050185570001</v>
      </c>
      <c r="CN235" s="9">
        <v>33.264648994799998</v>
      </c>
      <c r="CO235" s="9">
        <v>5.1069405351999997</v>
      </c>
      <c r="CP235" s="9">
        <v>19.628285913500001</v>
      </c>
      <c r="CQ235" s="9">
        <v>11.813554186599999</v>
      </c>
      <c r="CR235" s="9">
        <v>5.7310271194000002</v>
      </c>
      <c r="CS235" s="9">
        <v>4.6214027204999999</v>
      </c>
      <c r="CT235" s="9">
        <v>16.9630948434</v>
      </c>
      <c r="CU235" s="9">
        <v>4.3064536415000001</v>
      </c>
      <c r="CV235" s="9">
        <v>3.9775659723999999</v>
      </c>
      <c r="CW235" s="9">
        <v>6.2189229303999998</v>
      </c>
      <c r="CX235" s="9">
        <v>3.511939683</v>
      </c>
      <c r="CY235" s="9">
        <v>6.516665315</v>
      </c>
      <c r="CZ235" s="9">
        <v>676</v>
      </c>
      <c r="DA235" s="9">
        <v>551</v>
      </c>
      <c r="DB235" s="9">
        <v>0</v>
      </c>
      <c r="DC235" s="9">
        <v>169</v>
      </c>
      <c r="DD235" s="9">
        <v>44</v>
      </c>
      <c r="DE235" s="9">
        <v>11</v>
      </c>
      <c r="DF235" s="9">
        <v>269</v>
      </c>
      <c r="DG235" s="9">
        <v>30</v>
      </c>
      <c r="DH235" s="9">
        <v>67</v>
      </c>
      <c r="DI235" s="9">
        <v>2</v>
      </c>
      <c r="DJ235" s="9">
        <v>1</v>
      </c>
      <c r="DK235" s="9">
        <v>63</v>
      </c>
      <c r="DL235" s="9">
        <v>1</v>
      </c>
      <c r="DM235" s="9">
        <v>56</v>
      </c>
      <c r="DN235" s="9">
        <v>0</v>
      </c>
      <c r="DO235" s="9">
        <v>578.74</v>
      </c>
      <c r="DP235" s="9">
        <v>152.44999999999999</v>
      </c>
      <c r="DQ235" s="9">
        <v>74.19</v>
      </c>
      <c r="DR235" s="9">
        <v>78.260000000000005</v>
      </c>
      <c r="DS235" s="9">
        <v>59.06</v>
      </c>
      <c r="DT235" s="9">
        <v>12.14</v>
      </c>
      <c r="DU235" s="9">
        <v>269.25</v>
      </c>
      <c r="DV235" s="9">
        <v>177.96</v>
      </c>
      <c r="DW235" s="9">
        <v>69.959999999999994</v>
      </c>
      <c r="DX235" s="9">
        <v>97.37</v>
      </c>
      <c r="DY235" s="9">
        <v>62.5</v>
      </c>
      <c r="DZ235" s="9">
        <v>19.62</v>
      </c>
      <c r="EA235" s="9">
        <v>-251.999</v>
      </c>
      <c r="EB235" s="9">
        <v>97.54571</v>
      </c>
      <c r="EC235" s="9">
        <v>-130.506</v>
      </c>
      <c r="ED235" s="9">
        <v>-232.98500000000001</v>
      </c>
      <c r="EE235" s="9">
        <v>13.945460000000001</v>
      </c>
      <c r="EF235" s="9">
        <v>9.5754439999999992</v>
      </c>
      <c r="EG235" s="9">
        <v>-484.06900000000002</v>
      </c>
      <c r="EH235" s="9">
        <v>-277.05099999999999</v>
      </c>
      <c r="EI235" s="9">
        <v>-6.4269800000000004</v>
      </c>
      <c r="EJ235" s="9">
        <v>3.7099950000000002</v>
      </c>
      <c r="EK235" s="9">
        <v>-204.30099999999999</v>
      </c>
      <c r="EL235" s="9">
        <v>-19.2485</v>
      </c>
      <c r="EM235" s="9">
        <v>222.3965</v>
      </c>
      <c r="EN235" s="9">
        <v>4101.3553618344004</v>
      </c>
      <c r="EO235" s="9">
        <v>836.26684984400003</v>
      </c>
      <c r="EP235" s="9">
        <v>2341.579006378</v>
      </c>
      <c r="EQ235" s="9">
        <v>7.5564492661999996</v>
      </c>
      <c r="ER235" s="9">
        <v>52.348774277300002</v>
      </c>
      <c r="ES235" s="9">
        <v>863.60428206890003</v>
      </c>
      <c r="ET235" s="9">
        <v>0</v>
      </c>
      <c r="EU235">
        <v>2654.4720000000002</v>
      </c>
      <c r="EV235" s="9">
        <v>29714.73</v>
      </c>
      <c r="EW235" s="9">
        <v>7448.25</v>
      </c>
      <c r="EX235" s="9">
        <v>2033.93</v>
      </c>
      <c r="EY235" s="9">
        <v>2229.86</v>
      </c>
      <c r="EZ235" s="9">
        <v>8355.5300000000007</v>
      </c>
      <c r="FA235" s="9">
        <v>9647.17</v>
      </c>
      <c r="FB235" s="9">
        <v>77.629821428599996</v>
      </c>
      <c r="FC235" s="9">
        <v>63.295999999999999</v>
      </c>
      <c r="FD235" s="9">
        <v>5882.2250000000004</v>
      </c>
      <c r="FE235" s="9">
        <v>109.55</v>
      </c>
      <c r="FF235" s="9">
        <v>1359.0425</v>
      </c>
      <c r="FG235" s="9">
        <v>18061495.5</v>
      </c>
      <c r="FH235" s="9">
        <v>747175</v>
      </c>
      <c r="FI235" s="9">
        <v>1907831.7</v>
      </c>
      <c r="FJ235" s="9">
        <v>9382464</v>
      </c>
      <c r="FK235" s="9">
        <v>179044</v>
      </c>
      <c r="FL235" s="9">
        <v>300076.2</v>
      </c>
      <c r="FM235" s="9">
        <v>1579903.26</v>
      </c>
      <c r="FN235" s="9">
        <v>25386.36</v>
      </c>
      <c r="FO235" s="9">
        <v>92893.440000000002</v>
      </c>
      <c r="FP235" s="9">
        <v>4163896.8</v>
      </c>
      <c r="FQ235" s="9">
        <v>274229.5</v>
      </c>
      <c r="FR235" s="9">
        <v>351077.8</v>
      </c>
      <c r="FS235" s="9">
        <v>532142</v>
      </c>
      <c r="FT235" s="9">
        <v>8673576.6100000013</v>
      </c>
      <c r="FU235" s="9">
        <v>568130.93999999994</v>
      </c>
      <c r="FV235" s="9">
        <v>1602300.58</v>
      </c>
      <c r="FW235" s="9">
        <v>2394575.56</v>
      </c>
      <c r="FX235" s="9">
        <v>58188.12</v>
      </c>
      <c r="FY235" s="9">
        <v>440187.69</v>
      </c>
      <c r="FZ235" s="9">
        <v>413589.21</v>
      </c>
      <c r="GA235" s="9">
        <v>18075927.16</v>
      </c>
      <c r="GB235" s="9">
        <v>5548588.7200000007</v>
      </c>
      <c r="GC235" s="9">
        <v>12527338.439999999</v>
      </c>
      <c r="GD235" s="9">
        <v>12522391.76</v>
      </c>
      <c r="GE235" s="9">
        <v>1251324.6399999999</v>
      </c>
      <c r="GF235" s="9">
        <v>11271067.119999999</v>
      </c>
      <c r="GG235" s="9">
        <v>5553535.4000000004</v>
      </c>
      <c r="GH235" s="9">
        <v>4297264.08</v>
      </c>
      <c r="GI235" s="9">
        <v>1256271.32</v>
      </c>
      <c r="GJ235" s="9">
        <v>4657248.290000001</v>
      </c>
      <c r="GK235" s="9">
        <v>34700685.100000001</v>
      </c>
      <c r="GL235" s="9">
        <v>3106183.78</v>
      </c>
      <c r="GM235">
        <v>2657.76</v>
      </c>
      <c r="GO235" s="6"/>
      <c r="GP235" s="6"/>
      <c r="GQ235" s="6"/>
    </row>
    <row r="236" spans="1:199" x14ac:dyDescent="0.2">
      <c r="A236" s="8">
        <v>2019</v>
      </c>
      <c r="B236" s="8" t="s">
        <v>511</v>
      </c>
      <c r="C236" s="8" t="s">
        <v>512</v>
      </c>
      <c r="D236" s="9"/>
      <c r="E236" s="9"/>
      <c r="F236" s="9"/>
      <c r="G236" s="9"/>
      <c r="H236" s="9"/>
      <c r="I236" s="9"/>
      <c r="J236" s="9"/>
      <c r="K236" s="9"/>
      <c r="L236" s="9"/>
      <c r="M236" s="9"/>
      <c r="N236" s="9"/>
      <c r="O236" s="9"/>
      <c r="P236" s="9"/>
      <c r="Q236" s="9"/>
      <c r="R236" s="9"/>
      <c r="S236" s="9"/>
      <c r="T236" s="9"/>
      <c r="U236" s="9"/>
      <c r="V236" s="9"/>
      <c r="W236" s="9"/>
      <c r="X236" s="9"/>
      <c r="Y236" s="9"/>
      <c r="Z236" s="9"/>
      <c r="AA236" s="9"/>
      <c r="AB236" s="9"/>
      <c r="AC236" s="9"/>
      <c r="AD236" s="9"/>
      <c r="AE236" s="9"/>
      <c r="AF236" s="9"/>
      <c r="AG236" s="9"/>
      <c r="AH236" s="9"/>
      <c r="AI236" s="9"/>
      <c r="AJ236" s="9"/>
      <c r="AK236" s="9"/>
      <c r="AL236" s="9"/>
      <c r="AM236" s="9"/>
      <c r="AN236" s="9"/>
      <c r="AO236" s="9"/>
      <c r="AP236" s="9"/>
      <c r="AQ236" s="9"/>
      <c r="AR236" s="9"/>
      <c r="AS236" s="9"/>
      <c r="AT236" s="9"/>
      <c r="AU236" s="9"/>
      <c r="AV236" s="9"/>
      <c r="AW236" s="9"/>
      <c r="AX236" s="9"/>
      <c r="AY236" s="9"/>
      <c r="AZ236" s="9"/>
      <c r="BA236" s="9"/>
      <c r="BB236" s="9"/>
      <c r="BC236" s="9"/>
      <c r="BD236" s="9"/>
      <c r="BE236" s="9"/>
      <c r="BF236" s="9"/>
      <c r="BG236" s="9"/>
      <c r="BH236" s="9"/>
      <c r="BI236" s="9"/>
      <c r="BJ236" s="9"/>
      <c r="BK236" s="9"/>
      <c r="BL236" s="9"/>
      <c r="BM236" s="9"/>
      <c r="BN236" s="9">
        <v>1237179.2</v>
      </c>
      <c r="BO236" s="9">
        <v>1039089.3</v>
      </c>
      <c r="BP236" s="9">
        <v>374816.2</v>
      </c>
      <c r="BQ236" s="9">
        <v>297701.40000000002</v>
      </c>
      <c r="BR236" s="9">
        <v>78350.8</v>
      </c>
      <c r="BS236" s="9">
        <v>168078.2</v>
      </c>
      <c r="BT236" s="9">
        <v>240572.9</v>
      </c>
      <c r="BU236" s="9">
        <v>78419.600000000006</v>
      </c>
      <c r="BV236" s="9">
        <v>95544.3</v>
      </c>
      <c r="BW236" s="9">
        <v>555857.69999999995</v>
      </c>
      <c r="BX236" s="9">
        <v>3833.1</v>
      </c>
      <c r="BY236" s="9">
        <v>107987.1</v>
      </c>
      <c r="BZ236" s="9">
        <v>153105.60000000001</v>
      </c>
      <c r="CA236" s="9">
        <v>25144.1</v>
      </c>
      <c r="CB236" s="9">
        <v>19334.2</v>
      </c>
      <c r="CC236" s="9">
        <v>250286.7</v>
      </c>
      <c r="CD236" s="9">
        <v>6495.3</v>
      </c>
      <c r="CE236" s="9">
        <v>231808</v>
      </c>
      <c r="CF236" s="9">
        <v>3783323.517244813</v>
      </c>
      <c r="CG236" s="9">
        <v>20289861.31656006</v>
      </c>
      <c r="CH236" s="9">
        <v>10.3323602244</v>
      </c>
      <c r="CI236" s="9">
        <v>4.8040419684</v>
      </c>
      <c r="CJ236" s="9">
        <v>17.130116140799998</v>
      </c>
      <c r="CK236" s="9">
        <v>9.8184029356</v>
      </c>
      <c r="CL236" s="9">
        <v>11</v>
      </c>
      <c r="CM236" s="9">
        <v>121.8483848068</v>
      </c>
      <c r="CN236" s="9">
        <v>32.995968871999999</v>
      </c>
      <c r="CO236" s="9">
        <v>5.1139019199</v>
      </c>
      <c r="CP236" s="9">
        <v>19.698011679499999</v>
      </c>
      <c r="CQ236" s="9">
        <v>12.1685390086</v>
      </c>
      <c r="CR236" s="9">
        <v>5.7432063548999999</v>
      </c>
      <c r="CS236" s="9">
        <v>4.639723998</v>
      </c>
      <c r="CT236" s="9">
        <v>16.899472836099999</v>
      </c>
      <c r="CU236" s="9">
        <v>4.3060525978999999</v>
      </c>
      <c r="CV236" s="9">
        <v>3.9792698039999999</v>
      </c>
      <c r="CW236" s="9">
        <v>6.2189229303999998</v>
      </c>
      <c r="CX236" s="9">
        <v>3.5580313152</v>
      </c>
      <c r="CY236" s="9">
        <v>6.5272834902000003</v>
      </c>
      <c r="CZ236" s="9">
        <v>632</v>
      </c>
      <c r="DA236" s="9">
        <v>522</v>
      </c>
      <c r="DB236" s="9">
        <v>0</v>
      </c>
      <c r="DC236" s="9">
        <v>137</v>
      </c>
      <c r="DD236" s="9">
        <v>60</v>
      </c>
      <c r="DE236" s="9">
        <v>14</v>
      </c>
      <c r="DF236" s="9">
        <v>247</v>
      </c>
      <c r="DG236" s="9">
        <v>31</v>
      </c>
      <c r="DH236" s="9">
        <v>62</v>
      </c>
      <c r="DI236" s="9">
        <v>5</v>
      </c>
      <c r="DJ236" s="9">
        <v>0</v>
      </c>
      <c r="DK236" s="9">
        <v>54</v>
      </c>
      <c r="DL236" s="9">
        <v>0</v>
      </c>
      <c r="DM236" s="9">
        <v>48</v>
      </c>
      <c r="DN236" s="9">
        <v>0</v>
      </c>
      <c r="DO236" s="9">
        <v>613.44000000000005</v>
      </c>
      <c r="DP236" s="9">
        <v>162.33000000000001</v>
      </c>
      <c r="DQ236" s="9">
        <v>81.91</v>
      </c>
      <c r="DR236" s="9">
        <v>80.42</v>
      </c>
      <c r="DS236" s="9">
        <v>67.5</v>
      </c>
      <c r="DT236" s="9">
        <v>12.51</v>
      </c>
      <c r="DU236" s="9">
        <v>246.62</v>
      </c>
      <c r="DV236" s="9">
        <v>149.9</v>
      </c>
      <c r="DW236" s="9">
        <v>72.88</v>
      </c>
      <c r="DX236" s="9">
        <v>136.59</v>
      </c>
      <c r="DY236" s="9">
        <v>83.87</v>
      </c>
      <c r="DZ236" s="9">
        <v>33.83</v>
      </c>
      <c r="EA236" s="9">
        <v>-190.483</v>
      </c>
      <c r="EB236" s="9">
        <v>-26.683199999999999</v>
      </c>
      <c r="EC236" s="9">
        <v>-65.642700000000005</v>
      </c>
      <c r="ED236" s="9">
        <v>-114.601</v>
      </c>
      <c r="EE236" s="9">
        <v>16.444659999999999</v>
      </c>
      <c r="EF236" s="9">
        <v>8.5110480000000006</v>
      </c>
      <c r="EG236" s="9">
        <v>291.76060000000001</v>
      </c>
      <c r="EH236" s="9">
        <v>-170.506</v>
      </c>
      <c r="EI236" s="9">
        <v>-19.2395</v>
      </c>
      <c r="EJ236" s="9">
        <v>-1.1982999999999999</v>
      </c>
      <c r="EK236" s="9">
        <v>482.70420000000001</v>
      </c>
      <c r="EL236" s="9">
        <v>-62.1646</v>
      </c>
      <c r="EM236" s="9">
        <v>-535.89700000000005</v>
      </c>
      <c r="EN236" s="9">
        <v>3618.8507919743001</v>
      </c>
      <c r="EO236" s="9">
        <v>772.90684044290003</v>
      </c>
      <c r="EP236" s="9">
        <v>1866.0488050392</v>
      </c>
      <c r="EQ236" s="9">
        <v>7.4779053163000002</v>
      </c>
      <c r="ER236" s="9">
        <v>51.804645764199996</v>
      </c>
      <c r="ES236" s="9">
        <v>920.6125954117</v>
      </c>
      <c r="ET236" s="9">
        <v>0</v>
      </c>
      <c r="EU236">
        <v>2661.5475000000001</v>
      </c>
      <c r="EV236" s="9"/>
      <c r="EW236" s="9"/>
      <c r="EX236" s="9"/>
      <c r="EY236" s="9"/>
      <c r="EZ236" s="9"/>
      <c r="FA236" s="9"/>
      <c r="FB236" s="9">
        <v>77.845807453399999</v>
      </c>
      <c r="FC236" s="9">
        <v>64</v>
      </c>
      <c r="FD236" s="9">
        <v>5941.1956521739003</v>
      </c>
      <c r="FE236" s="9">
        <v>119.5869565217</v>
      </c>
      <c r="FF236" s="9">
        <v>1412.9782608696</v>
      </c>
      <c r="FG236" s="9">
        <v>18122811.699999999</v>
      </c>
      <c r="FH236" s="9">
        <v>873816.3</v>
      </c>
      <c r="FI236" s="9">
        <v>1926568.1</v>
      </c>
      <c r="FJ236" s="9">
        <v>9293609.5999999996</v>
      </c>
      <c r="FK236" s="9">
        <v>210058.8</v>
      </c>
      <c r="FL236" s="9">
        <v>311599.09999999998</v>
      </c>
      <c r="FM236" s="9">
        <v>1585660.03</v>
      </c>
      <c r="FN236" s="9">
        <v>31581.57</v>
      </c>
      <c r="FO236" s="9">
        <v>95773.56</v>
      </c>
      <c r="FP236" s="9">
        <v>4124358.7</v>
      </c>
      <c r="FQ236" s="9">
        <v>273340.90000000002</v>
      </c>
      <c r="FR236" s="9">
        <v>342643.20000000001</v>
      </c>
      <c r="FS236" s="9">
        <v>531953.1</v>
      </c>
      <c r="FT236" s="9">
        <v>8823747.1899999976</v>
      </c>
      <c r="FU236" s="9">
        <v>663757.53</v>
      </c>
      <c r="FV236" s="9">
        <v>1609514.13</v>
      </c>
      <c r="FW236" s="9">
        <v>2436093.2200000002</v>
      </c>
      <c r="FX236" s="9">
        <v>113285.31</v>
      </c>
      <c r="FY236" s="9">
        <v>445335.55</v>
      </c>
      <c r="FZ236" s="9">
        <v>414264.66</v>
      </c>
      <c r="GA236" s="9">
        <v>18093838.879999999</v>
      </c>
      <c r="GB236" s="9">
        <v>5564962.25</v>
      </c>
      <c r="GC236" s="9">
        <v>12528876.630000001</v>
      </c>
      <c r="GD236" s="9">
        <v>12627910.18</v>
      </c>
      <c r="GE236" s="9">
        <v>1237288.31</v>
      </c>
      <c r="GF236" s="9">
        <v>11390621.869999999</v>
      </c>
      <c r="GG236" s="9">
        <v>5465928.7000000002</v>
      </c>
      <c r="GH236" s="9">
        <v>4327673.9400000004</v>
      </c>
      <c r="GI236" s="9">
        <v>1138254.76</v>
      </c>
      <c r="GJ236" s="9">
        <v>4704498.24</v>
      </c>
      <c r="GK236" s="9">
        <v>34254187.25</v>
      </c>
      <c r="GL236" s="9">
        <v>3108705.58</v>
      </c>
      <c r="GM236">
        <v>2666</v>
      </c>
      <c r="GO236" s="6"/>
      <c r="GP236" s="6"/>
      <c r="GQ236" s="6"/>
    </row>
    <row r="237" spans="1:199" x14ac:dyDescent="0.2">
      <c r="A237" s="8">
        <v>2019</v>
      </c>
      <c r="B237" s="8" t="s">
        <v>511</v>
      </c>
      <c r="C237" s="8" t="s">
        <v>513</v>
      </c>
      <c r="D237" s="9"/>
      <c r="E237" s="9"/>
      <c r="F237" s="9"/>
      <c r="G237" s="9"/>
      <c r="H237" s="9"/>
      <c r="I237" s="9"/>
      <c r="J237" s="9"/>
      <c r="K237" s="9"/>
      <c r="L237" s="9"/>
      <c r="M237" s="9"/>
      <c r="N237" s="9"/>
      <c r="O237" s="9"/>
      <c r="P237" s="9"/>
      <c r="Q237" s="9"/>
      <c r="R237" s="9"/>
      <c r="S237" s="9"/>
      <c r="T237" s="9"/>
      <c r="U237" s="9"/>
      <c r="V237" s="9"/>
      <c r="W237" s="9"/>
      <c r="X237" s="9"/>
      <c r="Y237" s="9"/>
      <c r="Z237" s="9"/>
      <c r="AA237" s="9"/>
      <c r="AB237" s="9"/>
      <c r="AC237" s="9"/>
      <c r="AD237" s="9"/>
      <c r="AE237" s="9"/>
      <c r="AF237" s="9"/>
      <c r="AG237" s="9"/>
      <c r="AH237" s="9"/>
      <c r="AI237" s="9"/>
      <c r="AJ237" s="9"/>
      <c r="AK237" s="9"/>
      <c r="AL237" s="9"/>
      <c r="AM237" s="9"/>
      <c r="AN237" s="9"/>
      <c r="AO237" s="9"/>
      <c r="AP237" s="9"/>
      <c r="AQ237" s="9"/>
      <c r="AR237" s="9"/>
      <c r="AS237" s="9"/>
      <c r="AT237" s="9"/>
      <c r="AU237" s="9"/>
      <c r="AV237" s="9"/>
      <c r="AW237" s="9"/>
      <c r="AX237" s="9"/>
      <c r="AY237" s="9"/>
      <c r="AZ237" s="9"/>
      <c r="BA237" s="9"/>
      <c r="BB237" s="9"/>
      <c r="BC237" s="9"/>
      <c r="BD237" s="9"/>
      <c r="BE237" s="9"/>
      <c r="BF237" s="9"/>
      <c r="BG237" s="9"/>
      <c r="BH237" s="9"/>
      <c r="BI237" s="9"/>
      <c r="BJ237" s="9"/>
      <c r="BK237" s="9"/>
      <c r="BL237" s="9"/>
      <c r="BM237" s="9"/>
      <c r="BN237" s="9">
        <v>902847.1</v>
      </c>
      <c r="BO237" s="9">
        <v>763672.2</v>
      </c>
      <c r="BP237" s="9">
        <v>138692.9</v>
      </c>
      <c r="BQ237" s="9">
        <v>74902</v>
      </c>
      <c r="BR237" s="9">
        <v>63979</v>
      </c>
      <c r="BS237" s="9">
        <v>166721.29999999999</v>
      </c>
      <c r="BT237" s="9">
        <v>232692.9</v>
      </c>
      <c r="BU237" s="9">
        <v>78813.7</v>
      </c>
      <c r="BV237" s="9">
        <v>77541.600000000006</v>
      </c>
      <c r="BW237" s="9">
        <v>547600.30000000005</v>
      </c>
      <c r="BX237" s="9">
        <v>20630.2</v>
      </c>
      <c r="BY237" s="9">
        <v>100694.7</v>
      </c>
      <c r="BZ237" s="9">
        <v>139163.20000000001</v>
      </c>
      <c r="CA237" s="9">
        <v>59304.1</v>
      </c>
      <c r="CB237" s="9">
        <v>15201.4</v>
      </c>
      <c r="CC237" s="9">
        <v>233236.9</v>
      </c>
      <c r="CD237" s="9">
        <v>705.5</v>
      </c>
      <c r="CE237" s="9">
        <v>258550.39999999999</v>
      </c>
      <c r="CF237" s="9">
        <v>3935055.9608666305</v>
      </c>
      <c r="CG237" s="9">
        <v>20475667.49909519</v>
      </c>
      <c r="CH237" s="9">
        <v>11.0334169969</v>
      </c>
      <c r="CI237" s="9">
        <v>4.8700848441</v>
      </c>
      <c r="CJ237" s="9">
        <v>17.046473306300001</v>
      </c>
      <c r="CK237" s="9">
        <v>10.3846363867</v>
      </c>
      <c r="CL237" s="9">
        <v>11</v>
      </c>
      <c r="CM237" s="9">
        <v>122.1732359447</v>
      </c>
      <c r="CN237" s="9">
        <v>32.475124247499998</v>
      </c>
      <c r="CO237" s="9">
        <v>5.1149675877999998</v>
      </c>
      <c r="CP237" s="9">
        <v>19.7745614211</v>
      </c>
      <c r="CQ237" s="9">
        <v>12.2023692706</v>
      </c>
      <c r="CR237" s="9">
        <v>5.7612960562</v>
      </c>
      <c r="CS237" s="9">
        <v>4.6460204288</v>
      </c>
      <c r="CT237" s="9">
        <v>16.9052110232</v>
      </c>
      <c r="CU237" s="9">
        <v>4.3058529772999998</v>
      </c>
      <c r="CV237" s="9">
        <v>3.984526346</v>
      </c>
      <c r="CW237" s="9">
        <v>6.8192139490999999</v>
      </c>
      <c r="CX237" s="9">
        <v>3.6333154317999998</v>
      </c>
      <c r="CY237" s="9">
        <v>6.5507772053000002</v>
      </c>
      <c r="CZ237" s="9">
        <v>816</v>
      </c>
      <c r="DA237" s="9">
        <v>756</v>
      </c>
      <c r="DB237" s="9">
        <v>148</v>
      </c>
      <c r="DC237" s="9">
        <v>129</v>
      </c>
      <c r="DD237" s="9">
        <v>67</v>
      </c>
      <c r="DE237" s="9">
        <v>11</v>
      </c>
      <c r="DF237" s="9">
        <v>344</v>
      </c>
      <c r="DG237" s="9">
        <v>30</v>
      </c>
      <c r="DH237" s="9">
        <v>30</v>
      </c>
      <c r="DI237" s="9">
        <v>6</v>
      </c>
      <c r="DJ237" s="9">
        <v>1</v>
      </c>
      <c r="DK237" s="9">
        <v>19</v>
      </c>
      <c r="DL237" s="9">
        <v>1</v>
      </c>
      <c r="DM237" s="9">
        <v>29</v>
      </c>
      <c r="DN237" s="9">
        <v>0</v>
      </c>
      <c r="DO237" s="9">
        <v>584.02</v>
      </c>
      <c r="DP237" s="9">
        <v>137.41999999999999</v>
      </c>
      <c r="DQ237" s="9">
        <v>67.36</v>
      </c>
      <c r="DR237" s="9">
        <v>70.06</v>
      </c>
      <c r="DS237" s="9">
        <v>63.23</v>
      </c>
      <c r="DT237" s="9">
        <v>12.02</v>
      </c>
      <c r="DU237" s="9">
        <v>270.89</v>
      </c>
      <c r="DV237" s="9">
        <v>162.63</v>
      </c>
      <c r="DW237" s="9">
        <v>78.36</v>
      </c>
      <c r="DX237" s="9">
        <v>112.09</v>
      </c>
      <c r="DY237" s="9">
        <v>61.21</v>
      </c>
      <c r="DZ237" s="9">
        <v>28.67</v>
      </c>
      <c r="EA237" s="9">
        <v>-52.932299999999998</v>
      </c>
      <c r="EB237" s="9">
        <v>180.352</v>
      </c>
      <c r="EC237" s="9">
        <v>-61.293900000000001</v>
      </c>
      <c r="ED237" s="9">
        <v>-183.77799999999999</v>
      </c>
      <c r="EE237" s="9">
        <v>11.787990000000001</v>
      </c>
      <c r="EF237" s="9">
        <v>7.5780979999999998</v>
      </c>
      <c r="EG237" s="9">
        <v>-224.50299999999999</v>
      </c>
      <c r="EH237" s="9">
        <v>-135.05799999999999</v>
      </c>
      <c r="EI237" s="9">
        <v>-34.502699999999997</v>
      </c>
      <c r="EJ237" s="9">
        <v>-0.23186999999999999</v>
      </c>
      <c r="EK237" s="9">
        <v>-54.71</v>
      </c>
      <c r="EL237" s="9">
        <v>-60.182099999999998</v>
      </c>
      <c r="EM237" s="9">
        <v>118.96680000000001</v>
      </c>
      <c r="EN237" s="9">
        <v>3688.7246703522001</v>
      </c>
      <c r="EO237" s="9">
        <v>532.62436648879998</v>
      </c>
      <c r="EP237" s="9">
        <v>2219.6503172399998</v>
      </c>
      <c r="EQ237" s="9">
        <v>7.4460740256999998</v>
      </c>
      <c r="ER237" s="9">
        <v>50.282567719500001</v>
      </c>
      <c r="ES237" s="9">
        <v>878.72134487819994</v>
      </c>
      <c r="ET237" s="9">
        <v>0</v>
      </c>
      <c r="EU237">
        <v>2670.54</v>
      </c>
      <c r="EV237" s="9"/>
      <c r="EW237" s="9"/>
      <c r="EX237" s="9"/>
      <c r="EY237" s="9"/>
      <c r="EZ237" s="9"/>
      <c r="FA237" s="9"/>
      <c r="FB237" s="9">
        <v>69.739285714299996</v>
      </c>
      <c r="FC237" s="9">
        <v>59.2472727273</v>
      </c>
      <c r="FD237" s="9">
        <v>5709.4404761904998</v>
      </c>
      <c r="FE237" s="9">
        <v>93.5</v>
      </c>
      <c r="FF237" s="9">
        <v>1498.7976190475999</v>
      </c>
      <c r="FG237" s="9">
        <v>18099812.5</v>
      </c>
      <c r="FH237" s="9">
        <v>977590.3</v>
      </c>
      <c r="FI237" s="9">
        <v>1906745.4</v>
      </c>
      <c r="FJ237" s="9">
        <v>9281201.0999999996</v>
      </c>
      <c r="FK237" s="9">
        <v>223637.5</v>
      </c>
      <c r="FL237" s="9">
        <v>312785.2</v>
      </c>
      <c r="FM237" s="9">
        <v>1593057.87</v>
      </c>
      <c r="FN237" s="9">
        <v>31701.919999999998</v>
      </c>
      <c r="FO237" s="9">
        <v>99951.75</v>
      </c>
      <c r="FP237" s="9">
        <v>4119876.7</v>
      </c>
      <c r="FQ237" s="9">
        <v>268255.8</v>
      </c>
      <c r="FR237" s="9">
        <v>333125.59999999998</v>
      </c>
      <c r="FS237" s="9">
        <v>565583.6</v>
      </c>
      <c r="FT237" s="9">
        <v>8813157.0099999979</v>
      </c>
      <c r="FU237" s="9">
        <v>753952.74</v>
      </c>
      <c r="FV237" s="9">
        <v>1588505.84</v>
      </c>
      <c r="FW237" s="9">
        <v>2460393.06</v>
      </c>
      <c r="FX237" s="9">
        <v>128658.44</v>
      </c>
      <c r="FY237" s="9">
        <v>451283.53</v>
      </c>
      <c r="FZ237" s="9">
        <v>414817.87</v>
      </c>
      <c r="GA237" s="9">
        <v>18429421.699999999</v>
      </c>
      <c r="GB237" s="9">
        <v>5896567.2599999998</v>
      </c>
      <c r="GC237" s="9">
        <v>12532854.439999999</v>
      </c>
      <c r="GD237" s="9">
        <v>12591127.1</v>
      </c>
      <c r="GE237" s="9">
        <v>1188031.58</v>
      </c>
      <c r="GF237" s="9">
        <v>11403095.52</v>
      </c>
      <c r="GG237" s="9">
        <v>5838294.6000000006</v>
      </c>
      <c r="GH237" s="9">
        <v>4708535.68</v>
      </c>
      <c r="GI237" s="9">
        <v>1129758.92</v>
      </c>
      <c r="GJ237" s="9">
        <v>4564541.5600000015</v>
      </c>
      <c r="GK237" s="9">
        <v>34650397.5</v>
      </c>
      <c r="GL237" s="9">
        <v>3088049.29</v>
      </c>
      <c r="GM237">
        <v>2672</v>
      </c>
      <c r="GO237" s="6"/>
      <c r="GP237" s="6"/>
      <c r="GQ237" s="6"/>
    </row>
    <row r="238" spans="1:199" x14ac:dyDescent="0.2">
      <c r="A238" s="8">
        <v>2019</v>
      </c>
      <c r="B238" s="8" t="s">
        <v>511</v>
      </c>
      <c r="C238" s="8" t="s">
        <v>514</v>
      </c>
      <c r="D238" s="9">
        <v>9654939.8880000003</v>
      </c>
      <c r="E238" s="9">
        <v>899439.38399999996</v>
      </c>
      <c r="F238" s="9">
        <v>2283736.071</v>
      </c>
      <c r="G238" s="9">
        <v>967428.397</v>
      </c>
      <c r="H238" s="9">
        <v>139836.402</v>
      </c>
      <c r="I238" s="9">
        <v>292060.891</v>
      </c>
      <c r="J238" s="9">
        <v>759275.44700000004</v>
      </c>
      <c r="K238" s="9">
        <v>532605.20799999998</v>
      </c>
      <c r="L238" s="9">
        <v>198926.639</v>
      </c>
      <c r="M238" s="9">
        <v>2336132.1340000001</v>
      </c>
      <c r="N238" s="9">
        <v>1245499.317</v>
      </c>
      <c r="O238" s="9">
        <v>7215717.9289999995</v>
      </c>
      <c r="P238" s="9">
        <v>1069941.1710000001</v>
      </c>
      <c r="Q238" s="9">
        <v>1075574.199</v>
      </c>
      <c r="R238" s="9">
        <v>547428.15899999999</v>
      </c>
      <c r="S238" s="9">
        <v>119742.728</v>
      </c>
      <c r="T238" s="9">
        <v>223044.886</v>
      </c>
      <c r="U238" s="9">
        <v>820925.951</v>
      </c>
      <c r="V238" s="9">
        <v>411460.152</v>
      </c>
      <c r="W238" s="9">
        <v>157750.22099999999</v>
      </c>
      <c r="X238" s="9">
        <v>1878503.3559999999</v>
      </c>
      <c r="Y238" s="9">
        <v>911347.10600000003</v>
      </c>
      <c r="Z238" s="9">
        <v>9725215.4829999991</v>
      </c>
      <c r="AA238" s="9">
        <v>5229668.7510000002</v>
      </c>
      <c r="AB238" s="9">
        <v>939154.30050000001</v>
      </c>
      <c r="AC238" s="9">
        <v>3205218.06</v>
      </c>
      <c r="AD238" s="9">
        <v>573478.53079999995</v>
      </c>
      <c r="AE238" s="9">
        <v>6308061.1979999999</v>
      </c>
      <c r="AF238" s="9">
        <v>6530365.358</v>
      </c>
      <c r="AG238" s="9">
        <v>7333117.2000000002</v>
      </c>
      <c r="AH238" s="9">
        <v>4483788.3</v>
      </c>
      <c r="AI238" s="9">
        <v>907649.1</v>
      </c>
      <c r="AJ238" s="9">
        <v>2449478.9</v>
      </c>
      <c r="AK238" s="9">
        <v>410770.3</v>
      </c>
      <c r="AL238" s="9">
        <v>4279049.4000000004</v>
      </c>
      <c r="AM238" s="9">
        <v>5197618.9000000004</v>
      </c>
      <c r="AN238" s="9">
        <v>1155614</v>
      </c>
      <c r="AO238" s="9">
        <v>609523</v>
      </c>
      <c r="AP238" s="9">
        <v>546090</v>
      </c>
      <c r="AQ238" s="9">
        <v>126582</v>
      </c>
      <c r="AR238" s="9">
        <v>74315</v>
      </c>
      <c r="AS238" s="9">
        <v>52267</v>
      </c>
      <c r="AT238" s="9">
        <v>850959</v>
      </c>
      <c r="AU238" s="9">
        <v>331032</v>
      </c>
      <c r="AV238" s="9">
        <v>519927</v>
      </c>
      <c r="AW238" s="9">
        <v>1166.4000000000001</v>
      </c>
      <c r="AX238" s="9">
        <v>879</v>
      </c>
      <c r="AY238" s="9">
        <v>2687.5</v>
      </c>
      <c r="AZ238" s="9">
        <v>1195.7</v>
      </c>
      <c r="BA238" s="9">
        <v>1484.5</v>
      </c>
      <c r="BB238" s="9">
        <v>873.7</v>
      </c>
      <c r="BC238" s="9">
        <v>1211</v>
      </c>
      <c r="BD238" s="9">
        <v>968.7</v>
      </c>
      <c r="BE238" s="9">
        <v>1193.0999999999999</v>
      </c>
      <c r="BF238" s="9">
        <v>747.9</v>
      </c>
      <c r="BG238" s="9">
        <v>1177.9000000000001</v>
      </c>
      <c r="BH238" s="9">
        <v>1411.3</v>
      </c>
      <c r="BI238" s="9">
        <v>1233.5999999999999</v>
      </c>
      <c r="BJ238" s="9">
        <v>881.3</v>
      </c>
      <c r="BK238" s="9">
        <v>974</v>
      </c>
      <c r="BL238" s="9">
        <v>750.1</v>
      </c>
      <c r="BM238" s="9">
        <v>954.4</v>
      </c>
      <c r="BN238" s="9">
        <v>967867.6</v>
      </c>
      <c r="BO238" s="9">
        <v>762321.4</v>
      </c>
      <c r="BP238" s="9">
        <v>129401</v>
      </c>
      <c r="BQ238" s="9">
        <v>56697.5</v>
      </c>
      <c r="BR238" s="9">
        <v>73742.100000000006</v>
      </c>
      <c r="BS238" s="9">
        <v>155343.4</v>
      </c>
      <c r="BT238" s="9">
        <v>242088.1</v>
      </c>
      <c r="BU238" s="9">
        <v>70840.2</v>
      </c>
      <c r="BV238" s="9">
        <v>110428.4</v>
      </c>
      <c r="BW238" s="9">
        <v>717738.7</v>
      </c>
      <c r="BX238" s="9">
        <v>26227.9</v>
      </c>
      <c r="BY238" s="9">
        <v>125666.9</v>
      </c>
      <c r="BZ238" s="9">
        <v>187613.1</v>
      </c>
      <c r="CA238" s="9">
        <v>105867.9</v>
      </c>
      <c r="CB238" s="9">
        <v>20560.5</v>
      </c>
      <c r="CC238" s="9">
        <v>278030.40000000002</v>
      </c>
      <c r="CD238" s="9">
        <v>27006.6</v>
      </c>
      <c r="CE238" s="9">
        <v>193870.2</v>
      </c>
      <c r="CF238" s="9">
        <v>3804338.6460730727</v>
      </c>
      <c r="CG238" s="9">
        <v>20432872.780444119</v>
      </c>
      <c r="CH238" s="9">
        <v>11.0341009223</v>
      </c>
      <c r="CI238" s="9">
        <v>5.7715986436</v>
      </c>
      <c r="CJ238" s="9">
        <v>16.877694490700001</v>
      </c>
      <c r="CK238" s="9">
        <v>9.8628914250000008</v>
      </c>
      <c r="CL238" s="9">
        <v>11</v>
      </c>
      <c r="CM238" s="9">
        <v>122.2432582916</v>
      </c>
      <c r="CN238" s="9">
        <v>32.368797940500002</v>
      </c>
      <c r="CO238" s="9">
        <v>5.1234450441000003</v>
      </c>
      <c r="CP238" s="9">
        <v>19.835215840299998</v>
      </c>
      <c r="CQ238" s="9">
        <v>12.287360723800001</v>
      </c>
      <c r="CR238" s="9">
        <v>5.7886925772</v>
      </c>
      <c r="CS238" s="9">
        <v>4.6536309253999999</v>
      </c>
      <c r="CT238" s="9">
        <v>16.8651672851</v>
      </c>
      <c r="CU238" s="9">
        <v>4.3073772262999999</v>
      </c>
      <c r="CV238" s="9">
        <v>3.9865814405000002</v>
      </c>
      <c r="CW238" s="9">
        <v>6.8192139509</v>
      </c>
      <c r="CX238" s="9">
        <v>3.6397154700000001</v>
      </c>
      <c r="CY238" s="9">
        <v>6.5680598676999997</v>
      </c>
      <c r="CZ238" s="9">
        <v>559</v>
      </c>
      <c r="DA238" s="9">
        <v>515</v>
      </c>
      <c r="DB238" s="9">
        <v>0</v>
      </c>
      <c r="DC238" s="9">
        <v>92</v>
      </c>
      <c r="DD238" s="9">
        <v>44</v>
      </c>
      <c r="DE238" s="9">
        <v>13</v>
      </c>
      <c r="DF238" s="9">
        <v>303</v>
      </c>
      <c r="DG238" s="9">
        <v>31</v>
      </c>
      <c r="DH238" s="9">
        <v>19</v>
      </c>
      <c r="DI238" s="9">
        <v>3</v>
      </c>
      <c r="DJ238" s="9">
        <v>1</v>
      </c>
      <c r="DK238" s="9">
        <v>10</v>
      </c>
      <c r="DL238" s="9">
        <v>0</v>
      </c>
      <c r="DM238" s="9">
        <v>24</v>
      </c>
      <c r="DN238" s="9">
        <v>0</v>
      </c>
      <c r="DO238" s="9">
        <v>507.55</v>
      </c>
      <c r="DP238" s="9">
        <v>125.86</v>
      </c>
      <c r="DQ238" s="9">
        <v>72.06</v>
      </c>
      <c r="DR238" s="9">
        <v>53.8</v>
      </c>
      <c r="DS238" s="9">
        <v>59.37</v>
      </c>
      <c r="DT238" s="9">
        <v>12.49</v>
      </c>
      <c r="DU238" s="9">
        <v>235.58</v>
      </c>
      <c r="DV238" s="9">
        <v>152.51</v>
      </c>
      <c r="DW238" s="9">
        <v>64.45</v>
      </c>
      <c r="DX238" s="9">
        <v>86.29</v>
      </c>
      <c r="DY238" s="9">
        <v>46.9</v>
      </c>
      <c r="DZ238" s="9">
        <v>18.079999999999998</v>
      </c>
      <c r="EA238" s="9">
        <v>-207.904</v>
      </c>
      <c r="EB238" s="9">
        <v>21.704879999999999</v>
      </c>
      <c r="EC238" s="9">
        <v>-171.012</v>
      </c>
      <c r="ED238" s="9">
        <v>-106.358</v>
      </c>
      <c r="EE238" s="9">
        <v>47.761229999999998</v>
      </c>
      <c r="EF238" s="9">
        <v>9.8617699999999999</v>
      </c>
      <c r="EG238" s="9">
        <v>-425.75</v>
      </c>
      <c r="EH238" s="9">
        <v>-186.56</v>
      </c>
      <c r="EI238" s="9">
        <v>11.70369</v>
      </c>
      <c r="EJ238" s="9">
        <v>0.40414899999999998</v>
      </c>
      <c r="EK238" s="9">
        <v>-251.298</v>
      </c>
      <c r="EL238" s="9">
        <v>-2.4850300000000001</v>
      </c>
      <c r="EM238" s="9">
        <v>225.22319999999999</v>
      </c>
      <c r="EN238" s="9">
        <v>3985.6554802392998</v>
      </c>
      <c r="EO238" s="9">
        <v>526.4337878138</v>
      </c>
      <c r="EP238" s="9">
        <v>2451.2323805156998</v>
      </c>
      <c r="EQ238" s="9">
        <v>7.4180402195999999</v>
      </c>
      <c r="ER238" s="9">
        <v>50.093258327000001</v>
      </c>
      <c r="ES238" s="9">
        <v>950.47801336320003</v>
      </c>
      <c r="ET238" s="9">
        <v>0</v>
      </c>
      <c r="EU238">
        <v>2669.6833333333002</v>
      </c>
      <c r="EV238" s="9">
        <v>29816.79</v>
      </c>
      <c r="EW238" s="9">
        <v>7430.02</v>
      </c>
      <c r="EX238" s="9">
        <v>1947.8</v>
      </c>
      <c r="EY238" s="9">
        <v>2205.39</v>
      </c>
      <c r="EZ238" s="9">
        <v>8411.19</v>
      </c>
      <c r="FA238" s="9">
        <v>9822.39</v>
      </c>
      <c r="FB238" s="9">
        <v>66.958673469399997</v>
      </c>
      <c r="FC238" s="9">
        <v>62.33</v>
      </c>
      <c r="FD238" s="9">
        <v>5759.25</v>
      </c>
      <c r="FE238" s="9">
        <v>92.261904761899999</v>
      </c>
      <c r="FF238" s="9">
        <v>1511.3142857143</v>
      </c>
      <c r="FG238" s="9">
        <v>17994565.100000001</v>
      </c>
      <c r="FH238" s="9">
        <v>980755</v>
      </c>
      <c r="FI238" s="9">
        <v>1966455.9</v>
      </c>
      <c r="FJ238" s="9">
        <v>9277315.5</v>
      </c>
      <c r="FK238" s="9">
        <v>207624.1</v>
      </c>
      <c r="FL238" s="9">
        <v>321419.8</v>
      </c>
      <c r="FM238" s="9">
        <v>1594274.86</v>
      </c>
      <c r="FN238" s="9">
        <v>31244.31</v>
      </c>
      <c r="FO238" s="9">
        <v>102229.18</v>
      </c>
      <c r="FP238" s="9">
        <v>4074236.4</v>
      </c>
      <c r="FQ238" s="9">
        <v>267821.59999999998</v>
      </c>
      <c r="FR238" s="9">
        <v>318467.40000000002</v>
      </c>
      <c r="FS238" s="9">
        <v>562458.69999999995</v>
      </c>
      <c r="FT238" s="9">
        <v>8710861.7799999993</v>
      </c>
      <c r="FU238" s="9">
        <v>773130.82</v>
      </c>
      <c r="FV238" s="9">
        <v>1638648.13</v>
      </c>
      <c r="FW238" s="9">
        <v>2425573.96</v>
      </c>
      <c r="FX238" s="9">
        <v>115020.34</v>
      </c>
      <c r="FY238" s="9">
        <v>453230.69</v>
      </c>
      <c r="FZ238" s="9">
        <v>413657.86</v>
      </c>
      <c r="GA238" s="9">
        <v>18643443.260000002</v>
      </c>
      <c r="GB238" s="9">
        <v>5959583.5399999991</v>
      </c>
      <c r="GC238" s="9">
        <v>12683859.720000001</v>
      </c>
      <c r="GD238" s="9">
        <v>12639152.98</v>
      </c>
      <c r="GE238" s="9">
        <v>1187165.78</v>
      </c>
      <c r="GF238" s="9">
        <v>11451987.199999999</v>
      </c>
      <c r="GG238" s="9">
        <v>6004290.2799999993</v>
      </c>
      <c r="GH238" s="9">
        <v>4772417.76</v>
      </c>
      <c r="GI238" s="9">
        <v>1231872.52</v>
      </c>
      <c r="GJ238" s="9">
        <v>4443617.87</v>
      </c>
      <c r="GK238" s="9">
        <v>34953489.280000001</v>
      </c>
      <c r="GL238" s="9">
        <v>3102954.4</v>
      </c>
      <c r="GM238">
        <v>2667.21</v>
      </c>
      <c r="GO238" s="6"/>
      <c r="GP238" s="6"/>
      <c r="GQ238" s="6"/>
    </row>
    <row r="239" spans="1:199" x14ac:dyDescent="0.2">
      <c r="A239" s="8">
        <v>2019</v>
      </c>
      <c r="B239" s="8" t="s">
        <v>515</v>
      </c>
      <c r="C239" s="8" t="s">
        <v>516</v>
      </c>
      <c r="D239" s="9"/>
      <c r="E239" s="9"/>
      <c r="F239" s="9"/>
      <c r="G239" s="9"/>
      <c r="H239" s="9"/>
      <c r="I239" s="9"/>
      <c r="J239" s="9"/>
      <c r="K239" s="9"/>
      <c r="L239" s="9"/>
      <c r="M239" s="9"/>
      <c r="N239" s="9"/>
      <c r="O239" s="9"/>
      <c r="P239" s="9"/>
      <c r="Q239" s="9"/>
      <c r="R239" s="9"/>
      <c r="S239" s="9"/>
      <c r="T239" s="9"/>
      <c r="U239" s="9"/>
      <c r="V239" s="9"/>
      <c r="W239" s="9"/>
      <c r="X239" s="9"/>
      <c r="Y239" s="9"/>
      <c r="Z239" s="9"/>
      <c r="AA239" s="9"/>
      <c r="AB239" s="9"/>
      <c r="AC239" s="9"/>
      <c r="AD239" s="9"/>
      <c r="AE239" s="9"/>
      <c r="AF239" s="9"/>
      <c r="AG239" s="9"/>
      <c r="AH239" s="9"/>
      <c r="AI239" s="9"/>
      <c r="AJ239" s="9"/>
      <c r="AK239" s="9"/>
      <c r="AL239" s="9"/>
      <c r="AM239" s="9"/>
      <c r="AN239" s="9"/>
      <c r="AO239" s="9"/>
      <c r="AP239" s="9"/>
      <c r="AQ239" s="9"/>
      <c r="AR239" s="9"/>
      <c r="AS239" s="9"/>
      <c r="AT239" s="9"/>
      <c r="AU239" s="9"/>
      <c r="AV239" s="9"/>
      <c r="AW239" s="9"/>
      <c r="AX239" s="9"/>
      <c r="AY239" s="9"/>
      <c r="AZ239" s="9"/>
      <c r="BA239" s="9"/>
      <c r="BB239" s="9"/>
      <c r="BC239" s="9"/>
      <c r="BD239" s="9"/>
      <c r="BE239" s="9"/>
      <c r="BF239" s="9"/>
      <c r="BG239" s="9"/>
      <c r="BH239" s="9"/>
      <c r="BI239" s="9"/>
      <c r="BJ239" s="9"/>
      <c r="BK239" s="9"/>
      <c r="BL239" s="9"/>
      <c r="BM239" s="9"/>
      <c r="BN239" s="9">
        <v>1169037.7</v>
      </c>
      <c r="BO239" s="9">
        <v>1000460.6</v>
      </c>
      <c r="BP239" s="9">
        <v>369192.8</v>
      </c>
      <c r="BQ239" s="9">
        <v>283338</v>
      </c>
      <c r="BR239" s="9">
        <v>86062.1</v>
      </c>
      <c r="BS239" s="9">
        <v>164100.6</v>
      </c>
      <c r="BT239" s="9">
        <v>233548.1</v>
      </c>
      <c r="BU239" s="9">
        <v>76318.399999999994</v>
      </c>
      <c r="BV239" s="9">
        <v>94527.1</v>
      </c>
      <c r="BW239" s="9">
        <v>756261.3</v>
      </c>
      <c r="BX239" s="9">
        <v>35554.6</v>
      </c>
      <c r="BY239" s="9">
        <v>158133.9</v>
      </c>
      <c r="BZ239" s="9">
        <v>188546.8</v>
      </c>
      <c r="CA239" s="9">
        <v>140065.29999999999</v>
      </c>
      <c r="CB239" s="9">
        <v>35135.300000000003</v>
      </c>
      <c r="CC239" s="9">
        <v>234379.9</v>
      </c>
      <c r="CD239" s="9">
        <v>-8952.7999999999993</v>
      </c>
      <c r="CE239" s="9">
        <v>242375.8</v>
      </c>
      <c r="CF239" s="9">
        <v>4180772.3295206446</v>
      </c>
      <c r="CG239" s="9">
        <v>20470148.828299601</v>
      </c>
      <c r="CH239" s="9">
        <v>11.1319759201</v>
      </c>
      <c r="CI239" s="9">
        <v>4.1909908228999999</v>
      </c>
      <c r="CJ239" s="9">
        <v>16.820307313699999</v>
      </c>
      <c r="CK239" s="9">
        <v>8.9000784456000002</v>
      </c>
      <c r="CL239" s="9">
        <v>11</v>
      </c>
      <c r="CM239" s="9">
        <v>121.8353884065</v>
      </c>
      <c r="CN239" s="9">
        <v>31.879304112500002</v>
      </c>
      <c r="CO239" s="9">
        <v>5.1292190929999997</v>
      </c>
      <c r="CP239" s="9">
        <v>19.954197039299999</v>
      </c>
      <c r="CQ239" s="9">
        <v>12.3255327163</v>
      </c>
      <c r="CR239" s="9">
        <v>5.8032677057999997</v>
      </c>
      <c r="CS239" s="9">
        <v>4.6586487708000002</v>
      </c>
      <c r="CT239" s="9">
        <v>16.805951174899999</v>
      </c>
      <c r="CU239" s="9">
        <v>4.3075180459000002</v>
      </c>
      <c r="CV239" s="9">
        <v>3.9297314094</v>
      </c>
      <c r="CW239" s="9">
        <v>6.8192139509</v>
      </c>
      <c r="CX239" s="9">
        <v>3.6399910912000002</v>
      </c>
      <c r="CY239" s="9">
        <v>6.5828132965000004</v>
      </c>
      <c r="CZ239" s="9">
        <v>583</v>
      </c>
      <c r="DA239" s="9">
        <v>534</v>
      </c>
      <c r="DB239" s="9">
        <v>0</v>
      </c>
      <c r="DC239" s="9">
        <v>120</v>
      </c>
      <c r="DD239" s="9">
        <v>37</v>
      </c>
      <c r="DE239" s="9">
        <v>11</v>
      </c>
      <c r="DF239" s="9">
        <v>313</v>
      </c>
      <c r="DG239" s="9">
        <v>31</v>
      </c>
      <c r="DH239" s="9">
        <v>22</v>
      </c>
      <c r="DI239" s="9">
        <v>8</v>
      </c>
      <c r="DJ239" s="9">
        <v>1</v>
      </c>
      <c r="DK239" s="9">
        <v>9</v>
      </c>
      <c r="DL239" s="9">
        <v>1</v>
      </c>
      <c r="DM239" s="9">
        <v>25</v>
      </c>
      <c r="DN239" s="9">
        <v>0</v>
      </c>
      <c r="DO239" s="9">
        <v>465.75</v>
      </c>
      <c r="DP239" s="9">
        <v>136.88</v>
      </c>
      <c r="DQ239" s="9">
        <v>77.790000000000006</v>
      </c>
      <c r="DR239" s="9">
        <v>59.08</v>
      </c>
      <c r="DS239" s="9">
        <v>54.7</v>
      </c>
      <c r="DT239" s="9">
        <v>12.18</v>
      </c>
      <c r="DU239" s="9">
        <v>186.28</v>
      </c>
      <c r="DV239" s="9">
        <v>124.53</v>
      </c>
      <c r="DW239" s="9">
        <v>48.72</v>
      </c>
      <c r="DX239" s="9">
        <v>87.39</v>
      </c>
      <c r="DY239" s="9">
        <v>41.89</v>
      </c>
      <c r="DZ239" s="9">
        <v>16.05</v>
      </c>
      <c r="EA239" s="9">
        <v>-258.04300000000001</v>
      </c>
      <c r="EB239" s="9">
        <v>49.651850000000003</v>
      </c>
      <c r="EC239" s="9">
        <v>-212.86099999999999</v>
      </c>
      <c r="ED239" s="9">
        <v>-111.062</v>
      </c>
      <c r="EE239" s="9">
        <v>16.227550000000001</v>
      </c>
      <c r="EF239" s="9">
        <v>8.8540559999999999</v>
      </c>
      <c r="EG239" s="9">
        <v>-314.089</v>
      </c>
      <c r="EH239" s="9">
        <v>-202.499</v>
      </c>
      <c r="EI239" s="9">
        <v>28.494199999999999</v>
      </c>
      <c r="EJ239" s="9">
        <v>2.4043700000000001</v>
      </c>
      <c r="EK239" s="9">
        <v>-142.489</v>
      </c>
      <c r="EL239" s="9">
        <v>-76.381200000000007</v>
      </c>
      <c r="EM239" s="9">
        <v>-11.4809</v>
      </c>
      <c r="EN239" s="9">
        <v>4033.8476941964</v>
      </c>
      <c r="EO239" s="9">
        <v>526.95704782229996</v>
      </c>
      <c r="EP239" s="9">
        <v>2443.1224479850998</v>
      </c>
      <c r="EQ239" s="9">
        <v>7.4738346549000001</v>
      </c>
      <c r="ER239" s="9">
        <v>50.470032376900001</v>
      </c>
      <c r="ES239" s="9">
        <v>1005.8243313573</v>
      </c>
      <c r="ET239" s="9">
        <v>0</v>
      </c>
      <c r="EU239">
        <v>2678.0056521739002</v>
      </c>
      <c r="EV239" s="9"/>
      <c r="EW239" s="9"/>
      <c r="EX239" s="9"/>
      <c r="EY239" s="9"/>
      <c r="EZ239" s="9"/>
      <c r="FA239" s="9"/>
      <c r="FB239" s="9">
        <v>69.194254658399998</v>
      </c>
      <c r="FC239" s="9">
        <v>59.37</v>
      </c>
      <c r="FD239" s="9">
        <v>5757.2978260870004</v>
      </c>
      <c r="FE239" s="9">
        <v>88.586956521700003</v>
      </c>
      <c r="FF239" s="9">
        <v>1494.8</v>
      </c>
      <c r="FG239" s="9">
        <v>18038923.899999999</v>
      </c>
      <c r="FH239" s="9">
        <v>944219.5</v>
      </c>
      <c r="FI239" s="9">
        <v>1922557.1</v>
      </c>
      <c r="FJ239" s="9">
        <v>9323887.6999999993</v>
      </c>
      <c r="FK239" s="9">
        <v>206862.8</v>
      </c>
      <c r="FL239" s="9">
        <v>328686.8</v>
      </c>
      <c r="FM239" s="9">
        <v>1614317</v>
      </c>
      <c r="FN239" s="9">
        <v>30187.82</v>
      </c>
      <c r="FO239" s="9">
        <v>103329.56</v>
      </c>
      <c r="FP239" s="9">
        <v>4024490.8</v>
      </c>
      <c r="FQ239" s="9">
        <v>274037.3</v>
      </c>
      <c r="FR239" s="9">
        <v>309772.5</v>
      </c>
      <c r="FS239" s="9">
        <v>582886.30000000005</v>
      </c>
      <c r="FT239" s="9">
        <v>8708637.6999999993</v>
      </c>
      <c r="FU239" s="9">
        <v>737356.72</v>
      </c>
      <c r="FV239" s="9">
        <v>1587471.84</v>
      </c>
      <c r="FW239" s="9">
        <v>2454893.4700000002</v>
      </c>
      <c r="FX239" s="9">
        <v>137788.17000000001</v>
      </c>
      <c r="FY239" s="9">
        <v>488842.31</v>
      </c>
      <c r="FZ239" s="9">
        <v>388251.67</v>
      </c>
      <c r="GA239" s="9">
        <v>18719966.649999999</v>
      </c>
      <c r="GB239" s="9">
        <v>5885141.0899999999</v>
      </c>
      <c r="GC239" s="9">
        <v>12834825.560000001</v>
      </c>
      <c r="GD239" s="9">
        <v>12726249.33</v>
      </c>
      <c r="GE239" s="9">
        <v>1162579.6299999999</v>
      </c>
      <c r="GF239" s="9">
        <v>11563669.699999999</v>
      </c>
      <c r="GG239" s="9">
        <v>5993717.3199999984</v>
      </c>
      <c r="GH239" s="9">
        <v>4722561.46</v>
      </c>
      <c r="GI239" s="9">
        <v>1271155.8600000001</v>
      </c>
      <c r="GJ239" s="9">
        <v>4490888.1899999985</v>
      </c>
      <c r="GK239" s="9">
        <v>34945320.490000002</v>
      </c>
      <c r="GL239" s="9">
        <v>3026662.44</v>
      </c>
      <c r="GM239">
        <v>2701.17</v>
      </c>
      <c r="GO239" s="6"/>
      <c r="GP239" s="6"/>
      <c r="GQ239" s="6"/>
    </row>
    <row r="240" spans="1:199" x14ac:dyDescent="0.2">
      <c r="A240" s="8">
        <v>2019</v>
      </c>
      <c r="B240" s="8" t="s">
        <v>515</v>
      </c>
      <c r="C240" s="8" t="s">
        <v>517</v>
      </c>
      <c r="D240" s="9"/>
      <c r="E240" s="9"/>
      <c r="F240" s="9"/>
      <c r="G240" s="9"/>
      <c r="H240" s="9"/>
      <c r="I240" s="9"/>
      <c r="J240" s="9"/>
      <c r="K240" s="9"/>
      <c r="L240" s="9"/>
      <c r="M240" s="9"/>
      <c r="N240" s="9"/>
      <c r="O240" s="9"/>
      <c r="P240" s="9"/>
      <c r="Q240" s="9"/>
      <c r="R240" s="9"/>
      <c r="S240" s="9"/>
      <c r="T240" s="9"/>
      <c r="U240" s="9"/>
      <c r="V240" s="9"/>
      <c r="W240" s="9"/>
      <c r="X240" s="9"/>
      <c r="Y240" s="9"/>
      <c r="Z240" s="9"/>
      <c r="AA240" s="9"/>
      <c r="AB240" s="9"/>
      <c r="AC240" s="9"/>
      <c r="AD240" s="9"/>
      <c r="AE240" s="9"/>
      <c r="AF240" s="9"/>
      <c r="AG240" s="9"/>
      <c r="AH240" s="9"/>
      <c r="AI240" s="9"/>
      <c r="AJ240" s="9"/>
      <c r="AK240" s="9"/>
      <c r="AL240" s="9"/>
      <c r="AM240" s="9"/>
      <c r="AN240" s="9"/>
      <c r="AO240" s="9"/>
      <c r="AP240" s="9"/>
      <c r="AQ240" s="9"/>
      <c r="AR240" s="9"/>
      <c r="AS240" s="9"/>
      <c r="AT240" s="9"/>
      <c r="AU240" s="9"/>
      <c r="AV240" s="9"/>
      <c r="AW240" s="9"/>
      <c r="AX240" s="9"/>
      <c r="AY240" s="9"/>
      <c r="AZ240" s="9"/>
      <c r="BA240" s="9"/>
      <c r="BB240" s="9"/>
      <c r="BC240" s="9"/>
      <c r="BD240" s="9"/>
      <c r="BE240" s="9"/>
      <c r="BF240" s="9"/>
      <c r="BG240" s="9"/>
      <c r="BH240" s="9"/>
      <c r="BI240" s="9"/>
      <c r="BJ240" s="9"/>
      <c r="BK240" s="9"/>
      <c r="BL240" s="9"/>
      <c r="BM240" s="9"/>
      <c r="BN240" s="9">
        <v>894722.3</v>
      </c>
      <c r="BO240" s="9">
        <v>739988.9</v>
      </c>
      <c r="BP240" s="9">
        <v>140275</v>
      </c>
      <c r="BQ240" s="9">
        <v>72147</v>
      </c>
      <c r="BR240" s="9">
        <v>68146.899999999994</v>
      </c>
      <c r="BS240" s="9">
        <v>161693</v>
      </c>
      <c r="BT240" s="9">
        <v>224076.5</v>
      </c>
      <c r="BU240" s="9">
        <v>61804.4</v>
      </c>
      <c r="BV240" s="9">
        <v>102958.39999999999</v>
      </c>
      <c r="BW240" s="9">
        <v>658479.69999999995</v>
      </c>
      <c r="BX240" s="9">
        <v>21504.5</v>
      </c>
      <c r="BY240" s="9">
        <v>159000.6</v>
      </c>
      <c r="BZ240" s="9">
        <v>185674.5</v>
      </c>
      <c r="CA240" s="9">
        <v>45221</v>
      </c>
      <c r="CB240" s="9">
        <v>21072.400000000001</v>
      </c>
      <c r="CC240" s="9">
        <v>247511.3</v>
      </c>
      <c r="CD240" s="9">
        <v>3206.2</v>
      </c>
      <c r="CE240" s="9">
        <v>221687</v>
      </c>
      <c r="CF240" s="9">
        <v>3995133.2597367</v>
      </c>
      <c r="CG240" s="9">
        <v>20478830.291819129</v>
      </c>
      <c r="CH240" s="9">
        <v>10.950652245300001</v>
      </c>
      <c r="CI240" s="9">
        <v>4.3134187097999996</v>
      </c>
      <c r="CJ240" s="9">
        <v>16.986852518599999</v>
      </c>
      <c r="CK240" s="9">
        <v>10.658827994999999</v>
      </c>
      <c r="CL240" s="9">
        <v>11</v>
      </c>
      <c r="CM240" s="9">
        <v>121.2897864183</v>
      </c>
      <c r="CN240" s="9">
        <v>31.167087175399999</v>
      </c>
      <c r="CO240" s="9">
        <v>5.1361445571999997</v>
      </c>
      <c r="CP240" s="9">
        <v>20.078116593699999</v>
      </c>
      <c r="CQ240" s="9">
        <v>12.334332824100001</v>
      </c>
      <c r="CR240" s="9">
        <v>5.8078672235999997</v>
      </c>
      <c r="CS240" s="9">
        <v>4.6636936268999998</v>
      </c>
      <c r="CT240" s="9">
        <v>16.812568370099999</v>
      </c>
      <c r="CU240" s="9">
        <v>4.3075593595999999</v>
      </c>
      <c r="CV240" s="9">
        <v>3.9317651112999998</v>
      </c>
      <c r="CW240" s="9">
        <v>6.8192139509</v>
      </c>
      <c r="CX240" s="9">
        <v>3.6414265710999998</v>
      </c>
      <c r="CY240" s="9">
        <v>6.5900110543999997</v>
      </c>
      <c r="CZ240" s="9">
        <v>527</v>
      </c>
      <c r="DA240" s="9">
        <v>472</v>
      </c>
      <c r="DB240" s="9">
        <v>0</v>
      </c>
      <c r="DC240" s="9">
        <v>130</v>
      </c>
      <c r="DD240" s="9">
        <v>60</v>
      </c>
      <c r="DE240" s="9">
        <v>20</v>
      </c>
      <c r="DF240" s="9">
        <v>196</v>
      </c>
      <c r="DG240" s="9">
        <v>32</v>
      </c>
      <c r="DH240" s="9">
        <v>23</v>
      </c>
      <c r="DI240" s="9">
        <v>17</v>
      </c>
      <c r="DJ240" s="9">
        <v>0</v>
      </c>
      <c r="DK240" s="9">
        <v>2</v>
      </c>
      <c r="DL240" s="9">
        <v>3</v>
      </c>
      <c r="DM240" s="9">
        <v>28</v>
      </c>
      <c r="DN240" s="9">
        <v>0</v>
      </c>
      <c r="DO240" s="9">
        <v>519.26</v>
      </c>
      <c r="DP240" s="9">
        <v>134.68</v>
      </c>
      <c r="DQ240" s="9">
        <v>78.62</v>
      </c>
      <c r="DR240" s="9">
        <v>56.06</v>
      </c>
      <c r="DS240" s="9">
        <v>49.8</v>
      </c>
      <c r="DT240" s="9">
        <v>10.59</v>
      </c>
      <c r="DU240" s="9">
        <v>230.59</v>
      </c>
      <c r="DV240" s="9">
        <v>174.47</v>
      </c>
      <c r="DW240" s="9">
        <v>42.17</v>
      </c>
      <c r="DX240" s="9">
        <v>103.84</v>
      </c>
      <c r="DY240" s="9">
        <v>62.84</v>
      </c>
      <c r="DZ240" s="9">
        <v>22.91</v>
      </c>
      <c r="EA240" s="9">
        <v>-290.50900000000001</v>
      </c>
      <c r="EB240" s="9">
        <v>-22.1433</v>
      </c>
      <c r="EC240" s="9">
        <v>-172.11199999999999</v>
      </c>
      <c r="ED240" s="9">
        <v>-109.70099999999999</v>
      </c>
      <c r="EE240" s="9">
        <v>13.447050000000001</v>
      </c>
      <c r="EF240" s="9">
        <v>9.9915540000000007</v>
      </c>
      <c r="EG240" s="9">
        <v>-92.215400000000002</v>
      </c>
      <c r="EH240" s="9">
        <v>-158.167</v>
      </c>
      <c r="EI240" s="9">
        <v>-1.4710099999999999</v>
      </c>
      <c r="EJ240" s="9">
        <v>-0.39910000000000001</v>
      </c>
      <c r="EK240" s="9">
        <v>67.821460000000002</v>
      </c>
      <c r="EL240" s="9">
        <v>97.657179999999997</v>
      </c>
      <c r="EM240" s="9">
        <v>-90.645099999999999</v>
      </c>
      <c r="EN240" s="9">
        <v>4015.4920951776999</v>
      </c>
      <c r="EO240" s="9">
        <v>522.44712149839995</v>
      </c>
      <c r="EP240" s="9">
        <v>2358.4649932369002</v>
      </c>
      <c r="EQ240" s="9">
        <v>7.4628640586000001</v>
      </c>
      <c r="ER240" s="9">
        <v>49.189727301399998</v>
      </c>
      <c r="ES240" s="9">
        <v>1077.9273890825</v>
      </c>
      <c r="ET240" s="9">
        <v>0</v>
      </c>
      <c r="EU240">
        <v>2705.2594736842002</v>
      </c>
      <c r="EV240" s="9"/>
      <c r="EW240" s="9"/>
      <c r="EX240" s="9"/>
      <c r="EY240" s="9"/>
      <c r="EZ240" s="9"/>
      <c r="FA240" s="9"/>
      <c r="FB240" s="9">
        <v>69.729081632700002</v>
      </c>
      <c r="FC240" s="9">
        <v>62.744285714299998</v>
      </c>
      <c r="FD240" s="9">
        <v>5859.9523809523998</v>
      </c>
      <c r="FE240" s="9">
        <v>82.904761904799997</v>
      </c>
      <c r="FF240" s="9">
        <v>1470.0166666667001</v>
      </c>
      <c r="FG240" s="9">
        <v>18004866.699999999</v>
      </c>
      <c r="FH240" s="9">
        <v>960210.2</v>
      </c>
      <c r="FI240" s="9">
        <v>1911767</v>
      </c>
      <c r="FJ240" s="9">
        <v>9295021</v>
      </c>
      <c r="FK240" s="9">
        <v>215340.2</v>
      </c>
      <c r="FL240" s="9">
        <v>331884.09999999998</v>
      </c>
      <c r="FM240" s="9">
        <v>1617017.66</v>
      </c>
      <c r="FN240" s="9">
        <v>36008.400000000001</v>
      </c>
      <c r="FO240" s="9">
        <v>103339.08</v>
      </c>
      <c r="FP240" s="9">
        <v>3963389.2</v>
      </c>
      <c r="FQ240" s="9">
        <v>278396.40000000002</v>
      </c>
      <c r="FR240" s="9">
        <v>301682.40000000002</v>
      </c>
      <c r="FS240" s="9">
        <v>574950.5</v>
      </c>
      <c r="FT240" s="9">
        <v>8703449.1199999992</v>
      </c>
      <c r="FU240" s="9">
        <v>744869.99</v>
      </c>
      <c r="FV240" s="9">
        <v>1573486.35</v>
      </c>
      <c r="FW240" s="9">
        <v>2418734.19</v>
      </c>
      <c r="FX240" s="9">
        <v>147462.26999999999</v>
      </c>
      <c r="FY240" s="9">
        <v>472731.36</v>
      </c>
      <c r="FZ240" s="9">
        <v>389600.57</v>
      </c>
      <c r="GA240" s="9">
        <v>18610220.859999999</v>
      </c>
      <c r="GB240" s="9">
        <v>5679120.4700000007</v>
      </c>
      <c r="GC240" s="9">
        <v>12931100.390000001</v>
      </c>
      <c r="GD240" s="9">
        <v>12690625.43</v>
      </c>
      <c r="GE240" s="9">
        <v>1094277.23</v>
      </c>
      <c r="GF240" s="9">
        <v>11596348.199999999</v>
      </c>
      <c r="GG240" s="9">
        <v>5919595.4299999997</v>
      </c>
      <c r="GH240" s="9">
        <v>4584843.2399999993</v>
      </c>
      <c r="GI240" s="9">
        <v>1334752.19</v>
      </c>
      <c r="GJ240" s="9">
        <v>4569524.71</v>
      </c>
      <c r="GK240" s="9">
        <v>34913955.659999996</v>
      </c>
      <c r="GL240" s="9">
        <v>3033208.12</v>
      </c>
      <c r="GM240">
        <v>2715.22</v>
      </c>
      <c r="GO240" s="6"/>
      <c r="GP240" s="6"/>
      <c r="GQ240" s="6"/>
    </row>
    <row r="241" spans="1:199" x14ac:dyDescent="0.2">
      <c r="A241" s="8">
        <v>2019</v>
      </c>
      <c r="B241" s="8" t="s">
        <v>515</v>
      </c>
      <c r="C241" s="8" t="s">
        <v>518</v>
      </c>
      <c r="D241" s="9">
        <v>9881135.2070000004</v>
      </c>
      <c r="E241" s="9">
        <v>942510.54</v>
      </c>
      <c r="F241" s="9">
        <v>2195416.4380000001</v>
      </c>
      <c r="G241" s="9">
        <v>1214058.02</v>
      </c>
      <c r="H241" s="9">
        <v>247851.34</v>
      </c>
      <c r="I241" s="9">
        <v>736902.49600000004</v>
      </c>
      <c r="J241" s="9">
        <v>1414983.902</v>
      </c>
      <c r="K241" s="9">
        <v>348761.77399999998</v>
      </c>
      <c r="L241" s="9">
        <v>175026.63500000001</v>
      </c>
      <c r="M241" s="9">
        <v>1813406.0490000001</v>
      </c>
      <c r="N241" s="9">
        <v>792218.01300000004</v>
      </c>
      <c r="O241" s="9">
        <v>7738825.0690000001</v>
      </c>
      <c r="P241" s="9">
        <v>897012.755</v>
      </c>
      <c r="Q241" s="9">
        <v>1086042.882</v>
      </c>
      <c r="R241" s="9">
        <v>815058.71</v>
      </c>
      <c r="S241" s="9">
        <v>208082.80600000001</v>
      </c>
      <c r="T241" s="9">
        <v>553570.75199999998</v>
      </c>
      <c r="U241" s="9">
        <v>1003969.412</v>
      </c>
      <c r="V241" s="9">
        <v>602599.53200000001</v>
      </c>
      <c r="W241" s="9">
        <v>134396.43100000001</v>
      </c>
      <c r="X241" s="9">
        <v>1911772.5859999999</v>
      </c>
      <c r="Y241" s="9">
        <v>526319.20200000005</v>
      </c>
      <c r="Z241" s="9">
        <v>10212917.310000001</v>
      </c>
      <c r="AA241" s="9">
        <v>5361122.1780000003</v>
      </c>
      <c r="AB241" s="9">
        <v>1399785.628</v>
      </c>
      <c r="AC241" s="9">
        <v>3317780.8569999998</v>
      </c>
      <c r="AD241" s="9">
        <v>1538346.1569999999</v>
      </c>
      <c r="AE241" s="9">
        <v>4965998.2120000003</v>
      </c>
      <c r="AF241" s="9">
        <v>6370115.7230000002</v>
      </c>
      <c r="AG241" s="9">
        <v>7710196.7000000002</v>
      </c>
      <c r="AH241" s="9">
        <v>4683784.5999999996</v>
      </c>
      <c r="AI241" s="9">
        <v>1267105.8999999999</v>
      </c>
      <c r="AJ241" s="9">
        <v>2397164.4</v>
      </c>
      <c r="AK241" s="9">
        <v>1377415.3</v>
      </c>
      <c r="AL241" s="9">
        <v>3118552.8</v>
      </c>
      <c r="AM241" s="9">
        <v>5133826.3</v>
      </c>
      <c r="AN241" s="9">
        <v>1188440</v>
      </c>
      <c r="AO241" s="9">
        <v>633120</v>
      </c>
      <c r="AP241" s="9">
        <v>555320</v>
      </c>
      <c r="AQ241" s="9">
        <v>105139</v>
      </c>
      <c r="AR241" s="9">
        <v>66091</v>
      </c>
      <c r="AS241" s="9">
        <v>39048</v>
      </c>
      <c r="AT241" s="9">
        <v>838523</v>
      </c>
      <c r="AU241" s="9">
        <v>314607</v>
      </c>
      <c r="AV241" s="9">
        <v>523916</v>
      </c>
      <c r="AW241" s="9">
        <v>1242.7</v>
      </c>
      <c r="AX241" s="9">
        <v>919.4</v>
      </c>
      <c r="AY241" s="9">
        <v>2928.5</v>
      </c>
      <c r="AZ241" s="9">
        <v>1256.5</v>
      </c>
      <c r="BA241" s="9">
        <v>1741</v>
      </c>
      <c r="BB241" s="9">
        <v>923.2</v>
      </c>
      <c r="BC241" s="9">
        <v>1271.9000000000001</v>
      </c>
      <c r="BD241" s="9">
        <v>1015.1</v>
      </c>
      <c r="BE241" s="9">
        <v>1237.4000000000001</v>
      </c>
      <c r="BF241" s="9">
        <v>774.6</v>
      </c>
      <c r="BG241" s="9">
        <v>1246</v>
      </c>
      <c r="BH241" s="9">
        <v>1440.8</v>
      </c>
      <c r="BI241" s="9">
        <v>1297.8</v>
      </c>
      <c r="BJ241" s="9">
        <v>1001.1</v>
      </c>
      <c r="BK241" s="9">
        <v>1041.5999999999999</v>
      </c>
      <c r="BL241" s="9">
        <v>828.6</v>
      </c>
      <c r="BM241" s="9">
        <v>1026.8</v>
      </c>
      <c r="BN241" s="9">
        <v>1216215.8999999999</v>
      </c>
      <c r="BO241" s="9">
        <v>997372.2</v>
      </c>
      <c r="BP241" s="9">
        <v>252315.6</v>
      </c>
      <c r="BQ241" s="9">
        <v>123941.7</v>
      </c>
      <c r="BR241" s="9">
        <v>128577.9</v>
      </c>
      <c r="BS241" s="9">
        <v>235366.9</v>
      </c>
      <c r="BT241" s="9">
        <v>260951.7</v>
      </c>
      <c r="BU241" s="9">
        <v>70103.199999999997</v>
      </c>
      <c r="BV241" s="9">
        <v>117303.8</v>
      </c>
      <c r="BW241" s="9">
        <v>1009447.6</v>
      </c>
      <c r="BX241" s="9">
        <v>185694.2</v>
      </c>
      <c r="BY241" s="9">
        <v>354269.2</v>
      </c>
      <c r="BZ241" s="9">
        <v>244908.2</v>
      </c>
      <c r="CA241" s="9">
        <v>48569.9</v>
      </c>
      <c r="CB241" s="9">
        <v>58160.7</v>
      </c>
      <c r="CC241" s="9">
        <v>303539.40000000002</v>
      </c>
      <c r="CD241" s="9">
        <v>14235.9</v>
      </c>
      <c r="CE241" s="9">
        <v>1034013.5</v>
      </c>
      <c r="CF241" s="9">
        <v>3904108.3379122159</v>
      </c>
      <c r="CG241" s="9">
        <v>20833642.011949971</v>
      </c>
      <c r="CH241" s="9">
        <v>10.545271427299999</v>
      </c>
      <c r="CI241" s="9">
        <v>4.4696035325999999</v>
      </c>
      <c r="CJ241" s="9">
        <v>16.891787392099999</v>
      </c>
      <c r="CK241" s="9">
        <v>8.6967747063999994</v>
      </c>
      <c r="CL241" s="9">
        <v>11</v>
      </c>
      <c r="CM241" s="9">
        <v>122.0290377967</v>
      </c>
      <c r="CN241" s="9">
        <v>31.381702368999999</v>
      </c>
      <c r="CO241" s="9">
        <v>5.1623818840000002</v>
      </c>
      <c r="CP241" s="9">
        <v>20.2885424312</v>
      </c>
      <c r="CQ241" s="9">
        <v>12.369080903</v>
      </c>
      <c r="CR241" s="9">
        <v>5.8519004345000001</v>
      </c>
      <c r="CS241" s="9">
        <v>4.6750785237999999</v>
      </c>
      <c r="CT241" s="9">
        <v>16.911790287500001</v>
      </c>
      <c r="CU241" s="9">
        <v>4.3075593595999999</v>
      </c>
      <c r="CV241" s="9">
        <v>3.9350022529999999</v>
      </c>
      <c r="CW241" s="9">
        <v>6.8192139509</v>
      </c>
      <c r="CX241" s="9">
        <v>3.6472297092999999</v>
      </c>
      <c r="CY241" s="9">
        <v>6.6795556909</v>
      </c>
      <c r="CZ241" s="9">
        <v>564</v>
      </c>
      <c r="DA241" s="9">
        <v>469</v>
      </c>
      <c r="DB241" s="9">
        <v>74</v>
      </c>
      <c r="DC241" s="9">
        <v>125</v>
      </c>
      <c r="DD241" s="9">
        <v>57</v>
      </c>
      <c r="DE241" s="9">
        <v>14</v>
      </c>
      <c r="DF241" s="9">
        <v>130</v>
      </c>
      <c r="DG241" s="9">
        <v>32</v>
      </c>
      <c r="DH241" s="9">
        <v>33</v>
      </c>
      <c r="DI241" s="9">
        <v>23</v>
      </c>
      <c r="DJ241" s="9">
        <v>1</v>
      </c>
      <c r="DK241" s="9">
        <v>6</v>
      </c>
      <c r="DL241" s="9">
        <v>4</v>
      </c>
      <c r="DM241" s="9">
        <v>58</v>
      </c>
      <c r="DN241" s="9">
        <v>0</v>
      </c>
      <c r="DO241" s="9">
        <v>543.70000000000005</v>
      </c>
      <c r="DP241" s="9">
        <v>128.88</v>
      </c>
      <c r="DQ241" s="9">
        <v>81.599999999999994</v>
      </c>
      <c r="DR241" s="9">
        <v>47.28</v>
      </c>
      <c r="DS241" s="9">
        <v>53.01</v>
      </c>
      <c r="DT241" s="9">
        <v>13.09</v>
      </c>
      <c r="DU241" s="9">
        <v>245.05</v>
      </c>
      <c r="DV241" s="9">
        <v>187.3</v>
      </c>
      <c r="DW241" s="9">
        <v>39.44</v>
      </c>
      <c r="DX241" s="9">
        <v>116.44</v>
      </c>
      <c r="DY241" s="9">
        <v>57.26</v>
      </c>
      <c r="DZ241" s="9">
        <v>39.44</v>
      </c>
      <c r="EA241" s="9">
        <v>-418.39</v>
      </c>
      <c r="EB241" s="9">
        <v>0.18070900000000001</v>
      </c>
      <c r="EC241" s="9">
        <v>-204.40299999999999</v>
      </c>
      <c r="ED241" s="9">
        <v>-229.624</v>
      </c>
      <c r="EE241" s="9">
        <v>15.45641</v>
      </c>
      <c r="EF241" s="9">
        <v>58.69538</v>
      </c>
      <c r="EG241" s="9">
        <v>-814.48500000000001</v>
      </c>
      <c r="EH241" s="9">
        <v>-409.66399999999999</v>
      </c>
      <c r="EI241" s="9">
        <v>3.0590929999999998</v>
      </c>
      <c r="EJ241" s="9">
        <v>2.82436</v>
      </c>
      <c r="EK241" s="9">
        <v>-410.70400000000001</v>
      </c>
      <c r="EL241" s="9">
        <v>-164.059</v>
      </c>
      <c r="EM241" s="9">
        <v>290.73079999999999</v>
      </c>
      <c r="EN241" s="9">
        <v>4348.5917249623999</v>
      </c>
      <c r="EO241" s="9">
        <v>1516.4703788403001</v>
      </c>
      <c r="EP241" s="9">
        <v>1658.2736399886001</v>
      </c>
      <c r="EQ241" s="9">
        <v>7.5022895177000004</v>
      </c>
      <c r="ER241" s="9">
        <v>49.449591017099998</v>
      </c>
      <c r="ES241" s="9">
        <v>1116.8958255988</v>
      </c>
      <c r="ET241" s="9">
        <v>0</v>
      </c>
      <c r="EU241">
        <v>2727.3418181818001</v>
      </c>
      <c r="EV241" s="9">
        <v>30702.29</v>
      </c>
      <c r="EW241" s="9">
        <v>7806.2</v>
      </c>
      <c r="EX241" s="9">
        <v>1984.69</v>
      </c>
      <c r="EY241" s="9">
        <v>2137.9499999999998</v>
      </c>
      <c r="EZ241" s="9">
        <v>8407.24</v>
      </c>
      <c r="FA241" s="9">
        <v>10366.209999999999</v>
      </c>
      <c r="FB241" s="9">
        <v>70.464642857100003</v>
      </c>
      <c r="FC241" s="9">
        <v>65.854545454499998</v>
      </c>
      <c r="FD241" s="9">
        <v>6077.0625</v>
      </c>
      <c r="FE241" s="9">
        <v>90.977272727300004</v>
      </c>
      <c r="FF241" s="9">
        <v>1476.0444444443999</v>
      </c>
      <c r="FG241" s="9">
        <v>17932248.800000001</v>
      </c>
      <c r="FH241" s="9">
        <v>815754.2</v>
      </c>
      <c r="FI241" s="9">
        <v>1818954.5</v>
      </c>
      <c r="FJ241" s="9">
        <v>9266387.6999999993</v>
      </c>
      <c r="FK241" s="9">
        <v>184782.4</v>
      </c>
      <c r="FL241" s="9">
        <v>328223.7</v>
      </c>
      <c r="FM241" s="9">
        <v>1657101.37</v>
      </c>
      <c r="FN241" s="9">
        <v>30545.86</v>
      </c>
      <c r="FO241" s="9">
        <v>99131.8</v>
      </c>
      <c r="FP241" s="9">
        <v>3888466.2</v>
      </c>
      <c r="FQ241" s="9">
        <v>270826.2</v>
      </c>
      <c r="FR241" s="9">
        <v>293290.90000000002</v>
      </c>
      <c r="FS241" s="9">
        <v>585050.6</v>
      </c>
      <c r="FT241" s="9">
        <v>8661415.0700000003</v>
      </c>
      <c r="FU241" s="9">
        <v>630971.83000000007</v>
      </c>
      <c r="FV241" s="9">
        <v>1486284.81</v>
      </c>
      <c r="FW241" s="9">
        <v>2380322.5699999998</v>
      </c>
      <c r="FX241" s="9">
        <v>97832.3</v>
      </c>
      <c r="FY241" s="9">
        <v>474939.61</v>
      </c>
      <c r="FZ241" s="9">
        <v>391027.72</v>
      </c>
      <c r="GA241" s="9">
        <v>18833458.440000001</v>
      </c>
      <c r="GB241" s="9">
        <v>5442254.2800000003</v>
      </c>
      <c r="GC241" s="9">
        <v>13391204.16</v>
      </c>
      <c r="GD241" s="9">
        <v>13250479.550000001</v>
      </c>
      <c r="GE241" s="9">
        <v>1182318.02</v>
      </c>
      <c r="GF241" s="9">
        <v>12068161.529999999</v>
      </c>
      <c r="GG241" s="9">
        <v>5582978.8900000025</v>
      </c>
      <c r="GH241" s="9">
        <v>4259936.26</v>
      </c>
      <c r="GI241" s="9">
        <v>1323042.6299999999</v>
      </c>
      <c r="GJ241" s="9">
        <v>4870963.5299999993</v>
      </c>
      <c r="GK241" s="9">
        <v>35859341.420000002</v>
      </c>
      <c r="GL241" s="9">
        <v>3030638.59</v>
      </c>
      <c r="GM241">
        <v>2734.33</v>
      </c>
      <c r="GO241" s="6"/>
      <c r="GP241" s="6"/>
      <c r="GQ241" s="6"/>
    </row>
    <row r="242" spans="1:199" x14ac:dyDescent="0.2">
      <c r="A242" s="8">
        <v>2020</v>
      </c>
      <c r="B242" s="8" t="s">
        <v>519</v>
      </c>
      <c r="C242" s="8" t="s">
        <v>520</v>
      </c>
      <c r="D242" s="9"/>
      <c r="E242" s="9"/>
      <c r="F242" s="9"/>
      <c r="G242" s="9"/>
      <c r="H242" s="9"/>
      <c r="I242" s="9"/>
      <c r="J242" s="9"/>
      <c r="K242" s="9"/>
      <c r="L242" s="9"/>
      <c r="M242" s="9"/>
      <c r="N242" s="9"/>
      <c r="O242" s="9"/>
      <c r="P242" s="9"/>
      <c r="Q242" s="9"/>
      <c r="R242" s="9"/>
      <c r="S242" s="9"/>
      <c r="T242" s="9"/>
      <c r="U242" s="9"/>
      <c r="V242" s="9"/>
      <c r="W242" s="9"/>
      <c r="X242" s="9"/>
      <c r="Y242" s="9"/>
      <c r="Z242" s="9"/>
      <c r="AA242" s="9"/>
      <c r="AB242" s="9"/>
      <c r="AC242" s="9"/>
      <c r="AD242" s="9"/>
      <c r="AE242" s="9"/>
      <c r="AF242" s="9"/>
      <c r="AG242" s="9"/>
      <c r="AH242" s="9"/>
      <c r="AI242" s="9"/>
      <c r="AJ242" s="9"/>
      <c r="AK242" s="9"/>
      <c r="AL242" s="9"/>
      <c r="AM242" s="9"/>
      <c r="AN242" s="9"/>
      <c r="AO242" s="9"/>
      <c r="AP242" s="9"/>
      <c r="AQ242" s="9"/>
      <c r="AR242" s="9"/>
      <c r="AS242" s="9"/>
      <c r="AT242" s="9"/>
      <c r="AU242" s="9"/>
      <c r="AV242" s="9"/>
      <c r="AW242" s="9"/>
      <c r="AX242" s="9"/>
      <c r="AY242" s="9"/>
      <c r="AZ242" s="9"/>
      <c r="BA242" s="9"/>
      <c r="BB242" s="9"/>
      <c r="BC242" s="9"/>
      <c r="BD242" s="9"/>
      <c r="BE242" s="9"/>
      <c r="BF242" s="9"/>
      <c r="BG242" s="9"/>
      <c r="BH242" s="9"/>
      <c r="BI242" s="9"/>
      <c r="BJ242" s="9"/>
      <c r="BK242" s="9"/>
      <c r="BL242" s="9"/>
      <c r="BM242" s="9"/>
      <c r="BN242" s="9">
        <v>767683.7</v>
      </c>
      <c r="BO242" s="9">
        <v>656350.30000000005</v>
      </c>
      <c r="BP242" s="9">
        <v>114778.8</v>
      </c>
      <c r="BQ242" s="9">
        <v>54783</v>
      </c>
      <c r="BR242" s="9">
        <v>59997.1</v>
      </c>
      <c r="BS242" s="9">
        <v>144362.6</v>
      </c>
      <c r="BT242" s="9">
        <v>198799.9</v>
      </c>
      <c r="BU242" s="9">
        <v>73190.899999999994</v>
      </c>
      <c r="BV242" s="9">
        <v>52095.4</v>
      </c>
      <c r="BW242" s="9">
        <v>564009</v>
      </c>
      <c r="BX242" s="9">
        <v>-2932.6</v>
      </c>
      <c r="BY242" s="9">
        <v>82889.7</v>
      </c>
      <c r="BZ242" s="9">
        <v>192857</v>
      </c>
      <c r="CA242" s="9">
        <v>27611.200000000001</v>
      </c>
      <c r="CB242" s="9">
        <v>8046.4</v>
      </c>
      <c r="CC242" s="9">
        <v>252604.6</v>
      </c>
      <c r="CD242" s="9">
        <v>2333.1999999999998</v>
      </c>
      <c r="CE242" s="9">
        <v>80196.100000000006</v>
      </c>
      <c r="CF242" s="9">
        <v>3658543.1792463418</v>
      </c>
      <c r="CG242" s="9">
        <v>20538004.451797109</v>
      </c>
      <c r="CH242" s="9">
        <v>10.5947603068</v>
      </c>
      <c r="CI242" s="9">
        <v>3.5675347028000002</v>
      </c>
      <c r="CJ242" s="9">
        <v>16.9381437917</v>
      </c>
      <c r="CK242" s="9">
        <v>9.9130619267999993</v>
      </c>
      <c r="CL242" s="9">
        <v>11</v>
      </c>
      <c r="CM242" s="9">
        <v>123.15081444800001</v>
      </c>
      <c r="CN242" s="9">
        <v>32.277205843300003</v>
      </c>
      <c r="CO242" s="9">
        <v>5.1711724277000002</v>
      </c>
      <c r="CP242" s="9">
        <v>20.358231848599999</v>
      </c>
      <c r="CQ242" s="9">
        <v>12.414522202000001</v>
      </c>
      <c r="CR242" s="9">
        <v>5.8663663437000002</v>
      </c>
      <c r="CS242" s="9">
        <v>4.6905528518999997</v>
      </c>
      <c r="CT242" s="9">
        <v>16.9490538019</v>
      </c>
      <c r="CU242" s="9">
        <v>4.3087664228999998</v>
      </c>
      <c r="CV242" s="9">
        <v>3.9321727459</v>
      </c>
      <c r="CW242" s="9">
        <v>6.8192139509</v>
      </c>
      <c r="CX242" s="9">
        <v>3.6590583703999999</v>
      </c>
      <c r="CY242" s="9">
        <v>6.7044976390000004</v>
      </c>
      <c r="CZ242" s="9">
        <v>459</v>
      </c>
      <c r="DA242" s="9">
        <v>431</v>
      </c>
      <c r="DB242" s="9">
        <v>0</v>
      </c>
      <c r="DC242" s="9">
        <v>114</v>
      </c>
      <c r="DD242" s="9">
        <v>55</v>
      </c>
      <c r="DE242" s="9">
        <v>18</v>
      </c>
      <c r="DF242" s="9">
        <v>203</v>
      </c>
      <c r="DG242" s="9">
        <v>17</v>
      </c>
      <c r="DH242" s="9">
        <v>11</v>
      </c>
      <c r="DI242" s="9">
        <v>1</v>
      </c>
      <c r="DJ242" s="9">
        <v>1</v>
      </c>
      <c r="DK242" s="9">
        <v>7</v>
      </c>
      <c r="DL242" s="9">
        <v>1</v>
      </c>
      <c r="DM242" s="9">
        <v>16</v>
      </c>
      <c r="DN242" s="9">
        <v>0</v>
      </c>
      <c r="DO242" s="9">
        <v>473.29</v>
      </c>
      <c r="DP242" s="9">
        <v>120.92</v>
      </c>
      <c r="DQ242" s="9">
        <v>66.12</v>
      </c>
      <c r="DR242" s="9">
        <v>54.8</v>
      </c>
      <c r="DS242" s="9">
        <v>49.28</v>
      </c>
      <c r="DT242" s="9">
        <v>12.5</v>
      </c>
      <c r="DU242" s="9">
        <v>180.91</v>
      </c>
      <c r="DV242" s="9">
        <v>135.97999999999999</v>
      </c>
      <c r="DW242" s="9">
        <v>30.28</v>
      </c>
      <c r="DX242" s="9">
        <v>121.76</v>
      </c>
      <c r="DY242" s="9">
        <v>70.87</v>
      </c>
      <c r="DZ242" s="9">
        <v>32.07</v>
      </c>
      <c r="EA242" s="9">
        <v>-254</v>
      </c>
      <c r="EB242" s="9">
        <v>-99</v>
      </c>
      <c r="EC242" s="9">
        <v>-133</v>
      </c>
      <c r="ED242" s="9">
        <v>-39</v>
      </c>
      <c r="EE242" s="9">
        <v>17</v>
      </c>
      <c r="EF242" s="9">
        <v>8</v>
      </c>
      <c r="EG242" s="9">
        <v>-110</v>
      </c>
      <c r="EH242" s="9">
        <v>-91</v>
      </c>
      <c r="EI242" s="9">
        <v>-5</v>
      </c>
      <c r="EJ242" s="9">
        <v>-1</v>
      </c>
      <c r="EK242" s="9">
        <v>-13</v>
      </c>
      <c r="EL242" s="9">
        <v>46</v>
      </c>
      <c r="EM242" s="9">
        <v>-91</v>
      </c>
      <c r="EN242" s="9">
        <v>4361.5964301353997</v>
      </c>
      <c r="EO242" s="9">
        <v>515.78052315000002</v>
      </c>
      <c r="EP242" s="9">
        <v>2569.9934439895001</v>
      </c>
      <c r="EQ242" s="9">
        <v>7.4744210076000002</v>
      </c>
      <c r="ER242" s="9">
        <v>49.265902234899997</v>
      </c>
      <c r="ES242" s="9">
        <v>1219.0821397534</v>
      </c>
      <c r="ET242" s="9">
        <v>0</v>
      </c>
      <c r="EU242">
        <v>2744.3822727273</v>
      </c>
      <c r="EV242" s="9"/>
      <c r="EW242" s="9"/>
      <c r="EX242" s="9"/>
      <c r="EY242" s="9"/>
      <c r="EZ242" s="9"/>
      <c r="FA242" s="9"/>
      <c r="FB242" s="9">
        <v>72.106168831199994</v>
      </c>
      <c r="FC242" s="9">
        <v>63.602173913000001</v>
      </c>
      <c r="FD242" s="9">
        <v>6031.2090909091003</v>
      </c>
      <c r="FE242" s="9">
        <v>95.217391304299994</v>
      </c>
      <c r="FF242" s="9">
        <v>1560.6727272727001</v>
      </c>
      <c r="FG242" s="9">
        <v>17918659.600000001</v>
      </c>
      <c r="FH242" s="9">
        <v>916927</v>
      </c>
      <c r="FI242" s="9">
        <v>1829235</v>
      </c>
      <c r="FJ242" s="9">
        <v>9283096.8000000007</v>
      </c>
      <c r="FK242" s="9">
        <v>234637.7</v>
      </c>
      <c r="FL242" s="9">
        <v>337697.9</v>
      </c>
      <c r="FM242" s="9">
        <v>1680606.68</v>
      </c>
      <c r="FN242" s="9">
        <v>43765.81</v>
      </c>
      <c r="FO242" s="9">
        <v>108516.76</v>
      </c>
      <c r="FP242" s="9">
        <v>3845295.7</v>
      </c>
      <c r="FQ242" s="9">
        <v>275369.09999999998</v>
      </c>
      <c r="FR242" s="9">
        <v>285872.7</v>
      </c>
      <c r="FS242" s="9">
        <v>573473.1</v>
      </c>
      <c r="FT242" s="9">
        <v>8631117.1400000006</v>
      </c>
      <c r="FU242" s="9">
        <v>682289.27</v>
      </c>
      <c r="FV242" s="9">
        <v>1487091.36</v>
      </c>
      <c r="FW242" s="9">
        <v>2299005.38</v>
      </c>
      <c r="FX242" s="9">
        <v>147512.70000000001</v>
      </c>
      <c r="FY242" s="9">
        <v>466932.25</v>
      </c>
      <c r="FZ242" s="9">
        <v>392459.88</v>
      </c>
      <c r="GA242" s="9">
        <v>18760816.289999999</v>
      </c>
      <c r="GB242" s="9">
        <v>5396320.9100000001</v>
      </c>
      <c r="GC242" s="9">
        <v>13364495.380000001</v>
      </c>
      <c r="GD242" s="9">
        <v>13164327.35</v>
      </c>
      <c r="GE242" s="9">
        <v>1118647.73</v>
      </c>
      <c r="GF242" s="9">
        <v>12045679.619999999</v>
      </c>
      <c r="GG242" s="9">
        <v>5596488.9399999985</v>
      </c>
      <c r="GH242" s="9">
        <v>4277673.18</v>
      </c>
      <c r="GI242" s="9">
        <v>1318815.76</v>
      </c>
      <c r="GJ242" s="9">
        <v>4673402.12</v>
      </c>
      <c r="GK242" s="9">
        <v>35222065.450000003</v>
      </c>
      <c r="GL242" s="9">
        <v>3049587.25</v>
      </c>
      <c r="GM242">
        <v>2751.57</v>
      </c>
      <c r="GO242" s="6"/>
      <c r="GP242" s="6"/>
      <c r="GQ242" s="6"/>
    </row>
    <row r="243" spans="1:199" x14ac:dyDescent="0.2">
      <c r="A243" s="8">
        <v>2020</v>
      </c>
      <c r="B243" s="8" t="s">
        <v>519</v>
      </c>
      <c r="C243" s="8" t="s">
        <v>521</v>
      </c>
      <c r="D243" s="9"/>
      <c r="E243" s="9"/>
      <c r="F243" s="9"/>
      <c r="G243" s="9"/>
      <c r="H243" s="9"/>
      <c r="I243" s="9"/>
      <c r="J243" s="9"/>
      <c r="K243" s="9"/>
      <c r="L243" s="9"/>
      <c r="M243" s="9"/>
      <c r="N243" s="9"/>
      <c r="O243" s="9"/>
      <c r="P243" s="9"/>
      <c r="Q243" s="9"/>
      <c r="R243" s="9"/>
      <c r="S243" s="9"/>
      <c r="T243" s="9"/>
      <c r="U243" s="9"/>
      <c r="V243" s="9"/>
      <c r="W243" s="9"/>
      <c r="X243" s="9"/>
      <c r="Y243" s="9"/>
      <c r="Z243" s="9"/>
      <c r="AA243" s="9"/>
      <c r="AB243" s="9"/>
      <c r="AC243" s="9"/>
      <c r="AD243" s="9"/>
      <c r="AE243" s="9"/>
      <c r="AF243" s="9"/>
      <c r="AG243" s="9"/>
      <c r="AH243" s="9"/>
      <c r="AI243" s="9"/>
      <c r="AJ243" s="9"/>
      <c r="AK243" s="9"/>
      <c r="AL243" s="9"/>
      <c r="AM243" s="9"/>
      <c r="AN243" s="9"/>
      <c r="AO243" s="9"/>
      <c r="AP243" s="9"/>
      <c r="AQ243" s="9"/>
      <c r="AR243" s="9"/>
      <c r="AS243" s="9"/>
      <c r="AT243" s="9"/>
      <c r="AU243" s="9"/>
      <c r="AV243" s="9"/>
      <c r="AW243" s="9"/>
      <c r="AX243" s="9"/>
      <c r="AY243" s="9"/>
      <c r="AZ243" s="9"/>
      <c r="BA243" s="9"/>
      <c r="BB243" s="9"/>
      <c r="BC243" s="9"/>
      <c r="BD243" s="9"/>
      <c r="BE243" s="9"/>
      <c r="BF243" s="9"/>
      <c r="BG243" s="9"/>
      <c r="BH243" s="9"/>
      <c r="BI243" s="9"/>
      <c r="BJ243" s="9"/>
      <c r="BK243" s="9"/>
      <c r="BL243" s="9"/>
      <c r="BM243" s="9"/>
      <c r="BN243" s="9">
        <v>696691.1</v>
      </c>
      <c r="BO243" s="9">
        <v>598894.69999999995</v>
      </c>
      <c r="BP243" s="9">
        <v>289783.8</v>
      </c>
      <c r="BQ243" s="9">
        <v>215494.39999999999</v>
      </c>
      <c r="BR243" s="9">
        <v>74289.7</v>
      </c>
      <c r="BS243" s="9">
        <v>154991.29999999999</v>
      </c>
      <c r="BT243" s="9">
        <v>3696</v>
      </c>
      <c r="BU243" s="9">
        <v>57803.5</v>
      </c>
      <c r="BV243" s="9">
        <v>61947.6</v>
      </c>
      <c r="BW243" s="9">
        <v>761918.6</v>
      </c>
      <c r="BX243" s="9">
        <v>-5336.5</v>
      </c>
      <c r="BY243" s="9">
        <v>118824</v>
      </c>
      <c r="BZ243" s="9">
        <v>202355.8</v>
      </c>
      <c r="CA243" s="9">
        <v>58045.5</v>
      </c>
      <c r="CB243" s="9">
        <v>47483.5</v>
      </c>
      <c r="CC243" s="9">
        <v>11695.1</v>
      </c>
      <c r="CD243" s="9">
        <v>335209.90000000002</v>
      </c>
      <c r="CE243" s="9">
        <v>91394.9</v>
      </c>
      <c r="CF243" s="9">
        <v>3480068.9895982719</v>
      </c>
      <c r="CG243" s="9">
        <v>20601204.231945381</v>
      </c>
      <c r="CH243" s="9">
        <v>9.8109801671000003</v>
      </c>
      <c r="CI243" s="9">
        <v>3.7648411086000002</v>
      </c>
      <c r="CJ243" s="9">
        <v>16.7791213173</v>
      </c>
      <c r="CK243" s="9">
        <v>10.320735838099999</v>
      </c>
      <c r="CL243" s="9">
        <v>11</v>
      </c>
      <c r="CM243" s="9">
        <v>124.6208450813</v>
      </c>
      <c r="CN243" s="9">
        <v>33.389881768099997</v>
      </c>
      <c r="CO243" s="9">
        <v>5.2298134568999997</v>
      </c>
      <c r="CP243" s="9">
        <v>20.427599576199999</v>
      </c>
      <c r="CQ243" s="9">
        <v>12.434379767699999</v>
      </c>
      <c r="CR243" s="9">
        <v>5.8914259972999998</v>
      </c>
      <c r="CS243" s="9">
        <v>4.7091265192999998</v>
      </c>
      <c r="CT243" s="9">
        <v>17.0462489469</v>
      </c>
      <c r="CU243" s="9">
        <v>4.3087664228999998</v>
      </c>
      <c r="CV243" s="9">
        <v>3.9333284943</v>
      </c>
      <c r="CW243" s="9">
        <v>6.8192139509</v>
      </c>
      <c r="CX243" s="9">
        <v>3.7022586993000002</v>
      </c>
      <c r="CY243" s="9">
        <v>6.7288014814999997</v>
      </c>
      <c r="CZ243" s="9">
        <v>312</v>
      </c>
      <c r="DA243" s="9">
        <v>288</v>
      </c>
      <c r="DB243" s="9">
        <v>80</v>
      </c>
      <c r="DC243" s="9">
        <v>105</v>
      </c>
      <c r="DD243" s="9">
        <v>43</v>
      </c>
      <c r="DE243" s="9">
        <v>18</v>
      </c>
      <c r="DF243" s="9">
        <v>26</v>
      </c>
      <c r="DG243" s="9">
        <v>0</v>
      </c>
      <c r="DH243" s="9">
        <v>10</v>
      </c>
      <c r="DI243" s="9">
        <v>1</v>
      </c>
      <c r="DJ243" s="9">
        <v>1</v>
      </c>
      <c r="DK243" s="9">
        <v>6</v>
      </c>
      <c r="DL243" s="9">
        <v>1</v>
      </c>
      <c r="DM243" s="9">
        <v>14</v>
      </c>
      <c r="DN243" s="9">
        <v>0</v>
      </c>
      <c r="DO243" s="9">
        <v>276.73</v>
      </c>
      <c r="DP243" s="9">
        <v>86.78</v>
      </c>
      <c r="DQ243" s="9">
        <v>49.92</v>
      </c>
      <c r="DR243" s="9">
        <v>36.86</v>
      </c>
      <c r="DS243" s="9">
        <v>39.96</v>
      </c>
      <c r="DT243" s="9">
        <v>12.82</v>
      </c>
      <c r="DU243" s="9">
        <v>88.94</v>
      </c>
      <c r="DV243" s="9">
        <v>65.98</v>
      </c>
      <c r="DW243" s="9">
        <v>15.77</v>
      </c>
      <c r="DX243" s="9">
        <v>60.77</v>
      </c>
      <c r="DY243" s="9">
        <v>33.18</v>
      </c>
      <c r="DZ243" s="9">
        <v>13.73</v>
      </c>
      <c r="EA243" s="9">
        <v>-146</v>
      </c>
      <c r="EB243" s="9">
        <v>-13</v>
      </c>
      <c r="EC243" s="9">
        <v>-135</v>
      </c>
      <c r="ED243" s="9">
        <v>-46</v>
      </c>
      <c r="EE243" s="9">
        <v>47</v>
      </c>
      <c r="EF243" s="9">
        <v>8</v>
      </c>
      <c r="EG243" s="9">
        <v>-173</v>
      </c>
      <c r="EH243" s="9">
        <v>-77</v>
      </c>
      <c r="EI243" s="9">
        <v>-18</v>
      </c>
      <c r="EJ243" s="9">
        <v>1</v>
      </c>
      <c r="EK243" s="9">
        <v>-78</v>
      </c>
      <c r="EL243" s="9">
        <v>-27</v>
      </c>
      <c r="EM243" s="9">
        <v>8</v>
      </c>
      <c r="EN243" s="9">
        <v>4371.3101573657004</v>
      </c>
      <c r="EO243" s="9">
        <v>517.82574520000003</v>
      </c>
      <c r="EP243" s="9">
        <v>2574.6856695432998</v>
      </c>
      <c r="EQ243" s="9">
        <v>7.4452560548999998</v>
      </c>
      <c r="ER243" s="9">
        <v>47.939626139200001</v>
      </c>
      <c r="ES243" s="9">
        <v>1223.4138604284001</v>
      </c>
      <c r="ET243" s="9">
        <v>0</v>
      </c>
      <c r="EU243">
        <v>2756.5188235293999</v>
      </c>
      <c r="EV243" s="9"/>
      <c r="EW243" s="9"/>
      <c r="EX243" s="9"/>
      <c r="EY243" s="9"/>
      <c r="EZ243" s="9"/>
      <c r="FA243" s="9"/>
      <c r="FB243" s="9">
        <v>71.050178571399996</v>
      </c>
      <c r="FC243" s="9">
        <v>55.003500000000003</v>
      </c>
      <c r="FD243" s="9">
        <v>5687.75</v>
      </c>
      <c r="FE243" s="9">
        <v>87.625</v>
      </c>
      <c r="FF243" s="9">
        <v>1597.1025</v>
      </c>
      <c r="FG243" s="9">
        <v>17189443.899999999</v>
      </c>
      <c r="FH243" s="9">
        <v>1022988.8</v>
      </c>
      <c r="FI243" s="9">
        <v>1835829.5</v>
      </c>
      <c r="FJ243" s="9">
        <v>8630824.9000000004</v>
      </c>
      <c r="FK243" s="9">
        <v>281649.90000000002</v>
      </c>
      <c r="FL243" s="9">
        <v>356226.7</v>
      </c>
      <c r="FM243" s="9">
        <v>1685063.01</v>
      </c>
      <c r="FN243" s="9">
        <v>56821.440000000002</v>
      </c>
      <c r="FO243" s="9">
        <v>114985.57</v>
      </c>
      <c r="FP243" s="9">
        <v>3175656.8</v>
      </c>
      <c r="FQ243" s="9">
        <v>256430.4</v>
      </c>
      <c r="FR243" s="9">
        <v>280563.59999999998</v>
      </c>
      <c r="FS243" s="9">
        <v>547548.9</v>
      </c>
      <c r="FT243" s="9">
        <v>8554173.2399999984</v>
      </c>
      <c r="FU243" s="9">
        <v>741338.85</v>
      </c>
      <c r="FV243" s="9">
        <v>1475157.05</v>
      </c>
      <c r="FW243" s="9">
        <v>2259464.67</v>
      </c>
      <c r="FX243" s="9">
        <v>171768.35</v>
      </c>
      <c r="FY243" s="9">
        <v>476919.53</v>
      </c>
      <c r="FZ243" s="9">
        <v>393323.19</v>
      </c>
      <c r="GA243" s="9">
        <v>18666337.719999999</v>
      </c>
      <c r="GB243" s="9">
        <v>5063014.5199999996</v>
      </c>
      <c r="GC243" s="9">
        <v>13603323.199999999</v>
      </c>
      <c r="GD243" s="9">
        <v>13354959.390000001</v>
      </c>
      <c r="GE243" s="9">
        <v>1039738</v>
      </c>
      <c r="GF243" s="9">
        <v>12315221.390000001</v>
      </c>
      <c r="GG243" s="9">
        <v>5311378.330000001</v>
      </c>
      <c r="GH243" s="9">
        <v>4023276.52</v>
      </c>
      <c r="GI243" s="9">
        <v>1288101.81</v>
      </c>
      <c r="GJ243" s="9">
        <v>4853544.13</v>
      </c>
      <c r="GK243" s="9">
        <v>35146790.539999999</v>
      </c>
      <c r="GL243" s="9">
        <v>3044639.93</v>
      </c>
      <c r="GM243">
        <v>2762.71</v>
      </c>
      <c r="GO243" s="6"/>
      <c r="GP243" s="6"/>
      <c r="GQ243" s="6"/>
    </row>
    <row r="244" spans="1:199" x14ac:dyDescent="0.2">
      <c r="A244" s="8">
        <v>2020</v>
      </c>
      <c r="B244" s="8" t="s">
        <v>519</v>
      </c>
      <c r="C244" s="8" t="s">
        <v>522</v>
      </c>
      <c r="D244" s="9">
        <v>7525526.8799999999</v>
      </c>
      <c r="E244" s="9">
        <v>272038.52399999998</v>
      </c>
      <c r="F244" s="9">
        <v>1730584.8810000001</v>
      </c>
      <c r="G244" s="9">
        <v>781234.47400000005</v>
      </c>
      <c r="H244" s="9">
        <v>231253.609</v>
      </c>
      <c r="I244" s="9">
        <v>85621.712</v>
      </c>
      <c r="J244" s="9">
        <v>601260.09400000004</v>
      </c>
      <c r="K244" s="9">
        <v>330296.62599999999</v>
      </c>
      <c r="L244" s="9">
        <v>141675.52799999999</v>
      </c>
      <c r="M244" s="9">
        <v>2537029.0049999999</v>
      </c>
      <c r="N244" s="9">
        <v>814532.42700000003</v>
      </c>
      <c r="O244" s="9">
        <v>4720726.7089999998</v>
      </c>
      <c r="P244" s="9">
        <v>228373.13200000001</v>
      </c>
      <c r="Q244" s="9">
        <v>641400.82200000004</v>
      </c>
      <c r="R244" s="9">
        <v>321443.55699999997</v>
      </c>
      <c r="S244" s="9">
        <v>208238.674</v>
      </c>
      <c r="T244" s="9">
        <v>70577.106</v>
      </c>
      <c r="U244" s="9">
        <v>502436.71799999999</v>
      </c>
      <c r="V244" s="9">
        <v>184321.75200000001</v>
      </c>
      <c r="W244" s="9">
        <v>135951.77299999999</v>
      </c>
      <c r="X244" s="9">
        <v>1836058.747</v>
      </c>
      <c r="Y244" s="9">
        <v>591924.42799999996</v>
      </c>
      <c r="Z244" s="9">
        <v>7181928.3289999999</v>
      </c>
      <c r="AA244" s="9">
        <v>5205843.4850000003</v>
      </c>
      <c r="AB244" s="9">
        <v>1126111.5290000001</v>
      </c>
      <c r="AC244" s="9">
        <v>2165001.5120000001</v>
      </c>
      <c r="AD244" s="9">
        <v>216039.29569999999</v>
      </c>
      <c r="AE244" s="9">
        <v>2872568.8859999999</v>
      </c>
      <c r="AF244" s="9">
        <v>4403636.3779999996</v>
      </c>
      <c r="AG244" s="9">
        <v>5081565.7</v>
      </c>
      <c r="AH244" s="9">
        <v>4637542.7</v>
      </c>
      <c r="AI244" s="9">
        <v>1061495.7</v>
      </c>
      <c r="AJ244" s="9">
        <v>1367896.5</v>
      </c>
      <c r="AK244" s="9">
        <v>105936.7</v>
      </c>
      <c r="AL244" s="9">
        <v>1716918.8</v>
      </c>
      <c r="AM244" s="9">
        <v>3808224.7</v>
      </c>
      <c r="AN244" s="9">
        <v>1170455</v>
      </c>
      <c r="AO244" s="9">
        <v>613969</v>
      </c>
      <c r="AP244" s="9">
        <v>556486</v>
      </c>
      <c r="AQ244" s="9">
        <v>82667</v>
      </c>
      <c r="AR244" s="9">
        <v>50496</v>
      </c>
      <c r="AS244" s="9">
        <v>32171</v>
      </c>
      <c r="AT244" s="9">
        <v>871987</v>
      </c>
      <c r="AU244" s="9">
        <v>325065</v>
      </c>
      <c r="AV244" s="9">
        <v>546922</v>
      </c>
      <c r="AW244" s="9">
        <v>1259.7</v>
      </c>
      <c r="AX244" s="9">
        <v>956.3</v>
      </c>
      <c r="AY244" s="9">
        <v>3163</v>
      </c>
      <c r="AZ244" s="9">
        <v>1246.5999999999999</v>
      </c>
      <c r="BA244" s="9">
        <v>1774.3</v>
      </c>
      <c r="BB244" s="9">
        <v>986.7</v>
      </c>
      <c r="BC244" s="9">
        <v>1316.4</v>
      </c>
      <c r="BD244" s="9">
        <v>1008.5</v>
      </c>
      <c r="BE244" s="9">
        <v>1222.8</v>
      </c>
      <c r="BF244" s="9">
        <v>765.1</v>
      </c>
      <c r="BG244" s="9">
        <v>1182.2</v>
      </c>
      <c r="BH244" s="9">
        <v>1503.3</v>
      </c>
      <c r="BI244" s="9">
        <v>1374.2</v>
      </c>
      <c r="BJ244" s="9">
        <v>1020.4</v>
      </c>
      <c r="BK244" s="9">
        <v>1069.7</v>
      </c>
      <c r="BL244" s="9">
        <v>847.9</v>
      </c>
      <c r="BM244" s="9">
        <v>1010.3</v>
      </c>
      <c r="BN244" s="9">
        <v>760190.3</v>
      </c>
      <c r="BO244" s="9">
        <v>657316.6</v>
      </c>
      <c r="BP244" s="9">
        <v>142135</v>
      </c>
      <c r="BQ244" s="9">
        <v>61468.4</v>
      </c>
      <c r="BR244" s="9">
        <v>80965.7</v>
      </c>
      <c r="BS244" s="9">
        <v>160099.4</v>
      </c>
      <c r="BT244" s="9">
        <v>190266.5</v>
      </c>
      <c r="BU244" s="9">
        <v>48521.5</v>
      </c>
      <c r="BV244" s="9">
        <v>47203</v>
      </c>
      <c r="BW244" s="9">
        <v>806663</v>
      </c>
      <c r="BX244" s="9">
        <v>-15473.2</v>
      </c>
      <c r="BY244" s="9">
        <v>141921.79999999999</v>
      </c>
      <c r="BZ244" s="9">
        <v>225685</v>
      </c>
      <c r="CA244" s="9">
        <v>99655.3</v>
      </c>
      <c r="CB244" s="9">
        <v>32955.800000000003</v>
      </c>
      <c r="CC244" s="9">
        <v>15209.6</v>
      </c>
      <c r="CD244" s="9">
        <v>306445.2</v>
      </c>
      <c r="CE244" s="9">
        <v>69358.899999999994</v>
      </c>
      <c r="CF244" s="9">
        <v>3465216.0805859761</v>
      </c>
      <c r="CG244" s="9">
        <v>20450761.237443391</v>
      </c>
      <c r="CH244" s="9">
        <v>11.1298637065</v>
      </c>
      <c r="CI244" s="9">
        <v>5.4092254525000003</v>
      </c>
      <c r="CJ244" s="9">
        <v>16.556159902800001</v>
      </c>
      <c r="CK244" s="9">
        <v>10.4921940309</v>
      </c>
      <c r="CL244" s="9">
        <v>10</v>
      </c>
      <c r="CM244" s="9">
        <v>125.5465137753</v>
      </c>
      <c r="CN244" s="9">
        <v>34.069776326400003</v>
      </c>
      <c r="CO244" s="9">
        <v>5.2868520038</v>
      </c>
      <c r="CP244" s="9">
        <v>20.506568846099999</v>
      </c>
      <c r="CQ244" s="9">
        <v>12.4327435587</v>
      </c>
      <c r="CR244" s="9">
        <v>5.9110909965999996</v>
      </c>
      <c r="CS244" s="9">
        <v>4.7266409061000001</v>
      </c>
      <c r="CT244" s="9">
        <v>17.0550932481</v>
      </c>
      <c r="CU244" s="9">
        <v>4.3087664228999998</v>
      </c>
      <c r="CV244" s="9">
        <v>3.9442272870999999</v>
      </c>
      <c r="CW244" s="9">
        <v>6.8192139509</v>
      </c>
      <c r="CX244" s="9">
        <v>3.7326089658999999</v>
      </c>
      <c r="CY244" s="9">
        <v>6.7529312627999998</v>
      </c>
      <c r="CZ244" s="9">
        <v>265</v>
      </c>
      <c r="DA244" s="9">
        <v>246</v>
      </c>
      <c r="DB244" s="9">
        <v>0</v>
      </c>
      <c r="DC244" s="9">
        <v>132</v>
      </c>
      <c r="DD244" s="9">
        <v>42</v>
      </c>
      <c r="DE244" s="9">
        <v>13</v>
      </c>
      <c r="DF244" s="9">
        <v>24</v>
      </c>
      <c r="DG244" s="9">
        <v>1</v>
      </c>
      <c r="DH244" s="9">
        <v>8</v>
      </c>
      <c r="DI244" s="9">
        <v>0</v>
      </c>
      <c r="DJ244" s="9">
        <v>1</v>
      </c>
      <c r="DK244" s="9">
        <v>4</v>
      </c>
      <c r="DL244" s="9">
        <v>2</v>
      </c>
      <c r="DM244" s="9">
        <v>10</v>
      </c>
      <c r="DN244" s="9">
        <v>0</v>
      </c>
      <c r="DO244" s="9">
        <v>411.54</v>
      </c>
      <c r="DP244" s="9">
        <v>109.5</v>
      </c>
      <c r="DQ244" s="9">
        <v>58.71</v>
      </c>
      <c r="DR244" s="9">
        <v>50.8</v>
      </c>
      <c r="DS244" s="9">
        <v>54.18</v>
      </c>
      <c r="DT244" s="9">
        <v>12.41</v>
      </c>
      <c r="DU244" s="9">
        <v>191.05</v>
      </c>
      <c r="DV244" s="9">
        <v>121.26</v>
      </c>
      <c r="DW244" s="9">
        <v>51.06</v>
      </c>
      <c r="DX244" s="9">
        <v>56.08</v>
      </c>
      <c r="DY244" s="9">
        <v>21.21</v>
      </c>
      <c r="DZ244" s="9">
        <v>17.61</v>
      </c>
      <c r="EA244" s="9">
        <v>-323</v>
      </c>
      <c r="EB244" s="9">
        <v>-185</v>
      </c>
      <c r="EC244" s="9">
        <v>-105</v>
      </c>
      <c r="ED244" s="9">
        <v>-44</v>
      </c>
      <c r="EE244" s="9">
        <v>12</v>
      </c>
      <c r="EF244" s="9">
        <v>9</v>
      </c>
      <c r="EG244" s="9">
        <v>-23</v>
      </c>
      <c r="EH244" s="9">
        <v>-201</v>
      </c>
      <c r="EI244" s="9">
        <v>-18</v>
      </c>
      <c r="EJ244" s="9">
        <v>0</v>
      </c>
      <c r="EK244" s="9">
        <v>196</v>
      </c>
      <c r="EL244" s="9">
        <v>24</v>
      </c>
      <c r="EM244" s="9">
        <v>-267</v>
      </c>
      <c r="EN244" s="9">
        <v>4094.1923087120999</v>
      </c>
      <c r="EO244" s="9">
        <v>520.56185555000002</v>
      </c>
      <c r="EP244" s="9">
        <v>2298.7229447482</v>
      </c>
      <c r="EQ244" s="9">
        <v>7.4236329770999996</v>
      </c>
      <c r="ER244" s="9">
        <v>47.800396237800001</v>
      </c>
      <c r="ES244" s="9">
        <v>1219.683479199</v>
      </c>
      <c r="ET244" s="9">
        <v>0</v>
      </c>
      <c r="EU244">
        <v>2769.0313636363999</v>
      </c>
      <c r="EV244" s="9">
        <v>30517.37</v>
      </c>
      <c r="EW244" s="9">
        <v>7301.73</v>
      </c>
      <c r="EX244" s="9">
        <v>1973.46</v>
      </c>
      <c r="EY244" s="9">
        <v>2212.4699999999998</v>
      </c>
      <c r="EZ244" s="9">
        <v>8371.4500000000007</v>
      </c>
      <c r="FA244" s="9">
        <v>10658.26</v>
      </c>
      <c r="FB244" s="9">
        <v>70.204870129900002</v>
      </c>
      <c r="FC244" s="9">
        <v>32.981818181800001</v>
      </c>
      <c r="FD244" s="9">
        <v>5182.6318181817996</v>
      </c>
      <c r="FE244" s="9">
        <v>88.659090909100001</v>
      </c>
      <c r="FF244" s="9">
        <v>1591.9272727273001</v>
      </c>
      <c r="FG244" s="9">
        <v>16988560.600000001</v>
      </c>
      <c r="FH244" s="9">
        <v>1142993.1000000001</v>
      </c>
      <c r="FI244" s="9">
        <v>1826770</v>
      </c>
      <c r="FJ244" s="9">
        <v>8477332.6999999993</v>
      </c>
      <c r="FK244" s="9">
        <v>212479.5</v>
      </c>
      <c r="FL244" s="9">
        <v>365394.8</v>
      </c>
      <c r="FM244" s="9">
        <v>1702046.02</v>
      </c>
      <c r="FN244" s="9">
        <v>93154.77</v>
      </c>
      <c r="FO244" s="9">
        <v>126990.36</v>
      </c>
      <c r="FP244" s="9">
        <v>3155981.2</v>
      </c>
      <c r="FQ244" s="9">
        <v>261911.8</v>
      </c>
      <c r="FR244" s="9">
        <v>275035.2</v>
      </c>
      <c r="FS244" s="9">
        <v>556197.5</v>
      </c>
      <c r="FT244" s="9">
        <v>8506782.2271110006</v>
      </c>
      <c r="FU244" s="9">
        <v>930513.52073300001</v>
      </c>
      <c r="FV244" s="9">
        <v>1456929.498282</v>
      </c>
      <c r="FW244" s="9">
        <v>2260153.04</v>
      </c>
      <c r="FX244" s="9">
        <v>211454.44</v>
      </c>
      <c r="FY244" s="9">
        <v>481300.75</v>
      </c>
      <c r="FZ244" s="9">
        <v>394338.73269999999</v>
      </c>
      <c r="GA244" s="9">
        <v>18625892.628955811</v>
      </c>
      <c r="GB244" s="9">
        <v>5167401.4532199996</v>
      </c>
      <c r="GC244" s="9">
        <v>13458491.175735811</v>
      </c>
      <c r="GD244" s="9">
        <v>13371008.3069</v>
      </c>
      <c r="GE244" s="9">
        <v>1029690.0087</v>
      </c>
      <c r="GF244" s="9">
        <v>12341318.2982</v>
      </c>
      <c r="GG244" s="9">
        <v>5254884.3220558101</v>
      </c>
      <c r="GH244" s="9">
        <v>4137711.444519999</v>
      </c>
      <c r="GI244" s="9">
        <v>1117172.87753581</v>
      </c>
      <c r="GJ244" s="9">
        <v>4838778.1796899997</v>
      </c>
      <c r="GK244" s="9">
        <v>34970594.729999997</v>
      </c>
      <c r="GL244" s="9">
        <v>2958075.21</v>
      </c>
      <c r="GM244">
        <v>2777.74</v>
      </c>
      <c r="GO244" s="6"/>
      <c r="GP244" s="6"/>
      <c r="GQ244" s="6"/>
    </row>
    <row r="245" spans="1:199" x14ac:dyDescent="0.2">
      <c r="A245" s="8">
        <v>2020</v>
      </c>
      <c r="B245" s="8" t="s">
        <v>523</v>
      </c>
      <c r="C245" s="8" t="s">
        <v>524</v>
      </c>
      <c r="D245" s="9"/>
      <c r="E245" s="9"/>
      <c r="F245" s="9"/>
      <c r="G245" s="9"/>
      <c r="H245" s="9"/>
      <c r="I245" s="9"/>
      <c r="J245" s="9"/>
      <c r="K245" s="9"/>
      <c r="L245" s="9"/>
      <c r="M245" s="9"/>
      <c r="N245" s="9"/>
      <c r="O245" s="9"/>
      <c r="P245" s="9"/>
      <c r="Q245" s="9"/>
      <c r="R245" s="9"/>
      <c r="S245" s="9"/>
      <c r="T245" s="9"/>
      <c r="U245" s="9"/>
      <c r="V245" s="9"/>
      <c r="W245" s="9"/>
      <c r="X245" s="9"/>
      <c r="Y245" s="9"/>
      <c r="Z245" s="9"/>
      <c r="AA245" s="9"/>
      <c r="AB245" s="9"/>
      <c r="AC245" s="9"/>
      <c r="AD245" s="9"/>
      <c r="AE245" s="9"/>
      <c r="AF245" s="9"/>
      <c r="AG245" s="9"/>
      <c r="AH245" s="9"/>
      <c r="AI245" s="9"/>
      <c r="AJ245" s="9"/>
      <c r="AK245" s="9"/>
      <c r="AL245" s="9"/>
      <c r="AM245" s="9"/>
      <c r="AN245" s="9"/>
      <c r="AO245" s="9"/>
      <c r="AP245" s="9"/>
      <c r="AQ245" s="9"/>
      <c r="AR245" s="9"/>
      <c r="AS245" s="9"/>
      <c r="AT245" s="9"/>
      <c r="AU245" s="9"/>
      <c r="AV245" s="9"/>
      <c r="AW245" s="9"/>
      <c r="AX245" s="9"/>
      <c r="AY245" s="9"/>
      <c r="AZ245" s="9"/>
      <c r="BA245" s="9"/>
      <c r="BB245" s="9"/>
      <c r="BC245" s="9"/>
      <c r="BD245" s="9"/>
      <c r="BE245" s="9"/>
      <c r="BF245" s="9"/>
      <c r="BG245" s="9"/>
      <c r="BH245" s="9"/>
      <c r="BI245" s="9"/>
      <c r="BJ245" s="9"/>
      <c r="BK245" s="9"/>
      <c r="BL245" s="9"/>
      <c r="BM245" s="9"/>
      <c r="BN245" s="9">
        <v>642397.1</v>
      </c>
      <c r="BO245" s="9">
        <v>540629.30000000005</v>
      </c>
      <c r="BP245" s="9">
        <v>134655.4</v>
      </c>
      <c r="BQ245" s="9">
        <v>73414</v>
      </c>
      <c r="BR245" s="9">
        <v>67509.399999999994</v>
      </c>
      <c r="BS245" s="9">
        <v>106480.2</v>
      </c>
      <c r="BT245" s="9">
        <v>146999</v>
      </c>
      <c r="BU245" s="9">
        <v>33600.400000000001</v>
      </c>
      <c r="BV245" s="9">
        <v>62326</v>
      </c>
      <c r="BW245" s="9">
        <v>809552.4</v>
      </c>
      <c r="BX245" s="9">
        <v>19958.2</v>
      </c>
      <c r="BY245" s="9">
        <v>184483.9</v>
      </c>
      <c r="BZ245" s="9">
        <v>216770.1</v>
      </c>
      <c r="CA245" s="9">
        <v>82908.5</v>
      </c>
      <c r="CB245" s="9">
        <v>28494.2</v>
      </c>
      <c r="CC245" s="9">
        <v>18219.7</v>
      </c>
      <c r="CD245" s="9">
        <v>276615.2</v>
      </c>
      <c r="CE245" s="9">
        <v>140941.5</v>
      </c>
      <c r="CF245" s="9">
        <v>3425454.1187359309</v>
      </c>
      <c r="CG245" s="9">
        <v>20230813.364251319</v>
      </c>
      <c r="CH245" s="9">
        <v>10.9374609317</v>
      </c>
      <c r="CI245" s="9">
        <v>5.3170103522999996</v>
      </c>
      <c r="CJ245" s="9">
        <v>16.588044763799999</v>
      </c>
      <c r="CK245" s="9">
        <v>10.5881252766</v>
      </c>
      <c r="CL245" s="9">
        <v>9</v>
      </c>
      <c r="CM245" s="9">
        <v>124.7567422011</v>
      </c>
      <c r="CN245" s="9">
        <v>34.180276760399998</v>
      </c>
      <c r="CO245" s="9">
        <v>5.3254317468999997</v>
      </c>
      <c r="CP245" s="9">
        <v>20.416541788699998</v>
      </c>
      <c r="CQ245" s="9">
        <v>12.400974682299999</v>
      </c>
      <c r="CR245" s="9">
        <v>5.8803656183999999</v>
      </c>
      <c r="CS245" s="9">
        <v>4.7365151892000004</v>
      </c>
      <c r="CT245" s="9">
        <v>16.282817144799999</v>
      </c>
      <c r="CU245" s="9">
        <v>4.3086640913999998</v>
      </c>
      <c r="CV245" s="9">
        <v>3.9342312330000002</v>
      </c>
      <c r="CW245" s="9">
        <v>6.8192139509</v>
      </c>
      <c r="CX245" s="9">
        <v>3.7355011331000001</v>
      </c>
      <c r="CY245" s="9">
        <v>6.7362088619999998</v>
      </c>
      <c r="CZ245" s="9">
        <v>338</v>
      </c>
      <c r="DA245" s="9">
        <v>320</v>
      </c>
      <c r="DB245" s="9">
        <v>0</v>
      </c>
      <c r="DC245" s="9">
        <v>135</v>
      </c>
      <c r="DD245" s="9">
        <v>48</v>
      </c>
      <c r="DE245" s="9">
        <v>14</v>
      </c>
      <c r="DF245" s="9">
        <v>82</v>
      </c>
      <c r="DG245" s="9">
        <v>3</v>
      </c>
      <c r="DH245" s="9">
        <v>6</v>
      </c>
      <c r="DI245" s="9">
        <v>0</v>
      </c>
      <c r="DJ245" s="9">
        <v>1</v>
      </c>
      <c r="DK245" s="9">
        <v>3</v>
      </c>
      <c r="DL245" s="9">
        <v>1</v>
      </c>
      <c r="DM245" s="9">
        <v>11</v>
      </c>
      <c r="DN245" s="9">
        <v>0</v>
      </c>
      <c r="DO245" s="9">
        <v>424.76</v>
      </c>
      <c r="DP245" s="9">
        <v>126.34</v>
      </c>
      <c r="DQ245" s="9">
        <v>71.709999999999994</v>
      </c>
      <c r="DR245" s="9">
        <v>54.63</v>
      </c>
      <c r="DS245" s="9">
        <v>55.15</v>
      </c>
      <c r="DT245" s="9">
        <v>10.59</v>
      </c>
      <c r="DU245" s="9">
        <v>195.41</v>
      </c>
      <c r="DV245" s="9">
        <v>119.38</v>
      </c>
      <c r="DW245" s="9">
        <v>61.68</v>
      </c>
      <c r="DX245" s="9">
        <v>47.54</v>
      </c>
      <c r="DY245" s="9">
        <v>23.44</v>
      </c>
      <c r="DZ245" s="9">
        <v>12.67</v>
      </c>
      <c r="EA245" s="9">
        <v>-270</v>
      </c>
      <c r="EB245" s="9">
        <v>-123</v>
      </c>
      <c r="EC245" s="9">
        <v>-94</v>
      </c>
      <c r="ED245" s="9">
        <v>-70</v>
      </c>
      <c r="EE245" s="9">
        <v>17</v>
      </c>
      <c r="EF245" s="9">
        <v>9</v>
      </c>
      <c r="EG245" s="9">
        <v>32</v>
      </c>
      <c r="EH245" s="9">
        <v>-138</v>
      </c>
      <c r="EI245" s="9">
        <v>55</v>
      </c>
      <c r="EJ245" s="9">
        <v>-1</v>
      </c>
      <c r="EK245" s="9">
        <v>116</v>
      </c>
      <c r="EL245" s="9">
        <v>-22</v>
      </c>
      <c r="EM245" s="9">
        <v>-315</v>
      </c>
      <c r="EN245" s="9">
        <v>3844.2210948928</v>
      </c>
      <c r="EO245" s="9">
        <v>562.61100943999998</v>
      </c>
      <c r="EP245" s="9">
        <v>1942.5866235777</v>
      </c>
      <c r="EQ245" s="9">
        <v>7.4247701528999999</v>
      </c>
      <c r="ER245" s="9">
        <v>47.829522216500003</v>
      </c>
      <c r="ES245" s="9">
        <v>1283.7691695057999</v>
      </c>
      <c r="ET245" s="9">
        <v>0</v>
      </c>
      <c r="EU245">
        <v>2783.1554545455001</v>
      </c>
      <c r="EV245" s="9"/>
      <c r="EW245" s="9"/>
      <c r="EX245" s="9"/>
      <c r="EY245" s="9"/>
      <c r="EZ245" s="9"/>
      <c r="FA245" s="9"/>
      <c r="FB245" s="9">
        <v>64.62</v>
      </c>
      <c r="FC245" s="9">
        <v>23.3372727273</v>
      </c>
      <c r="FD245" s="9">
        <v>5057.9719999999998</v>
      </c>
      <c r="FE245" s="9">
        <v>83.75</v>
      </c>
      <c r="FF245" s="9">
        <v>1682.93</v>
      </c>
      <c r="FG245" s="9">
        <v>16996074.899999999</v>
      </c>
      <c r="FH245" s="9">
        <v>1301030.8</v>
      </c>
      <c r="FI245" s="9">
        <v>1863722.3</v>
      </c>
      <c r="FJ245" s="9">
        <v>8568362.3000000007</v>
      </c>
      <c r="FK245" s="9">
        <v>245106</v>
      </c>
      <c r="FL245" s="9">
        <v>378965.7</v>
      </c>
      <c r="FM245" s="9">
        <v>1752376.86</v>
      </c>
      <c r="FN245" s="9">
        <v>124002.76</v>
      </c>
      <c r="FO245" s="9">
        <v>130515.66</v>
      </c>
      <c r="FP245" s="9">
        <v>3146926.4</v>
      </c>
      <c r="FQ245" s="9">
        <v>259862.7</v>
      </c>
      <c r="FR245" s="9">
        <v>270293.90000000002</v>
      </c>
      <c r="FS245" s="9">
        <v>557776.19999999995</v>
      </c>
      <c r="FT245" s="9">
        <v>8421490.8638837002</v>
      </c>
      <c r="FU245" s="9">
        <v>1055924.7691507</v>
      </c>
      <c r="FV245" s="9">
        <v>1478534.8675220001</v>
      </c>
      <c r="FW245" s="9">
        <v>2225665.9700000002</v>
      </c>
      <c r="FX245" s="9">
        <v>278682.64</v>
      </c>
      <c r="FY245" s="9">
        <v>459456.48</v>
      </c>
      <c r="FZ245" s="9">
        <v>395316.37239999999</v>
      </c>
      <c r="GA245" s="9">
        <v>18471770.81393325</v>
      </c>
      <c r="GB245" s="9">
        <v>5023390.3607400004</v>
      </c>
      <c r="GC245" s="9">
        <v>13448380.453193249</v>
      </c>
      <c r="GD245" s="9">
        <v>13449842.390000001</v>
      </c>
      <c r="GE245" s="9">
        <v>1089114.0125</v>
      </c>
      <c r="GF245" s="9">
        <v>12360728.377499999</v>
      </c>
      <c r="GG245" s="9">
        <v>5021928.4239332499</v>
      </c>
      <c r="GH245" s="9">
        <v>3934276.3482400002</v>
      </c>
      <c r="GI245" s="9">
        <v>1087652.0756932499</v>
      </c>
      <c r="GJ245" s="9">
        <v>4667534.4830900002</v>
      </c>
      <c r="GK245" s="9">
        <v>34689860.969999999</v>
      </c>
      <c r="GL245" s="9">
        <v>2940550.7089999998</v>
      </c>
      <c r="GM245">
        <v>2788.91</v>
      </c>
      <c r="GO245" s="6"/>
      <c r="GP245" s="6"/>
      <c r="GQ245" s="6"/>
    </row>
    <row r="246" spans="1:199" x14ac:dyDescent="0.2">
      <c r="A246" s="8">
        <v>2020</v>
      </c>
      <c r="B246" s="8" t="s">
        <v>523</v>
      </c>
      <c r="C246" s="8" t="s">
        <v>525</v>
      </c>
      <c r="D246" s="9"/>
      <c r="E246" s="9"/>
      <c r="F246" s="9"/>
      <c r="G246" s="9"/>
      <c r="H246" s="9"/>
      <c r="I246" s="9"/>
      <c r="J246" s="9"/>
      <c r="K246" s="9"/>
      <c r="L246" s="9"/>
      <c r="M246" s="9"/>
      <c r="N246" s="9"/>
      <c r="O246" s="9"/>
      <c r="P246" s="9"/>
      <c r="Q246" s="9"/>
      <c r="R246" s="9"/>
      <c r="S246" s="9"/>
      <c r="T246" s="9"/>
      <c r="U246" s="9"/>
      <c r="V246" s="9"/>
      <c r="W246" s="9"/>
      <c r="X246" s="9"/>
      <c r="Y246" s="9"/>
      <c r="Z246" s="9"/>
      <c r="AA246" s="9"/>
      <c r="AB246" s="9"/>
      <c r="AC246" s="9"/>
      <c r="AD246" s="9"/>
      <c r="AE246" s="9"/>
      <c r="AF246" s="9"/>
      <c r="AG246" s="9"/>
      <c r="AH246" s="9"/>
      <c r="AI246" s="9"/>
      <c r="AJ246" s="9"/>
      <c r="AK246" s="9"/>
      <c r="AL246" s="9"/>
      <c r="AM246" s="9"/>
      <c r="AN246" s="9"/>
      <c r="AO246" s="9"/>
      <c r="AP246" s="9"/>
      <c r="AQ246" s="9"/>
      <c r="AR246" s="9"/>
      <c r="AS246" s="9"/>
      <c r="AT246" s="9"/>
      <c r="AU246" s="9"/>
      <c r="AV246" s="9"/>
      <c r="AW246" s="9"/>
      <c r="AX246" s="9"/>
      <c r="AY246" s="9"/>
      <c r="AZ246" s="9"/>
      <c r="BA246" s="9"/>
      <c r="BB246" s="9"/>
      <c r="BC246" s="9"/>
      <c r="BD246" s="9"/>
      <c r="BE246" s="9"/>
      <c r="BF246" s="9"/>
      <c r="BG246" s="9"/>
      <c r="BH246" s="9"/>
      <c r="BI246" s="9"/>
      <c r="BJ246" s="9"/>
      <c r="BK246" s="9"/>
      <c r="BL246" s="9"/>
      <c r="BM246" s="9"/>
      <c r="BN246" s="9">
        <v>697027.1</v>
      </c>
      <c r="BO246" s="9">
        <v>602370.4</v>
      </c>
      <c r="BP246" s="9">
        <v>92463.7</v>
      </c>
      <c r="BQ246" s="9">
        <v>44448.1</v>
      </c>
      <c r="BR246" s="9">
        <v>65290.3</v>
      </c>
      <c r="BS246" s="9">
        <v>120049.2</v>
      </c>
      <c r="BT246" s="9">
        <v>191215.9</v>
      </c>
      <c r="BU246" s="9">
        <v>66866.7</v>
      </c>
      <c r="BV246" s="9">
        <v>64285.4</v>
      </c>
      <c r="BW246" s="9">
        <v>1134805</v>
      </c>
      <c r="BX246" s="9">
        <v>23293.9</v>
      </c>
      <c r="BY246" s="9">
        <v>164084.6</v>
      </c>
      <c r="BZ246" s="9">
        <v>200984.8</v>
      </c>
      <c r="CA246" s="9">
        <v>69724.3</v>
      </c>
      <c r="CB246" s="9">
        <v>226707.5</v>
      </c>
      <c r="CC246" s="9">
        <v>-5051.3999999999996</v>
      </c>
      <c r="CD246" s="9">
        <v>478355.20000000001</v>
      </c>
      <c r="CE246" s="9">
        <v>443903.6</v>
      </c>
      <c r="CF246" s="9">
        <v>3628084.5759659158</v>
      </c>
      <c r="CG246" s="9">
        <v>20642963.356641039</v>
      </c>
      <c r="CH246" s="9">
        <v>10.7283772812</v>
      </c>
      <c r="CI246" s="9">
        <v>3.4881411351999998</v>
      </c>
      <c r="CJ246" s="9">
        <v>16.333113138200002</v>
      </c>
      <c r="CK246" s="9">
        <v>10.7331457735</v>
      </c>
      <c r="CL246" s="9">
        <v>9</v>
      </c>
      <c r="CM246" s="9">
        <v>124.9368982332</v>
      </c>
      <c r="CN246" s="9">
        <v>34.608690607699998</v>
      </c>
      <c r="CO246" s="9">
        <v>5.3360225162999999</v>
      </c>
      <c r="CP246" s="9">
        <v>20.467131291099999</v>
      </c>
      <c r="CQ246" s="9">
        <v>12.420137414799999</v>
      </c>
      <c r="CR246" s="9">
        <v>5.9113160932</v>
      </c>
      <c r="CS246" s="9">
        <v>4.7506489308999997</v>
      </c>
      <c r="CT246" s="9">
        <v>15.8614925986</v>
      </c>
      <c r="CU246" s="9">
        <v>4.3091874174999996</v>
      </c>
      <c r="CV246" s="9">
        <v>3.9365581567999999</v>
      </c>
      <c r="CW246" s="9">
        <v>6.8192139509</v>
      </c>
      <c r="CX246" s="9">
        <v>3.7562864377</v>
      </c>
      <c r="CY246" s="9">
        <v>6.7602128178000003</v>
      </c>
      <c r="CZ246" s="9">
        <v>633</v>
      </c>
      <c r="DA246" s="9">
        <v>595</v>
      </c>
      <c r="DB246" s="9">
        <v>185</v>
      </c>
      <c r="DC246" s="9">
        <v>128</v>
      </c>
      <c r="DD246" s="9">
        <v>46</v>
      </c>
      <c r="DE246" s="9">
        <v>8</v>
      </c>
      <c r="DF246" s="9">
        <v>179</v>
      </c>
      <c r="DG246" s="9">
        <v>4</v>
      </c>
      <c r="DH246" s="9">
        <v>28</v>
      </c>
      <c r="DI246" s="9">
        <v>0</v>
      </c>
      <c r="DJ246" s="9">
        <v>0</v>
      </c>
      <c r="DK246" s="9">
        <v>27</v>
      </c>
      <c r="DL246" s="9">
        <v>1</v>
      </c>
      <c r="DM246" s="9">
        <v>8</v>
      </c>
      <c r="DN246" s="9">
        <v>0</v>
      </c>
      <c r="DO246" s="9">
        <v>406.08</v>
      </c>
      <c r="DP246" s="9">
        <v>129.75</v>
      </c>
      <c r="DQ246" s="9">
        <v>81.2</v>
      </c>
      <c r="DR246" s="9">
        <v>48.55</v>
      </c>
      <c r="DS246" s="9">
        <v>69.95</v>
      </c>
      <c r="DT246" s="9">
        <v>10.89</v>
      </c>
      <c r="DU246" s="9">
        <v>166.11</v>
      </c>
      <c r="DV246" s="9">
        <v>87.83</v>
      </c>
      <c r="DW246" s="9">
        <v>62.75</v>
      </c>
      <c r="DX246" s="9">
        <v>40.1</v>
      </c>
      <c r="DY246" s="9">
        <v>19.989999999999998</v>
      </c>
      <c r="DZ246" s="9">
        <v>11.29</v>
      </c>
      <c r="EA246" s="9">
        <v>25</v>
      </c>
      <c r="EB246" s="9">
        <v>211</v>
      </c>
      <c r="EC246" s="9">
        <v>-139</v>
      </c>
      <c r="ED246" s="9">
        <v>-66</v>
      </c>
      <c r="EE246" s="9">
        <v>19</v>
      </c>
      <c r="EF246" s="9">
        <v>8</v>
      </c>
      <c r="EG246" s="9">
        <v>278</v>
      </c>
      <c r="EH246" s="9">
        <v>-110</v>
      </c>
      <c r="EI246" s="9">
        <v>513</v>
      </c>
      <c r="EJ246" s="9">
        <v>-5</v>
      </c>
      <c r="EK246" s="9">
        <v>-120</v>
      </c>
      <c r="EL246" s="9">
        <v>-221</v>
      </c>
      <c r="EM246" s="9">
        <v>-466</v>
      </c>
      <c r="EN246" s="9">
        <v>3202.8939625816001</v>
      </c>
      <c r="EO246" s="9">
        <v>514.44522974999995</v>
      </c>
      <c r="EP246" s="9">
        <v>1523.1007045097999</v>
      </c>
      <c r="EQ246" s="9">
        <v>7.4229747221000002</v>
      </c>
      <c r="ER246" s="9">
        <v>46.957725040200003</v>
      </c>
      <c r="ES246" s="9">
        <v>1110.9673285594999</v>
      </c>
      <c r="ET246" s="9">
        <v>0</v>
      </c>
      <c r="EU246">
        <v>2797.2509090909002</v>
      </c>
      <c r="EV246" s="9"/>
      <c r="EW246" s="9"/>
      <c r="EX246" s="9"/>
      <c r="EY246" s="9"/>
      <c r="EZ246" s="9"/>
      <c r="FA246" s="9"/>
      <c r="FB246" s="9">
        <v>54.148308270699999</v>
      </c>
      <c r="FC246" s="9">
        <v>31.024761904799998</v>
      </c>
      <c r="FD246" s="9">
        <v>5239.8263157894999</v>
      </c>
      <c r="FE246" s="9">
        <v>91.333333333300004</v>
      </c>
      <c r="FF246" s="9">
        <v>1716.3815789473999</v>
      </c>
      <c r="FG246" s="9">
        <v>17012999.949999999</v>
      </c>
      <c r="FH246" s="9">
        <v>1139602.55</v>
      </c>
      <c r="FI246" s="9">
        <v>1964662.48</v>
      </c>
      <c r="FJ246" s="9">
        <v>8633307.6999999993</v>
      </c>
      <c r="FK246" s="9">
        <v>249863.8</v>
      </c>
      <c r="FL246" s="9">
        <v>406593.2</v>
      </c>
      <c r="FM246" s="9">
        <v>1682436.05</v>
      </c>
      <c r="FN246" s="9">
        <v>93287.75</v>
      </c>
      <c r="FO246" s="9">
        <v>154648.64000000001</v>
      </c>
      <c r="FP246" s="9">
        <v>2954262.3</v>
      </c>
      <c r="FQ246" s="9">
        <v>260434.7</v>
      </c>
      <c r="FR246" s="9">
        <v>266012.90000000002</v>
      </c>
      <c r="FS246" s="9">
        <v>573335.19999999995</v>
      </c>
      <c r="FT246" s="9">
        <v>8373225.8215683103</v>
      </c>
      <c r="FU246" s="9">
        <v>889733.50929931004</v>
      </c>
      <c r="FV246" s="9">
        <v>1551841.4767740001</v>
      </c>
      <c r="FW246" s="9">
        <v>2128034.1</v>
      </c>
      <c r="FX246" s="9">
        <v>106215.6</v>
      </c>
      <c r="FY246" s="9">
        <v>630348.31999999995</v>
      </c>
      <c r="FZ246" s="9">
        <v>396667.58789999998</v>
      </c>
      <c r="GA246" s="9">
        <v>18884659.407039229</v>
      </c>
      <c r="GB246" s="9">
        <v>5017173.4962600004</v>
      </c>
      <c r="GC246" s="9">
        <v>13867485.91077923</v>
      </c>
      <c r="GD246" s="9">
        <v>14025402.480699999</v>
      </c>
      <c r="GE246" s="9">
        <v>1296772.9801</v>
      </c>
      <c r="GF246" s="9">
        <v>12728629.500600001</v>
      </c>
      <c r="GG246" s="9">
        <v>4859256.9263392296</v>
      </c>
      <c r="GH246" s="9">
        <v>3720400.5161600001</v>
      </c>
      <c r="GI246" s="9">
        <v>1138856.4101792299</v>
      </c>
      <c r="GJ246" s="9">
        <v>4423978.5266899997</v>
      </c>
      <c r="GK246" s="9">
        <v>33391762.27</v>
      </c>
      <c r="GL246" s="9">
        <v>2986435.7450000001</v>
      </c>
      <c r="GM246">
        <v>2805.97</v>
      </c>
      <c r="GO246" s="6"/>
      <c r="GP246" s="6"/>
      <c r="GQ246" s="6"/>
    </row>
    <row r="247" spans="1:199" x14ac:dyDescent="0.2">
      <c r="A247" s="8">
        <v>2020</v>
      </c>
      <c r="B247" s="8" t="s">
        <v>523</v>
      </c>
      <c r="C247" s="8" t="s">
        <v>526</v>
      </c>
      <c r="D247" s="9">
        <v>9299373.0329999998</v>
      </c>
      <c r="E247" s="9">
        <v>2243454.6570000001</v>
      </c>
      <c r="F247" s="9">
        <v>1363920.04</v>
      </c>
      <c r="G247" s="9">
        <v>517823.41200000001</v>
      </c>
      <c r="H247" s="9">
        <v>194231.87</v>
      </c>
      <c r="I247" s="9">
        <v>281344.41100000002</v>
      </c>
      <c r="J247" s="9">
        <v>651872.58700000006</v>
      </c>
      <c r="K247" s="9">
        <v>318822.24599999998</v>
      </c>
      <c r="L247" s="9">
        <v>147361.967</v>
      </c>
      <c r="M247" s="9">
        <v>2641149.5279999999</v>
      </c>
      <c r="N247" s="9">
        <v>939392.31599999999</v>
      </c>
      <c r="O247" s="9">
        <v>7090270.1370000001</v>
      </c>
      <c r="P247" s="9">
        <v>1828988.237</v>
      </c>
      <c r="Q247" s="9">
        <v>665069.63</v>
      </c>
      <c r="R247" s="9">
        <v>422483.5</v>
      </c>
      <c r="S247" s="9">
        <v>132953.76800000001</v>
      </c>
      <c r="T247" s="9">
        <v>252175.288</v>
      </c>
      <c r="U247" s="9">
        <v>661825.61800000002</v>
      </c>
      <c r="V247" s="9">
        <v>176246.272</v>
      </c>
      <c r="W247" s="9">
        <v>166083.56599999999</v>
      </c>
      <c r="X247" s="9">
        <v>1878894.327</v>
      </c>
      <c r="Y247" s="9">
        <v>905549.93</v>
      </c>
      <c r="Z247" s="9">
        <v>9697166.25</v>
      </c>
      <c r="AA247" s="9">
        <v>5383242.8169999998</v>
      </c>
      <c r="AB247" s="9">
        <v>1334626.4850000001</v>
      </c>
      <c r="AC247" s="9">
        <v>2492580.1869999999</v>
      </c>
      <c r="AD247" s="9">
        <v>62513.104449999999</v>
      </c>
      <c r="AE247" s="9">
        <v>5275938.9579999996</v>
      </c>
      <c r="AF247" s="9">
        <v>4851735.3020000001</v>
      </c>
      <c r="AG247" s="9">
        <v>6750041.7000000002</v>
      </c>
      <c r="AH247" s="9">
        <v>4528747.0999999996</v>
      </c>
      <c r="AI247" s="9">
        <v>1243372.8</v>
      </c>
      <c r="AJ247" s="9">
        <v>1675376.4</v>
      </c>
      <c r="AK247" s="9">
        <v>159295.20000000001</v>
      </c>
      <c r="AL247" s="9">
        <v>3403475.7</v>
      </c>
      <c r="AM247" s="9">
        <v>4260225.5</v>
      </c>
      <c r="AN247" s="9">
        <v>1185205</v>
      </c>
      <c r="AO247" s="9">
        <v>633760</v>
      </c>
      <c r="AP247" s="9">
        <v>551445</v>
      </c>
      <c r="AQ247" s="9">
        <v>83673</v>
      </c>
      <c r="AR247" s="9">
        <v>43203</v>
      </c>
      <c r="AS247" s="9">
        <v>40470</v>
      </c>
      <c r="AT247" s="9">
        <v>854529</v>
      </c>
      <c r="AU247" s="9">
        <v>313264</v>
      </c>
      <c r="AV247" s="9">
        <v>541265</v>
      </c>
      <c r="AW247" s="9">
        <v>1261.3</v>
      </c>
      <c r="AX247" s="9">
        <v>979.2</v>
      </c>
      <c r="AY247" s="9">
        <v>2924.8</v>
      </c>
      <c r="AZ247" s="9">
        <v>1236.9000000000001</v>
      </c>
      <c r="BA247" s="9">
        <v>1635.3</v>
      </c>
      <c r="BB247" s="9">
        <v>1007.4</v>
      </c>
      <c r="BC247" s="9">
        <v>1206</v>
      </c>
      <c r="BD247" s="9">
        <v>1049.5</v>
      </c>
      <c r="BE247" s="9">
        <v>1221.2</v>
      </c>
      <c r="BF247" s="9">
        <v>765.3</v>
      </c>
      <c r="BG247" s="9">
        <v>1285.5999999999999</v>
      </c>
      <c r="BH247" s="9">
        <v>1533</v>
      </c>
      <c r="BI247" s="9">
        <v>1381.2</v>
      </c>
      <c r="BJ247" s="9">
        <v>1043.9000000000001</v>
      </c>
      <c r="BK247" s="9">
        <v>1143.4000000000001</v>
      </c>
      <c r="BL247" s="9">
        <v>866.4</v>
      </c>
      <c r="BM247" s="9">
        <v>1111.9000000000001</v>
      </c>
      <c r="BN247" s="9">
        <v>794715.3</v>
      </c>
      <c r="BO247" s="9">
        <v>687317.1</v>
      </c>
      <c r="BP247" s="9">
        <v>145775.9</v>
      </c>
      <c r="BQ247" s="9">
        <v>87840.7</v>
      </c>
      <c r="BR247" s="9">
        <v>67052</v>
      </c>
      <c r="BS247" s="9">
        <v>100143.1</v>
      </c>
      <c r="BT247" s="9">
        <v>222644.3</v>
      </c>
      <c r="BU247" s="9">
        <v>85251.3</v>
      </c>
      <c r="BV247" s="9">
        <v>69549.7</v>
      </c>
      <c r="BW247" s="9">
        <v>973811.1</v>
      </c>
      <c r="BX247" s="9">
        <v>-825.9</v>
      </c>
      <c r="BY247" s="9">
        <v>130702.3</v>
      </c>
      <c r="BZ247" s="9">
        <v>300541.8</v>
      </c>
      <c r="CA247" s="9">
        <v>87292.800000000003</v>
      </c>
      <c r="CB247" s="9">
        <v>33138</v>
      </c>
      <c r="CC247" s="9">
        <v>43338.5</v>
      </c>
      <c r="CD247" s="9">
        <v>378797.8</v>
      </c>
      <c r="CE247" s="9">
        <v>403060.9</v>
      </c>
      <c r="CF247" s="9">
        <v>3576642.3373319958</v>
      </c>
      <c r="CG247" s="9">
        <v>21347474.6328035</v>
      </c>
      <c r="CH247" s="9">
        <v>10.029931159</v>
      </c>
      <c r="CI247" s="9">
        <v>3.2738059661999999</v>
      </c>
      <c r="CJ247" s="9">
        <v>16.315709765200001</v>
      </c>
      <c r="CK247" s="9">
        <v>10.343462752300001</v>
      </c>
      <c r="CL247" s="9">
        <v>9</v>
      </c>
      <c r="CM247" s="9">
        <v>125.36797231209999</v>
      </c>
      <c r="CN247" s="9">
        <v>35.024946900499998</v>
      </c>
      <c r="CO247" s="9">
        <v>5.3416713826000004</v>
      </c>
      <c r="CP247" s="9">
        <v>20.498309992700001</v>
      </c>
      <c r="CQ247" s="9">
        <v>12.445940564400001</v>
      </c>
      <c r="CR247" s="9">
        <v>5.9272417666999999</v>
      </c>
      <c r="CS247" s="9">
        <v>4.7598067671999997</v>
      </c>
      <c r="CT247" s="9">
        <v>15.734754071199999</v>
      </c>
      <c r="CU247" s="9">
        <v>4.3091874174999996</v>
      </c>
      <c r="CV247" s="9">
        <v>3.9364233849999999</v>
      </c>
      <c r="CW247" s="9">
        <v>6.8192139509</v>
      </c>
      <c r="CX247" s="9">
        <v>3.7793446835000002</v>
      </c>
      <c r="CY247" s="9">
        <v>6.7911314299000001</v>
      </c>
      <c r="CZ247" s="9">
        <v>822</v>
      </c>
      <c r="DA247" s="9">
        <v>744</v>
      </c>
      <c r="DB247" s="9">
        <v>341</v>
      </c>
      <c r="DC247" s="9">
        <v>127</v>
      </c>
      <c r="DD247" s="9">
        <v>49</v>
      </c>
      <c r="DE247" s="9">
        <v>9</v>
      </c>
      <c r="DF247" s="9">
        <v>177</v>
      </c>
      <c r="DG247" s="9">
        <v>9</v>
      </c>
      <c r="DH247" s="9">
        <v>60</v>
      </c>
      <c r="DI247" s="9">
        <v>6</v>
      </c>
      <c r="DJ247" s="9">
        <v>0</v>
      </c>
      <c r="DK247" s="9">
        <v>54</v>
      </c>
      <c r="DL247" s="9">
        <v>1</v>
      </c>
      <c r="DM247" s="9">
        <v>16</v>
      </c>
      <c r="DN247" s="9">
        <v>0</v>
      </c>
      <c r="DO247" s="9">
        <v>467.73</v>
      </c>
      <c r="DP247" s="9">
        <v>149.51</v>
      </c>
      <c r="DQ247" s="9">
        <v>80.13</v>
      </c>
      <c r="DR247" s="9">
        <v>69.38</v>
      </c>
      <c r="DS247" s="9">
        <v>55.99</v>
      </c>
      <c r="DT247" s="9">
        <v>10.029999999999999</v>
      </c>
      <c r="DU247" s="9">
        <v>194.68</v>
      </c>
      <c r="DV247" s="9">
        <v>108.17</v>
      </c>
      <c r="DW247" s="9">
        <v>58.09</v>
      </c>
      <c r="DX247" s="9">
        <v>67.28</v>
      </c>
      <c r="DY247" s="9">
        <v>36.36</v>
      </c>
      <c r="DZ247" s="9">
        <v>17.5</v>
      </c>
      <c r="EA247" s="9">
        <v>86</v>
      </c>
      <c r="EB247" s="9">
        <v>354</v>
      </c>
      <c r="EC247" s="9">
        <v>-105</v>
      </c>
      <c r="ED247" s="9">
        <v>-181</v>
      </c>
      <c r="EE247" s="9">
        <v>18</v>
      </c>
      <c r="EF247" s="9">
        <v>9</v>
      </c>
      <c r="EG247" s="9">
        <v>-423</v>
      </c>
      <c r="EH247" s="9">
        <v>-307</v>
      </c>
      <c r="EI247" s="9">
        <v>1</v>
      </c>
      <c r="EJ247" s="9">
        <v>4</v>
      </c>
      <c r="EK247" s="9">
        <v>-120</v>
      </c>
      <c r="EL247" s="9">
        <v>-66</v>
      </c>
      <c r="EM247" s="9">
        <v>452</v>
      </c>
      <c r="EN247" s="9">
        <v>3555.9239477244</v>
      </c>
      <c r="EO247" s="9">
        <v>519.02043380999999</v>
      </c>
      <c r="EP247" s="9">
        <v>1973.7878680166</v>
      </c>
      <c r="EQ247" s="9">
        <v>7.4924525276000002</v>
      </c>
      <c r="ER247" s="9">
        <v>46.898078055799999</v>
      </c>
      <c r="ES247" s="9">
        <v>1008.7251153144</v>
      </c>
      <c r="ET247" s="9">
        <v>0</v>
      </c>
      <c r="EU247">
        <v>2816.2615789473998</v>
      </c>
      <c r="EV247" s="9">
        <v>30855.97</v>
      </c>
      <c r="EW247" s="9">
        <v>7896.21</v>
      </c>
      <c r="EX247" s="9">
        <v>2083.9</v>
      </c>
      <c r="EY247" s="9">
        <v>1703.66</v>
      </c>
      <c r="EZ247" s="9">
        <v>8141.98</v>
      </c>
      <c r="FA247" s="9">
        <v>11030.23</v>
      </c>
      <c r="FB247" s="9">
        <v>55.0027597403</v>
      </c>
      <c r="FC247" s="9">
        <v>39.9272727273</v>
      </c>
      <c r="FD247" s="9">
        <v>5754.5954545454997</v>
      </c>
      <c r="FE247" s="9">
        <v>103.3409090909</v>
      </c>
      <c r="FF247" s="9">
        <v>1732.2181818182</v>
      </c>
      <c r="FG247" s="9">
        <v>17200169.620000001</v>
      </c>
      <c r="FH247" s="9">
        <v>1001090.8</v>
      </c>
      <c r="FI247" s="9">
        <v>1911510.22</v>
      </c>
      <c r="FJ247" s="9">
        <v>8673586.5999999996</v>
      </c>
      <c r="FK247" s="9">
        <v>215878.39999999999</v>
      </c>
      <c r="FL247" s="9">
        <v>436869.5</v>
      </c>
      <c r="FM247" s="9">
        <v>1665526.9</v>
      </c>
      <c r="FN247" s="9">
        <v>71085.11</v>
      </c>
      <c r="FO247" s="9">
        <v>138328.37</v>
      </c>
      <c r="FP247" s="9">
        <v>2929429.4</v>
      </c>
      <c r="FQ247" s="9">
        <v>252908.7</v>
      </c>
      <c r="FR247" s="9">
        <v>263580.2</v>
      </c>
      <c r="FS247" s="9">
        <v>566090.19999999995</v>
      </c>
      <c r="FT247" s="9">
        <v>8520349.381792102</v>
      </c>
      <c r="FU247" s="9">
        <v>785212.40414709994</v>
      </c>
      <c r="FV247" s="9">
        <v>1468407.099035</v>
      </c>
      <c r="FW247" s="9">
        <v>2253587.02</v>
      </c>
      <c r="FX247" s="9">
        <v>94465.31</v>
      </c>
      <c r="FY247" s="9">
        <v>569328.29</v>
      </c>
      <c r="FZ247" s="9">
        <v>439341.22129999998</v>
      </c>
      <c r="GA247" s="9">
        <v>19619648.364719</v>
      </c>
      <c r="GB247" s="9">
        <v>5065437.4861999992</v>
      </c>
      <c r="GC247" s="9">
        <v>14554210.878519002</v>
      </c>
      <c r="GD247" s="9">
        <v>14560097.836200001</v>
      </c>
      <c r="GE247" s="9">
        <v>1408811.23</v>
      </c>
      <c r="GF247" s="9">
        <v>13151286.6062</v>
      </c>
      <c r="GG247" s="9">
        <v>5059550.5285189999</v>
      </c>
      <c r="GH247" s="9">
        <v>3656626.2562000002</v>
      </c>
      <c r="GI247" s="9">
        <v>1402924.272319</v>
      </c>
      <c r="GJ247" s="9">
        <v>4286959.56702</v>
      </c>
      <c r="GK247" s="9">
        <v>34304032.100000001</v>
      </c>
      <c r="GL247" s="9">
        <v>3051459.5109999999</v>
      </c>
      <c r="GM247">
        <v>2823.89</v>
      </c>
      <c r="GO247" s="6"/>
      <c r="GP247" s="6"/>
      <c r="GQ247" s="6"/>
    </row>
    <row r="248" spans="1:199" x14ac:dyDescent="0.2">
      <c r="A248" s="8">
        <v>2020</v>
      </c>
      <c r="B248" s="8" t="s">
        <v>527</v>
      </c>
      <c r="C248" s="8" t="s">
        <v>528</v>
      </c>
      <c r="D248" s="9"/>
      <c r="E248" s="9"/>
      <c r="F248" s="9"/>
      <c r="G248" s="9"/>
      <c r="H248" s="9"/>
      <c r="I248" s="9"/>
      <c r="J248" s="9"/>
      <c r="K248" s="9"/>
      <c r="L248" s="9"/>
      <c r="M248" s="9"/>
      <c r="N248" s="9"/>
      <c r="O248" s="9"/>
      <c r="P248" s="9"/>
      <c r="Q248" s="9"/>
      <c r="R248" s="9"/>
      <c r="S248" s="9"/>
      <c r="T248" s="9"/>
      <c r="U248" s="9"/>
      <c r="V248" s="9"/>
      <c r="W248" s="9"/>
      <c r="X248" s="9"/>
      <c r="Y248" s="9"/>
      <c r="Z248" s="9"/>
      <c r="AA248" s="9"/>
      <c r="AB248" s="9"/>
      <c r="AC248" s="9"/>
      <c r="AD248" s="9"/>
      <c r="AE248" s="9"/>
      <c r="AF248" s="9"/>
      <c r="AG248" s="9"/>
      <c r="AH248" s="9"/>
      <c r="AI248" s="9"/>
      <c r="AJ248" s="9"/>
      <c r="AK248" s="9"/>
      <c r="AL248" s="9"/>
      <c r="AM248" s="9"/>
      <c r="AN248" s="9"/>
      <c r="AO248" s="9"/>
      <c r="AP248" s="9"/>
      <c r="AQ248" s="9"/>
      <c r="AR248" s="9"/>
      <c r="AS248" s="9"/>
      <c r="AT248" s="9"/>
      <c r="AU248" s="9"/>
      <c r="AV248" s="9"/>
      <c r="AW248" s="9"/>
      <c r="AX248" s="9"/>
      <c r="AY248" s="9"/>
      <c r="AZ248" s="9"/>
      <c r="BA248" s="9"/>
      <c r="BB248" s="9"/>
      <c r="BC248" s="9"/>
      <c r="BD248" s="9"/>
      <c r="BE248" s="9"/>
      <c r="BF248" s="9"/>
      <c r="BG248" s="9"/>
      <c r="BH248" s="9"/>
      <c r="BI248" s="9"/>
      <c r="BJ248" s="9"/>
      <c r="BK248" s="9"/>
      <c r="BL248" s="9"/>
      <c r="BM248" s="9"/>
      <c r="BN248" s="9">
        <v>902938.3</v>
      </c>
      <c r="BO248" s="9">
        <v>752731.1</v>
      </c>
      <c r="BP248" s="9">
        <v>239601.1</v>
      </c>
      <c r="BQ248" s="9">
        <v>183420.5</v>
      </c>
      <c r="BR248" s="9">
        <v>57266.6</v>
      </c>
      <c r="BS248" s="9">
        <v>114186.9</v>
      </c>
      <c r="BT248" s="9">
        <v>173515.2</v>
      </c>
      <c r="BU248" s="9">
        <v>68460.2</v>
      </c>
      <c r="BV248" s="9">
        <v>47259.7</v>
      </c>
      <c r="BW248" s="9">
        <v>1054920.8</v>
      </c>
      <c r="BX248" s="9">
        <v>12664.9</v>
      </c>
      <c r="BY248" s="9">
        <v>161697.5</v>
      </c>
      <c r="BZ248" s="9">
        <v>176032.6</v>
      </c>
      <c r="CA248" s="9">
        <v>34069.9</v>
      </c>
      <c r="CB248" s="9">
        <v>-147792.70000000001</v>
      </c>
      <c r="CC248" s="9">
        <v>8165.8</v>
      </c>
      <c r="CD248" s="9">
        <v>569880.6</v>
      </c>
      <c r="CE248" s="9">
        <v>252867</v>
      </c>
      <c r="CF248" s="9">
        <v>3461912.8034191029</v>
      </c>
      <c r="CG248" s="9">
        <v>21464482.757877231</v>
      </c>
      <c r="CH248" s="9">
        <v>10.5310982397</v>
      </c>
      <c r="CI248" s="9">
        <v>3.2479914006000001</v>
      </c>
      <c r="CJ248" s="9">
        <v>15.7550587923</v>
      </c>
      <c r="CK248" s="9">
        <v>10.627210060499999</v>
      </c>
      <c r="CL248" s="9">
        <v>9</v>
      </c>
      <c r="CM248" s="9">
        <v>126.0426150548</v>
      </c>
      <c r="CN248" s="9">
        <v>35.470640252599999</v>
      </c>
      <c r="CO248" s="9">
        <v>5.3485206084000003</v>
      </c>
      <c r="CP248" s="9">
        <v>20.548505539800001</v>
      </c>
      <c r="CQ248" s="9">
        <v>12.4676876217</v>
      </c>
      <c r="CR248" s="9">
        <v>5.9447695041999999</v>
      </c>
      <c r="CS248" s="9">
        <v>4.7690410283000002</v>
      </c>
      <c r="CT248" s="9">
        <v>15.8313660579</v>
      </c>
      <c r="CU248" s="9">
        <v>4.3105595714999998</v>
      </c>
      <c r="CV248" s="9">
        <v>3.9365309424000001</v>
      </c>
      <c r="CW248" s="9">
        <v>6.8192139509</v>
      </c>
      <c r="CX248" s="9">
        <v>3.7853124101</v>
      </c>
      <c r="CY248" s="9">
        <v>6.8104675670999999</v>
      </c>
      <c r="CZ248" s="9">
        <v>960</v>
      </c>
      <c r="DA248" s="9">
        <v>920</v>
      </c>
      <c r="DB248" s="9">
        <v>474</v>
      </c>
      <c r="DC248" s="9">
        <v>135</v>
      </c>
      <c r="DD248" s="9">
        <v>62</v>
      </c>
      <c r="DE248" s="9">
        <v>12</v>
      </c>
      <c r="DF248" s="9">
        <v>189</v>
      </c>
      <c r="DG248" s="9">
        <v>12</v>
      </c>
      <c r="DH248" s="9">
        <v>22</v>
      </c>
      <c r="DI248" s="9">
        <v>1</v>
      </c>
      <c r="DJ248" s="9">
        <v>0</v>
      </c>
      <c r="DK248" s="9">
        <v>19</v>
      </c>
      <c r="DL248" s="9">
        <v>1</v>
      </c>
      <c r="DM248" s="9">
        <v>17</v>
      </c>
      <c r="DN248" s="9">
        <v>0</v>
      </c>
      <c r="DO248" s="9">
        <v>481.91</v>
      </c>
      <c r="DP248" s="9">
        <v>131.71</v>
      </c>
      <c r="DQ248" s="9">
        <v>72.31</v>
      </c>
      <c r="DR248" s="9">
        <v>59.41</v>
      </c>
      <c r="DS248" s="9">
        <v>52.9</v>
      </c>
      <c r="DT248" s="9">
        <v>11.07</v>
      </c>
      <c r="DU248" s="9">
        <v>234.9</v>
      </c>
      <c r="DV248" s="9">
        <v>136.47999999999999</v>
      </c>
      <c r="DW248" s="9">
        <v>61.13</v>
      </c>
      <c r="DX248" s="9">
        <v>62.02</v>
      </c>
      <c r="DY248" s="9">
        <v>29.72</v>
      </c>
      <c r="DZ248" s="9">
        <v>16.73</v>
      </c>
      <c r="EA248" s="9">
        <v>273</v>
      </c>
      <c r="EB248" s="9">
        <v>448</v>
      </c>
      <c r="EC248" s="9">
        <v>-97</v>
      </c>
      <c r="ED248" s="9">
        <v>-96</v>
      </c>
      <c r="EE248" s="9">
        <v>19</v>
      </c>
      <c r="EF248" s="9">
        <v>9</v>
      </c>
      <c r="EG248" s="9">
        <v>-123</v>
      </c>
      <c r="EH248" s="9">
        <v>-104</v>
      </c>
      <c r="EI248" s="9">
        <v>-4</v>
      </c>
      <c r="EJ248" s="9">
        <v>-1</v>
      </c>
      <c r="EK248" s="9">
        <v>-14</v>
      </c>
      <c r="EL248" s="9">
        <v>-70</v>
      </c>
      <c r="EM248" s="9">
        <v>336</v>
      </c>
      <c r="EN248" s="9">
        <v>3620.7458273938</v>
      </c>
      <c r="EO248" s="9">
        <v>571.27354476999994</v>
      </c>
      <c r="EP248" s="9">
        <v>2265.4172370061001</v>
      </c>
      <c r="EQ248" s="9">
        <v>7.6470727335999999</v>
      </c>
      <c r="ER248" s="9">
        <v>47.865904073199999</v>
      </c>
      <c r="ES248" s="9">
        <v>728.54206881089999</v>
      </c>
      <c r="ET248" s="9">
        <v>0</v>
      </c>
      <c r="EU248">
        <v>2836.4095000000002</v>
      </c>
      <c r="EV248" s="9"/>
      <c r="EW248" s="9"/>
      <c r="EX248" s="9"/>
      <c r="EY248" s="9"/>
      <c r="EZ248" s="9"/>
      <c r="FA248" s="9"/>
      <c r="FB248" s="9">
        <v>51.672204968899997</v>
      </c>
      <c r="FC248" s="9">
        <v>42.813478260899998</v>
      </c>
      <c r="FD248" s="9">
        <v>6372.4608695651996</v>
      </c>
      <c r="FE248" s="9">
        <v>108.02173913039999</v>
      </c>
      <c r="FF248" s="9">
        <v>1843.3130434783</v>
      </c>
      <c r="FG248" s="9">
        <v>17159656.989999998</v>
      </c>
      <c r="FH248" s="9">
        <v>1130626.3600000001</v>
      </c>
      <c r="FI248" s="9">
        <v>1936440.95</v>
      </c>
      <c r="FJ248" s="9">
        <v>8544677.8000000007</v>
      </c>
      <c r="FK248" s="9">
        <v>212868.4</v>
      </c>
      <c r="FL248" s="9">
        <v>460755.7</v>
      </c>
      <c r="FM248" s="9">
        <v>1664433.21</v>
      </c>
      <c r="FN248" s="9">
        <v>74802.91</v>
      </c>
      <c r="FO248" s="9">
        <v>138474.32999999999</v>
      </c>
      <c r="FP248" s="9">
        <v>2908637.8</v>
      </c>
      <c r="FQ248" s="9">
        <v>250164</v>
      </c>
      <c r="FR248" s="9">
        <v>279239.90000000002</v>
      </c>
      <c r="FS248" s="9">
        <v>542223.5</v>
      </c>
      <c r="FT248" s="9">
        <v>8608738.637526501</v>
      </c>
      <c r="FU248" s="9">
        <v>917757.92815149995</v>
      </c>
      <c r="FV248" s="9">
        <v>1469444.6491050001</v>
      </c>
      <c r="FW248" s="9">
        <v>2182909.65</v>
      </c>
      <c r="FX248" s="9">
        <v>106489.95</v>
      </c>
      <c r="FY248" s="9">
        <v>593017.86</v>
      </c>
      <c r="FZ248" s="9">
        <v>441389.89760000003</v>
      </c>
      <c r="GA248" s="9">
        <v>19837662.055158999</v>
      </c>
      <c r="GB248" s="9">
        <v>4757163.1668299995</v>
      </c>
      <c r="GC248" s="9">
        <v>15080498.888328999</v>
      </c>
      <c r="GD248" s="9">
        <v>14835356.305199999</v>
      </c>
      <c r="GE248" s="9">
        <v>1360577.013</v>
      </c>
      <c r="GF248" s="9">
        <v>13474779.292199999</v>
      </c>
      <c r="GG248" s="9">
        <v>5002305.7499589995</v>
      </c>
      <c r="GH248" s="9">
        <v>3396586.1538300002</v>
      </c>
      <c r="GI248" s="9">
        <v>1605719.596129</v>
      </c>
      <c r="GJ248" s="9">
        <v>4118388.6137999999</v>
      </c>
      <c r="GK248" s="9">
        <v>34417383.560000002</v>
      </c>
      <c r="GL248" s="9">
        <v>3085135.63</v>
      </c>
      <c r="GM248">
        <v>2844.7</v>
      </c>
      <c r="GO248" s="6"/>
      <c r="GP248" s="6"/>
      <c r="GQ248" s="6"/>
    </row>
    <row r="249" spans="1:199" x14ac:dyDescent="0.2">
      <c r="A249" s="8">
        <v>2020</v>
      </c>
      <c r="B249" s="8" t="s">
        <v>527</v>
      </c>
      <c r="C249" s="8" t="s">
        <v>529</v>
      </c>
      <c r="D249" s="9"/>
      <c r="E249" s="9"/>
      <c r="F249" s="9"/>
      <c r="G249" s="9"/>
      <c r="H249" s="9"/>
      <c r="I249" s="9"/>
      <c r="J249" s="9"/>
      <c r="K249" s="9"/>
      <c r="L249" s="9"/>
      <c r="M249" s="9"/>
      <c r="N249" s="9"/>
      <c r="O249" s="9"/>
      <c r="P249" s="9"/>
      <c r="Q249" s="9"/>
      <c r="R249" s="9"/>
      <c r="S249" s="9"/>
      <c r="T249" s="9"/>
      <c r="U249" s="9"/>
      <c r="V249" s="9"/>
      <c r="W249" s="9"/>
      <c r="X249" s="9"/>
      <c r="Y249" s="9"/>
      <c r="Z249" s="9"/>
      <c r="AA249" s="9"/>
      <c r="AB249" s="9"/>
      <c r="AC249" s="9"/>
      <c r="AD249" s="9"/>
      <c r="AE249" s="9"/>
      <c r="AF249" s="9"/>
      <c r="AG249" s="9"/>
      <c r="AH249" s="9"/>
      <c r="AI249" s="9"/>
      <c r="AJ249" s="9"/>
      <c r="AK249" s="9"/>
      <c r="AL249" s="9"/>
      <c r="AM249" s="9"/>
      <c r="AN249" s="9"/>
      <c r="AO249" s="9"/>
      <c r="AP249" s="9"/>
      <c r="AQ249" s="9"/>
      <c r="AR249" s="9"/>
      <c r="AS249" s="9"/>
      <c r="AT249" s="9"/>
      <c r="AU249" s="9"/>
      <c r="AV249" s="9"/>
      <c r="AW249" s="9"/>
      <c r="AX249" s="9"/>
      <c r="AY249" s="9"/>
      <c r="AZ249" s="9"/>
      <c r="BA249" s="9"/>
      <c r="BB249" s="9"/>
      <c r="BC249" s="9"/>
      <c r="BD249" s="9"/>
      <c r="BE249" s="9"/>
      <c r="BF249" s="9"/>
      <c r="BG249" s="9"/>
      <c r="BH249" s="9"/>
      <c r="BI249" s="9"/>
      <c r="BJ249" s="9"/>
      <c r="BK249" s="9"/>
      <c r="BL249" s="9"/>
      <c r="BM249" s="9"/>
      <c r="BN249" s="9">
        <v>822714.2</v>
      </c>
      <c r="BO249" s="9">
        <v>664511.5</v>
      </c>
      <c r="BP249" s="9">
        <v>121264.5</v>
      </c>
      <c r="BQ249" s="9">
        <v>77542.2</v>
      </c>
      <c r="BR249" s="9">
        <v>44552.7</v>
      </c>
      <c r="BS249" s="9">
        <v>113811.4</v>
      </c>
      <c r="BT249" s="9">
        <v>230797.1</v>
      </c>
      <c r="BU249" s="9">
        <v>70051.3</v>
      </c>
      <c r="BV249" s="9">
        <v>134636.70000000001</v>
      </c>
      <c r="BW249" s="9">
        <v>737573.5</v>
      </c>
      <c r="BX249" s="9">
        <v>-21835</v>
      </c>
      <c r="BY249" s="9">
        <v>162738.20000000001</v>
      </c>
      <c r="BZ249" s="9">
        <v>162738.5</v>
      </c>
      <c r="CA249" s="9">
        <v>23275.1</v>
      </c>
      <c r="CB249" s="9">
        <v>18663.7</v>
      </c>
      <c r="CC249" s="9">
        <v>17897.2</v>
      </c>
      <c r="CD249" s="9">
        <v>379252.1</v>
      </c>
      <c r="CE249" s="9">
        <v>274327.59999999998</v>
      </c>
      <c r="CF249" s="9">
        <v>3391228.0942372531</v>
      </c>
      <c r="CG249" s="9">
        <v>21500939.626222041</v>
      </c>
      <c r="CH249" s="9">
        <v>10.4259371571</v>
      </c>
      <c r="CI249" s="9">
        <v>3.3249492682000001</v>
      </c>
      <c r="CJ249" s="9">
        <v>16.4840057583</v>
      </c>
      <c r="CK249" s="9">
        <v>11.2317009861</v>
      </c>
      <c r="CL249" s="9">
        <v>9</v>
      </c>
      <c r="CM249" s="9">
        <v>124.7823127245</v>
      </c>
      <c r="CN249" s="9">
        <v>33.923589517499998</v>
      </c>
      <c r="CO249" s="9">
        <v>5.3515958360999996</v>
      </c>
      <c r="CP249" s="9">
        <v>20.607036739200002</v>
      </c>
      <c r="CQ249" s="9">
        <v>12.4824799481</v>
      </c>
      <c r="CR249" s="9">
        <v>5.9599452501999997</v>
      </c>
      <c r="CS249" s="9">
        <v>4.7757355611000003</v>
      </c>
      <c r="CT249" s="9">
        <v>15.906843914</v>
      </c>
      <c r="CU249" s="9">
        <v>4.3105595714999998</v>
      </c>
      <c r="CV249" s="9">
        <v>3.9471797421999999</v>
      </c>
      <c r="CW249" s="9">
        <v>6.8424870575999996</v>
      </c>
      <c r="CX249" s="9">
        <v>3.7898465043999998</v>
      </c>
      <c r="CY249" s="9">
        <v>6.8850130825000004</v>
      </c>
      <c r="CZ249" s="9">
        <v>690</v>
      </c>
      <c r="DA249" s="9">
        <v>626</v>
      </c>
      <c r="DB249" s="9">
        <v>66</v>
      </c>
      <c r="DC249" s="9">
        <v>135</v>
      </c>
      <c r="DD249" s="9">
        <v>57</v>
      </c>
      <c r="DE249" s="9">
        <v>14</v>
      </c>
      <c r="DF249" s="9">
        <v>288</v>
      </c>
      <c r="DG249" s="9">
        <v>21</v>
      </c>
      <c r="DH249" s="9">
        <v>42</v>
      </c>
      <c r="DI249" s="9">
        <v>4</v>
      </c>
      <c r="DJ249" s="9">
        <v>0</v>
      </c>
      <c r="DK249" s="9">
        <v>36</v>
      </c>
      <c r="DL249" s="9">
        <v>1</v>
      </c>
      <c r="DM249" s="9">
        <v>22</v>
      </c>
      <c r="DN249" s="9">
        <v>0</v>
      </c>
      <c r="DO249" s="9">
        <v>511.17</v>
      </c>
      <c r="DP249" s="9">
        <v>119.92</v>
      </c>
      <c r="DQ249" s="9">
        <v>70.900000000000006</v>
      </c>
      <c r="DR249" s="9">
        <v>49.02</v>
      </c>
      <c r="DS249" s="9">
        <v>51.52</v>
      </c>
      <c r="DT249" s="9">
        <v>12.32</v>
      </c>
      <c r="DU249" s="9">
        <v>268.27</v>
      </c>
      <c r="DV249" s="9">
        <v>162</v>
      </c>
      <c r="DW249" s="9">
        <v>69.400000000000006</v>
      </c>
      <c r="DX249" s="9">
        <v>70.989999999999995</v>
      </c>
      <c r="DY249" s="9">
        <v>39.380000000000003</v>
      </c>
      <c r="DZ249" s="9">
        <v>19.61</v>
      </c>
      <c r="EA249" s="9">
        <v>-79</v>
      </c>
      <c r="EB249" s="9">
        <v>157.9</v>
      </c>
      <c r="EC249" s="9">
        <v>-98.9</v>
      </c>
      <c r="ED249" s="9">
        <v>-157.69999999999999</v>
      </c>
      <c r="EE249" s="9">
        <v>19.600000000000001</v>
      </c>
      <c r="EF249" s="9">
        <v>7.1</v>
      </c>
      <c r="EG249" s="9">
        <v>-135</v>
      </c>
      <c r="EH249" s="9">
        <v>-89.3</v>
      </c>
      <c r="EI249" s="9">
        <v>-22.4</v>
      </c>
      <c r="EJ249" s="9">
        <v>1</v>
      </c>
      <c r="EK249" s="9">
        <v>-24.4</v>
      </c>
      <c r="EL249" s="9">
        <v>-118</v>
      </c>
      <c r="EM249" s="9">
        <v>-54.9</v>
      </c>
      <c r="EN249" s="9">
        <v>3652.0452757947</v>
      </c>
      <c r="EO249" s="9">
        <v>566.52433327000006</v>
      </c>
      <c r="EP249" s="9">
        <v>2221.3186574568999</v>
      </c>
      <c r="EQ249" s="9">
        <v>7.6771378240999999</v>
      </c>
      <c r="ER249" s="9">
        <v>46.809424700800001</v>
      </c>
      <c r="ES249" s="9">
        <v>809.71572254290004</v>
      </c>
      <c r="ET249" s="9">
        <v>0</v>
      </c>
      <c r="EU249">
        <v>2849.1052380952001</v>
      </c>
      <c r="EV249" s="9"/>
      <c r="EW249" s="9"/>
      <c r="EX249" s="9"/>
      <c r="EY249" s="9"/>
      <c r="EZ249" s="9"/>
      <c r="FA249" s="9"/>
      <c r="FB249" s="9">
        <v>51.3825</v>
      </c>
      <c r="FC249" s="9">
        <v>44.2571428571</v>
      </c>
      <c r="FD249" s="9">
        <v>6508.3928571428996</v>
      </c>
      <c r="FE249" s="9">
        <v>120.07142857140001</v>
      </c>
      <c r="FF249" s="9">
        <v>1968.0309523809999</v>
      </c>
      <c r="FG249" s="9">
        <v>17212956.5</v>
      </c>
      <c r="FH249" s="9">
        <v>1130967.6100000001</v>
      </c>
      <c r="FI249" s="9">
        <v>1959391.67</v>
      </c>
      <c r="FJ249" s="9">
        <v>8651581.5999999996</v>
      </c>
      <c r="FK249" s="9">
        <v>198761.4</v>
      </c>
      <c r="FL249" s="9">
        <v>483319.4</v>
      </c>
      <c r="FM249" s="9">
        <v>1661249.32</v>
      </c>
      <c r="FN249" s="9">
        <v>76896.41</v>
      </c>
      <c r="FO249" s="9">
        <v>140726.54</v>
      </c>
      <c r="FP249" s="9">
        <v>2914970.9</v>
      </c>
      <c r="FQ249" s="9">
        <v>254579.20000000001</v>
      </c>
      <c r="FR249" s="9">
        <v>272235.59999999998</v>
      </c>
      <c r="FS249" s="9">
        <v>570400.19999999995</v>
      </c>
      <c r="FT249" s="9">
        <v>8555135.292710498</v>
      </c>
      <c r="FU249" s="9">
        <v>932206.16003849998</v>
      </c>
      <c r="FV249" s="9">
        <v>1469832.6295719999</v>
      </c>
      <c r="FW249" s="9">
        <v>2189518.61</v>
      </c>
      <c r="FX249" s="9">
        <v>125099.53</v>
      </c>
      <c r="FY249" s="9">
        <v>600375.42000000004</v>
      </c>
      <c r="FZ249" s="9">
        <v>442086.88270000002</v>
      </c>
      <c r="GA249" s="9">
        <v>19990020.8795733</v>
      </c>
      <c r="GB249" s="9">
        <v>4644284.4439099999</v>
      </c>
      <c r="GC249" s="9">
        <v>15345736.4356633</v>
      </c>
      <c r="GD249" s="9">
        <v>14813767.3039</v>
      </c>
      <c r="GE249" s="9">
        <v>1292630.5619999999</v>
      </c>
      <c r="GF249" s="9">
        <v>13521136.741900001</v>
      </c>
      <c r="GG249" s="9">
        <v>5176253.5756733008</v>
      </c>
      <c r="GH249" s="9">
        <v>3351653.88191</v>
      </c>
      <c r="GI249" s="9">
        <v>1824599.6937633001</v>
      </c>
      <c r="GJ249" s="9">
        <v>3952723.28247</v>
      </c>
      <c r="GK249" s="9">
        <v>34485653.850000001</v>
      </c>
      <c r="GL249" s="9">
        <v>3093603.83</v>
      </c>
      <c r="GM249">
        <v>2852.94</v>
      </c>
      <c r="GO249" s="6"/>
      <c r="GP249" s="6"/>
      <c r="GQ249" s="6"/>
    </row>
    <row r="250" spans="1:199" x14ac:dyDescent="0.2">
      <c r="A250" s="8">
        <v>2020</v>
      </c>
      <c r="B250" s="8" t="s">
        <v>527</v>
      </c>
      <c r="C250" s="8" t="s">
        <v>530</v>
      </c>
      <c r="D250" s="9">
        <v>9621324.7850000001</v>
      </c>
      <c r="E250" s="9">
        <v>1039034.662</v>
      </c>
      <c r="F250" s="9">
        <v>2109349.6069999998</v>
      </c>
      <c r="G250" s="9">
        <v>971318.58499999996</v>
      </c>
      <c r="H250" s="9">
        <v>140771.53899999999</v>
      </c>
      <c r="I250" s="9">
        <v>295176.82299999997</v>
      </c>
      <c r="J250" s="9">
        <v>694576.33600000001</v>
      </c>
      <c r="K250" s="9">
        <v>437962.23599999998</v>
      </c>
      <c r="L250" s="9">
        <v>215752.014</v>
      </c>
      <c r="M250" s="9">
        <v>2551981.108</v>
      </c>
      <c r="N250" s="9">
        <v>1165401.875</v>
      </c>
      <c r="O250" s="9">
        <v>7024671.9029999999</v>
      </c>
      <c r="P250" s="9">
        <v>1156188.8729999999</v>
      </c>
      <c r="Q250" s="9">
        <v>1017928.713</v>
      </c>
      <c r="R250" s="9">
        <v>516021.72100000002</v>
      </c>
      <c r="S250" s="9">
        <v>117080.274</v>
      </c>
      <c r="T250" s="9">
        <v>218374.60800000001</v>
      </c>
      <c r="U250" s="9">
        <v>702617.07400000002</v>
      </c>
      <c r="V250" s="9">
        <v>360182.06800000003</v>
      </c>
      <c r="W250" s="9">
        <v>166584.21799999999</v>
      </c>
      <c r="X250" s="9">
        <v>1875623.023</v>
      </c>
      <c r="Y250" s="9">
        <v>894071.33</v>
      </c>
      <c r="Z250" s="9">
        <v>9927940.1380000003</v>
      </c>
      <c r="AA250" s="9">
        <v>5510581.767</v>
      </c>
      <c r="AB250" s="9">
        <v>1154122.871</v>
      </c>
      <c r="AC250" s="9">
        <v>3387565.9589999998</v>
      </c>
      <c r="AD250" s="9">
        <v>-1360358.612</v>
      </c>
      <c r="AE250" s="9">
        <v>6779423.1919999998</v>
      </c>
      <c r="AF250" s="9">
        <v>5543395.0389999999</v>
      </c>
      <c r="AG250" s="9">
        <v>7096971.4000000004</v>
      </c>
      <c r="AH250" s="9">
        <v>4728260.5</v>
      </c>
      <c r="AI250" s="9">
        <v>1077625.7</v>
      </c>
      <c r="AJ250" s="9">
        <v>2327924</v>
      </c>
      <c r="AK250" s="9">
        <v>-579438.69999999995</v>
      </c>
      <c r="AL250" s="9">
        <v>3940492.4</v>
      </c>
      <c r="AM250" s="9">
        <v>4397892.5999999996</v>
      </c>
      <c r="AN250" s="9">
        <v>1175986</v>
      </c>
      <c r="AO250" s="9">
        <v>607873</v>
      </c>
      <c r="AP250" s="9">
        <v>568113</v>
      </c>
      <c r="AQ250" s="9">
        <v>92616</v>
      </c>
      <c r="AR250" s="9">
        <v>51746</v>
      </c>
      <c r="AS250" s="9">
        <v>40870</v>
      </c>
      <c r="AT250" s="9">
        <v>881374</v>
      </c>
      <c r="AU250" s="9">
        <v>335204</v>
      </c>
      <c r="AV250" s="9">
        <v>546170</v>
      </c>
      <c r="AW250" s="9">
        <v>1269.0999999999999</v>
      </c>
      <c r="AX250" s="9">
        <v>1000</v>
      </c>
      <c r="AY250" s="9">
        <v>2934</v>
      </c>
      <c r="AZ250" s="9">
        <v>1243</v>
      </c>
      <c r="BA250" s="9">
        <v>1611.2</v>
      </c>
      <c r="BB250" s="9">
        <v>1026.0999999999999</v>
      </c>
      <c r="BC250" s="9">
        <v>1253.0999999999999</v>
      </c>
      <c r="BD250" s="9">
        <v>1089.3</v>
      </c>
      <c r="BE250" s="9">
        <v>1240.7</v>
      </c>
      <c r="BF250" s="9">
        <v>799.7</v>
      </c>
      <c r="BG250" s="9">
        <v>1333.9</v>
      </c>
      <c r="BH250" s="9">
        <v>1543.2</v>
      </c>
      <c r="BI250" s="9">
        <v>1572.2</v>
      </c>
      <c r="BJ250" s="9">
        <v>992.7</v>
      </c>
      <c r="BK250" s="9">
        <v>1154.7</v>
      </c>
      <c r="BL250" s="9">
        <v>861.9</v>
      </c>
      <c r="BM250" s="9">
        <v>1115.3</v>
      </c>
      <c r="BN250" s="9">
        <v>1232355.8</v>
      </c>
      <c r="BO250" s="9">
        <v>930559.8</v>
      </c>
      <c r="BP250" s="9">
        <v>174058.3</v>
      </c>
      <c r="BQ250" s="9">
        <v>93235.199999999997</v>
      </c>
      <c r="BR250" s="9">
        <v>81527.8</v>
      </c>
      <c r="BS250" s="9">
        <v>216707</v>
      </c>
      <c r="BT250" s="9">
        <v>260967.3</v>
      </c>
      <c r="BU250" s="9">
        <v>76776.399999999994</v>
      </c>
      <c r="BV250" s="9">
        <v>71463.5</v>
      </c>
      <c r="BW250" s="9">
        <v>906564.3</v>
      </c>
      <c r="BX250" s="9">
        <v>3950.9</v>
      </c>
      <c r="BY250" s="9">
        <v>161215.9</v>
      </c>
      <c r="BZ250" s="9">
        <v>220253.8</v>
      </c>
      <c r="CA250" s="9">
        <v>96167.4</v>
      </c>
      <c r="CB250" s="9">
        <v>24304.400000000001</v>
      </c>
      <c r="CC250" s="9">
        <v>5223.7</v>
      </c>
      <c r="CD250" s="9">
        <v>399399.1</v>
      </c>
      <c r="CE250" s="9">
        <v>174256.6</v>
      </c>
      <c r="CF250" s="9">
        <v>3560538.2140449551</v>
      </c>
      <c r="CG250" s="9">
        <v>22425904.901262742</v>
      </c>
      <c r="CH250" s="9">
        <v>9.9532319886000007</v>
      </c>
      <c r="CI250" s="9">
        <v>2.9968384633</v>
      </c>
      <c r="CJ250" s="9">
        <v>16.420120668399999</v>
      </c>
      <c r="CK250" s="9">
        <v>10.9545060394</v>
      </c>
      <c r="CL250" s="9">
        <v>8</v>
      </c>
      <c r="CM250" s="9">
        <v>124.3466376099</v>
      </c>
      <c r="CN250" s="9">
        <v>33.135828661399998</v>
      </c>
      <c r="CO250" s="9">
        <v>5.3645740568000004</v>
      </c>
      <c r="CP250" s="9">
        <v>20.686232177600001</v>
      </c>
      <c r="CQ250" s="9">
        <v>12.6452891659</v>
      </c>
      <c r="CR250" s="9">
        <v>5.9899691894</v>
      </c>
      <c r="CS250" s="9">
        <v>4.7922443173999998</v>
      </c>
      <c r="CT250" s="9">
        <v>15.891528592</v>
      </c>
      <c r="CU250" s="9">
        <v>4.3120994242000004</v>
      </c>
      <c r="CV250" s="9">
        <v>3.9617261192000002</v>
      </c>
      <c r="CW250" s="9">
        <v>6.8440943042000004</v>
      </c>
      <c r="CX250" s="9">
        <v>3.7908956520000001</v>
      </c>
      <c r="CY250" s="9">
        <v>6.9321559496000003</v>
      </c>
      <c r="CZ250" s="9">
        <v>668</v>
      </c>
      <c r="DA250" s="9">
        <v>609</v>
      </c>
      <c r="DB250" s="9">
        <v>20</v>
      </c>
      <c r="DC250" s="9">
        <v>155</v>
      </c>
      <c r="DD250" s="9">
        <v>61</v>
      </c>
      <c r="DE250" s="9">
        <v>18</v>
      </c>
      <c r="DF250" s="9">
        <v>309</v>
      </c>
      <c r="DG250" s="9">
        <v>19</v>
      </c>
      <c r="DH250" s="9">
        <v>34</v>
      </c>
      <c r="DI250" s="9">
        <v>6</v>
      </c>
      <c r="DJ250" s="9">
        <v>0</v>
      </c>
      <c r="DK250" s="9">
        <v>24</v>
      </c>
      <c r="DL250" s="9">
        <v>1</v>
      </c>
      <c r="DM250" s="9">
        <v>24</v>
      </c>
      <c r="DN250" s="9">
        <v>0</v>
      </c>
      <c r="DO250" s="9">
        <v>474.91</v>
      </c>
      <c r="DP250" s="9">
        <v>135.01</v>
      </c>
      <c r="DQ250" s="9">
        <v>78.48</v>
      </c>
      <c r="DR250" s="9">
        <v>56.53</v>
      </c>
      <c r="DS250" s="9">
        <v>54.29</v>
      </c>
      <c r="DT250" s="9">
        <v>11.66</v>
      </c>
      <c r="DU250" s="9">
        <v>228.41</v>
      </c>
      <c r="DV250" s="9">
        <v>138.55000000000001</v>
      </c>
      <c r="DW250" s="9">
        <v>69.94</v>
      </c>
      <c r="DX250" s="9">
        <v>56.76</v>
      </c>
      <c r="DY250" s="9">
        <v>30.37</v>
      </c>
      <c r="DZ250" s="9">
        <v>16.95</v>
      </c>
      <c r="EA250" s="9">
        <v>-44.4</v>
      </c>
      <c r="EB250" s="9">
        <v>117.3</v>
      </c>
      <c r="EC250" s="9">
        <v>-148.1</v>
      </c>
      <c r="ED250" s="9">
        <v>-64.599999999999994</v>
      </c>
      <c r="EE250" s="9">
        <v>51</v>
      </c>
      <c r="EF250" s="9">
        <v>9.6999999999999993</v>
      </c>
      <c r="EG250" s="9">
        <v>146.9</v>
      </c>
      <c r="EH250" s="9">
        <v>-117.4</v>
      </c>
      <c r="EI250" s="9">
        <v>10.9</v>
      </c>
      <c r="EJ250" s="9">
        <v>-2.5</v>
      </c>
      <c r="EK250" s="9">
        <v>255.9</v>
      </c>
      <c r="EL250" s="9">
        <v>107.8</v>
      </c>
      <c r="EM250" s="9">
        <v>-73.900000000000006</v>
      </c>
      <c r="EN250" s="9">
        <v>3697.8419930498999</v>
      </c>
      <c r="EO250" s="9">
        <v>730.50821098120002</v>
      </c>
      <c r="EP250" s="9">
        <v>1982.6086736074001</v>
      </c>
      <c r="EQ250" s="9">
        <v>7.6460143917999996</v>
      </c>
      <c r="ER250" s="9">
        <v>46.619657369199999</v>
      </c>
      <c r="ES250" s="9">
        <v>930.45943670040003</v>
      </c>
      <c r="ET250" s="9">
        <v>0</v>
      </c>
      <c r="EU250">
        <v>2854.1681818182001</v>
      </c>
      <c r="EV250" s="9">
        <v>31445.87</v>
      </c>
      <c r="EW250" s="9">
        <v>8059.69</v>
      </c>
      <c r="EX250" s="9">
        <v>2154.4499999999998</v>
      </c>
      <c r="EY250" s="9">
        <v>1764.14</v>
      </c>
      <c r="EZ250" s="9">
        <v>8267.74</v>
      </c>
      <c r="FA250" s="9">
        <v>11199.85</v>
      </c>
      <c r="FB250" s="9">
        <v>52.005681818200003</v>
      </c>
      <c r="FC250" s="9">
        <v>41.085454545499999</v>
      </c>
      <c r="FD250" s="9">
        <v>6704.9</v>
      </c>
      <c r="FE250" s="9">
        <v>123</v>
      </c>
      <c r="FF250" s="9">
        <v>1922.2136363636</v>
      </c>
      <c r="FG250" s="9">
        <v>17182054.809999999</v>
      </c>
      <c r="FH250" s="9">
        <v>1141989.69</v>
      </c>
      <c r="FI250" s="9">
        <v>1964027.52</v>
      </c>
      <c r="FJ250" s="9">
        <v>8759742.9000000004</v>
      </c>
      <c r="FK250" s="9">
        <v>186191.1</v>
      </c>
      <c r="FL250" s="9">
        <v>483770.6</v>
      </c>
      <c r="FM250" s="9">
        <v>1716794.46</v>
      </c>
      <c r="FN250" s="9">
        <v>71452.88</v>
      </c>
      <c r="FO250" s="9">
        <v>148062.26999999999</v>
      </c>
      <c r="FP250" s="9">
        <v>2926075.6</v>
      </c>
      <c r="FQ250" s="9">
        <v>251030</v>
      </c>
      <c r="FR250" s="9">
        <v>264871.90000000002</v>
      </c>
      <c r="FS250" s="9">
        <v>578143</v>
      </c>
      <c r="FT250" s="9">
        <v>8416071.8985802792</v>
      </c>
      <c r="FU250" s="9">
        <v>955798.55270027998</v>
      </c>
      <c r="FV250" s="9">
        <v>1474016.8258499999</v>
      </c>
      <c r="FW250" s="9">
        <v>2277482.37</v>
      </c>
      <c r="FX250" s="9">
        <v>167074.93</v>
      </c>
      <c r="FY250" s="9">
        <v>577127</v>
      </c>
      <c r="FZ250" s="9">
        <v>469488.01380000002</v>
      </c>
      <c r="GA250" s="9">
        <v>20859605.030200198</v>
      </c>
      <c r="GB250" s="9">
        <v>4763120.8274099994</v>
      </c>
      <c r="GC250" s="9">
        <v>16096484.202790201</v>
      </c>
      <c r="GD250" s="9">
        <v>15207117.6314</v>
      </c>
      <c r="GE250" s="9">
        <v>1425395.9310999999</v>
      </c>
      <c r="GF250" s="9">
        <v>13781721.700300001</v>
      </c>
      <c r="GG250" s="9">
        <v>5652487.3988001999</v>
      </c>
      <c r="GH250" s="9">
        <v>3337724.8963100002</v>
      </c>
      <c r="GI250" s="9">
        <v>2314762.5024902001</v>
      </c>
      <c r="GJ250" s="9">
        <v>3905951.4296499998</v>
      </c>
      <c r="GK250" s="9">
        <v>35363947.490000002</v>
      </c>
      <c r="GL250" s="9">
        <v>2984836.15</v>
      </c>
      <c r="GM250">
        <v>2854.72</v>
      </c>
      <c r="GO250" s="6"/>
      <c r="GP250" s="6"/>
      <c r="GQ250" s="6"/>
    </row>
    <row r="251" spans="1:199" x14ac:dyDescent="0.2">
      <c r="A251" s="8">
        <v>2020</v>
      </c>
      <c r="B251" s="8" t="s">
        <v>531</v>
      </c>
      <c r="C251" s="8" t="s">
        <v>532</v>
      </c>
      <c r="D251" s="9"/>
      <c r="E251" s="9"/>
      <c r="F251" s="9"/>
      <c r="G251" s="9"/>
      <c r="H251" s="9"/>
      <c r="I251" s="9"/>
      <c r="J251" s="9"/>
      <c r="K251" s="9"/>
      <c r="L251" s="9"/>
      <c r="M251" s="9"/>
      <c r="N251" s="9"/>
      <c r="O251" s="9"/>
      <c r="P251" s="9"/>
      <c r="Q251" s="9"/>
      <c r="R251" s="9"/>
      <c r="S251" s="9"/>
      <c r="T251" s="9"/>
      <c r="U251" s="9"/>
      <c r="V251" s="9"/>
      <c r="W251" s="9"/>
      <c r="X251" s="9"/>
      <c r="Y251" s="9"/>
      <c r="Z251" s="9"/>
      <c r="AA251" s="9"/>
      <c r="AB251" s="9"/>
      <c r="AC251" s="9"/>
      <c r="AD251" s="9"/>
      <c r="AE251" s="9"/>
      <c r="AF251" s="9"/>
      <c r="AG251" s="9"/>
      <c r="AH251" s="9"/>
      <c r="AI251" s="9"/>
      <c r="AJ251" s="9"/>
      <c r="AK251" s="9"/>
      <c r="AL251" s="9"/>
      <c r="AM251" s="9"/>
      <c r="AN251" s="9"/>
      <c r="AO251" s="9"/>
      <c r="AP251" s="9"/>
      <c r="AQ251" s="9"/>
      <c r="AR251" s="9"/>
      <c r="AS251" s="9"/>
      <c r="AT251" s="9"/>
      <c r="AU251" s="9"/>
      <c r="AV251" s="9"/>
      <c r="AW251" s="9"/>
      <c r="AX251" s="9"/>
      <c r="AY251" s="9"/>
      <c r="AZ251" s="9"/>
      <c r="BA251" s="9"/>
      <c r="BB251" s="9"/>
      <c r="BC251" s="9"/>
      <c r="BD251" s="9"/>
      <c r="BE251" s="9"/>
      <c r="BF251" s="9"/>
      <c r="BG251" s="9"/>
      <c r="BH251" s="9"/>
      <c r="BI251" s="9"/>
      <c r="BJ251" s="9"/>
      <c r="BK251" s="9"/>
      <c r="BL251" s="9"/>
      <c r="BM251" s="9"/>
      <c r="BN251" s="9">
        <v>940324</v>
      </c>
      <c r="BO251" s="9">
        <v>774314</v>
      </c>
      <c r="BP251" s="9">
        <v>289649.09999999998</v>
      </c>
      <c r="BQ251" s="9">
        <v>223759.6</v>
      </c>
      <c r="BR251" s="9">
        <v>65888.100000000006</v>
      </c>
      <c r="BS251" s="9">
        <v>29602.7</v>
      </c>
      <c r="BT251" s="9">
        <v>211966.6</v>
      </c>
      <c r="BU251" s="9">
        <v>66687.100000000006</v>
      </c>
      <c r="BV251" s="9">
        <v>80568.600000000006</v>
      </c>
      <c r="BW251" s="9">
        <v>1138173.8</v>
      </c>
      <c r="BX251" s="9">
        <v>16386.099999999999</v>
      </c>
      <c r="BY251" s="9">
        <v>248754.7</v>
      </c>
      <c r="BZ251" s="9">
        <v>226479.1</v>
      </c>
      <c r="CA251" s="9">
        <v>224425.60000000001</v>
      </c>
      <c r="CB251" s="9">
        <v>28523.9</v>
      </c>
      <c r="CC251" s="9">
        <v>20166</v>
      </c>
      <c r="CD251" s="9">
        <v>389824.4</v>
      </c>
      <c r="CE251" s="9">
        <v>220046.5</v>
      </c>
      <c r="CF251" s="9">
        <v>3630786.4562705546</v>
      </c>
      <c r="CG251" s="9">
        <v>22531243.98835193</v>
      </c>
      <c r="CH251" s="9">
        <v>10.4211249756</v>
      </c>
      <c r="CI251" s="9">
        <v>3.3803827861000002</v>
      </c>
      <c r="CJ251" s="9">
        <v>15.9574605408</v>
      </c>
      <c r="CK251" s="9">
        <v>10.093749301700001</v>
      </c>
      <c r="CL251" s="9">
        <v>8</v>
      </c>
      <c r="CM251" s="9">
        <v>124.8059786325</v>
      </c>
      <c r="CN251" s="9">
        <v>33.0545444089</v>
      </c>
      <c r="CO251" s="9">
        <v>5.3657656532000004</v>
      </c>
      <c r="CP251" s="9">
        <v>20.921420614999999</v>
      </c>
      <c r="CQ251" s="9">
        <v>12.673075402</v>
      </c>
      <c r="CR251" s="9">
        <v>6.0170494227000004</v>
      </c>
      <c r="CS251" s="9">
        <v>4.8137796753000002</v>
      </c>
      <c r="CT251" s="9">
        <v>16.055955296299999</v>
      </c>
      <c r="CU251" s="9">
        <v>4.3120994242000004</v>
      </c>
      <c r="CV251" s="9">
        <v>3.9645562275000001</v>
      </c>
      <c r="CW251" s="9">
        <v>6.8444230712999996</v>
      </c>
      <c r="CX251" s="9">
        <v>3.8302553303</v>
      </c>
      <c r="CY251" s="9">
        <v>6.9530541057999997</v>
      </c>
      <c r="CZ251" s="9">
        <v>839</v>
      </c>
      <c r="DA251" s="9">
        <v>767</v>
      </c>
      <c r="DB251" s="9">
        <v>156</v>
      </c>
      <c r="DC251" s="9">
        <v>179</v>
      </c>
      <c r="DD251" s="9">
        <v>64</v>
      </c>
      <c r="DE251" s="9">
        <v>17</v>
      </c>
      <c r="DF251" s="9">
        <v>297</v>
      </c>
      <c r="DG251" s="9">
        <v>19</v>
      </c>
      <c r="DH251" s="9">
        <v>40</v>
      </c>
      <c r="DI251" s="9">
        <v>11</v>
      </c>
      <c r="DJ251" s="9">
        <v>0</v>
      </c>
      <c r="DK251" s="9">
        <v>25</v>
      </c>
      <c r="DL251" s="9">
        <v>1</v>
      </c>
      <c r="DM251" s="9">
        <v>31</v>
      </c>
      <c r="DN251" s="9">
        <v>0</v>
      </c>
      <c r="DO251" s="9">
        <v>508.88</v>
      </c>
      <c r="DP251" s="9">
        <v>154.99</v>
      </c>
      <c r="DQ251" s="9">
        <v>89.12</v>
      </c>
      <c r="DR251" s="9">
        <v>65.86</v>
      </c>
      <c r="DS251" s="9">
        <v>50.81</v>
      </c>
      <c r="DT251" s="9">
        <v>11.45</v>
      </c>
      <c r="DU251" s="9">
        <v>229.02</v>
      </c>
      <c r="DV251" s="9">
        <v>126.36</v>
      </c>
      <c r="DW251" s="9">
        <v>60.72</v>
      </c>
      <c r="DX251" s="9">
        <v>64.099999999999994</v>
      </c>
      <c r="DY251" s="9">
        <v>33.08</v>
      </c>
      <c r="DZ251" s="9">
        <v>17.21</v>
      </c>
      <c r="EA251" s="9">
        <v>10.199999999999999</v>
      </c>
      <c r="EB251" s="9">
        <v>237.6</v>
      </c>
      <c r="EC251" s="9">
        <v>-134.6</v>
      </c>
      <c r="ED251" s="9">
        <v>-113</v>
      </c>
      <c r="EE251" s="9">
        <v>20.100000000000001</v>
      </c>
      <c r="EF251" s="9">
        <v>7.9</v>
      </c>
      <c r="EG251" s="9">
        <v>-197.1</v>
      </c>
      <c r="EH251" s="9">
        <v>-81</v>
      </c>
      <c r="EI251" s="9">
        <v>41.8</v>
      </c>
      <c r="EJ251" s="9">
        <v>0.5</v>
      </c>
      <c r="EK251" s="9">
        <v>-158.4</v>
      </c>
      <c r="EL251" s="9">
        <v>-37</v>
      </c>
      <c r="EM251" s="9">
        <v>178.2</v>
      </c>
      <c r="EN251" s="9">
        <v>3723.0128038242001</v>
      </c>
      <c r="EO251" s="9">
        <v>840.90151303159996</v>
      </c>
      <c r="EP251" s="9">
        <v>2054.2424588721001</v>
      </c>
      <c r="EQ251" s="9">
        <v>7.6753392453</v>
      </c>
      <c r="ER251" s="9">
        <v>46.798458317700003</v>
      </c>
      <c r="ES251" s="9">
        <v>773.39503435749998</v>
      </c>
      <c r="ET251" s="9">
        <v>0</v>
      </c>
      <c r="EU251">
        <v>2853.6023809523999</v>
      </c>
      <c r="EV251" s="9"/>
      <c r="EW251" s="9"/>
      <c r="EX251" s="9"/>
      <c r="EY251" s="9"/>
      <c r="EZ251" s="9"/>
      <c r="FA251" s="9"/>
      <c r="FB251" s="9">
        <v>58.069480519499997</v>
      </c>
      <c r="FC251" s="9">
        <v>40.47</v>
      </c>
      <c r="FD251" s="9">
        <v>6713.8113636363996</v>
      </c>
      <c r="FE251" s="9">
        <v>119.25</v>
      </c>
      <c r="FF251" s="9">
        <v>1900.2750000000001</v>
      </c>
      <c r="FG251" s="9">
        <v>17042920.969999999</v>
      </c>
      <c r="FH251" s="9">
        <v>1221492.8400000001</v>
      </c>
      <c r="FI251" s="9">
        <v>1996804.03</v>
      </c>
      <c r="FJ251" s="9">
        <v>8767426.9000000004</v>
      </c>
      <c r="FK251" s="9">
        <v>183106.6</v>
      </c>
      <c r="FL251" s="9">
        <v>489005.5</v>
      </c>
      <c r="FM251" s="9">
        <v>1731868.95</v>
      </c>
      <c r="FN251" s="9">
        <v>71419.67</v>
      </c>
      <c r="FO251" s="9">
        <v>147881.79999999999</v>
      </c>
      <c r="FP251" s="9">
        <v>2908089.1</v>
      </c>
      <c r="FQ251" s="9">
        <v>246916.8</v>
      </c>
      <c r="FR251" s="9">
        <v>256740.6</v>
      </c>
      <c r="FS251" s="9">
        <v>557391.30000000005</v>
      </c>
      <c r="FT251" s="9">
        <v>8269254.7498832801</v>
      </c>
      <c r="FU251" s="9">
        <v>1038386.1913632801</v>
      </c>
      <c r="FV251" s="9">
        <v>1501559.14983</v>
      </c>
      <c r="FW251" s="9">
        <v>1867521.24</v>
      </c>
      <c r="FX251" s="9">
        <v>206375.64</v>
      </c>
      <c r="FY251" s="9">
        <v>509791.15</v>
      </c>
      <c r="FZ251" s="9">
        <v>469341.29100000003</v>
      </c>
      <c r="GA251" s="9">
        <v>20985386.878943998</v>
      </c>
      <c r="GB251" s="9">
        <v>4713374.5031300001</v>
      </c>
      <c r="GC251" s="9">
        <v>16272012.375814</v>
      </c>
      <c r="GD251" s="9">
        <v>15526376.9954</v>
      </c>
      <c r="GE251" s="9">
        <v>1376400.2927000001</v>
      </c>
      <c r="GF251" s="9">
        <v>14149976.7027</v>
      </c>
      <c r="GG251" s="9">
        <v>5459009.8835439999</v>
      </c>
      <c r="GH251" s="9">
        <v>3336974.21043</v>
      </c>
      <c r="GI251" s="9">
        <v>2122035.6731139999</v>
      </c>
      <c r="GJ251" s="9">
        <v>3782970.4203599999</v>
      </c>
      <c r="GK251" s="9">
        <v>35020021.689999998</v>
      </c>
      <c r="GL251" s="9">
        <v>2988576.3250000002</v>
      </c>
      <c r="GM251">
        <v>2851.99</v>
      </c>
      <c r="GO251" s="6"/>
      <c r="GP251" s="6"/>
      <c r="GQ251" s="6"/>
    </row>
    <row r="252" spans="1:199" x14ac:dyDescent="0.2">
      <c r="A252" s="8">
        <v>2020</v>
      </c>
      <c r="B252" s="8" t="s">
        <v>531</v>
      </c>
      <c r="C252" s="8" t="s">
        <v>533</v>
      </c>
      <c r="D252" s="9"/>
      <c r="E252" s="9"/>
      <c r="F252" s="9"/>
      <c r="G252" s="9"/>
      <c r="H252" s="9"/>
      <c r="I252" s="9"/>
      <c r="J252" s="9"/>
      <c r="K252" s="9"/>
      <c r="L252" s="9"/>
      <c r="M252" s="9"/>
      <c r="N252" s="9"/>
      <c r="O252" s="9"/>
      <c r="P252" s="9"/>
      <c r="Q252" s="9"/>
      <c r="R252" s="9"/>
      <c r="S252" s="9"/>
      <c r="T252" s="9"/>
      <c r="U252" s="9"/>
      <c r="V252" s="9"/>
      <c r="W252" s="9"/>
      <c r="X252" s="9"/>
      <c r="Y252" s="9"/>
      <c r="Z252" s="9"/>
      <c r="AA252" s="9"/>
      <c r="AB252" s="9"/>
      <c r="AC252" s="9"/>
      <c r="AD252" s="9"/>
      <c r="AE252" s="9"/>
      <c r="AF252" s="9"/>
      <c r="AG252" s="9"/>
      <c r="AH252" s="9"/>
      <c r="AI252" s="9"/>
      <c r="AJ252" s="9"/>
      <c r="AK252" s="9"/>
      <c r="AL252" s="9"/>
      <c r="AM252" s="9"/>
      <c r="AN252" s="9"/>
      <c r="AO252" s="9"/>
      <c r="AP252" s="9"/>
      <c r="AQ252" s="9"/>
      <c r="AR252" s="9"/>
      <c r="AS252" s="9"/>
      <c r="AT252" s="9"/>
      <c r="AU252" s="9"/>
      <c r="AV252" s="9"/>
      <c r="AW252" s="9"/>
      <c r="AX252" s="9"/>
      <c r="AY252" s="9"/>
      <c r="AZ252" s="9"/>
      <c r="BA252" s="9"/>
      <c r="BB252" s="9"/>
      <c r="BC252" s="9"/>
      <c r="BD252" s="9"/>
      <c r="BE252" s="9"/>
      <c r="BF252" s="9"/>
      <c r="BG252" s="9"/>
      <c r="BH252" s="9"/>
      <c r="BI252" s="9"/>
      <c r="BJ252" s="9"/>
      <c r="BK252" s="9"/>
      <c r="BL252" s="9"/>
      <c r="BM252" s="9"/>
      <c r="BN252" s="9">
        <v>811308.3</v>
      </c>
      <c r="BO252" s="9">
        <v>631800.30000000005</v>
      </c>
      <c r="BP252" s="9">
        <v>144465.60000000001</v>
      </c>
      <c r="BQ252" s="9">
        <v>80998.899999999994</v>
      </c>
      <c r="BR252" s="9">
        <v>63463.8</v>
      </c>
      <c r="BS252" s="9">
        <v>102075.3</v>
      </c>
      <c r="BT252" s="9">
        <v>205616.8</v>
      </c>
      <c r="BU252" s="9">
        <v>61449.9</v>
      </c>
      <c r="BV252" s="9">
        <v>62617.9</v>
      </c>
      <c r="BW252" s="9">
        <v>921095.3</v>
      </c>
      <c r="BX252" s="9">
        <v>13397</v>
      </c>
      <c r="BY252" s="9">
        <v>225571.5</v>
      </c>
      <c r="BZ252" s="9">
        <v>220252.3</v>
      </c>
      <c r="CA252" s="9">
        <v>46049.7</v>
      </c>
      <c r="CB252" s="9">
        <v>25312.9</v>
      </c>
      <c r="CC252" s="9">
        <v>13918.5</v>
      </c>
      <c r="CD252" s="9">
        <v>389990.2</v>
      </c>
      <c r="CE252" s="9">
        <v>212022.5</v>
      </c>
      <c r="CF252" s="9">
        <v>3914974.439511741</v>
      </c>
      <c r="CG252" s="9">
        <v>23271506.37890223</v>
      </c>
      <c r="CH252" s="9">
        <v>10.1596788255</v>
      </c>
      <c r="CI252" s="9">
        <v>2.6998634941000001</v>
      </c>
      <c r="CJ252" s="9">
        <v>15.7947249135</v>
      </c>
      <c r="CK252" s="9">
        <v>10.225175841</v>
      </c>
      <c r="CL252" s="9">
        <v>6</v>
      </c>
      <c r="CM252" s="9">
        <v>125.5306399649</v>
      </c>
      <c r="CN252" s="9">
        <v>33.559662809099997</v>
      </c>
      <c r="CO252" s="9">
        <v>5.3755871912000002</v>
      </c>
      <c r="CP252" s="9">
        <v>20.9364754269</v>
      </c>
      <c r="CQ252" s="9">
        <v>12.8441604502</v>
      </c>
      <c r="CR252" s="9">
        <v>6.0257493964000002</v>
      </c>
      <c r="CS252" s="9">
        <v>4.8336327569000002</v>
      </c>
      <c r="CT252" s="9">
        <v>16.0404490954</v>
      </c>
      <c r="CU252" s="9">
        <v>4.3122520461000002</v>
      </c>
      <c r="CV252" s="9">
        <v>3.9668623436999999</v>
      </c>
      <c r="CW252" s="9">
        <v>6.8444230712999996</v>
      </c>
      <c r="CX252" s="9">
        <v>3.8305372446999999</v>
      </c>
      <c r="CY252" s="9">
        <v>6.9608481328999998</v>
      </c>
      <c r="CZ252" s="9">
        <v>869</v>
      </c>
      <c r="DA252" s="9">
        <v>829</v>
      </c>
      <c r="DB252" s="9">
        <v>303</v>
      </c>
      <c r="DC252" s="9">
        <v>183</v>
      </c>
      <c r="DD252" s="9">
        <v>58</v>
      </c>
      <c r="DE252" s="9">
        <v>11</v>
      </c>
      <c r="DF252" s="9">
        <v>230</v>
      </c>
      <c r="DG252" s="9">
        <v>23</v>
      </c>
      <c r="DH252" s="9">
        <v>16</v>
      </c>
      <c r="DI252" s="9">
        <v>8</v>
      </c>
      <c r="DJ252" s="9">
        <v>0</v>
      </c>
      <c r="DK252" s="9">
        <v>5</v>
      </c>
      <c r="DL252" s="9">
        <v>3</v>
      </c>
      <c r="DM252" s="9">
        <v>22</v>
      </c>
      <c r="DN252" s="9">
        <v>0</v>
      </c>
      <c r="DO252" s="9">
        <v>449.61</v>
      </c>
      <c r="DP252" s="9">
        <v>139.69</v>
      </c>
      <c r="DQ252" s="9">
        <v>89.71</v>
      </c>
      <c r="DR252" s="9">
        <v>49.98</v>
      </c>
      <c r="DS252" s="9">
        <v>48.64</v>
      </c>
      <c r="DT252" s="9">
        <v>12.16</v>
      </c>
      <c r="DU252" s="9">
        <v>165.23</v>
      </c>
      <c r="DV252" s="9">
        <v>110.7</v>
      </c>
      <c r="DW252" s="9">
        <v>38.06</v>
      </c>
      <c r="DX252" s="9">
        <v>95.57</v>
      </c>
      <c r="DY252" s="9">
        <v>48</v>
      </c>
      <c r="DZ252" s="9">
        <v>31.33</v>
      </c>
      <c r="EA252" s="9">
        <v>132.9</v>
      </c>
      <c r="EB252" s="9">
        <v>393.9</v>
      </c>
      <c r="EC252" s="9">
        <v>-126.3</v>
      </c>
      <c r="ED252" s="9">
        <v>-152</v>
      </c>
      <c r="EE252" s="9">
        <v>17.399999999999999</v>
      </c>
      <c r="EF252" s="9">
        <v>9.6999999999999993</v>
      </c>
      <c r="EG252" s="9">
        <v>24.5</v>
      </c>
      <c r="EH252" s="9">
        <v>-138.69999999999999</v>
      </c>
      <c r="EI252" s="9">
        <v>7.9</v>
      </c>
      <c r="EJ252" s="9">
        <v>-1.19746</v>
      </c>
      <c r="EK252" s="9">
        <v>156.4648</v>
      </c>
      <c r="EL252" s="9">
        <v>185.52770000000001</v>
      </c>
      <c r="EM252" s="9">
        <v>303.59899999999999</v>
      </c>
      <c r="EN252" s="9">
        <v>3869.9330980210002</v>
      </c>
      <c r="EO252" s="9">
        <v>823.68706170200005</v>
      </c>
      <c r="EP252" s="9">
        <v>2382.3556532245002</v>
      </c>
      <c r="EQ252" s="9">
        <v>7.7475466440999998</v>
      </c>
      <c r="ER252" s="9">
        <v>45.668756573899998</v>
      </c>
      <c r="ES252" s="9">
        <v>610.47407987639997</v>
      </c>
      <c r="ET252" s="9">
        <v>0</v>
      </c>
      <c r="EU252">
        <v>2850.0436842105</v>
      </c>
      <c r="EV252" s="9"/>
      <c r="EW252" s="9"/>
      <c r="EX252" s="9"/>
      <c r="EY252" s="9"/>
      <c r="EZ252" s="9"/>
      <c r="FA252" s="9"/>
      <c r="FB252" s="9">
        <v>62.946428571399998</v>
      </c>
      <c r="FC252" s="9">
        <v>43.224285714300002</v>
      </c>
      <c r="FD252" s="9">
        <v>7068.9071428570996</v>
      </c>
      <c r="FE252" s="9">
        <v>123.5238095238</v>
      </c>
      <c r="FF252" s="9">
        <v>1863.4928571429</v>
      </c>
      <c r="FG252" s="9">
        <v>16828617.559999999</v>
      </c>
      <c r="FH252" s="9">
        <v>1174650.3400000001</v>
      </c>
      <c r="FI252" s="9">
        <v>2005382.14</v>
      </c>
      <c r="FJ252" s="9">
        <v>8593822.5</v>
      </c>
      <c r="FK252" s="9">
        <v>209041.2</v>
      </c>
      <c r="FL252" s="9">
        <v>500139.9</v>
      </c>
      <c r="FM252" s="9">
        <v>1690655.68</v>
      </c>
      <c r="FN252" s="9">
        <v>95061.74</v>
      </c>
      <c r="FO252" s="9">
        <v>151791.74</v>
      </c>
      <c r="FP252" s="9">
        <v>2848738.7</v>
      </c>
      <c r="FQ252" s="9">
        <v>233161.4</v>
      </c>
      <c r="FR252" s="9">
        <v>250758.3</v>
      </c>
      <c r="FS252" s="9">
        <v>515909.5</v>
      </c>
      <c r="FT252" s="9">
        <v>8228481.6519999998</v>
      </c>
      <c r="FU252" s="9">
        <v>965609.11899999995</v>
      </c>
      <c r="FV252" s="9">
        <v>1498928.753</v>
      </c>
      <c r="FW252" s="9">
        <v>1872593.9199999999</v>
      </c>
      <c r="FX252" s="9">
        <v>207164.22</v>
      </c>
      <c r="FY252" s="9">
        <v>512097.62</v>
      </c>
      <c r="FZ252" s="9">
        <v>446440.3</v>
      </c>
      <c r="GA252" s="9">
        <v>21669671.210000001</v>
      </c>
      <c r="GB252" s="9">
        <v>5143533.82</v>
      </c>
      <c r="GC252" s="9">
        <v>16526137.390000001</v>
      </c>
      <c r="GD252" s="9">
        <v>15921537.199999999</v>
      </c>
      <c r="GE252" s="9">
        <v>1474580.7</v>
      </c>
      <c r="GF252" s="9">
        <v>14446956.5</v>
      </c>
      <c r="GG252" s="9">
        <v>5748134.0099999998</v>
      </c>
      <c r="GH252" s="9">
        <v>3668953.12</v>
      </c>
      <c r="GI252" s="9">
        <v>2079180.89</v>
      </c>
      <c r="GJ252" s="9">
        <v>3752932.03</v>
      </c>
      <c r="GK252" s="9">
        <v>35912619</v>
      </c>
      <c r="GL252" s="9">
        <v>3054531</v>
      </c>
      <c r="GM252">
        <v>2849.66</v>
      </c>
      <c r="GO252" s="6"/>
      <c r="GP252" s="6"/>
      <c r="GQ252" s="6"/>
    </row>
    <row r="253" spans="1:199" x14ac:dyDescent="0.2">
      <c r="A253" s="8">
        <v>2020</v>
      </c>
      <c r="B253" s="8" t="s">
        <v>531</v>
      </c>
      <c r="C253" s="8" t="s">
        <v>534</v>
      </c>
      <c r="D253" s="9">
        <v>10512325.358999999</v>
      </c>
      <c r="E253" s="9">
        <v>904299.01199999999</v>
      </c>
      <c r="F253" s="9">
        <v>2790142.2340000002</v>
      </c>
      <c r="G253" s="9">
        <v>1676445.149</v>
      </c>
      <c r="H253" s="9">
        <v>276952.87300000002</v>
      </c>
      <c r="I253" s="9">
        <v>698433.73300000001</v>
      </c>
      <c r="J253" s="9">
        <v>1353891.3870000001</v>
      </c>
      <c r="K253" s="9">
        <v>305102.82199999999</v>
      </c>
      <c r="L253" s="9">
        <v>169872.946</v>
      </c>
      <c r="M253" s="9">
        <v>1700625.956</v>
      </c>
      <c r="N253" s="9">
        <v>636559.24800000002</v>
      </c>
      <c r="O253" s="9">
        <v>7819707.9780000001</v>
      </c>
      <c r="P253" s="9">
        <v>805127.54</v>
      </c>
      <c r="Q253" s="9">
        <v>1342646.7749999999</v>
      </c>
      <c r="R253" s="9">
        <v>967304.08900000004</v>
      </c>
      <c r="S253" s="9">
        <v>214849.647</v>
      </c>
      <c r="T253" s="9">
        <v>528840.32400000002</v>
      </c>
      <c r="U253" s="9">
        <v>930384.31299999997</v>
      </c>
      <c r="V253" s="9">
        <v>543863.26500000001</v>
      </c>
      <c r="W253" s="9">
        <v>140041.24299999999</v>
      </c>
      <c r="X253" s="9">
        <v>1885321.1159999999</v>
      </c>
      <c r="Y253" s="9">
        <v>461329.66499999998</v>
      </c>
      <c r="Z253" s="9">
        <v>10522511.029999999</v>
      </c>
      <c r="AA253" s="9">
        <v>5090159.8899999997</v>
      </c>
      <c r="AB253" s="9">
        <v>1825589.26</v>
      </c>
      <c r="AC253" s="9">
        <v>2514837.6660000002</v>
      </c>
      <c r="AD253" s="9">
        <v>-403116.77399999998</v>
      </c>
      <c r="AE253" s="9">
        <v>6863004.5990000004</v>
      </c>
      <c r="AF253" s="9">
        <v>5367963.6109999996</v>
      </c>
      <c r="AG253" s="9">
        <v>7694143.7999999998</v>
      </c>
      <c r="AH253" s="9">
        <v>4258646.2</v>
      </c>
      <c r="AI253" s="9">
        <v>1515487.7</v>
      </c>
      <c r="AJ253" s="9">
        <v>1481314.3</v>
      </c>
      <c r="AK253" s="9">
        <v>23069.7</v>
      </c>
      <c r="AL253" s="9">
        <v>4573142.7</v>
      </c>
      <c r="AM253" s="9">
        <v>4157517</v>
      </c>
      <c r="AN253" s="9">
        <v>1124564</v>
      </c>
      <c r="AO253" s="9">
        <v>594863</v>
      </c>
      <c r="AP253" s="9">
        <v>529701</v>
      </c>
      <c r="AQ253" s="9">
        <v>92085</v>
      </c>
      <c r="AR253" s="9">
        <v>46653</v>
      </c>
      <c r="AS253" s="9">
        <v>45432</v>
      </c>
      <c r="AT253" s="9">
        <v>918068</v>
      </c>
      <c r="AU253" s="9">
        <v>343696</v>
      </c>
      <c r="AV253" s="9">
        <v>574372</v>
      </c>
      <c r="AW253" s="9">
        <v>1328.1</v>
      </c>
      <c r="AX253" s="9">
        <v>1052</v>
      </c>
      <c r="AY253" s="9">
        <v>3296</v>
      </c>
      <c r="AZ253" s="9">
        <v>1256.8</v>
      </c>
      <c r="BA253" s="9">
        <v>1688.2</v>
      </c>
      <c r="BB253" s="9">
        <v>1064.9000000000001</v>
      </c>
      <c r="BC253" s="9">
        <v>1226.8</v>
      </c>
      <c r="BD253" s="9">
        <v>1072.4000000000001</v>
      </c>
      <c r="BE253" s="9">
        <v>1301.8</v>
      </c>
      <c r="BF253" s="9">
        <v>745.2</v>
      </c>
      <c r="BG253" s="9">
        <v>1324.5</v>
      </c>
      <c r="BH253" s="9">
        <v>1458.7</v>
      </c>
      <c r="BI253" s="9">
        <v>1430</v>
      </c>
      <c r="BJ253" s="9">
        <v>1125.9000000000001</v>
      </c>
      <c r="BK253" s="9">
        <v>1247.4000000000001</v>
      </c>
      <c r="BL253" s="9">
        <v>946.8</v>
      </c>
      <c r="BM253" s="9">
        <v>1121.8</v>
      </c>
      <c r="BN253" s="9">
        <v>1333730.3999999999</v>
      </c>
      <c r="BO253" s="9">
        <v>1005000</v>
      </c>
      <c r="BP253" s="9">
        <v>331852.7</v>
      </c>
      <c r="BQ253" s="9">
        <v>202068</v>
      </c>
      <c r="BR253" s="9">
        <v>129773.4</v>
      </c>
      <c r="BS253" s="9">
        <v>225543.6</v>
      </c>
      <c r="BT253" s="9">
        <v>168734.5</v>
      </c>
      <c r="BU253" s="9">
        <v>68227</v>
      </c>
      <c r="BV253" s="9">
        <v>165898.29999999999</v>
      </c>
      <c r="BW253" s="9">
        <v>2004633.5</v>
      </c>
      <c r="BX253" s="9">
        <v>-5689.9</v>
      </c>
      <c r="BY253" s="9">
        <v>469437.5</v>
      </c>
      <c r="BZ253" s="9">
        <v>303163.09999999998</v>
      </c>
      <c r="CA253" s="9">
        <v>110188.3</v>
      </c>
      <c r="CB253" s="9">
        <v>48330.400000000001</v>
      </c>
      <c r="CC253" s="9">
        <v>31465.3</v>
      </c>
      <c r="CD253" s="9">
        <v>352769.9</v>
      </c>
      <c r="CE253" s="9">
        <v>689278.9</v>
      </c>
      <c r="CF253" s="9">
        <v>4197435.133597468</v>
      </c>
      <c r="CG253" s="9">
        <v>24220049.126076151</v>
      </c>
      <c r="CH253" s="9">
        <v>8.3617912586000003</v>
      </c>
      <c r="CI253" s="9">
        <v>3.7032771309000001</v>
      </c>
      <c r="CJ253" s="9">
        <v>14.7517365647</v>
      </c>
      <c r="CK253" s="9">
        <v>9.8308559992000006</v>
      </c>
      <c r="CL253" s="9">
        <v>6</v>
      </c>
      <c r="CM253" s="9">
        <v>124.8075639856</v>
      </c>
      <c r="CN253" s="9">
        <v>34.060050595200003</v>
      </c>
      <c r="CO253" s="9">
        <v>5.3783118787999999</v>
      </c>
      <c r="CP253" s="9">
        <v>21.0330160026</v>
      </c>
      <c r="CQ253" s="9">
        <v>11.4656567231</v>
      </c>
      <c r="CR253" s="9">
        <v>6.0410725139999997</v>
      </c>
      <c r="CS253" s="9">
        <v>4.8525386625999998</v>
      </c>
      <c r="CT253" s="9">
        <v>16.038487546500001</v>
      </c>
      <c r="CU253" s="9">
        <v>4.3139825094999997</v>
      </c>
      <c r="CV253" s="9">
        <v>3.9668623436999999</v>
      </c>
      <c r="CW253" s="9">
        <v>6.8444230712999996</v>
      </c>
      <c r="CX253" s="9">
        <v>3.8305633563999999</v>
      </c>
      <c r="CY253" s="9">
        <v>6.9825987819000002</v>
      </c>
      <c r="CZ253" s="9">
        <v>721</v>
      </c>
      <c r="DA253" s="9">
        <v>663</v>
      </c>
      <c r="DB253" s="9">
        <v>163</v>
      </c>
      <c r="DC253" s="9">
        <v>250</v>
      </c>
      <c r="DD253" s="9">
        <v>54</v>
      </c>
      <c r="DE253" s="9">
        <v>15</v>
      </c>
      <c r="DF253" s="9">
        <v>121</v>
      </c>
      <c r="DG253" s="9">
        <v>23</v>
      </c>
      <c r="DH253" s="9">
        <v>17</v>
      </c>
      <c r="DI253" s="9">
        <v>4</v>
      </c>
      <c r="DJ253" s="9">
        <v>0</v>
      </c>
      <c r="DK253" s="9">
        <v>10</v>
      </c>
      <c r="DL253" s="9">
        <v>3</v>
      </c>
      <c r="DM253" s="9">
        <v>39</v>
      </c>
      <c r="DN253" s="9">
        <v>0</v>
      </c>
      <c r="DO253" s="9">
        <v>407.33</v>
      </c>
      <c r="DP253" s="9">
        <v>138.33000000000001</v>
      </c>
      <c r="DQ253" s="9">
        <v>69.959999999999994</v>
      </c>
      <c r="DR253" s="9">
        <v>68.37</v>
      </c>
      <c r="DS253" s="9">
        <v>51.8</v>
      </c>
      <c r="DT253" s="9">
        <v>13.77</v>
      </c>
      <c r="DU253" s="9">
        <v>142.27000000000001</v>
      </c>
      <c r="DV253" s="9">
        <v>101.46</v>
      </c>
      <c r="DW253" s="9">
        <v>20.5</v>
      </c>
      <c r="DX253" s="9">
        <v>73.88</v>
      </c>
      <c r="DY253" s="9">
        <v>46.82</v>
      </c>
      <c r="DZ253" s="9">
        <v>14.95</v>
      </c>
      <c r="EA253" s="9">
        <v>-84.9</v>
      </c>
      <c r="EB253" s="9">
        <v>256.2</v>
      </c>
      <c r="EC253" s="9">
        <v>-134.69999999999999</v>
      </c>
      <c r="ED253" s="9">
        <v>-224.2</v>
      </c>
      <c r="EE253" s="9">
        <v>17.8</v>
      </c>
      <c r="EF253" s="9">
        <v>8.8000000000000007</v>
      </c>
      <c r="EG253" s="9">
        <v>-801</v>
      </c>
      <c r="EH253" s="9">
        <v>-238.2</v>
      </c>
      <c r="EI253" s="9">
        <v>1.3</v>
      </c>
      <c r="EJ253" s="9">
        <v>-0.2</v>
      </c>
      <c r="EK253" s="9">
        <v>-563.9</v>
      </c>
      <c r="EL253" s="9">
        <v>52.8</v>
      </c>
      <c r="EM253" s="9">
        <v>777.6</v>
      </c>
      <c r="EN253" s="9">
        <v>4534.2338810077999</v>
      </c>
      <c r="EO253" s="9">
        <v>2365.8800719350002</v>
      </c>
      <c r="EP253" s="9">
        <v>1621.6473718730999</v>
      </c>
      <c r="EQ253" s="9">
        <v>7.8290600074999999</v>
      </c>
      <c r="ER253" s="9">
        <v>46.149245962499997</v>
      </c>
      <c r="ES253" s="9">
        <v>492.7281312298</v>
      </c>
      <c r="ET253" s="9">
        <v>0</v>
      </c>
      <c r="EU253">
        <v>2849.5486363636001</v>
      </c>
      <c r="EV253" s="9">
        <v>32361.83</v>
      </c>
      <c r="EW253" s="9">
        <v>8653.84</v>
      </c>
      <c r="EX253" s="9">
        <v>2220.9899999999998</v>
      </c>
      <c r="EY253" s="9">
        <v>1650.9</v>
      </c>
      <c r="EZ253" s="9">
        <v>8430.23</v>
      </c>
      <c r="FA253" s="9">
        <v>11405.87</v>
      </c>
      <c r="FB253" s="9">
        <v>80.5897959184</v>
      </c>
      <c r="FC253" s="9">
        <v>49.854347826100003</v>
      </c>
      <c r="FD253" s="9">
        <v>7772.2380952381</v>
      </c>
      <c r="FE253" s="9">
        <v>153.0652173913</v>
      </c>
      <c r="FF253" s="9">
        <v>1855.9552631578999</v>
      </c>
      <c r="FG253" s="9">
        <v>17034235.699999999</v>
      </c>
      <c r="FH253" s="9">
        <v>1264508.05</v>
      </c>
      <c r="FI253" s="9">
        <v>2002279.28</v>
      </c>
      <c r="FJ253" s="9">
        <v>8531550.5999999996</v>
      </c>
      <c r="FK253" s="9">
        <v>250826.5</v>
      </c>
      <c r="FL253" s="9">
        <v>497100.2</v>
      </c>
      <c r="FM253" s="9">
        <v>1694749.68</v>
      </c>
      <c r="FN253" s="9">
        <v>150101.01999999999</v>
      </c>
      <c r="FO253" s="9">
        <v>149235.07999999999</v>
      </c>
      <c r="FP253" s="9">
        <v>2778737.9</v>
      </c>
      <c r="FQ253" s="9">
        <v>222146.1</v>
      </c>
      <c r="FR253" s="9">
        <v>243521.8</v>
      </c>
      <c r="FS253" s="9">
        <v>499758.4</v>
      </c>
      <c r="FT253" s="9">
        <v>8496480.1851000004</v>
      </c>
      <c r="FU253" s="9">
        <v>1013681.5060000001</v>
      </c>
      <c r="FV253" s="9">
        <v>1498974.1491</v>
      </c>
      <c r="FW253" s="9">
        <v>1874171.72</v>
      </c>
      <c r="FX253" s="9">
        <v>265128.69</v>
      </c>
      <c r="FY253" s="9">
        <v>507945.96</v>
      </c>
      <c r="FZ253" s="9">
        <v>441934.9</v>
      </c>
      <c r="GA253" s="9">
        <v>22433902.162</v>
      </c>
      <c r="GB253" s="9">
        <v>5189965.8900000006</v>
      </c>
      <c r="GC253" s="9">
        <v>17243936.272</v>
      </c>
      <c r="GD253" s="9">
        <v>16810544.300000001</v>
      </c>
      <c r="GE253" s="9">
        <v>1561108</v>
      </c>
      <c r="GF253" s="9">
        <v>15249436.300000001</v>
      </c>
      <c r="GG253" s="9">
        <v>5623357.8619999997</v>
      </c>
      <c r="GH253" s="9">
        <v>3628857.89</v>
      </c>
      <c r="GI253" s="9">
        <v>1994499.9720000001</v>
      </c>
      <c r="GJ253" s="9">
        <v>3875669.87</v>
      </c>
      <c r="GK253" s="9">
        <v>36685492</v>
      </c>
      <c r="GL253" s="9">
        <v>3058623</v>
      </c>
      <c r="GM253">
        <v>2849.89</v>
      </c>
      <c r="GO253" s="6"/>
      <c r="GP253" s="6"/>
      <c r="GQ253" s="6"/>
    </row>
    <row r="254" spans="1:199" x14ac:dyDescent="0.2">
      <c r="A254" s="8">
        <v>2021</v>
      </c>
      <c r="B254" s="8" t="s">
        <v>535</v>
      </c>
      <c r="C254" s="8" t="s">
        <v>536</v>
      </c>
      <c r="D254" s="9"/>
      <c r="E254" s="9"/>
      <c r="F254" s="9"/>
      <c r="G254" s="9"/>
      <c r="H254" s="9"/>
      <c r="I254" s="9"/>
      <c r="J254" s="9"/>
      <c r="K254" s="9"/>
      <c r="L254" s="9"/>
      <c r="M254" s="9"/>
      <c r="N254" s="9"/>
      <c r="O254" s="9"/>
      <c r="P254" s="9"/>
      <c r="Q254" s="9"/>
      <c r="R254" s="9"/>
      <c r="S254" s="9"/>
      <c r="T254" s="9"/>
      <c r="U254" s="9"/>
      <c r="V254" s="9"/>
      <c r="W254" s="9"/>
      <c r="X254" s="9"/>
      <c r="Y254" s="9"/>
      <c r="Z254" s="9"/>
      <c r="AA254" s="9"/>
      <c r="AB254" s="9"/>
      <c r="AC254" s="9"/>
      <c r="AD254" s="9"/>
      <c r="AE254" s="9"/>
      <c r="AF254" s="9"/>
      <c r="AG254" s="9"/>
      <c r="AH254" s="9"/>
      <c r="AI254" s="9"/>
      <c r="AJ254" s="9"/>
      <c r="AK254" s="9"/>
      <c r="AL254" s="9"/>
      <c r="AM254" s="9"/>
      <c r="AN254" s="9"/>
      <c r="AO254" s="9"/>
      <c r="AP254" s="9"/>
      <c r="AQ254" s="9"/>
      <c r="AR254" s="9"/>
      <c r="AS254" s="9"/>
      <c r="AT254" s="9"/>
      <c r="AU254" s="9"/>
      <c r="AV254" s="9"/>
      <c r="AW254" s="9"/>
      <c r="AX254" s="9"/>
      <c r="AY254" s="9"/>
      <c r="AZ254" s="9"/>
      <c r="BA254" s="9"/>
      <c r="BB254" s="9"/>
      <c r="BC254" s="9"/>
      <c r="BD254" s="9"/>
      <c r="BE254" s="9"/>
      <c r="BF254" s="9"/>
      <c r="BG254" s="9"/>
      <c r="BH254" s="9"/>
      <c r="BI254" s="9"/>
      <c r="BJ254" s="9"/>
      <c r="BK254" s="9"/>
      <c r="BL254" s="9"/>
      <c r="BM254" s="9"/>
      <c r="BN254" s="9">
        <v>711326.1</v>
      </c>
      <c r="BO254" s="9">
        <v>604294.9</v>
      </c>
      <c r="BP254" s="9">
        <v>112835.7</v>
      </c>
      <c r="BQ254" s="9">
        <v>57533.5</v>
      </c>
      <c r="BR254" s="9">
        <v>55300.1</v>
      </c>
      <c r="BS254" s="9">
        <v>122609.1</v>
      </c>
      <c r="BT254" s="9">
        <v>169414.8</v>
      </c>
      <c r="BU254" s="9">
        <v>63264.4</v>
      </c>
      <c r="BV254" s="9">
        <v>61763.199999999997</v>
      </c>
      <c r="BW254" s="9">
        <v>692538.1</v>
      </c>
      <c r="BX254" s="9">
        <v>-1620.3</v>
      </c>
      <c r="BY254" s="9">
        <v>73441.600000000006</v>
      </c>
      <c r="BZ254" s="9">
        <v>180480.8</v>
      </c>
      <c r="CA254" s="9">
        <v>32132.2</v>
      </c>
      <c r="CB254" s="9">
        <v>32132.2</v>
      </c>
      <c r="CC254" s="9">
        <v>35971.300000000003</v>
      </c>
      <c r="CD254" s="9">
        <v>368726.7</v>
      </c>
      <c r="CE254" s="9">
        <v>93594.2</v>
      </c>
      <c r="CF254" s="9">
        <v>3885372.2611479321</v>
      </c>
      <c r="CG254" s="9">
        <v>24229948.457983982</v>
      </c>
      <c r="CH254" s="9">
        <v>7.9</v>
      </c>
      <c r="CI254" s="9">
        <v>2</v>
      </c>
      <c r="CJ254" s="9">
        <v>15.430643313699999</v>
      </c>
      <c r="CK254" s="9">
        <v>9.0307374527000004</v>
      </c>
      <c r="CL254" s="9">
        <v>6</v>
      </c>
      <c r="CM254" s="9">
        <v>126.0630097048</v>
      </c>
      <c r="CN254" s="9">
        <v>34.996967214800001</v>
      </c>
      <c r="CO254" s="9">
        <v>5.3864368030999996</v>
      </c>
      <c r="CP254" s="9">
        <v>21.052163695200001</v>
      </c>
      <c r="CQ254" s="9">
        <v>11.6377203869</v>
      </c>
      <c r="CR254" s="9">
        <v>6.085932057</v>
      </c>
      <c r="CS254" s="9">
        <v>4.8687620859000003</v>
      </c>
      <c r="CT254" s="9">
        <v>16.064525008099999</v>
      </c>
      <c r="CU254" s="9">
        <v>4.3139825094999997</v>
      </c>
      <c r="CV254" s="9">
        <v>3.9670167015</v>
      </c>
      <c r="CW254" s="9">
        <v>6.8444230712999996</v>
      </c>
      <c r="CX254" s="9">
        <v>3.8416450950000001</v>
      </c>
      <c r="CY254" s="9">
        <v>7.0034350765999998</v>
      </c>
      <c r="CZ254" s="9">
        <v>640</v>
      </c>
      <c r="DA254" s="9">
        <v>559</v>
      </c>
      <c r="DB254" s="9">
        <v>0</v>
      </c>
      <c r="DC254" s="9">
        <v>194</v>
      </c>
      <c r="DD254" s="9">
        <v>73</v>
      </c>
      <c r="DE254" s="9">
        <v>18</v>
      </c>
      <c r="DF254" s="9">
        <v>221</v>
      </c>
      <c r="DG254" s="9">
        <v>25</v>
      </c>
      <c r="DH254" s="9">
        <v>16</v>
      </c>
      <c r="DI254" s="9">
        <v>5</v>
      </c>
      <c r="DJ254" s="9">
        <v>0</v>
      </c>
      <c r="DK254" s="9">
        <v>9</v>
      </c>
      <c r="DL254" s="9">
        <v>1</v>
      </c>
      <c r="DM254" s="9">
        <v>63</v>
      </c>
      <c r="DN254" s="9">
        <v>0</v>
      </c>
      <c r="DO254" s="9">
        <v>458.82</v>
      </c>
      <c r="DP254" s="9">
        <v>142.69</v>
      </c>
      <c r="DQ254" s="9">
        <v>79.75</v>
      </c>
      <c r="DR254" s="9">
        <v>62.93</v>
      </c>
      <c r="DS254" s="9">
        <v>68.88</v>
      </c>
      <c r="DT254" s="9">
        <v>13.61</v>
      </c>
      <c r="DU254" s="9">
        <v>165.31</v>
      </c>
      <c r="DV254" s="9">
        <v>120.99</v>
      </c>
      <c r="DW254" s="9">
        <v>28.76</v>
      </c>
      <c r="DX254" s="9">
        <v>81.06</v>
      </c>
      <c r="DY254" s="9">
        <v>51.17</v>
      </c>
      <c r="DZ254" s="9">
        <v>19.66</v>
      </c>
      <c r="EA254" s="9">
        <v>-52</v>
      </c>
      <c r="EB254" s="9">
        <v>153.9</v>
      </c>
      <c r="EC254" s="9">
        <v>-75.400000000000006</v>
      </c>
      <c r="ED254" s="9">
        <v>-144.1</v>
      </c>
      <c r="EE254" s="9">
        <v>13.5</v>
      </c>
      <c r="EF254" s="9">
        <v>9.5</v>
      </c>
      <c r="EG254" s="9">
        <v>73.099999999999994</v>
      </c>
      <c r="EH254" s="9">
        <v>-118.6</v>
      </c>
      <c r="EI254" s="9">
        <v>-1.1000000000000001</v>
      </c>
      <c r="EJ254" s="9">
        <v>0.8</v>
      </c>
      <c r="EK254" s="9">
        <v>192.1</v>
      </c>
      <c r="EL254" s="9">
        <v>-45.1</v>
      </c>
      <c r="EM254" s="9">
        <v>-160.69999999999999</v>
      </c>
      <c r="EN254" s="9">
        <v>4367.5655527892004</v>
      </c>
      <c r="EO254" s="9">
        <v>854.95304095100005</v>
      </c>
      <c r="EP254" s="9">
        <v>2972.8176644106002</v>
      </c>
      <c r="EQ254" s="9">
        <v>7.8203085630000002</v>
      </c>
      <c r="ER254" s="9">
        <v>46.0976596207</v>
      </c>
      <c r="ES254" s="9">
        <v>485.87687924390002</v>
      </c>
      <c r="ET254" s="9">
        <v>0</v>
      </c>
      <c r="EU254">
        <v>2849.8150000000001</v>
      </c>
      <c r="EV254" s="9"/>
      <c r="EW254" s="9"/>
      <c r="EX254" s="9"/>
      <c r="EY254" s="9"/>
      <c r="EZ254" s="9"/>
      <c r="FA254" s="9"/>
      <c r="FB254" s="9">
        <v>90.995357142900005</v>
      </c>
      <c r="FC254" s="9">
        <v>54.551428571400002</v>
      </c>
      <c r="FD254" s="9">
        <v>7972.1475</v>
      </c>
      <c r="FE254" s="9">
        <v>166.73809523809999</v>
      </c>
      <c r="FF254" s="9">
        <v>1866.9849999999999</v>
      </c>
      <c r="FG254" s="9">
        <v>17059364.370000001</v>
      </c>
      <c r="FH254" s="9">
        <v>1307969.93</v>
      </c>
      <c r="FI254" s="9">
        <v>2005010.93</v>
      </c>
      <c r="FJ254" s="9">
        <v>8546168.9000000004</v>
      </c>
      <c r="FK254" s="9">
        <v>269749.59999999998</v>
      </c>
      <c r="FL254" s="9">
        <v>500935.9</v>
      </c>
      <c r="FM254" s="9">
        <v>1660502.04</v>
      </c>
      <c r="FN254" s="9">
        <v>165676.35</v>
      </c>
      <c r="FO254" s="9">
        <v>151544.45000000001</v>
      </c>
      <c r="FP254" s="9">
        <v>2731377.2</v>
      </c>
      <c r="FQ254" s="9">
        <v>220013</v>
      </c>
      <c r="FR254" s="9">
        <v>236672.5</v>
      </c>
      <c r="FS254" s="9">
        <v>501535.2</v>
      </c>
      <c r="FT254" s="9">
        <v>8506990.7353409994</v>
      </c>
      <c r="FU254" s="9">
        <v>1038220.330271</v>
      </c>
      <c r="FV254" s="9">
        <v>1497870.3555600001</v>
      </c>
      <c r="FW254" s="9">
        <v>2271977.7200000002</v>
      </c>
      <c r="FX254" s="9">
        <v>346624.04</v>
      </c>
      <c r="FY254" s="9">
        <v>570567.81999999995</v>
      </c>
      <c r="FZ254" s="9">
        <v>441974.4694</v>
      </c>
      <c r="GA254" s="9">
        <v>22514384.501254998</v>
      </c>
      <c r="GB254" s="9">
        <v>5027572.1607600003</v>
      </c>
      <c r="GC254" s="9">
        <v>17486812.340495002</v>
      </c>
      <c r="GD254" s="9">
        <v>16928466.502599999</v>
      </c>
      <c r="GE254" s="9">
        <v>1452913.8973999999</v>
      </c>
      <c r="GF254" s="9">
        <v>15475552.6052</v>
      </c>
      <c r="GG254" s="9">
        <v>5585917.9986549998</v>
      </c>
      <c r="GH254" s="9">
        <v>3574658.2633600002</v>
      </c>
      <c r="GI254" s="9">
        <v>2011259.735295</v>
      </c>
      <c r="GJ254" s="9">
        <v>3830152.1713</v>
      </c>
      <c r="GK254" s="9">
        <v>36485458.960000001</v>
      </c>
      <c r="GL254" s="9">
        <v>3080489.1919999998</v>
      </c>
      <c r="GM254">
        <v>2850.12</v>
      </c>
      <c r="GO254" s="6"/>
      <c r="GP254" s="6"/>
      <c r="GQ254" s="6"/>
    </row>
    <row r="255" spans="1:199" x14ac:dyDescent="0.2">
      <c r="A255" s="8">
        <v>2021</v>
      </c>
      <c r="B255" s="8" t="s">
        <v>535</v>
      </c>
      <c r="C255" s="8" t="s">
        <v>537</v>
      </c>
      <c r="D255" s="9"/>
      <c r="E255" s="9"/>
      <c r="F255" s="9"/>
      <c r="G255" s="9"/>
      <c r="H255" s="9"/>
      <c r="I255" s="9"/>
      <c r="J255" s="9"/>
      <c r="K255" s="9"/>
      <c r="L255" s="9"/>
      <c r="M255" s="9"/>
      <c r="N255" s="9"/>
      <c r="O255" s="9"/>
      <c r="P255" s="9"/>
      <c r="Q255" s="9"/>
      <c r="R255" s="9"/>
      <c r="S255" s="9"/>
      <c r="T255" s="9"/>
      <c r="U255" s="9"/>
      <c r="V255" s="9"/>
      <c r="W255" s="9"/>
      <c r="X255" s="9"/>
      <c r="Y255" s="9"/>
      <c r="Z255" s="9"/>
      <c r="AA255" s="9"/>
      <c r="AB255" s="9"/>
      <c r="AC255" s="9"/>
      <c r="AD255" s="9"/>
      <c r="AE255" s="9"/>
      <c r="AF255" s="9"/>
      <c r="AG255" s="9"/>
      <c r="AH255" s="9"/>
      <c r="AI255" s="9"/>
      <c r="AJ255" s="9"/>
      <c r="AK255" s="9"/>
      <c r="AL255" s="9"/>
      <c r="AM255" s="9"/>
      <c r="AN255" s="9"/>
      <c r="AO255" s="9"/>
      <c r="AP255" s="9"/>
      <c r="AQ255" s="9"/>
      <c r="AR255" s="9"/>
      <c r="AS255" s="9"/>
      <c r="AT255" s="9"/>
      <c r="AU255" s="9"/>
      <c r="AV255" s="9"/>
      <c r="AW255" s="9"/>
      <c r="AX255" s="9"/>
      <c r="AY255" s="9"/>
      <c r="AZ255" s="9"/>
      <c r="BA255" s="9"/>
      <c r="BB255" s="9"/>
      <c r="BC255" s="9"/>
      <c r="BD255" s="9"/>
      <c r="BE255" s="9"/>
      <c r="BF255" s="9"/>
      <c r="BG255" s="9"/>
      <c r="BH255" s="9"/>
      <c r="BI255" s="9"/>
      <c r="BJ255" s="9"/>
      <c r="BK255" s="9"/>
      <c r="BL255" s="9"/>
      <c r="BM255" s="9"/>
      <c r="BN255" s="9">
        <v>1009224.5</v>
      </c>
      <c r="BO255" s="9">
        <v>872606</v>
      </c>
      <c r="BP255" s="9">
        <v>357113</v>
      </c>
      <c r="BQ255" s="9">
        <v>280668.5</v>
      </c>
      <c r="BR255" s="9">
        <v>76445.8</v>
      </c>
      <c r="BS255" s="9">
        <v>151679.5</v>
      </c>
      <c r="BT255" s="9">
        <v>208087.6</v>
      </c>
      <c r="BU255" s="9">
        <v>59093.4</v>
      </c>
      <c r="BV255" s="9">
        <v>88907</v>
      </c>
      <c r="BW255" s="9">
        <v>830152.9</v>
      </c>
      <c r="BX255" s="9">
        <v>7887.3</v>
      </c>
      <c r="BY255" s="9">
        <v>94056.7</v>
      </c>
      <c r="BZ255" s="9">
        <v>196121.7</v>
      </c>
      <c r="CA255" s="9">
        <v>10504.4</v>
      </c>
      <c r="CB255" s="9">
        <v>48165.9</v>
      </c>
      <c r="CC255" s="9">
        <v>50616.2</v>
      </c>
      <c r="CD255" s="9">
        <v>430688</v>
      </c>
      <c r="CE255" s="9">
        <v>117788.9</v>
      </c>
      <c r="CF255" s="9">
        <v>4102637.1733985329</v>
      </c>
      <c r="CG255" s="9">
        <v>24634262.232545801</v>
      </c>
      <c r="CH255" s="9">
        <v>7.1306092437000004</v>
      </c>
      <c r="CI255" s="9">
        <v>2.2930710406000001</v>
      </c>
      <c r="CJ255" s="9">
        <v>15.396286419699999</v>
      </c>
      <c r="CK255" s="9">
        <v>9.3304841284000002</v>
      </c>
      <c r="CL255" s="9">
        <v>6</v>
      </c>
      <c r="CM255" s="9">
        <v>127.8358831381</v>
      </c>
      <c r="CN255" s="9">
        <v>36.3451212059</v>
      </c>
      <c r="CO255" s="9">
        <v>5.4201138417000001</v>
      </c>
      <c r="CP255" s="9">
        <v>21.042175694200001</v>
      </c>
      <c r="CQ255" s="9">
        <v>11.770018894</v>
      </c>
      <c r="CR255" s="9">
        <v>6.1406207217000004</v>
      </c>
      <c r="CS255" s="9">
        <v>4.9199229881999997</v>
      </c>
      <c r="CT255" s="9">
        <v>16.141455775800001</v>
      </c>
      <c r="CU255" s="9">
        <v>4.3179807321999997</v>
      </c>
      <c r="CV255" s="9">
        <v>3.9712208421000001</v>
      </c>
      <c r="CW255" s="9">
        <v>6.8444230712999996</v>
      </c>
      <c r="CX255" s="9">
        <v>3.8767752449000001</v>
      </c>
      <c r="CY255" s="9">
        <v>7.0460541261999996</v>
      </c>
      <c r="CZ255" s="9">
        <v>694.66</v>
      </c>
      <c r="DA255" s="9">
        <v>638.08000000000004</v>
      </c>
      <c r="DB255" s="9">
        <v>25.66</v>
      </c>
      <c r="DC255" s="9">
        <v>242.53</v>
      </c>
      <c r="DD255" s="9">
        <v>74.040000000000006</v>
      </c>
      <c r="DE255" s="9">
        <v>14.79</v>
      </c>
      <c r="DF255" s="9">
        <v>226.35</v>
      </c>
      <c r="DG255" s="9">
        <v>24.63</v>
      </c>
      <c r="DH255" s="9">
        <v>12.07</v>
      </c>
      <c r="DI255" s="9">
        <v>0.97</v>
      </c>
      <c r="DJ255" s="9">
        <v>0.55000000000000004</v>
      </c>
      <c r="DK255" s="9">
        <v>6.98</v>
      </c>
      <c r="DL255" s="9">
        <v>0.72</v>
      </c>
      <c r="DM255" s="9">
        <v>43.7</v>
      </c>
      <c r="DN255" s="9">
        <v>0.1</v>
      </c>
      <c r="DO255" s="9">
        <v>463.45</v>
      </c>
      <c r="DP255" s="9">
        <v>130.87</v>
      </c>
      <c r="DQ255" s="9">
        <v>75.69</v>
      </c>
      <c r="DR255" s="9">
        <v>55.18</v>
      </c>
      <c r="DS255" s="9">
        <v>72.31</v>
      </c>
      <c r="DT255" s="9">
        <v>13.59</v>
      </c>
      <c r="DU255" s="9">
        <v>192.28</v>
      </c>
      <c r="DV255" s="9">
        <v>149.72999999999999</v>
      </c>
      <c r="DW255" s="9">
        <v>28.58</v>
      </c>
      <c r="DX255" s="9">
        <v>66.09</v>
      </c>
      <c r="DY255" s="9">
        <v>40.75</v>
      </c>
      <c r="DZ255" s="9">
        <v>13.72</v>
      </c>
      <c r="EA255" s="9">
        <v>-64.8</v>
      </c>
      <c r="EB255" s="9">
        <v>134.4</v>
      </c>
      <c r="EC255" s="9">
        <v>-100.4</v>
      </c>
      <c r="ED255" s="9">
        <v>-116.1</v>
      </c>
      <c r="EE255" s="9">
        <v>17.3</v>
      </c>
      <c r="EF255" s="9">
        <v>7.1</v>
      </c>
      <c r="EG255" s="9">
        <v>-217.1</v>
      </c>
      <c r="EH255" s="9">
        <v>-137.9</v>
      </c>
      <c r="EI255" s="9">
        <v>-82.4</v>
      </c>
      <c r="EJ255" s="9">
        <v>0.9</v>
      </c>
      <c r="EK255" s="9">
        <v>2.2999999999999998</v>
      </c>
      <c r="EL255" s="9">
        <v>8.3000000000000007</v>
      </c>
      <c r="EM255" s="9">
        <v>167.7</v>
      </c>
      <c r="EN255" s="9">
        <v>4512.8011212615002</v>
      </c>
      <c r="EO255" s="9">
        <v>851.50966410119997</v>
      </c>
      <c r="EP255" s="9">
        <v>3144.2609958901999</v>
      </c>
      <c r="EQ255" s="9">
        <v>7.8637545907000002</v>
      </c>
      <c r="ER255" s="9">
        <v>44.753537893699999</v>
      </c>
      <c r="ES255" s="9">
        <v>464.41316878570001</v>
      </c>
      <c r="ET255" s="9">
        <v>0</v>
      </c>
      <c r="EU255">
        <v>2849.7289473684</v>
      </c>
      <c r="EV255" s="9"/>
      <c r="EW255" s="9"/>
      <c r="EX255" s="9"/>
      <c r="EY255" s="9"/>
      <c r="EZ255" s="9"/>
      <c r="FA255" s="9"/>
      <c r="FB255" s="9">
        <v>92.485714285699999</v>
      </c>
      <c r="FC255" s="9">
        <v>61.963500000000003</v>
      </c>
      <c r="FD255" s="9">
        <v>8470.94</v>
      </c>
      <c r="FE255" s="9">
        <v>162.32499999999999</v>
      </c>
      <c r="FF255" s="9">
        <v>1808.175</v>
      </c>
      <c r="FG255" s="9">
        <v>16972923.309999999</v>
      </c>
      <c r="FH255" s="9">
        <v>1346637.78</v>
      </c>
      <c r="FI255" s="9">
        <v>2009921.3</v>
      </c>
      <c r="FJ255" s="9">
        <v>8483544.5</v>
      </c>
      <c r="FK255" s="9">
        <v>294874.5</v>
      </c>
      <c r="FL255" s="9">
        <v>508105.2</v>
      </c>
      <c r="FM255" s="9">
        <v>1652702.93</v>
      </c>
      <c r="FN255" s="9">
        <v>171673.81</v>
      </c>
      <c r="FO255" s="9">
        <v>151975.24</v>
      </c>
      <c r="FP255" s="9">
        <v>2698977.3</v>
      </c>
      <c r="FQ255" s="9">
        <v>211744.1</v>
      </c>
      <c r="FR255" s="9">
        <v>230459.5</v>
      </c>
      <c r="FS255" s="9">
        <v>530066.30000000005</v>
      </c>
      <c r="FT255" s="9">
        <v>8483174.8471269011</v>
      </c>
      <c r="FU255" s="9">
        <v>1051763.2942739001</v>
      </c>
      <c r="FV255" s="9">
        <v>1495612.1187730001</v>
      </c>
      <c r="FW255" s="9">
        <v>2270975.85</v>
      </c>
      <c r="FX255" s="9">
        <v>358005.34</v>
      </c>
      <c r="FY255" s="9">
        <v>571018.93999999994</v>
      </c>
      <c r="FZ255" s="9">
        <v>473987.31430000003</v>
      </c>
      <c r="GA255" s="9">
        <v>22768726.004542999</v>
      </c>
      <c r="GB255" s="9">
        <v>5079034.6812699996</v>
      </c>
      <c r="GC255" s="9">
        <v>17689691.323272999</v>
      </c>
      <c r="GD255" s="9">
        <v>17129272.503199998</v>
      </c>
      <c r="GE255" s="9">
        <v>1441317.9793</v>
      </c>
      <c r="GF255" s="9">
        <v>15687954.5239</v>
      </c>
      <c r="GG255" s="9">
        <v>5639453.5013430007</v>
      </c>
      <c r="GH255" s="9">
        <v>3637716.7019699998</v>
      </c>
      <c r="GI255" s="9">
        <v>2001736.7993729999</v>
      </c>
      <c r="GJ255" s="9">
        <v>4023699.04752</v>
      </c>
      <c r="GK255" s="9">
        <v>37199874.109999999</v>
      </c>
      <c r="GL255" s="9">
        <v>3111590.1290000002</v>
      </c>
      <c r="GM255">
        <v>2849.27</v>
      </c>
      <c r="GO255" s="6"/>
      <c r="GP255" s="6"/>
      <c r="GQ255" s="6"/>
    </row>
    <row r="256" spans="1:199" x14ac:dyDescent="0.2">
      <c r="A256" s="8">
        <v>2021</v>
      </c>
      <c r="B256" s="8" t="s">
        <v>535</v>
      </c>
      <c r="C256" s="8" t="s">
        <v>538</v>
      </c>
      <c r="D256" s="9">
        <v>9219260.3000000007</v>
      </c>
      <c r="E256" s="9">
        <v>278905.929</v>
      </c>
      <c r="F256" s="9">
        <v>2707780.3369999998</v>
      </c>
      <c r="G256" s="9">
        <v>963998.89399999997</v>
      </c>
      <c r="H256" s="9">
        <v>253198.122</v>
      </c>
      <c r="I256" s="9">
        <v>86173.188999999998</v>
      </c>
      <c r="J256" s="9">
        <v>670116.97699999996</v>
      </c>
      <c r="K256" s="9">
        <v>333718.34899999999</v>
      </c>
      <c r="L256" s="9">
        <v>158480.53700000001</v>
      </c>
      <c r="M256" s="9">
        <v>2545768.182</v>
      </c>
      <c r="N256" s="9">
        <v>1221119.7830000001</v>
      </c>
      <c r="O256" s="9">
        <v>5419030.0700000003</v>
      </c>
      <c r="P256" s="9">
        <v>218123.66699999999</v>
      </c>
      <c r="Q256" s="9">
        <v>893189.32400000002</v>
      </c>
      <c r="R256" s="9">
        <v>400507.36800000002</v>
      </c>
      <c r="S256" s="9">
        <v>222465.16099999999</v>
      </c>
      <c r="T256" s="9">
        <v>66144.415999999997</v>
      </c>
      <c r="U256" s="9">
        <v>543209.66099999996</v>
      </c>
      <c r="V256" s="9">
        <v>206681.79500000001</v>
      </c>
      <c r="W256" s="9">
        <v>147316.46900000001</v>
      </c>
      <c r="X256" s="9">
        <v>1855077.399</v>
      </c>
      <c r="Y256" s="9">
        <v>866314.81099999999</v>
      </c>
      <c r="Z256" s="9">
        <v>8803987</v>
      </c>
      <c r="AA256" s="9">
        <v>4857123.9000000004</v>
      </c>
      <c r="AB256" s="9">
        <v>1047460</v>
      </c>
      <c r="AC256" s="9">
        <v>2441470.7000000002</v>
      </c>
      <c r="AD256" s="9">
        <v>180059.9</v>
      </c>
      <c r="AE256" s="9">
        <v>5930010.7000000002</v>
      </c>
      <c r="AF256" s="9">
        <v>5652138.2999999998</v>
      </c>
      <c r="AG256" s="9">
        <v>5849126.2000000002</v>
      </c>
      <c r="AH256" s="9">
        <v>4098657.4</v>
      </c>
      <c r="AI256" s="9">
        <v>948841.5</v>
      </c>
      <c r="AJ256" s="9">
        <v>1534359</v>
      </c>
      <c r="AK256" s="9">
        <v>370091.1</v>
      </c>
      <c r="AL256" s="9">
        <v>3123039.8</v>
      </c>
      <c r="AM256" s="9">
        <v>4225862.7</v>
      </c>
      <c r="AN256" s="9">
        <v>1054889</v>
      </c>
      <c r="AO256" s="9">
        <v>553828</v>
      </c>
      <c r="AP256" s="9">
        <v>501061</v>
      </c>
      <c r="AQ256" s="9">
        <v>101161</v>
      </c>
      <c r="AR256" s="9">
        <v>59844</v>
      </c>
      <c r="AS256" s="9">
        <v>41317</v>
      </c>
      <c r="AT256" s="9">
        <v>949670</v>
      </c>
      <c r="AU256" s="9">
        <v>361692</v>
      </c>
      <c r="AV256" s="9">
        <v>587978</v>
      </c>
      <c r="AW256" s="9">
        <v>1314.9</v>
      </c>
      <c r="AX256" s="9">
        <v>1010.1</v>
      </c>
      <c r="AY256" s="9">
        <v>3395.5</v>
      </c>
      <c r="AZ256" s="9">
        <v>1302.2</v>
      </c>
      <c r="BA256" s="9">
        <v>1860.3</v>
      </c>
      <c r="BB256" s="9">
        <v>1042.7</v>
      </c>
      <c r="BC256" s="9">
        <v>1293</v>
      </c>
      <c r="BD256" s="9">
        <v>1084.5999999999999</v>
      </c>
      <c r="BE256" s="9">
        <v>1330.1</v>
      </c>
      <c r="BF256" s="9">
        <v>775.3</v>
      </c>
      <c r="BG256" s="9">
        <v>1309.4000000000001</v>
      </c>
      <c r="BH256" s="9">
        <v>1520.3</v>
      </c>
      <c r="BI256" s="9">
        <v>1402.4</v>
      </c>
      <c r="BJ256" s="9">
        <v>1001.1</v>
      </c>
      <c r="BK256" s="9">
        <v>1108.3</v>
      </c>
      <c r="BL256" s="9">
        <v>847.8</v>
      </c>
      <c r="BM256" s="9">
        <v>1094.5999999999999</v>
      </c>
      <c r="BN256" s="9">
        <v>1155541.7</v>
      </c>
      <c r="BO256" s="9">
        <v>924680.7</v>
      </c>
      <c r="BP256" s="9">
        <v>181194.6</v>
      </c>
      <c r="BQ256" s="9">
        <v>82416.7</v>
      </c>
      <c r="BR256" s="9">
        <v>98778.6</v>
      </c>
      <c r="BS256" s="9">
        <v>182382.9</v>
      </c>
      <c r="BT256" s="9">
        <v>276845</v>
      </c>
      <c r="BU256" s="9">
        <v>89855.3</v>
      </c>
      <c r="BV256" s="9">
        <v>75622.2</v>
      </c>
      <c r="BW256" s="9">
        <v>969368.4</v>
      </c>
      <c r="BX256" s="9">
        <v>14437.4</v>
      </c>
      <c r="BY256" s="9">
        <v>128500.8</v>
      </c>
      <c r="BZ256" s="9">
        <v>208012.6</v>
      </c>
      <c r="CA256" s="9">
        <v>89751.5</v>
      </c>
      <c r="CB256" s="9">
        <v>29086.9</v>
      </c>
      <c r="CC256" s="9">
        <v>41081.599999999999</v>
      </c>
      <c r="CD256" s="9">
        <v>381895</v>
      </c>
      <c r="CE256" s="9">
        <v>91040</v>
      </c>
      <c r="CF256" s="9">
        <v>4328027.735767426</v>
      </c>
      <c r="CG256" s="9">
        <v>25135959.95048723</v>
      </c>
      <c r="CH256" s="9">
        <v>6.8939208358000004</v>
      </c>
      <c r="CI256" s="9">
        <v>2.2456539953000001</v>
      </c>
      <c r="CJ256" s="9">
        <v>15.363993713399999</v>
      </c>
      <c r="CK256" s="9">
        <v>8.5756415856999997</v>
      </c>
      <c r="CL256" s="9">
        <v>6</v>
      </c>
      <c r="CM256" s="9">
        <v>128.64653449369999</v>
      </c>
      <c r="CN256" s="9">
        <v>36.840004555999997</v>
      </c>
      <c r="CO256" s="9">
        <v>5.4280458245999998</v>
      </c>
      <c r="CP256" s="9">
        <v>21.0690727711</v>
      </c>
      <c r="CQ256" s="9">
        <v>11.7720721929</v>
      </c>
      <c r="CR256" s="9">
        <v>6.1598135866000003</v>
      </c>
      <c r="CS256" s="9">
        <v>4.9255433671000004</v>
      </c>
      <c r="CT256" s="9">
        <v>16.181997543200001</v>
      </c>
      <c r="CU256" s="9">
        <v>4.3206942521</v>
      </c>
      <c r="CV256" s="9">
        <v>3.9723124031000001</v>
      </c>
      <c r="CW256" s="9">
        <v>6.8734993906000001</v>
      </c>
      <c r="CX256" s="9">
        <v>4.0183422451000004</v>
      </c>
      <c r="CY256" s="9">
        <v>7.0851363611</v>
      </c>
      <c r="CZ256" s="9">
        <v>665.85</v>
      </c>
      <c r="DA256" s="9">
        <v>596.02</v>
      </c>
      <c r="DB256" s="9">
        <v>0</v>
      </c>
      <c r="DC256" s="9">
        <v>184.27</v>
      </c>
      <c r="DD256" s="9">
        <v>91.41</v>
      </c>
      <c r="DE256" s="9">
        <v>13.94</v>
      </c>
      <c r="DF256" s="9">
        <v>241.59</v>
      </c>
      <c r="DG256" s="9">
        <v>28.31</v>
      </c>
      <c r="DH256" s="9">
        <v>20.21</v>
      </c>
      <c r="DI256" s="9">
        <v>3.35</v>
      </c>
      <c r="DJ256" s="9">
        <v>1.1499999999999999</v>
      </c>
      <c r="DK256" s="9">
        <v>12.65</v>
      </c>
      <c r="DL256" s="9">
        <v>0.63</v>
      </c>
      <c r="DM256" s="9">
        <v>48.92</v>
      </c>
      <c r="DN256" s="9">
        <v>0.06</v>
      </c>
      <c r="DO256" s="9">
        <v>601.41999999999996</v>
      </c>
      <c r="DP256" s="9">
        <v>172.35</v>
      </c>
      <c r="DQ256" s="9">
        <v>96.44</v>
      </c>
      <c r="DR256" s="9">
        <v>75.91</v>
      </c>
      <c r="DS256" s="9">
        <v>68.650000000000006</v>
      </c>
      <c r="DT256" s="9">
        <v>14</v>
      </c>
      <c r="DU256" s="9">
        <v>276.2</v>
      </c>
      <c r="DV256" s="9">
        <v>198.1</v>
      </c>
      <c r="DW256" s="9">
        <v>49.81</v>
      </c>
      <c r="DX256" s="9">
        <v>82.77</v>
      </c>
      <c r="DY256" s="9">
        <v>43.86</v>
      </c>
      <c r="DZ256" s="9">
        <v>16.829999999999998</v>
      </c>
      <c r="EA256" s="9">
        <v>-90.6</v>
      </c>
      <c r="EB256" s="9">
        <v>81.099999999999994</v>
      </c>
      <c r="EC256" s="9">
        <v>-70.7</v>
      </c>
      <c r="ED256" s="9">
        <v>-124.3</v>
      </c>
      <c r="EE256" s="9">
        <v>23.3</v>
      </c>
      <c r="EF256" s="9">
        <v>14.3</v>
      </c>
      <c r="EG256" s="9">
        <v>-264.5</v>
      </c>
      <c r="EH256" s="9">
        <v>-338.6</v>
      </c>
      <c r="EI256" s="9">
        <v>12</v>
      </c>
      <c r="EJ256" s="9">
        <v>5</v>
      </c>
      <c r="EK256" s="9">
        <v>57.2</v>
      </c>
      <c r="EL256" s="9">
        <v>-24.8</v>
      </c>
      <c r="EM256" s="9">
        <v>163.4</v>
      </c>
      <c r="EN256" s="9">
        <v>4774.6640780997996</v>
      </c>
      <c r="EO256" s="9">
        <v>872.07923561320001</v>
      </c>
      <c r="EP256" s="9">
        <v>3274.1807587097001</v>
      </c>
      <c r="EQ256" s="9">
        <v>7.7197324860999998</v>
      </c>
      <c r="ER256" s="9">
        <v>43.933891420499997</v>
      </c>
      <c r="ES256" s="9">
        <v>576.75045987019996</v>
      </c>
      <c r="ET256" s="9">
        <v>0</v>
      </c>
      <c r="EU256">
        <v>2849.6381818181999</v>
      </c>
      <c r="EV256" s="9">
        <v>32487.054540000001</v>
      </c>
      <c r="EW256" s="9">
        <v>8450.5439110000007</v>
      </c>
      <c r="EX256" s="9">
        <v>2191.2672360000001</v>
      </c>
      <c r="EY256" s="9">
        <v>1669.3900759999999</v>
      </c>
      <c r="EZ256" s="9">
        <v>8404.4120280000006</v>
      </c>
      <c r="FA256" s="9">
        <v>11771.441290000001</v>
      </c>
      <c r="FB256" s="9">
        <v>95.230900621100005</v>
      </c>
      <c r="FC256" s="9">
        <v>65.186956521699997</v>
      </c>
      <c r="FD256" s="9">
        <v>8988.2478260869993</v>
      </c>
      <c r="FE256" s="9">
        <v>166.73913043479999</v>
      </c>
      <c r="FF256" s="9">
        <v>1718.2282608696</v>
      </c>
      <c r="FG256" s="9">
        <v>17467085.57</v>
      </c>
      <c r="FH256" s="9">
        <v>1277004.4099999999</v>
      </c>
      <c r="FI256" s="9">
        <v>2013360.45</v>
      </c>
      <c r="FJ256" s="9">
        <v>8852434</v>
      </c>
      <c r="FK256" s="9">
        <v>275934.8</v>
      </c>
      <c r="FL256" s="9">
        <v>515480.6</v>
      </c>
      <c r="FM256" s="9">
        <v>1896323.3</v>
      </c>
      <c r="FN256" s="9">
        <v>170431.26</v>
      </c>
      <c r="FO256" s="9">
        <v>154241.38</v>
      </c>
      <c r="FP256" s="9">
        <v>2702541.4</v>
      </c>
      <c r="FQ256" s="9">
        <v>217382</v>
      </c>
      <c r="FR256" s="9">
        <v>224324.1</v>
      </c>
      <c r="FS256" s="9">
        <v>617112</v>
      </c>
      <c r="FT256" s="9">
        <v>8608448.0062035006</v>
      </c>
      <c r="FU256" s="9">
        <v>1001069.6076936</v>
      </c>
      <c r="FV256" s="9">
        <v>1491676.3099899001</v>
      </c>
      <c r="FW256" s="9">
        <v>2408619.38</v>
      </c>
      <c r="FX256" s="9">
        <v>311944.62</v>
      </c>
      <c r="FY256" s="9">
        <v>572516.31999999995</v>
      </c>
      <c r="FZ256" s="9">
        <v>486257.12599999999</v>
      </c>
      <c r="GA256" s="9">
        <v>23298781.961984999</v>
      </c>
      <c r="GB256" s="9">
        <v>5469502.0391300004</v>
      </c>
      <c r="GC256" s="9">
        <v>17829279.922855001</v>
      </c>
      <c r="GD256" s="9">
        <v>17291889.191799998</v>
      </c>
      <c r="GE256" s="9">
        <v>1581070.3492000001</v>
      </c>
      <c r="GF256" s="9">
        <v>15710818.842599999</v>
      </c>
      <c r="GG256" s="9">
        <v>6006892.7701850003</v>
      </c>
      <c r="GH256" s="9">
        <v>3888431.6899299999</v>
      </c>
      <c r="GI256" s="9">
        <v>2118461.0802549999</v>
      </c>
      <c r="GJ256" s="9">
        <v>3771891.2850700002</v>
      </c>
      <c r="GK256" s="9">
        <v>37335413.240000002</v>
      </c>
      <c r="GL256" s="9">
        <v>3154487.2930000001</v>
      </c>
      <c r="GM256">
        <v>2849.81</v>
      </c>
      <c r="GO256" s="6"/>
      <c r="GP256" s="6"/>
      <c r="GQ256" s="6"/>
    </row>
    <row r="257" spans="1:199" x14ac:dyDescent="0.2">
      <c r="A257" s="8">
        <v>2021</v>
      </c>
      <c r="B257" s="8" t="s">
        <v>539</v>
      </c>
      <c r="C257" s="8" t="s">
        <v>540</v>
      </c>
      <c r="D257" s="9"/>
      <c r="E257" s="9"/>
      <c r="F257" s="9"/>
      <c r="G257" s="9"/>
      <c r="H257" s="9"/>
      <c r="I257" s="9"/>
      <c r="J257" s="9"/>
      <c r="K257" s="9"/>
      <c r="L257" s="9"/>
      <c r="M257" s="9"/>
      <c r="N257" s="9"/>
      <c r="O257" s="9"/>
      <c r="P257" s="9"/>
      <c r="Q257" s="9"/>
      <c r="R257" s="9"/>
      <c r="S257" s="9"/>
      <c r="T257" s="9"/>
      <c r="U257" s="9"/>
      <c r="V257" s="9"/>
      <c r="W257" s="9"/>
      <c r="X257" s="9"/>
      <c r="Y257" s="9"/>
      <c r="Z257" s="9"/>
      <c r="AA257" s="9"/>
      <c r="AB257" s="9"/>
      <c r="AC257" s="9"/>
      <c r="AD257" s="9"/>
      <c r="AE257" s="9"/>
      <c r="AF257" s="9"/>
      <c r="AG257" s="9"/>
      <c r="AH257" s="9"/>
      <c r="AI257" s="9"/>
      <c r="AJ257" s="9"/>
      <c r="AK257" s="9"/>
      <c r="AL257" s="9"/>
      <c r="AM257" s="9"/>
      <c r="AN257" s="9"/>
      <c r="AO257" s="9"/>
      <c r="AP257" s="9"/>
      <c r="AQ257" s="9"/>
      <c r="AR257" s="9"/>
      <c r="AS257" s="9"/>
      <c r="AT257" s="9"/>
      <c r="AU257" s="9"/>
      <c r="AV257" s="9"/>
      <c r="AW257" s="9"/>
      <c r="AX257" s="9"/>
      <c r="AY257" s="9"/>
      <c r="AZ257" s="9"/>
      <c r="BA257" s="9"/>
      <c r="BB257" s="9"/>
      <c r="BC257" s="9"/>
      <c r="BD257" s="9"/>
      <c r="BE257" s="9"/>
      <c r="BF257" s="9"/>
      <c r="BG257" s="9"/>
      <c r="BH257" s="9"/>
      <c r="BI257" s="9"/>
      <c r="BJ257" s="9"/>
      <c r="BK257" s="9"/>
      <c r="BL257" s="9"/>
      <c r="BM257" s="9"/>
      <c r="BN257" s="9">
        <v>1975054.3</v>
      </c>
      <c r="BO257" s="9">
        <v>1384125.1</v>
      </c>
      <c r="BP257" s="9">
        <v>824916.8</v>
      </c>
      <c r="BQ257" s="9">
        <v>737767.3</v>
      </c>
      <c r="BR257" s="9">
        <v>92158</v>
      </c>
      <c r="BS257" s="9">
        <v>158005.4</v>
      </c>
      <c r="BT257" s="9">
        <v>129911.5</v>
      </c>
      <c r="BU257" s="9">
        <v>47942.8</v>
      </c>
      <c r="BV257" s="9">
        <v>432910.7</v>
      </c>
      <c r="BW257" s="9">
        <v>1960317.3</v>
      </c>
      <c r="BX257" s="9">
        <v>1998.4</v>
      </c>
      <c r="BY257" s="9">
        <v>140646.39999999999</v>
      </c>
      <c r="BZ257" s="9">
        <v>211331.4</v>
      </c>
      <c r="CA257" s="9">
        <v>108018.8</v>
      </c>
      <c r="CB257" s="9">
        <v>31526.9</v>
      </c>
      <c r="CC257" s="9">
        <v>83520.2</v>
      </c>
      <c r="CD257" s="9">
        <v>1385273.7</v>
      </c>
      <c r="CE257" s="9">
        <v>248831.1</v>
      </c>
      <c r="CF257" s="9">
        <v>5201593.1706816284</v>
      </c>
      <c r="CG257" s="9">
        <v>26761810.37824009</v>
      </c>
      <c r="CH257" s="9">
        <v>5.9086629651999996</v>
      </c>
      <c r="CI257" s="9">
        <v>2.6939777813000001</v>
      </c>
      <c r="CJ257" s="9">
        <v>14.9694818581</v>
      </c>
      <c r="CK257" s="9">
        <v>8.8717765898999996</v>
      </c>
      <c r="CL257" s="9">
        <v>6</v>
      </c>
      <c r="CM257" s="9">
        <v>131.70957136339999</v>
      </c>
      <c r="CN257" s="9">
        <v>38.421237681400001</v>
      </c>
      <c r="CO257" s="9">
        <v>5.4401874081999999</v>
      </c>
      <c r="CP257" s="9">
        <v>21.070116826700001</v>
      </c>
      <c r="CQ257" s="9">
        <v>13.179560084</v>
      </c>
      <c r="CR257" s="9">
        <v>6.1744609588000001</v>
      </c>
      <c r="CS257" s="9">
        <v>4.9392319231000004</v>
      </c>
      <c r="CT257" s="9">
        <v>16.201620095700001</v>
      </c>
      <c r="CU257" s="9">
        <v>4.3206942521</v>
      </c>
      <c r="CV257" s="9">
        <v>3.9723124031000001</v>
      </c>
      <c r="CW257" s="9">
        <v>6.8734993906000001</v>
      </c>
      <c r="CX257" s="9">
        <v>4.0189609705000002</v>
      </c>
      <c r="CY257" s="9">
        <v>7.0976893692000003</v>
      </c>
      <c r="CZ257" s="9">
        <v>496.27</v>
      </c>
      <c r="DA257" s="9">
        <v>432.12</v>
      </c>
      <c r="DB257" s="9">
        <v>24.46</v>
      </c>
      <c r="DC257" s="9">
        <v>152.91</v>
      </c>
      <c r="DD257" s="9">
        <v>97.79</v>
      </c>
      <c r="DE257" s="9">
        <v>18.71</v>
      </c>
      <c r="DF257" s="9">
        <v>69.97</v>
      </c>
      <c r="DG257" s="9">
        <v>27.38</v>
      </c>
      <c r="DH257" s="9">
        <v>32.33</v>
      </c>
      <c r="DI257" s="9">
        <v>0.83</v>
      </c>
      <c r="DJ257" s="9">
        <v>0.59</v>
      </c>
      <c r="DK257" s="9">
        <v>27.97</v>
      </c>
      <c r="DL257" s="9">
        <v>0.63</v>
      </c>
      <c r="DM257" s="9">
        <v>31.17</v>
      </c>
      <c r="DN257" s="9">
        <v>0.02</v>
      </c>
      <c r="DO257" s="9">
        <v>437.54</v>
      </c>
      <c r="DP257" s="9">
        <v>151.97999999999999</v>
      </c>
      <c r="DQ257" s="9">
        <v>106.24</v>
      </c>
      <c r="DR257" s="9">
        <v>45.74</v>
      </c>
      <c r="DS257" s="9">
        <v>52.68</v>
      </c>
      <c r="DT257" s="9">
        <v>9.9499999999999993</v>
      </c>
      <c r="DU257" s="9">
        <v>158.97</v>
      </c>
      <c r="DV257" s="9">
        <v>101.44</v>
      </c>
      <c r="DW257" s="9">
        <v>37.549999999999997</v>
      </c>
      <c r="DX257" s="9">
        <v>73.08</v>
      </c>
      <c r="DY257" s="9">
        <v>43.19</v>
      </c>
      <c r="DZ257" s="9">
        <v>11.92</v>
      </c>
      <c r="EA257" s="9">
        <v>-171.55905042239999</v>
      </c>
      <c r="EB257" s="9">
        <v>-36.403804206099998</v>
      </c>
      <c r="EC257" s="9">
        <v>-35.832678498</v>
      </c>
      <c r="ED257" s="9">
        <v>-116.8902782697</v>
      </c>
      <c r="EE257" s="9">
        <v>17.567710551400001</v>
      </c>
      <c r="EF257" s="9">
        <v>10.3902174505</v>
      </c>
      <c r="EG257" s="9">
        <v>-161.4220850145</v>
      </c>
      <c r="EH257" s="9">
        <v>-137.40535124210001</v>
      </c>
      <c r="EI257" s="9">
        <v>181.3402550564</v>
      </c>
      <c r="EJ257" s="9">
        <v>-1.0412358581000001</v>
      </c>
      <c r="EK257" s="9">
        <v>-204.3157529707</v>
      </c>
      <c r="EL257" s="9">
        <v>74.332285759900003</v>
      </c>
      <c r="EM257" s="9">
        <v>74.585537802399998</v>
      </c>
      <c r="EN257" s="9">
        <v>4891.6526370265001</v>
      </c>
      <c r="EO257" s="9">
        <v>848.26496147420005</v>
      </c>
      <c r="EP257" s="9">
        <v>3382.8130471507002</v>
      </c>
      <c r="EQ257" s="9">
        <v>7.7982840910000002</v>
      </c>
      <c r="ER257" s="9">
        <v>44.380937699</v>
      </c>
      <c r="ES257" s="9">
        <v>608.39540661160004</v>
      </c>
      <c r="ET257" s="9">
        <v>0</v>
      </c>
      <c r="EU257">
        <v>2849.8886363636002</v>
      </c>
      <c r="EV257" s="9"/>
      <c r="EW257" s="9"/>
      <c r="EX257" s="9"/>
      <c r="EY257" s="9"/>
      <c r="EZ257" s="9"/>
      <c r="FA257" s="9"/>
      <c r="FB257" s="9">
        <v>97.847678571399996</v>
      </c>
      <c r="FC257" s="9">
        <v>64.77</v>
      </c>
      <c r="FD257" s="9">
        <v>9324.8174999999992</v>
      </c>
      <c r="FE257" s="9">
        <v>178.25</v>
      </c>
      <c r="FF257" s="9">
        <v>1761.6775</v>
      </c>
      <c r="FG257" s="9">
        <v>17487066.370000001</v>
      </c>
      <c r="FH257" s="9">
        <v>1280491.8500000001</v>
      </c>
      <c r="FI257" s="9">
        <v>1986919.48</v>
      </c>
      <c r="FJ257" s="9">
        <v>8760197.8000000007</v>
      </c>
      <c r="FK257" s="9">
        <v>273951.59999999998</v>
      </c>
      <c r="FL257" s="9">
        <v>528822.69999999995</v>
      </c>
      <c r="FM257" s="9">
        <v>1977514.13</v>
      </c>
      <c r="FN257" s="9">
        <v>169067.15</v>
      </c>
      <c r="FO257" s="9">
        <v>164132.69</v>
      </c>
      <c r="FP257" s="9">
        <v>2638450.7000000002</v>
      </c>
      <c r="FQ257" s="9">
        <v>199898.8</v>
      </c>
      <c r="FR257" s="9">
        <v>218319.7</v>
      </c>
      <c r="FS257" s="9">
        <v>560946.19999999995</v>
      </c>
      <c r="FT257" s="9">
        <v>8720665.5099999998</v>
      </c>
      <c r="FU257" s="9">
        <v>1006540.22</v>
      </c>
      <c r="FV257" s="9">
        <v>1451893.73</v>
      </c>
      <c r="FW257" s="9">
        <v>2477298.13</v>
      </c>
      <c r="FX257" s="9">
        <v>296271.84000000003</v>
      </c>
      <c r="FY257" s="9">
        <v>551744.44999999995</v>
      </c>
      <c r="FZ257" s="9">
        <v>449031.94</v>
      </c>
      <c r="GA257" s="9">
        <v>24940052.039999999</v>
      </c>
      <c r="GB257" s="9">
        <v>6346948.2200000007</v>
      </c>
      <c r="GC257" s="9">
        <v>18593103.82</v>
      </c>
      <c r="GD257" s="9">
        <v>18253983.579999998</v>
      </c>
      <c r="GE257" s="9">
        <v>2093194.14</v>
      </c>
      <c r="GF257" s="9">
        <v>16160789.439999999</v>
      </c>
      <c r="GG257" s="9">
        <v>6686068.4600000009</v>
      </c>
      <c r="GH257" s="9">
        <v>4253754.08</v>
      </c>
      <c r="GI257" s="9">
        <v>2432314.379999999</v>
      </c>
      <c r="GJ257" s="9">
        <v>3512303.08</v>
      </c>
      <c r="GK257" s="9">
        <v>38734218.079999998</v>
      </c>
      <c r="GL257" s="9">
        <v>3162818</v>
      </c>
      <c r="GM257">
        <v>2850.01</v>
      </c>
      <c r="GO257" s="6"/>
      <c r="GP257" s="6"/>
      <c r="GQ257" s="6"/>
    </row>
    <row r="258" spans="1:199" x14ac:dyDescent="0.2">
      <c r="A258" s="8">
        <v>2021</v>
      </c>
      <c r="B258" s="8" t="s">
        <v>539</v>
      </c>
      <c r="C258" s="8" t="s">
        <v>541</v>
      </c>
      <c r="D258" s="9"/>
      <c r="E258" s="9"/>
      <c r="F258" s="9"/>
      <c r="G258" s="9"/>
      <c r="H258" s="9"/>
      <c r="I258" s="9"/>
      <c r="J258" s="9"/>
      <c r="K258" s="9"/>
      <c r="L258" s="9"/>
      <c r="M258" s="9"/>
      <c r="N258" s="9"/>
      <c r="O258" s="9"/>
      <c r="P258" s="9"/>
      <c r="Q258" s="9"/>
      <c r="R258" s="9"/>
      <c r="S258" s="9"/>
      <c r="T258" s="9"/>
      <c r="U258" s="9"/>
      <c r="V258" s="9"/>
      <c r="W258" s="9"/>
      <c r="X258" s="9"/>
      <c r="Y258" s="9"/>
      <c r="Z258" s="9"/>
      <c r="AA258" s="9"/>
      <c r="AB258" s="9"/>
      <c r="AC258" s="9"/>
      <c r="AD258" s="9"/>
      <c r="AE258" s="9"/>
      <c r="AF258" s="9"/>
      <c r="AG258" s="9"/>
      <c r="AH258" s="9"/>
      <c r="AI258" s="9"/>
      <c r="AJ258" s="9"/>
      <c r="AK258" s="9"/>
      <c r="AL258" s="9"/>
      <c r="AM258" s="9"/>
      <c r="AN258" s="9"/>
      <c r="AO258" s="9"/>
      <c r="AP258" s="9"/>
      <c r="AQ258" s="9"/>
      <c r="AR258" s="9"/>
      <c r="AS258" s="9"/>
      <c r="AT258" s="9"/>
      <c r="AU258" s="9"/>
      <c r="AV258" s="9"/>
      <c r="AW258" s="9"/>
      <c r="AX258" s="9"/>
      <c r="AY258" s="9"/>
      <c r="AZ258" s="9"/>
      <c r="BA258" s="9"/>
      <c r="BB258" s="9"/>
      <c r="BC258" s="9"/>
      <c r="BD258" s="9"/>
      <c r="BE258" s="9"/>
      <c r="BF258" s="9"/>
      <c r="BG258" s="9"/>
      <c r="BH258" s="9"/>
      <c r="BI258" s="9"/>
      <c r="BJ258" s="9"/>
      <c r="BK258" s="9"/>
      <c r="BL258" s="9"/>
      <c r="BM258" s="9"/>
      <c r="BN258" s="9">
        <v>1002996.6</v>
      </c>
      <c r="BO258" s="9">
        <v>777815.2</v>
      </c>
      <c r="BP258" s="9">
        <v>148055.5</v>
      </c>
      <c r="BQ258" s="9">
        <v>84278.3</v>
      </c>
      <c r="BR258" s="9">
        <v>87695.7</v>
      </c>
      <c r="BS258" s="9">
        <v>171517.1</v>
      </c>
      <c r="BT258" s="9">
        <v>266795.59999999998</v>
      </c>
      <c r="BU258" s="9">
        <v>56352.9</v>
      </c>
      <c r="BV258" s="9">
        <v>83051</v>
      </c>
      <c r="BW258" s="9">
        <v>1099050.4339999999</v>
      </c>
      <c r="BX258" s="9">
        <v>16713.8</v>
      </c>
      <c r="BY258" s="9">
        <v>176482.4351</v>
      </c>
      <c r="BZ258" s="9">
        <v>202698.128</v>
      </c>
      <c r="CA258" s="9">
        <v>101450.8912</v>
      </c>
      <c r="CB258" s="9">
        <v>60380.2</v>
      </c>
      <c r="CC258" s="9">
        <v>67397.5</v>
      </c>
      <c r="CD258" s="9">
        <v>490641.3</v>
      </c>
      <c r="CE258" s="9">
        <v>120945.7</v>
      </c>
      <c r="CF258" s="9">
        <v>5761264.4097433696</v>
      </c>
      <c r="CG258" s="9">
        <v>26917763.631510399</v>
      </c>
      <c r="CH258" s="9">
        <v>6.4894555741</v>
      </c>
      <c r="CI258" s="9">
        <v>1.5886609708999999</v>
      </c>
      <c r="CJ258" s="9">
        <v>14.791469753399999</v>
      </c>
      <c r="CK258" s="9">
        <v>8.5312845315000008</v>
      </c>
      <c r="CL258" s="9">
        <v>6</v>
      </c>
      <c r="CM258" s="9">
        <v>132.67469042330001</v>
      </c>
      <c r="CN258" s="9">
        <v>39.129662140100002</v>
      </c>
      <c r="CO258" s="9">
        <v>5.4660910194000003</v>
      </c>
      <c r="CP258" s="9">
        <v>21.105303105699999</v>
      </c>
      <c r="CQ258" s="9">
        <v>13.0359642369</v>
      </c>
      <c r="CR258" s="9">
        <v>6.2014816658000003</v>
      </c>
      <c r="CS258" s="9">
        <v>4.9651029754999998</v>
      </c>
      <c r="CT258" s="9">
        <v>16.3703737228</v>
      </c>
      <c r="CU258" s="9">
        <v>4.3206942521</v>
      </c>
      <c r="CV258" s="9">
        <v>3.9801957851999998</v>
      </c>
      <c r="CW258" s="9">
        <v>6.8734993906000001</v>
      </c>
      <c r="CX258" s="9">
        <v>4.0923350701999999</v>
      </c>
      <c r="CY258" s="9">
        <v>7.1339870589999999</v>
      </c>
      <c r="CZ258" s="9">
        <v>827.29</v>
      </c>
      <c r="DA258" s="9">
        <v>721.4</v>
      </c>
      <c r="DB258" s="9">
        <v>112.46</v>
      </c>
      <c r="DC258" s="9">
        <v>227.13</v>
      </c>
      <c r="DD258" s="9">
        <v>110.07</v>
      </c>
      <c r="DE258" s="9">
        <v>20.010000000000002</v>
      </c>
      <c r="DF258" s="9">
        <v>174.72</v>
      </c>
      <c r="DG258" s="9">
        <v>30.33</v>
      </c>
      <c r="DH258" s="9">
        <v>76.36</v>
      </c>
      <c r="DI258" s="9">
        <v>4.88</v>
      </c>
      <c r="DJ258" s="9">
        <v>1.27</v>
      </c>
      <c r="DK258" s="9">
        <v>68.2</v>
      </c>
      <c r="DL258" s="9">
        <v>0.59</v>
      </c>
      <c r="DM258" s="9">
        <v>28.86</v>
      </c>
      <c r="DN258" s="9">
        <v>0.08</v>
      </c>
      <c r="DO258" s="9">
        <v>640.36</v>
      </c>
      <c r="DP258" s="9">
        <v>216.54</v>
      </c>
      <c r="DQ258" s="9">
        <v>144.33000000000001</v>
      </c>
      <c r="DR258" s="9">
        <v>72.209999999999994</v>
      </c>
      <c r="DS258" s="9">
        <v>63.94</v>
      </c>
      <c r="DT258" s="9">
        <v>12.49</v>
      </c>
      <c r="DU258" s="9">
        <v>300.81</v>
      </c>
      <c r="DV258" s="9">
        <v>207.53</v>
      </c>
      <c r="DW258" s="9">
        <v>63.31</v>
      </c>
      <c r="DX258" s="9">
        <v>57.99</v>
      </c>
      <c r="DY258" s="9">
        <v>28.42</v>
      </c>
      <c r="DZ258" s="9">
        <v>18.29</v>
      </c>
      <c r="EA258" s="9">
        <v>-143.53320696079999</v>
      </c>
      <c r="EB258" s="9">
        <v>67.125362709100003</v>
      </c>
      <c r="EC258" s="9">
        <v>-94.702062405299998</v>
      </c>
      <c r="ED258" s="9">
        <v>-142.68913192209999</v>
      </c>
      <c r="EE258" s="9">
        <v>26.732624657500001</v>
      </c>
      <c r="EF258" s="9">
        <v>15.233482564799999</v>
      </c>
      <c r="EG258" s="9">
        <v>-129.83201148520001</v>
      </c>
      <c r="EH258" s="9">
        <v>-126.35288828580001</v>
      </c>
      <c r="EI258" s="9">
        <v>35.1742553809</v>
      </c>
      <c r="EJ258" s="9">
        <v>5.6800819400000001E-2</v>
      </c>
      <c r="EK258" s="9">
        <v>-38.710179399700003</v>
      </c>
      <c r="EL258" s="9">
        <v>-14.922931714400001</v>
      </c>
      <c r="EM258" s="9">
        <v>-13.3906446252</v>
      </c>
      <c r="EN258" s="9">
        <v>4879.1076774714002</v>
      </c>
      <c r="EO258" s="9">
        <v>849.70279893309998</v>
      </c>
      <c r="EP258" s="9">
        <v>3375.6837580493002</v>
      </c>
      <c r="EQ258" s="9">
        <v>7.8529778715000003</v>
      </c>
      <c r="ER258" s="9">
        <v>43.1703316372</v>
      </c>
      <c r="ES258" s="9">
        <v>602.69781098019996</v>
      </c>
      <c r="ET258" s="9">
        <v>0</v>
      </c>
      <c r="EU258">
        <v>2849.5715</v>
      </c>
      <c r="EV258" s="9"/>
      <c r="EW258" s="9"/>
      <c r="EX258" s="9"/>
      <c r="EY258" s="9"/>
      <c r="EZ258" s="9"/>
      <c r="FA258" s="9"/>
      <c r="FB258" s="9">
        <v>104.2071428571</v>
      </c>
      <c r="FC258" s="9">
        <v>68.043333333299998</v>
      </c>
      <c r="FD258" s="9">
        <v>10166.285</v>
      </c>
      <c r="FE258" s="9">
        <v>202.8571428571</v>
      </c>
      <c r="FF258" s="9">
        <v>1855.56</v>
      </c>
      <c r="FG258" s="9">
        <v>18067142.030000001</v>
      </c>
      <c r="FH258" s="9">
        <v>1304050.5</v>
      </c>
      <c r="FI258" s="9">
        <v>2016934.58</v>
      </c>
      <c r="FJ258" s="9">
        <v>8975770.1999999993</v>
      </c>
      <c r="FK258" s="9">
        <v>269023.09999999998</v>
      </c>
      <c r="FL258" s="9">
        <v>531890.69999999995</v>
      </c>
      <c r="FM258" s="9">
        <v>2072779.58</v>
      </c>
      <c r="FN258" s="9">
        <v>148795.6</v>
      </c>
      <c r="FO258" s="9">
        <v>169020.93</v>
      </c>
      <c r="FP258" s="9">
        <v>2638288.1</v>
      </c>
      <c r="FQ258" s="9">
        <v>203377.3</v>
      </c>
      <c r="FR258" s="9">
        <v>209371.8</v>
      </c>
      <c r="FS258" s="9">
        <v>611488.6</v>
      </c>
      <c r="FT258" s="9">
        <v>9085169.0999999996</v>
      </c>
      <c r="FU258" s="9">
        <v>1035027.39</v>
      </c>
      <c r="FV258" s="9">
        <v>1478841.14</v>
      </c>
      <c r="FW258" s="9">
        <v>2845145.23</v>
      </c>
      <c r="FX258" s="9">
        <v>307189.43</v>
      </c>
      <c r="FY258" s="9">
        <v>545558.05000000005</v>
      </c>
      <c r="FZ258" s="9">
        <v>441952.36</v>
      </c>
      <c r="GA258" s="9">
        <v>25062366.550000001</v>
      </c>
      <c r="GB258" s="9">
        <v>6676445.9199999999</v>
      </c>
      <c r="GC258" s="9">
        <v>18385920.629999999</v>
      </c>
      <c r="GD258" s="9">
        <v>18852287.559999999</v>
      </c>
      <c r="GE258" s="9">
        <v>2394746.2000000002</v>
      </c>
      <c r="GF258" s="9">
        <v>16457541.359999999</v>
      </c>
      <c r="GG258" s="9">
        <v>6210078.9900000002</v>
      </c>
      <c r="GH258" s="9">
        <v>4281699.72</v>
      </c>
      <c r="GI258" s="9">
        <v>1928379.27</v>
      </c>
      <c r="GJ258" s="9">
        <v>3320475.16</v>
      </c>
      <c r="GK258" s="9">
        <v>39152871.630000003</v>
      </c>
      <c r="GL258" s="9">
        <v>3257809.73</v>
      </c>
      <c r="GM258">
        <v>2849.25</v>
      </c>
      <c r="GO258" s="6"/>
      <c r="GP258" s="6"/>
      <c r="GQ258" s="6"/>
    </row>
    <row r="259" spans="1:199" x14ac:dyDescent="0.2">
      <c r="A259" s="8">
        <v>2021</v>
      </c>
      <c r="B259" s="8" t="s">
        <v>539</v>
      </c>
      <c r="C259" s="8" t="s">
        <v>542</v>
      </c>
      <c r="D259" s="9">
        <v>10486167.357000001</v>
      </c>
      <c r="E259" s="9">
        <v>2505934.0890000002</v>
      </c>
      <c r="F259" s="9">
        <v>1909630.7</v>
      </c>
      <c r="G259" s="9">
        <v>567791.071</v>
      </c>
      <c r="H259" s="9">
        <v>229600.465</v>
      </c>
      <c r="I259" s="9">
        <v>193500.155</v>
      </c>
      <c r="J259" s="9">
        <v>783194.64500000002</v>
      </c>
      <c r="K259" s="9">
        <v>305489.51500000001</v>
      </c>
      <c r="L259" s="9">
        <v>188694.33499999999</v>
      </c>
      <c r="M259" s="9">
        <v>2741933.321</v>
      </c>
      <c r="N259" s="9">
        <v>1060399.061</v>
      </c>
      <c r="O259" s="9">
        <v>7130933.0460000001</v>
      </c>
      <c r="P259" s="9">
        <v>1745471.46</v>
      </c>
      <c r="Q259" s="9">
        <v>730946.25699999998</v>
      </c>
      <c r="R259" s="9">
        <v>438116.04</v>
      </c>
      <c r="S259" s="9">
        <v>150226.13</v>
      </c>
      <c r="T259" s="9">
        <v>128531.65700000001</v>
      </c>
      <c r="U259" s="9">
        <v>712372.62399999995</v>
      </c>
      <c r="V259" s="9">
        <v>162870.97200000001</v>
      </c>
      <c r="W259" s="9">
        <v>192910.43599999999</v>
      </c>
      <c r="X259" s="9">
        <v>1886542.9339999999</v>
      </c>
      <c r="Y259" s="9">
        <v>982944.53599999996</v>
      </c>
      <c r="Z259" s="9">
        <v>10478924.699999999</v>
      </c>
      <c r="AA259" s="9">
        <v>5638804.0999999996</v>
      </c>
      <c r="AB259" s="9">
        <v>1427228.9</v>
      </c>
      <c r="AC259" s="9">
        <v>2822969</v>
      </c>
      <c r="AD259" s="9">
        <v>1238836.2</v>
      </c>
      <c r="AE259" s="9">
        <v>5394977.7000000002</v>
      </c>
      <c r="AF259" s="9">
        <v>6043891.2000000002</v>
      </c>
      <c r="AG259" s="9">
        <v>6713329.7999999998</v>
      </c>
      <c r="AH259" s="9">
        <v>4221948.8</v>
      </c>
      <c r="AI259" s="9">
        <v>1177464.2</v>
      </c>
      <c r="AJ259" s="9">
        <v>1891895.2</v>
      </c>
      <c r="AK259" s="9">
        <v>990264.2</v>
      </c>
      <c r="AL259" s="9">
        <v>2713213.4</v>
      </c>
      <c r="AM259" s="9">
        <v>4281456</v>
      </c>
      <c r="AN259" s="9">
        <v>1105720</v>
      </c>
      <c r="AO259" s="9">
        <v>592667</v>
      </c>
      <c r="AP259" s="9">
        <v>513053</v>
      </c>
      <c r="AQ259" s="9">
        <v>101278</v>
      </c>
      <c r="AR259" s="9">
        <v>52930</v>
      </c>
      <c r="AS259" s="9">
        <v>48348</v>
      </c>
      <c r="AT259" s="9">
        <v>916950</v>
      </c>
      <c r="AU259" s="9">
        <v>337433</v>
      </c>
      <c r="AV259" s="9">
        <v>579517</v>
      </c>
      <c r="AW259" s="9">
        <v>1330.4</v>
      </c>
      <c r="AX259" s="9">
        <v>1021.2</v>
      </c>
      <c r="AY259" s="9">
        <v>3053.8</v>
      </c>
      <c r="AZ259" s="9">
        <v>1253</v>
      </c>
      <c r="BA259" s="9">
        <v>1710.7</v>
      </c>
      <c r="BB259" s="9">
        <v>1048.2</v>
      </c>
      <c r="BC259" s="9">
        <v>1283.8</v>
      </c>
      <c r="BD259" s="9">
        <v>1101.5</v>
      </c>
      <c r="BE259" s="9">
        <v>1289.5</v>
      </c>
      <c r="BF259" s="9">
        <v>795.6</v>
      </c>
      <c r="BG259" s="9">
        <v>1376.4</v>
      </c>
      <c r="BH259" s="9">
        <v>1544.7</v>
      </c>
      <c r="BI259" s="9">
        <v>1393.3</v>
      </c>
      <c r="BJ259" s="9">
        <v>1137.0999999999999</v>
      </c>
      <c r="BK259" s="9">
        <v>1285.4000000000001</v>
      </c>
      <c r="BL259" s="9">
        <v>874.4</v>
      </c>
      <c r="BM259" s="9">
        <v>1187.2</v>
      </c>
      <c r="BN259" s="9">
        <v>1251987.8999999999</v>
      </c>
      <c r="BO259" s="9">
        <v>1024862.5</v>
      </c>
      <c r="BP259" s="9">
        <v>224110.2</v>
      </c>
      <c r="BQ259" s="9">
        <v>113560.5</v>
      </c>
      <c r="BR259" s="9">
        <v>113292.5</v>
      </c>
      <c r="BS259" s="9">
        <v>208307.20000000001</v>
      </c>
      <c r="BT259" s="9">
        <v>297716.2</v>
      </c>
      <c r="BU259" s="9">
        <v>79639</v>
      </c>
      <c r="BV259" s="9">
        <v>98052.1</v>
      </c>
      <c r="BW259" s="9">
        <v>1099241.3999999999</v>
      </c>
      <c r="BX259" s="9">
        <v>39486.800000000003</v>
      </c>
      <c r="BY259" s="9">
        <v>147760.9</v>
      </c>
      <c r="BZ259" s="9">
        <v>296784.59999999998</v>
      </c>
      <c r="CA259" s="9">
        <v>78287.600000000006</v>
      </c>
      <c r="CB259" s="9">
        <v>31757.4</v>
      </c>
      <c r="CC259" s="9">
        <v>106894.7</v>
      </c>
      <c r="CD259" s="9">
        <v>437756.3</v>
      </c>
      <c r="CE259" s="9">
        <v>187332.2</v>
      </c>
      <c r="CF259" s="9">
        <v>5962813.1043151636</v>
      </c>
      <c r="CG259" s="9">
        <v>27719356.45824616</v>
      </c>
      <c r="CH259" s="9">
        <v>6.0525126915999996</v>
      </c>
      <c r="CI259" s="9">
        <v>1.6438402887000001</v>
      </c>
      <c r="CJ259" s="9">
        <v>14.7569318817</v>
      </c>
      <c r="CK259" s="9">
        <v>7.6244752694000004</v>
      </c>
      <c r="CL259" s="9">
        <v>6</v>
      </c>
      <c r="CM259" s="9">
        <v>133.58121267659999</v>
      </c>
      <c r="CN259" s="9">
        <v>39.556076331500002</v>
      </c>
      <c r="CO259" s="9">
        <v>5.4940685881000002</v>
      </c>
      <c r="CP259" s="9">
        <v>21.166322299699999</v>
      </c>
      <c r="CQ259" s="9">
        <v>13.047544373299999</v>
      </c>
      <c r="CR259" s="9">
        <v>6.2275799277999999</v>
      </c>
      <c r="CS259" s="9">
        <v>5.0066628107</v>
      </c>
      <c r="CT259" s="9">
        <v>16.5127269539</v>
      </c>
      <c r="CU259" s="9">
        <v>4.3230259364999997</v>
      </c>
      <c r="CV259" s="9">
        <v>3.9840555155000001</v>
      </c>
      <c r="CW259" s="9">
        <v>6.8736149161000002</v>
      </c>
      <c r="CX259" s="9">
        <v>4.2355221446</v>
      </c>
      <c r="CY259" s="9">
        <v>7.1540128787999997</v>
      </c>
      <c r="CZ259" s="9">
        <v>787.34</v>
      </c>
      <c r="DA259" s="9">
        <v>651.84</v>
      </c>
      <c r="DB259" s="9">
        <v>55.46</v>
      </c>
      <c r="DC259" s="9">
        <v>311.74</v>
      </c>
      <c r="DD259" s="9">
        <v>104.45</v>
      </c>
      <c r="DE259" s="9">
        <v>15.93</v>
      </c>
      <c r="DF259" s="9">
        <v>83.7</v>
      </c>
      <c r="DG259" s="9">
        <v>32.22</v>
      </c>
      <c r="DH259" s="9">
        <v>110.88</v>
      </c>
      <c r="DI259" s="9">
        <v>1.04</v>
      </c>
      <c r="DJ259" s="9">
        <v>0.63</v>
      </c>
      <c r="DK259" s="9">
        <v>106.58</v>
      </c>
      <c r="DL259" s="9">
        <v>0.61</v>
      </c>
      <c r="DM259" s="9">
        <v>23.97</v>
      </c>
      <c r="DN259" s="9">
        <v>0.04</v>
      </c>
      <c r="DO259" s="9">
        <v>659.52</v>
      </c>
      <c r="DP259" s="9">
        <v>187.92</v>
      </c>
      <c r="DQ259" s="9">
        <v>116.72</v>
      </c>
      <c r="DR259" s="9">
        <v>71.2</v>
      </c>
      <c r="DS259" s="9">
        <v>56.6</v>
      </c>
      <c r="DT259" s="9">
        <v>11.01</v>
      </c>
      <c r="DU259" s="9">
        <v>315.63</v>
      </c>
      <c r="DV259" s="9">
        <v>199.3</v>
      </c>
      <c r="DW259" s="9">
        <v>84.08</v>
      </c>
      <c r="DX259" s="9">
        <v>98.51</v>
      </c>
      <c r="DY259" s="9">
        <v>55.75</v>
      </c>
      <c r="DZ259" s="9">
        <v>21.59</v>
      </c>
      <c r="EA259" s="9">
        <v>-412.4</v>
      </c>
      <c r="EB259" s="9">
        <v>-37.299999999999997</v>
      </c>
      <c r="EC259" s="9">
        <v>-90.6</v>
      </c>
      <c r="ED259" s="9">
        <v>-301.60000000000002</v>
      </c>
      <c r="EE259" s="9">
        <v>17.100000000000001</v>
      </c>
      <c r="EF259" s="9">
        <v>7</v>
      </c>
      <c r="EG259" s="9">
        <v>-68.900000000000006</v>
      </c>
      <c r="EH259" s="9">
        <v>-131</v>
      </c>
      <c r="EI259" s="9">
        <v>-12.8</v>
      </c>
      <c r="EJ259" s="9">
        <v>5.9</v>
      </c>
      <c r="EK259" s="9">
        <v>69.099999999999994</v>
      </c>
      <c r="EL259" s="9">
        <v>50.7</v>
      </c>
      <c r="EM259" s="9">
        <v>-285.8</v>
      </c>
      <c r="EN259" s="9">
        <v>4731.8232210975002</v>
      </c>
      <c r="EO259" s="9">
        <v>848.54580835030004</v>
      </c>
      <c r="EP259" s="9">
        <v>3082.9825783647002</v>
      </c>
      <c r="EQ259" s="9">
        <v>7.7656174260000004</v>
      </c>
      <c r="ER259" s="9">
        <v>42.688913299100001</v>
      </c>
      <c r="ES259" s="9">
        <v>749.8403036574</v>
      </c>
      <c r="ET259" s="9">
        <v>0</v>
      </c>
      <c r="EU259">
        <v>2849.5258787879002</v>
      </c>
      <c r="EV259" s="9">
        <v>32958.080000000002</v>
      </c>
      <c r="EW259" s="9">
        <v>8447.2199999999993</v>
      </c>
      <c r="EX259" s="9">
        <v>2194.73</v>
      </c>
      <c r="EY259" s="9">
        <v>1619.81</v>
      </c>
      <c r="EZ259" s="9">
        <v>8693.9599999999991</v>
      </c>
      <c r="FA259" s="9">
        <v>12002.36</v>
      </c>
      <c r="FB259" s="9">
        <v>132.1529220779</v>
      </c>
      <c r="FC259" s="9">
        <v>73.067272727299994</v>
      </c>
      <c r="FD259" s="9">
        <v>9631.5</v>
      </c>
      <c r="FE259" s="9">
        <v>215.81578947369999</v>
      </c>
      <c r="FF259" s="9">
        <v>1834.5659090909</v>
      </c>
      <c r="FG259" s="9">
        <v>18966106.690000001</v>
      </c>
      <c r="FH259" s="9">
        <v>1184197.79</v>
      </c>
      <c r="FI259" s="9">
        <v>1949111.59</v>
      </c>
      <c r="FJ259" s="9">
        <v>9324590.6100000013</v>
      </c>
      <c r="FK259" s="9">
        <v>224215.1</v>
      </c>
      <c r="FL259" s="9">
        <v>536941.9</v>
      </c>
      <c r="FM259" s="9">
        <v>2187268.23</v>
      </c>
      <c r="FN259" s="9">
        <v>126505.42</v>
      </c>
      <c r="FO259" s="9">
        <v>164272.79999999999</v>
      </c>
      <c r="FP259" s="9">
        <v>2661913.7000000002</v>
      </c>
      <c r="FQ259" s="9">
        <v>194310.9</v>
      </c>
      <c r="FR259" s="9">
        <v>200509.2</v>
      </c>
      <c r="FS259" s="9">
        <v>642427</v>
      </c>
      <c r="FT259" s="9">
        <v>9635314.0600000005</v>
      </c>
      <c r="FU259" s="9">
        <v>959982.7</v>
      </c>
      <c r="FV259" s="9">
        <v>1405967.66</v>
      </c>
      <c r="FW259" s="9">
        <v>3184581.4</v>
      </c>
      <c r="FX259" s="9">
        <v>285982.37</v>
      </c>
      <c r="FY259" s="9">
        <v>539897.06000000006</v>
      </c>
      <c r="FZ259" s="9">
        <v>520074.89</v>
      </c>
      <c r="GA259" s="9">
        <v>25877036.550000001</v>
      </c>
      <c r="GB259" s="9">
        <v>7306375.46</v>
      </c>
      <c r="GC259" s="9">
        <v>18570661.09</v>
      </c>
      <c r="GD259" s="9">
        <v>19153105.440000001</v>
      </c>
      <c r="GE259" s="9">
        <v>2486171.29</v>
      </c>
      <c r="GF259" s="9">
        <v>16666934.15</v>
      </c>
      <c r="GG259" s="9">
        <v>6723931.1100000003</v>
      </c>
      <c r="GH259" s="9">
        <v>4820204.17</v>
      </c>
      <c r="GI259" s="9">
        <v>1903726.94</v>
      </c>
      <c r="GJ259" s="9">
        <v>3459995.75</v>
      </c>
      <c r="GK259" s="9">
        <v>40076681.32</v>
      </c>
      <c r="GL259" s="9">
        <v>3171399.08</v>
      </c>
      <c r="GM259">
        <v>2848.87</v>
      </c>
      <c r="GO259" s="6"/>
      <c r="GP259" s="6"/>
      <c r="GQ259" s="6"/>
    </row>
    <row r="260" spans="1:199" x14ac:dyDescent="0.2">
      <c r="A260" s="57">
        <v>2021</v>
      </c>
      <c r="B260" s="57" t="s">
        <v>856</v>
      </c>
      <c r="C260" s="57" t="s">
        <v>857</v>
      </c>
      <c r="D260" s="58"/>
      <c r="E260" s="58"/>
      <c r="F260" s="58"/>
      <c r="G260" s="58"/>
      <c r="H260" s="58"/>
      <c r="I260" s="58"/>
      <c r="J260" s="58"/>
      <c r="K260" s="58"/>
      <c r="L260" s="58"/>
      <c r="M260" s="58"/>
      <c r="N260" s="58"/>
      <c r="O260" s="58"/>
      <c r="P260" s="58"/>
      <c r="Q260" s="58"/>
      <c r="R260" s="58"/>
      <c r="S260" s="58"/>
      <c r="T260" s="58"/>
      <c r="U260" s="58"/>
      <c r="V260" s="58"/>
      <c r="W260" s="58"/>
      <c r="X260" s="58"/>
      <c r="Y260" s="58"/>
      <c r="Z260" s="58"/>
      <c r="AA260" s="58"/>
      <c r="AB260" s="58"/>
      <c r="AC260" s="58"/>
      <c r="AD260" s="58"/>
      <c r="AE260" s="58"/>
      <c r="AF260" s="58"/>
      <c r="AG260" s="58"/>
      <c r="AH260" s="58"/>
      <c r="AI260" s="58"/>
      <c r="AJ260" s="58"/>
      <c r="AK260" s="58"/>
      <c r="AL260" s="58"/>
      <c r="AM260" s="58"/>
      <c r="AN260" s="58"/>
      <c r="AO260" s="58"/>
      <c r="AP260" s="58"/>
      <c r="AQ260" s="58"/>
      <c r="AR260" s="58"/>
      <c r="AS260" s="58"/>
      <c r="AT260" s="58"/>
      <c r="AU260" s="58"/>
      <c r="AV260" s="58"/>
      <c r="AW260" s="58"/>
      <c r="AX260" s="58"/>
      <c r="AY260" s="58"/>
      <c r="AZ260" s="58"/>
      <c r="BA260" s="58"/>
      <c r="BB260" s="58"/>
      <c r="BC260" s="58"/>
      <c r="BD260" s="58"/>
      <c r="BE260" s="58"/>
      <c r="BF260" s="58"/>
      <c r="BG260" s="58"/>
      <c r="BH260" s="58"/>
      <c r="BI260" s="58"/>
      <c r="BJ260" s="58"/>
      <c r="BK260" s="58"/>
      <c r="BL260" s="58"/>
      <c r="BM260" s="58"/>
      <c r="BN260" s="58">
        <v>1560544.4</v>
      </c>
      <c r="BO260" s="58">
        <v>1155218.7</v>
      </c>
      <c r="BP260" s="58">
        <v>513527</v>
      </c>
      <c r="BQ260" s="58">
        <v>425019.8</v>
      </c>
      <c r="BR260" s="58">
        <v>88718.5</v>
      </c>
      <c r="BS260" s="58">
        <v>180808.6</v>
      </c>
      <c r="BT260" s="58">
        <v>197012.6</v>
      </c>
      <c r="BU260" s="58">
        <v>82070.5</v>
      </c>
      <c r="BV260" s="58">
        <v>75066</v>
      </c>
      <c r="BW260" s="58">
        <v>836541.5</v>
      </c>
      <c r="BX260" s="58">
        <v>21248.6</v>
      </c>
      <c r="BY260" s="58">
        <v>124638.5</v>
      </c>
      <c r="BZ260" s="58">
        <v>161296.29999999999</v>
      </c>
      <c r="CA260" s="58">
        <v>32662.5</v>
      </c>
      <c r="CB260" s="58">
        <v>23273.5</v>
      </c>
      <c r="CC260" s="58">
        <v>77733.399999999994</v>
      </c>
      <c r="CD260" s="58">
        <v>416937.3</v>
      </c>
      <c r="CE260" s="58">
        <v>133644.4</v>
      </c>
      <c r="CF260" s="58">
        <v>5584875.7234558742</v>
      </c>
      <c r="CG260" s="58">
        <v>27148514.280667491</v>
      </c>
      <c r="CH260" s="58">
        <v>6.7062955428000004</v>
      </c>
      <c r="CI260" s="58">
        <v>3.2732500927000001</v>
      </c>
      <c r="CJ260" s="58">
        <v>14.579319504600001</v>
      </c>
      <c r="CK260" s="58">
        <v>9.6352225566000005</v>
      </c>
      <c r="CL260" s="58">
        <v>6</v>
      </c>
      <c r="CM260" s="58">
        <v>135.34837321149999</v>
      </c>
      <c r="CN260" s="58">
        <v>39.442480138999997</v>
      </c>
      <c r="CO260" s="58">
        <v>5.5280722272</v>
      </c>
      <c r="CP260" s="58">
        <v>21.2873891403</v>
      </c>
      <c r="CQ260" s="58">
        <v>13.083793032199999</v>
      </c>
      <c r="CR260" s="58">
        <v>6.3108710041</v>
      </c>
      <c r="CS260" s="58">
        <v>5.0346090318999996</v>
      </c>
      <c r="CT260" s="58">
        <v>17.998472371599998</v>
      </c>
      <c r="CU260" s="58">
        <v>4.3263014697999997</v>
      </c>
      <c r="CV260" s="58">
        <v>4.0283319246999998</v>
      </c>
      <c r="CW260" s="58">
        <v>6.8736149161000002</v>
      </c>
      <c r="CX260" s="58">
        <v>4.2436125529000002</v>
      </c>
      <c r="CY260" s="58">
        <v>7.1908254016999997</v>
      </c>
      <c r="CZ260" s="58">
        <v>630.32000000000005</v>
      </c>
      <c r="DA260" s="58">
        <v>607.64</v>
      </c>
      <c r="DB260" s="58">
        <v>0</v>
      </c>
      <c r="DC260" s="58">
        <v>325.39</v>
      </c>
      <c r="DD260" s="58">
        <v>114.38</v>
      </c>
      <c r="DE260" s="58">
        <v>13.18</v>
      </c>
      <c r="DF260" s="58">
        <v>83.73</v>
      </c>
      <c r="DG260" s="58">
        <v>28.61</v>
      </c>
      <c r="DH260" s="58">
        <v>9.3000000000000007</v>
      </c>
      <c r="DI260" s="58">
        <v>0.26</v>
      </c>
      <c r="DJ260" s="58">
        <v>0.39</v>
      </c>
      <c r="DK260" s="58">
        <v>6.93</v>
      </c>
      <c r="DL260" s="58">
        <v>0.01</v>
      </c>
      <c r="DM260" s="58">
        <v>13.33</v>
      </c>
      <c r="DN260" s="58">
        <v>0.04</v>
      </c>
      <c r="DO260" s="58">
        <v>577.05999999999995</v>
      </c>
      <c r="DP260" s="58">
        <v>192.69</v>
      </c>
      <c r="DQ260" s="58">
        <v>105.43</v>
      </c>
      <c r="DR260" s="58">
        <v>87.26</v>
      </c>
      <c r="DS260" s="58">
        <v>57.94</v>
      </c>
      <c r="DT260" s="58">
        <v>12.83</v>
      </c>
      <c r="DU260" s="58">
        <v>218.14</v>
      </c>
      <c r="DV260" s="58">
        <v>117</v>
      </c>
      <c r="DW260" s="58">
        <v>81.95</v>
      </c>
      <c r="DX260" s="58">
        <v>107.74</v>
      </c>
      <c r="DY260" s="58">
        <v>54.6</v>
      </c>
      <c r="DZ260" s="58">
        <v>31.5</v>
      </c>
      <c r="EA260" s="58">
        <v>-356.94159864340003</v>
      </c>
      <c r="EB260" s="58">
        <v>-44.283266302599998</v>
      </c>
      <c r="EC260" s="58">
        <v>-178.94704009930001</v>
      </c>
      <c r="ED260" s="58">
        <v>-149.0309038572</v>
      </c>
      <c r="EE260" s="58">
        <v>15.3196116157</v>
      </c>
      <c r="EF260" s="58">
        <v>8.6552115804999996</v>
      </c>
      <c r="EG260" s="58">
        <v>-148.82750270989999</v>
      </c>
      <c r="EH260" s="58">
        <v>-129.82685837380001</v>
      </c>
      <c r="EI260" s="58">
        <v>-11.6545500758</v>
      </c>
      <c r="EJ260" s="58">
        <v>-1.9444905218999999</v>
      </c>
      <c r="EK260" s="58">
        <v>-5.4016037384000004</v>
      </c>
      <c r="EL260" s="58">
        <v>-46.462898768599999</v>
      </c>
      <c r="EM260" s="58">
        <v>-245.9217831217</v>
      </c>
      <c r="EN260" s="58">
        <v>4576.7582478082004</v>
      </c>
      <c r="EO260" s="58">
        <v>755.67823205000002</v>
      </c>
      <c r="EP260" s="58">
        <v>2931.0439197912001</v>
      </c>
      <c r="EQ260" s="58">
        <v>7.759615739</v>
      </c>
      <c r="ER260" s="58">
        <v>42.8347345432</v>
      </c>
      <c r="ES260" s="58">
        <v>839.44174568480003</v>
      </c>
      <c r="ET260" s="58">
        <v>0</v>
      </c>
      <c r="EU260">
        <v>2848.9744444444</v>
      </c>
      <c r="EV260" s="58"/>
      <c r="EW260" s="58"/>
      <c r="EX260" s="58"/>
      <c r="EY260" s="58"/>
      <c r="EZ260" s="58"/>
      <c r="FA260" s="58"/>
      <c r="FB260" s="58">
        <v>153.1982142857</v>
      </c>
      <c r="FC260" s="58">
        <v>74.386818181799995</v>
      </c>
      <c r="FD260" s="58">
        <v>9450.8204545454992</v>
      </c>
      <c r="FE260" s="58">
        <v>214.3409090909</v>
      </c>
      <c r="FF260" s="58">
        <v>1807.0931818182</v>
      </c>
      <c r="FG260" s="58">
        <v>19263060.73</v>
      </c>
      <c r="FH260" s="58">
        <v>1203011.56</v>
      </c>
      <c r="FI260" s="58">
        <v>1977545.59</v>
      </c>
      <c r="FJ260" s="58">
        <v>9485466.9199999999</v>
      </c>
      <c r="FK260" s="58">
        <v>224649.63</v>
      </c>
      <c r="FL260" s="58">
        <v>539451.47</v>
      </c>
      <c r="FM260" s="58">
        <v>2227843.2400000002</v>
      </c>
      <c r="FN260" s="58">
        <v>127694.01</v>
      </c>
      <c r="FO260" s="58">
        <v>165848.69</v>
      </c>
      <c r="FP260" s="58">
        <v>2668357.9</v>
      </c>
      <c r="FQ260" s="58">
        <v>191586.4</v>
      </c>
      <c r="FR260" s="58">
        <v>193931.3</v>
      </c>
      <c r="FS260" s="58">
        <v>655879.5</v>
      </c>
      <c r="FT260" s="58">
        <v>9771393.9000000022</v>
      </c>
      <c r="FU260" s="58">
        <v>978361.93</v>
      </c>
      <c r="FV260" s="58">
        <v>1431894.21</v>
      </c>
      <c r="FW260" s="58">
        <v>3292060.65</v>
      </c>
      <c r="FX260" s="58">
        <v>313142.34999999998</v>
      </c>
      <c r="FY260" s="58">
        <v>535936.13</v>
      </c>
      <c r="FZ260" s="58">
        <v>520040.98</v>
      </c>
      <c r="GA260" s="58">
        <v>25436316</v>
      </c>
      <c r="GB260" s="58">
        <v>6760485.8300000001</v>
      </c>
      <c r="GC260" s="58">
        <v>18675830.170000002</v>
      </c>
      <c r="GD260" s="58">
        <v>19098865.190000001</v>
      </c>
      <c r="GE260" s="58">
        <v>2398618.11</v>
      </c>
      <c r="GF260" s="58">
        <v>16700247.08</v>
      </c>
      <c r="GG260" s="58">
        <v>6337450.8100000015</v>
      </c>
      <c r="GH260" s="58">
        <v>4361867.7199999988</v>
      </c>
      <c r="GI260" s="58">
        <v>1975583.09</v>
      </c>
      <c r="GJ260" s="58">
        <v>3128226.350000001</v>
      </c>
      <c r="GK260" s="58">
        <v>39739621.090000004</v>
      </c>
      <c r="GL260" s="58">
        <v>3154130.91</v>
      </c>
      <c r="GM260">
        <v>2849.12</v>
      </c>
      <c r="GN260" s="7"/>
      <c r="GQ260" s="6"/>
    </row>
    <row r="261" spans="1:199" x14ac:dyDescent="0.2">
      <c r="A261" s="57" t="s">
        <v>884</v>
      </c>
      <c r="B261" s="57" t="s">
        <v>856</v>
      </c>
      <c r="C261" s="57" t="s">
        <v>883</v>
      </c>
      <c r="D261" s="58"/>
      <c r="E261" s="58"/>
      <c r="F261" s="58"/>
      <c r="G261" s="58"/>
      <c r="H261" s="58"/>
      <c r="I261" s="58"/>
      <c r="J261" s="58"/>
      <c r="K261" s="58"/>
      <c r="L261" s="58"/>
      <c r="M261" s="58"/>
      <c r="N261" s="58"/>
      <c r="O261" s="58"/>
      <c r="P261" s="58"/>
      <c r="Q261" s="58"/>
      <c r="R261" s="58"/>
      <c r="S261" s="58"/>
      <c r="T261" s="58"/>
      <c r="U261" s="58"/>
      <c r="V261" s="58"/>
      <c r="W261" s="58"/>
      <c r="X261" s="58"/>
      <c r="Y261" s="58"/>
      <c r="Z261" s="58"/>
      <c r="AA261" s="58"/>
      <c r="AB261" s="58"/>
      <c r="AC261" s="58"/>
      <c r="AD261" s="58"/>
      <c r="AE261" s="58"/>
      <c r="AF261" s="58"/>
      <c r="AG261" s="58"/>
      <c r="AH261" s="58"/>
      <c r="AI261" s="58"/>
      <c r="AJ261" s="58"/>
      <c r="AK261" s="58"/>
      <c r="AL261" s="58"/>
      <c r="AM261" s="58"/>
      <c r="AN261" s="58"/>
      <c r="AO261" s="58"/>
      <c r="AP261" s="58"/>
      <c r="AQ261" s="58"/>
      <c r="AR261" s="58"/>
      <c r="AS261" s="58"/>
      <c r="AT261" s="58"/>
      <c r="AU261" s="58"/>
      <c r="AV261" s="58"/>
      <c r="AW261" s="58"/>
      <c r="AX261" s="58"/>
      <c r="AY261" s="58"/>
      <c r="AZ261" s="58"/>
      <c r="BA261" s="58"/>
      <c r="BB261" s="58"/>
      <c r="BC261" s="58"/>
      <c r="BD261" s="58"/>
      <c r="BE261" s="58"/>
      <c r="BF261" s="58"/>
      <c r="BG261" s="58"/>
      <c r="BH261" s="58"/>
      <c r="BI261" s="58"/>
      <c r="BJ261" s="58"/>
      <c r="BK261" s="58"/>
      <c r="BL261" s="58"/>
      <c r="BM261" s="58"/>
      <c r="BN261" s="58">
        <v>1126364.2</v>
      </c>
      <c r="BO261" s="58">
        <v>782920.3</v>
      </c>
      <c r="BP261" s="58">
        <v>97402.9</v>
      </c>
      <c r="BQ261" s="58">
        <v>9199.6</v>
      </c>
      <c r="BR261" s="58">
        <v>88346.9</v>
      </c>
      <c r="BS261" s="58">
        <v>178225.1</v>
      </c>
      <c r="BT261" s="58">
        <v>245785.7</v>
      </c>
      <c r="BU261" s="58">
        <v>91588.1</v>
      </c>
      <c r="BV261" s="58">
        <v>80107.7</v>
      </c>
      <c r="BW261" s="58">
        <v>834485.1</v>
      </c>
      <c r="BX261" s="58">
        <v>15833.1</v>
      </c>
      <c r="BY261" s="58">
        <v>105659.7</v>
      </c>
      <c r="BZ261" s="58">
        <v>163470.9</v>
      </c>
      <c r="CA261" s="58">
        <v>36153.699999999997</v>
      </c>
      <c r="CB261" s="58">
        <v>34682.300000000003</v>
      </c>
      <c r="CC261" s="58">
        <v>100421.4</v>
      </c>
      <c r="CD261" s="58">
        <v>394097.1</v>
      </c>
      <c r="CE261" s="58">
        <v>223899.2</v>
      </c>
      <c r="CF261" s="58">
        <v>5695974.5750569794</v>
      </c>
      <c r="CG261" s="58">
        <v>27146659.373588853</v>
      </c>
      <c r="CH261" s="58">
        <v>7.5546760169000002</v>
      </c>
      <c r="CI261" s="58">
        <v>2.1552354713000001</v>
      </c>
      <c r="CJ261" s="58">
        <v>14.404796753199999</v>
      </c>
      <c r="CK261" s="58">
        <v>8.3460147400999993</v>
      </c>
      <c r="CL261" s="58">
        <v>6</v>
      </c>
      <c r="CM261" s="58">
        <v>135.88547901539999</v>
      </c>
      <c r="CN261" s="58">
        <v>38.576749714999998</v>
      </c>
      <c r="CO261" s="58">
        <v>5.5544172417000004</v>
      </c>
      <c r="CP261" s="58">
        <v>21.422054832099999</v>
      </c>
      <c r="CQ261" s="58">
        <v>13.360762231200001</v>
      </c>
      <c r="CR261" s="58">
        <v>6.3657080931000003</v>
      </c>
      <c r="CS261" s="58">
        <v>5.0810200213999996</v>
      </c>
      <c r="CT261" s="58">
        <v>18.4922221488</v>
      </c>
      <c r="CU261" s="58">
        <v>4.3267936046999997</v>
      </c>
      <c r="CV261" s="58">
        <v>4.0607883004999996</v>
      </c>
      <c r="CW261" s="58">
        <v>7.0524562583000003</v>
      </c>
      <c r="CX261" s="58">
        <v>4.2960064520000003</v>
      </c>
      <c r="CY261" s="58">
        <v>7.2965001164999999</v>
      </c>
      <c r="CZ261" s="58">
        <v>885.19</v>
      </c>
      <c r="DA261" s="58">
        <v>850.88</v>
      </c>
      <c r="DB261" s="58">
        <v>120.33</v>
      </c>
      <c r="DC261" s="58">
        <v>354.78</v>
      </c>
      <c r="DD261" s="58">
        <v>102.91</v>
      </c>
      <c r="DE261" s="58">
        <v>16.72</v>
      </c>
      <c r="DF261" s="58">
        <v>191.67</v>
      </c>
      <c r="DG261" s="58">
        <v>21.79</v>
      </c>
      <c r="DH261" s="58">
        <v>11.79</v>
      </c>
      <c r="DI261" s="58">
        <v>0.19</v>
      </c>
      <c r="DJ261" s="58">
        <v>0.12</v>
      </c>
      <c r="DK261" s="58">
        <v>8.61</v>
      </c>
      <c r="DL261" s="58">
        <v>0.02</v>
      </c>
      <c r="DM261" s="58">
        <v>22.46</v>
      </c>
      <c r="DN261" s="58">
        <v>0.05</v>
      </c>
      <c r="DO261" s="58">
        <v>635.76</v>
      </c>
      <c r="DP261" s="58">
        <v>175.66</v>
      </c>
      <c r="DQ261" s="58">
        <v>103.31</v>
      </c>
      <c r="DR261" s="58">
        <v>72.34</v>
      </c>
      <c r="DS261" s="58">
        <v>72.819999999999993</v>
      </c>
      <c r="DT261" s="58">
        <v>12.88</v>
      </c>
      <c r="DU261" s="58">
        <v>289.02</v>
      </c>
      <c r="DV261" s="58">
        <v>153.87</v>
      </c>
      <c r="DW261" s="58">
        <v>117.09</v>
      </c>
      <c r="DX261" s="58">
        <v>97.69</v>
      </c>
      <c r="DY261" s="58">
        <v>49.36</v>
      </c>
      <c r="DZ261" s="58">
        <v>41.65</v>
      </c>
      <c r="EA261" s="58"/>
      <c r="EB261" s="58"/>
      <c r="EC261" s="58"/>
      <c r="ED261" s="58"/>
      <c r="EE261" s="58"/>
      <c r="EF261" s="58"/>
      <c r="EG261" s="58"/>
      <c r="EH261" s="58"/>
      <c r="EI261" s="58"/>
      <c r="EJ261" s="58"/>
      <c r="EK261" s="58"/>
      <c r="EL261" s="58"/>
      <c r="EM261" s="58"/>
      <c r="EN261" s="58"/>
      <c r="EO261" s="58"/>
      <c r="EP261" s="58"/>
      <c r="EQ261" s="58"/>
      <c r="ER261" s="58"/>
      <c r="ES261" s="58"/>
      <c r="ET261" s="58"/>
      <c r="EU261">
        <v>2848.9077272727</v>
      </c>
      <c r="EV261" s="58"/>
      <c r="EW261" s="58"/>
      <c r="EX261" s="58"/>
      <c r="EY261" s="58"/>
      <c r="EZ261" s="58"/>
      <c r="FA261" s="58"/>
      <c r="FB261" s="58">
        <v>173.5683673469</v>
      </c>
      <c r="FC261" s="58">
        <v>70.020909090900005</v>
      </c>
      <c r="FD261" s="58">
        <v>9370.1385714286007</v>
      </c>
      <c r="FE261" s="58">
        <v>162.0909090909</v>
      </c>
      <c r="FF261" s="58">
        <v>1783.9690476190001</v>
      </c>
      <c r="FG261" s="58">
        <v>19689944.829999998</v>
      </c>
      <c r="FH261" s="58">
        <v>1199231.69</v>
      </c>
      <c r="FI261" s="58">
        <v>1985581.93</v>
      </c>
      <c r="FJ261" s="58">
        <v>9862413.1099999994</v>
      </c>
      <c r="FK261" s="58">
        <v>220906.8</v>
      </c>
      <c r="FL261" s="58">
        <v>548290.08000000007</v>
      </c>
      <c r="FM261" s="58">
        <v>2245694.9300000002</v>
      </c>
      <c r="FN261" s="58">
        <v>128930.45</v>
      </c>
      <c r="FO261" s="58">
        <v>164449.10999999999</v>
      </c>
      <c r="FP261" s="58">
        <v>2711180</v>
      </c>
      <c r="FQ261" s="58">
        <v>237696</v>
      </c>
      <c r="FR261" s="58">
        <v>185545.60000000001</v>
      </c>
      <c r="FS261" s="58">
        <v>716302.9</v>
      </c>
      <c r="FT261" s="58">
        <v>9821341.9600000009</v>
      </c>
      <c r="FU261" s="58">
        <v>978324.88</v>
      </c>
      <c r="FV261" s="58">
        <v>1431102.1</v>
      </c>
      <c r="FW261" s="58">
        <v>3365715.85</v>
      </c>
      <c r="FX261" s="58">
        <v>328088.83</v>
      </c>
      <c r="FY261" s="58">
        <v>532654.48</v>
      </c>
      <c r="FZ261" s="58">
        <v>548353.56000000006</v>
      </c>
      <c r="GA261" s="58">
        <v>25415784.52</v>
      </c>
      <c r="GB261" s="58">
        <v>6912443.0599999996</v>
      </c>
      <c r="GC261" s="58">
        <v>18503341.460000001</v>
      </c>
      <c r="GD261" s="58">
        <v>18794115.239999998</v>
      </c>
      <c r="GE261" s="58">
        <v>2335580.81</v>
      </c>
      <c r="GF261" s="58">
        <v>16458534.43</v>
      </c>
      <c r="GG261" s="58">
        <v>6621669.2800000003</v>
      </c>
      <c r="GH261" s="58">
        <v>4576862.25</v>
      </c>
      <c r="GI261" s="58">
        <v>2044807.03</v>
      </c>
      <c r="GJ261" s="58">
        <v>3050478.5199999996</v>
      </c>
      <c r="GK261" s="58">
        <v>39892007.090000004</v>
      </c>
      <c r="GL261" s="58">
        <v>3183719.04</v>
      </c>
      <c r="GM261">
        <v>2849.48</v>
      </c>
      <c r="GN261" s="7"/>
      <c r="GQ261" s="6"/>
    </row>
    <row r="262" spans="1:199" x14ac:dyDescent="0.2">
      <c r="A262" s="2"/>
      <c r="B262" s="2"/>
      <c r="C262" s="2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4"/>
      <c r="AM262" s="4"/>
      <c r="AN262" s="4"/>
      <c r="AO262" s="4"/>
      <c r="AP262" s="4"/>
      <c r="AQ262" s="4"/>
      <c r="AR262" s="4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/>
      <c r="BE262" s="4"/>
      <c r="BF262" s="4"/>
      <c r="BG262" s="4"/>
      <c r="BH262" s="4"/>
      <c r="BI262" s="4"/>
      <c r="BJ262" s="4"/>
      <c r="BK262" s="4"/>
      <c r="BL262" s="4"/>
      <c r="BM262" s="4"/>
      <c r="BN262" s="4"/>
      <c r="BO262" s="4"/>
      <c r="BP262" s="4"/>
      <c r="BQ262" s="4"/>
      <c r="BR262" s="4"/>
      <c r="BS262" s="4"/>
      <c r="BT262" s="4"/>
      <c r="BU262" s="4"/>
      <c r="BV262" s="4"/>
      <c r="BW262" s="4"/>
      <c r="BX262" s="4"/>
      <c r="BY262" s="4"/>
      <c r="BZ262" s="4"/>
      <c r="CA262" s="4"/>
      <c r="CB262" s="4"/>
      <c r="CC262" s="4"/>
      <c r="CD262" s="4"/>
      <c r="CE262" s="4"/>
      <c r="CF262" s="4"/>
      <c r="CG262" s="4"/>
      <c r="CH262" s="4"/>
      <c r="CI262" s="4"/>
      <c r="CJ262" s="4"/>
      <c r="CK262" s="4"/>
      <c r="CL262" s="4"/>
      <c r="CM262" s="4"/>
      <c r="CN262" s="4"/>
      <c r="CO262" s="4"/>
      <c r="CP262" s="4"/>
      <c r="CQ262" s="4"/>
      <c r="CR262" s="4"/>
      <c r="CS262" s="4"/>
      <c r="CT262" s="4"/>
      <c r="CU262" s="4"/>
      <c r="CV262" s="4"/>
      <c r="CW262" s="4"/>
      <c r="CX262" s="4"/>
      <c r="CY262" s="4"/>
      <c r="CZ262" s="4"/>
      <c r="DA262" s="4"/>
      <c r="DB262" s="4"/>
      <c r="DC262" s="4"/>
      <c r="DD262" s="4"/>
      <c r="DE262" s="4"/>
      <c r="DF262" s="4"/>
      <c r="DG262" s="4"/>
      <c r="DH262" s="4"/>
      <c r="DI262" s="4"/>
      <c r="DJ262" s="4"/>
      <c r="DK262" s="4"/>
      <c r="DL262" s="4"/>
      <c r="DM262" s="4"/>
      <c r="DN262" s="4"/>
      <c r="DO262" s="4"/>
      <c r="DP262" s="4"/>
      <c r="DQ262" s="4"/>
      <c r="DR262" s="4"/>
      <c r="DS262" s="4"/>
      <c r="DT262" s="4"/>
      <c r="DU262" s="4"/>
      <c r="DV262" s="4"/>
      <c r="DW262" s="4"/>
      <c r="DX262" s="4"/>
      <c r="DY262" s="4"/>
      <c r="DZ262" s="4"/>
      <c r="EA262" s="4"/>
      <c r="EB262" s="4"/>
      <c r="EC262" s="4"/>
      <c r="ED262" s="4"/>
      <c r="EE262" s="4"/>
      <c r="EF262" s="4"/>
      <c r="EG262" s="4"/>
      <c r="EH262" s="4"/>
      <c r="EI262" s="4"/>
      <c r="EJ262" s="4"/>
      <c r="EK262" s="4"/>
      <c r="EL262" s="4"/>
      <c r="EM262" s="4"/>
      <c r="EN262" s="4"/>
      <c r="EO262" s="4"/>
      <c r="EP262" s="4"/>
      <c r="EQ262" s="4"/>
      <c r="ER262" s="4"/>
      <c r="ES262" s="4"/>
      <c r="ET262" s="4"/>
      <c r="EU262" s="4"/>
      <c r="EV262" s="4"/>
      <c r="EW262" s="4"/>
      <c r="EX262" s="4"/>
      <c r="EY262" s="4"/>
      <c r="EZ262" s="4"/>
      <c r="FA262" s="4"/>
      <c r="FB262" s="4"/>
      <c r="FC262" s="4"/>
      <c r="FD262" s="4"/>
      <c r="FE262" s="4"/>
      <c r="FF262" s="4"/>
    </row>
    <row r="263" spans="1:199" x14ac:dyDescent="0.2">
      <c r="A263" s="2"/>
      <c r="B263" s="2"/>
      <c r="C263" s="2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4"/>
      <c r="AM263" s="4"/>
      <c r="AN263" s="4"/>
      <c r="AO263" s="4"/>
      <c r="AP263" s="4"/>
      <c r="AQ263" s="4"/>
      <c r="AR263" s="4"/>
      <c r="AS263" s="4"/>
      <c r="AT263" s="4"/>
      <c r="AU263" s="4"/>
      <c r="AV263" s="4"/>
      <c r="AW263" s="4"/>
      <c r="AX263" s="4"/>
      <c r="AY263" s="4"/>
      <c r="AZ263" s="4"/>
      <c r="BA263" s="4"/>
      <c r="BB263" s="4"/>
      <c r="BC263" s="4"/>
      <c r="BD263" s="4"/>
      <c r="BE263" s="4"/>
      <c r="BF263" s="4"/>
      <c r="BG263" s="4"/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4"/>
      <c r="BX263" s="4"/>
      <c r="BY263" s="4"/>
      <c r="BZ263" s="4"/>
      <c r="CA263" s="4"/>
      <c r="CB263" s="4"/>
      <c r="CC263" s="4"/>
      <c r="CD263" s="4"/>
      <c r="CE263" s="4"/>
      <c r="CF263" s="4"/>
      <c r="CG263" s="4"/>
      <c r="CH263" s="4"/>
      <c r="CI263" s="4"/>
      <c r="CJ263" s="4"/>
      <c r="CK263" s="4"/>
      <c r="CL263" s="4"/>
      <c r="CM263" s="4"/>
      <c r="CN263" s="4"/>
      <c r="CO263" s="4"/>
      <c r="CP263" s="4"/>
      <c r="CQ263" s="4"/>
      <c r="CR263" s="4"/>
      <c r="CS263" s="4"/>
      <c r="CT263" s="4"/>
      <c r="CU263" s="4"/>
      <c r="CV263" s="4"/>
      <c r="CW263" s="4"/>
      <c r="CX263" s="4"/>
      <c r="CY263" s="4"/>
      <c r="CZ263" s="4"/>
      <c r="DA263" s="4"/>
      <c r="DB263" s="4"/>
      <c r="DC263" s="4"/>
      <c r="DD263" s="4"/>
      <c r="DE263" s="4"/>
      <c r="DF263" s="4"/>
      <c r="DG263" s="4"/>
      <c r="DH263" s="4"/>
      <c r="DI263" s="4"/>
      <c r="DJ263" s="4"/>
      <c r="DK263" s="4"/>
      <c r="DL263" s="4"/>
      <c r="DM263" s="4"/>
      <c r="DN263" s="4"/>
      <c r="DO263" s="4"/>
      <c r="DP263" s="4"/>
      <c r="DQ263" s="4"/>
      <c r="DR263" s="4"/>
      <c r="DS263" s="4"/>
      <c r="DT263" s="4"/>
      <c r="DU263" s="4"/>
      <c r="DV263" s="4"/>
      <c r="DW263" s="4"/>
      <c r="DX263" s="4"/>
      <c r="DY263" s="4"/>
      <c r="DZ263" s="4"/>
      <c r="EA263" s="4"/>
      <c r="EB263" s="4"/>
      <c r="EC263" s="4"/>
      <c r="ED263" s="4"/>
      <c r="EE263" s="4"/>
      <c r="EF263" s="4"/>
      <c r="EG263" s="4"/>
      <c r="EH263" s="4"/>
      <c r="EI263" s="4"/>
      <c r="EJ263" s="4"/>
      <c r="EK263" s="4"/>
      <c r="EL263" s="4"/>
      <c r="EM263" s="4"/>
      <c r="EN263" s="4"/>
      <c r="EO263" s="4"/>
      <c r="EP263" s="4"/>
      <c r="EQ263" s="4"/>
      <c r="ER263" s="4"/>
      <c r="ES263" s="4"/>
      <c r="ET263" s="4"/>
      <c r="EU263" s="4"/>
      <c r="EV263" s="4"/>
      <c r="EW263" s="4"/>
      <c r="EX263" s="4"/>
      <c r="EY263" s="4"/>
      <c r="EZ263" s="4"/>
      <c r="FA263" s="4"/>
      <c r="FB263" s="4"/>
      <c r="FC263" s="4"/>
      <c r="FD263" s="4"/>
      <c r="FE263" s="4"/>
      <c r="FF263" s="4"/>
    </row>
    <row r="264" spans="1:199" x14ac:dyDescent="0.2">
      <c r="A264" s="2"/>
      <c r="B264" s="2"/>
      <c r="C264" s="2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4"/>
      <c r="AM264" s="4"/>
      <c r="AN264" s="4"/>
      <c r="AO264" s="4"/>
      <c r="AP264" s="4"/>
      <c r="AQ264" s="4"/>
      <c r="AR264" s="4"/>
      <c r="AS264" s="4"/>
      <c r="AT264" s="4"/>
      <c r="AU264" s="4"/>
      <c r="AV264" s="4"/>
      <c r="AW264" s="4"/>
      <c r="AX264" s="4"/>
      <c r="AY264" s="4"/>
      <c r="AZ264" s="4"/>
      <c r="BA264" s="4"/>
      <c r="BB264" s="4"/>
      <c r="BC264" s="4"/>
      <c r="BD264" s="4"/>
      <c r="BE264" s="4"/>
      <c r="BF264" s="4"/>
      <c r="BG264" s="4"/>
      <c r="BH264" s="4"/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4"/>
      <c r="BT264" s="4"/>
      <c r="BU264" s="4"/>
      <c r="BV264" s="4"/>
      <c r="BW264" s="4"/>
      <c r="BX264" s="4"/>
      <c r="BY264" s="4"/>
      <c r="BZ264" s="4"/>
      <c r="CA264" s="4"/>
      <c r="CB264" s="4"/>
      <c r="CC264" s="4"/>
      <c r="CD264" s="4"/>
      <c r="CE264" s="4"/>
      <c r="CF264" s="4"/>
      <c r="CG264" s="4"/>
      <c r="CH264" s="4"/>
      <c r="CI264" s="4"/>
      <c r="CJ264" s="4"/>
      <c r="CK264" s="4"/>
      <c r="CL264" s="4"/>
      <c r="CM264" s="4"/>
      <c r="CN264" s="4"/>
      <c r="CO264" s="4"/>
      <c r="CP264" s="4"/>
      <c r="CQ264" s="4"/>
      <c r="CR264" s="4"/>
      <c r="CS264" s="4"/>
      <c r="CT264" s="4"/>
      <c r="CU264" s="4"/>
      <c r="CV264" s="4"/>
      <c r="CW264" s="4"/>
      <c r="CX264" s="4"/>
      <c r="CY264" s="4"/>
      <c r="CZ264" s="4"/>
      <c r="DA264" s="4"/>
      <c r="DB264" s="4"/>
      <c r="DC264" s="4"/>
      <c r="DD264" s="4"/>
      <c r="DE264" s="4"/>
      <c r="DF264" s="4"/>
      <c r="DG264" s="4"/>
      <c r="DH264" s="4"/>
      <c r="DI264" s="4"/>
      <c r="DJ264" s="4"/>
      <c r="DK264" s="4"/>
      <c r="DL264" s="4"/>
      <c r="DM264" s="4"/>
      <c r="DN264" s="4"/>
      <c r="DO264" s="4"/>
      <c r="DP264" s="4"/>
      <c r="DQ264" s="4"/>
      <c r="DR264" s="4"/>
      <c r="DS264" s="4"/>
      <c r="DT264" s="4"/>
      <c r="DU264" s="4"/>
      <c r="DV264" s="4"/>
      <c r="DW264" s="4"/>
      <c r="DX264" s="4"/>
      <c r="DY264" s="4"/>
      <c r="DZ264" s="4"/>
      <c r="EA264" s="4"/>
      <c r="EB264" s="4"/>
      <c r="EC264" s="4"/>
      <c r="ED264" s="4"/>
      <c r="EE264" s="4"/>
      <c r="EF264" s="4"/>
      <c r="EG264" s="4"/>
      <c r="EH264" s="4"/>
      <c r="EI264" s="4"/>
      <c r="EJ264" s="4"/>
      <c r="EK264" s="4"/>
      <c r="EL264" s="4"/>
      <c r="EM264" s="4"/>
      <c r="EN264" s="4"/>
      <c r="EO264" s="4"/>
      <c r="EP264" s="4"/>
      <c r="EQ264" s="4"/>
      <c r="ER264" s="4"/>
      <c r="ES264" s="4"/>
      <c r="ET264" s="4"/>
      <c r="EU264" s="4"/>
      <c r="EV264" s="4"/>
      <c r="EW264" s="4"/>
      <c r="EX264" s="4"/>
      <c r="EY264" s="4"/>
      <c r="EZ264" s="4"/>
      <c r="FA264" s="4"/>
      <c r="FB264" s="4"/>
      <c r="FC264" s="4"/>
      <c r="FD264" s="4"/>
      <c r="FE264" s="4"/>
      <c r="FF264" s="4"/>
    </row>
    <row r="265" spans="1:199" x14ac:dyDescent="0.2">
      <c r="A265" s="2"/>
      <c r="B265" s="2"/>
      <c r="C265" s="2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4"/>
      <c r="AM265" s="4"/>
      <c r="AN265" s="4"/>
      <c r="AO265" s="4"/>
      <c r="AP265" s="4"/>
      <c r="AQ265" s="4"/>
      <c r="AR265" s="4"/>
      <c r="AS265" s="4"/>
      <c r="AT265" s="4"/>
      <c r="AU265" s="4"/>
      <c r="AV265" s="4"/>
      <c r="AW265" s="4"/>
      <c r="AX265" s="4"/>
      <c r="AY265" s="4"/>
      <c r="AZ265" s="4"/>
      <c r="BA265" s="4"/>
      <c r="BB265" s="4"/>
      <c r="BC265" s="4"/>
      <c r="BD265" s="4"/>
      <c r="BE265" s="4"/>
      <c r="BF265" s="4"/>
      <c r="BG265" s="4"/>
      <c r="BH265" s="4"/>
      <c r="BI265" s="4"/>
      <c r="BJ265" s="4"/>
      <c r="BK265" s="4"/>
      <c r="BL265" s="4"/>
      <c r="BM265" s="4"/>
      <c r="BN265" s="4"/>
      <c r="BO265" s="4"/>
      <c r="BP265" s="4"/>
      <c r="BQ265" s="4"/>
      <c r="BR265" s="4"/>
      <c r="BS265" s="4"/>
      <c r="BT265" s="4"/>
      <c r="BU265" s="4"/>
      <c r="BV265" s="4"/>
      <c r="BW265" s="4"/>
      <c r="BX265" s="4"/>
      <c r="BY265" s="4"/>
      <c r="BZ265" s="4"/>
      <c r="CA265" s="4"/>
      <c r="CB265" s="4"/>
      <c r="CC265" s="4"/>
      <c r="CD265" s="4"/>
      <c r="CE265" s="4"/>
      <c r="CF265" s="4"/>
      <c r="CG265" s="4"/>
      <c r="CH265" s="4"/>
      <c r="CI265" s="4"/>
      <c r="CJ265" s="4"/>
      <c r="CK265" s="4"/>
      <c r="CL265" s="4"/>
      <c r="CM265" s="4"/>
      <c r="CN265" s="4"/>
      <c r="CO265" s="4"/>
      <c r="CP265" s="4"/>
      <c r="CQ265" s="4"/>
      <c r="CR265" s="4"/>
      <c r="CS265" s="4"/>
      <c r="CT265" s="4"/>
      <c r="CU265" s="4"/>
      <c r="CV265" s="4"/>
      <c r="CW265" s="4"/>
      <c r="CX265" s="4"/>
      <c r="CY265" s="4"/>
      <c r="CZ265" s="4"/>
      <c r="DA265" s="4"/>
      <c r="DB265" s="4"/>
      <c r="DC265" s="4"/>
      <c r="DD265" s="4"/>
      <c r="DE265" s="4"/>
      <c r="DF265" s="4"/>
      <c r="DG265" s="4"/>
      <c r="DH265" s="4"/>
      <c r="DI265" s="4"/>
      <c r="DJ265" s="4"/>
      <c r="DK265" s="4"/>
      <c r="DL265" s="4"/>
      <c r="DM265" s="4"/>
      <c r="DN265" s="4"/>
      <c r="DO265" s="4"/>
      <c r="DP265" s="4"/>
      <c r="DQ265" s="4"/>
      <c r="DR265" s="4"/>
      <c r="DS265" s="4"/>
      <c r="DT265" s="4"/>
      <c r="DU265" s="4"/>
      <c r="DV265" s="4"/>
      <c r="DW265" s="4"/>
      <c r="DX265" s="4"/>
      <c r="DY265" s="4"/>
      <c r="DZ265" s="4"/>
      <c r="EA265" s="4"/>
      <c r="EB265" s="4"/>
      <c r="EC265" s="4"/>
      <c r="ED265" s="4"/>
      <c r="EE265" s="4"/>
      <c r="EF265" s="4"/>
      <c r="EG265" s="4"/>
      <c r="EH265" s="4"/>
      <c r="EI265" s="4"/>
      <c r="EJ265" s="4"/>
      <c r="EK265" s="4"/>
      <c r="EL265" s="4"/>
      <c r="EM265" s="4"/>
      <c r="EN265" s="4"/>
      <c r="EO265" s="4"/>
      <c r="EP265" s="4"/>
      <c r="EQ265" s="4"/>
      <c r="ER265" s="4"/>
      <c r="ES265" s="4"/>
      <c r="ET265" s="4"/>
      <c r="EU265" s="4"/>
      <c r="EV265" s="4"/>
      <c r="EW265" s="4"/>
      <c r="EX265" s="4"/>
      <c r="EY265" s="4"/>
      <c r="EZ265" s="4"/>
      <c r="FA265" s="4"/>
      <c r="FB265" s="4"/>
      <c r="FC265" s="4"/>
      <c r="FD265" s="4"/>
      <c r="FE265" s="4"/>
      <c r="FF265" s="4"/>
    </row>
    <row r="266" spans="1:199" x14ac:dyDescent="0.2">
      <c r="A266" s="2"/>
      <c r="B266" s="2"/>
      <c r="C266" s="2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4"/>
      <c r="AM266" s="4"/>
      <c r="AN266" s="4"/>
      <c r="AO266" s="4"/>
      <c r="AP266" s="4"/>
      <c r="AQ266" s="4"/>
      <c r="AR266" s="4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/>
      <c r="BE266" s="4"/>
      <c r="BF266" s="4"/>
      <c r="BG266" s="4"/>
      <c r="BH266" s="4"/>
      <c r="BI266" s="4"/>
      <c r="BJ266" s="4"/>
      <c r="BK266" s="4"/>
      <c r="BL266" s="4"/>
      <c r="BM266" s="4"/>
      <c r="BN266" s="4"/>
      <c r="BO266" s="4"/>
      <c r="BP266" s="4"/>
      <c r="BQ266" s="4"/>
      <c r="BR266" s="4"/>
      <c r="BS266" s="4"/>
      <c r="BT266" s="4"/>
      <c r="BU266" s="4"/>
      <c r="BV266" s="4"/>
      <c r="BW266" s="4"/>
      <c r="BX266" s="4"/>
      <c r="BY266" s="4"/>
      <c r="BZ266" s="4"/>
      <c r="CA266" s="4"/>
      <c r="CB266" s="4"/>
      <c r="CC266" s="4"/>
      <c r="CD266" s="4"/>
      <c r="CE266" s="4"/>
      <c r="CF266" s="4"/>
      <c r="CG266" s="4"/>
      <c r="CH266" s="4"/>
      <c r="CI266" s="4"/>
      <c r="CJ266" s="4"/>
      <c r="CK266" s="4"/>
      <c r="CL266" s="4"/>
      <c r="CM266" s="4"/>
      <c r="CN266" s="4"/>
      <c r="CO266" s="4"/>
      <c r="CP266" s="4"/>
      <c r="CQ266" s="4"/>
      <c r="CR266" s="4"/>
      <c r="CS266" s="4"/>
      <c r="CT266" s="4"/>
      <c r="CU266" s="4"/>
      <c r="CV266" s="4"/>
      <c r="CW266" s="4"/>
      <c r="CX266" s="4"/>
      <c r="CY266" s="4"/>
      <c r="CZ266" s="4"/>
      <c r="DA266" s="4"/>
      <c r="DB266" s="4"/>
      <c r="DC266" s="4"/>
      <c r="DD266" s="4"/>
      <c r="DE266" s="4"/>
      <c r="DF266" s="4"/>
      <c r="DG266" s="4"/>
      <c r="DH266" s="4"/>
      <c r="DI266" s="4"/>
      <c r="DJ266" s="4"/>
      <c r="DK266" s="4"/>
      <c r="DL266" s="4"/>
      <c r="DM266" s="4"/>
      <c r="DN266" s="4"/>
      <c r="DO266" s="4"/>
      <c r="DP266" s="4"/>
      <c r="DQ266" s="4"/>
      <c r="DR266" s="4"/>
      <c r="DS266" s="4"/>
      <c r="DT266" s="4"/>
      <c r="DU266" s="4"/>
      <c r="DV266" s="4"/>
      <c r="DW266" s="4"/>
      <c r="DX266" s="4"/>
      <c r="DY266" s="4"/>
      <c r="DZ266" s="4"/>
      <c r="EA266" s="4"/>
      <c r="EB266" s="4"/>
      <c r="EC266" s="4"/>
      <c r="ED266" s="4"/>
      <c r="EE266" s="4"/>
      <c r="EF266" s="4"/>
      <c r="EG266" s="4"/>
      <c r="EH266" s="4"/>
      <c r="EI266" s="4"/>
      <c r="EJ266" s="4"/>
      <c r="EK266" s="4"/>
      <c r="EL266" s="4"/>
      <c r="EM266" s="4"/>
      <c r="EN266" s="4"/>
      <c r="EO266" s="4"/>
      <c r="EP266" s="4"/>
      <c r="EQ266" s="4"/>
      <c r="ER266" s="4"/>
      <c r="ES266" s="4"/>
      <c r="ET266" s="4"/>
      <c r="EU266" s="4"/>
      <c r="EV266" s="4"/>
      <c r="EW266" s="4"/>
      <c r="EX266" s="4"/>
      <c r="EY266" s="4"/>
      <c r="EZ266" s="4"/>
      <c r="FA266" s="4"/>
      <c r="FB266" s="4"/>
      <c r="FC266" s="4"/>
      <c r="FD266" s="4"/>
      <c r="FE266" s="4"/>
      <c r="FF266" s="4"/>
    </row>
    <row r="267" spans="1:199" x14ac:dyDescent="0.2">
      <c r="A267" s="2"/>
      <c r="B267" s="2"/>
      <c r="C267" s="2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4"/>
      <c r="AM267" s="4"/>
      <c r="AN267" s="4"/>
      <c r="AO267" s="4"/>
      <c r="AP267" s="4"/>
      <c r="AQ267" s="4"/>
      <c r="AR267" s="4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/>
      <c r="BE267" s="4"/>
      <c r="BF267" s="4"/>
      <c r="BG267" s="4"/>
      <c r="BH267" s="4"/>
      <c r="BI267" s="4"/>
      <c r="BJ267" s="4"/>
      <c r="BK267" s="4"/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/>
      <c r="BW267" s="4"/>
      <c r="BX267" s="4"/>
      <c r="BY267" s="4"/>
      <c r="BZ267" s="4"/>
      <c r="CA267" s="4"/>
      <c r="CB267" s="4"/>
      <c r="CC267" s="4"/>
      <c r="CD267" s="4"/>
      <c r="CE267" s="4"/>
      <c r="CF267" s="4"/>
      <c r="CG267" s="4"/>
      <c r="CH267" s="4"/>
      <c r="CI267" s="4"/>
      <c r="CJ267" s="4"/>
      <c r="CK267" s="4"/>
      <c r="CL267" s="4"/>
      <c r="CM267" s="4"/>
      <c r="CN267" s="4"/>
      <c r="CO267" s="4"/>
      <c r="CP267" s="4"/>
      <c r="CQ267" s="4"/>
      <c r="CR267" s="4"/>
      <c r="CS267" s="4"/>
      <c r="CT267" s="4"/>
      <c r="CU267" s="4"/>
      <c r="CV267" s="4"/>
      <c r="CW267" s="4"/>
      <c r="CX267" s="4"/>
      <c r="CY267" s="4"/>
      <c r="CZ267" s="4"/>
      <c r="DA267" s="4"/>
      <c r="DB267" s="4"/>
      <c r="DC267" s="4"/>
      <c r="DD267" s="4"/>
      <c r="DE267" s="4"/>
      <c r="DF267" s="4"/>
      <c r="DG267" s="4"/>
      <c r="DH267" s="4"/>
      <c r="DI267" s="4"/>
      <c r="DJ267" s="4"/>
      <c r="DK267" s="4"/>
      <c r="DL267" s="4"/>
      <c r="DM267" s="4"/>
      <c r="DN267" s="4"/>
      <c r="DO267" s="4"/>
      <c r="DP267" s="4"/>
      <c r="DQ267" s="4"/>
      <c r="DR267" s="4"/>
      <c r="DS267" s="4"/>
      <c r="DT267" s="4"/>
      <c r="DU267" s="4"/>
      <c r="DV267" s="4"/>
      <c r="DW267" s="4"/>
      <c r="DX267" s="4"/>
      <c r="DY267" s="4"/>
      <c r="DZ267" s="4"/>
      <c r="EA267" s="4"/>
      <c r="EB267" s="4"/>
      <c r="EC267" s="4"/>
      <c r="ED267" s="4"/>
      <c r="EE267" s="4"/>
      <c r="EF267" s="4"/>
      <c r="EG267" s="4"/>
      <c r="EH267" s="4"/>
      <c r="EI267" s="4"/>
      <c r="EJ267" s="4"/>
      <c r="EK267" s="4"/>
      <c r="EL267" s="4"/>
      <c r="EM267" s="4"/>
      <c r="EN267" s="4"/>
      <c r="EO267" s="4"/>
      <c r="EP267" s="4"/>
      <c r="EQ267" s="4"/>
      <c r="ER267" s="4"/>
      <c r="ES267" s="4"/>
      <c r="ET267" s="4"/>
      <c r="EU267" s="4"/>
      <c r="EV267" s="4"/>
      <c r="EW267" s="4"/>
      <c r="EX267" s="4"/>
      <c r="EY267" s="4"/>
      <c r="EZ267" s="4"/>
      <c r="FA267" s="4"/>
      <c r="FB267" s="4"/>
      <c r="FC267" s="4"/>
      <c r="FD267" s="4"/>
      <c r="FE267" s="4"/>
      <c r="FF267" s="4"/>
    </row>
    <row r="268" spans="1:199" x14ac:dyDescent="0.2">
      <c r="A268" s="2"/>
      <c r="B268" s="2"/>
      <c r="C268" s="2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/>
      <c r="AJ268" s="4"/>
      <c r="AK268" s="4"/>
      <c r="AL268" s="4"/>
      <c r="AM268" s="4"/>
      <c r="AN268" s="4"/>
      <c r="AO268" s="4"/>
      <c r="AP268" s="4"/>
      <c r="AQ268" s="4"/>
      <c r="AR268" s="4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/>
      <c r="BD268" s="4"/>
      <c r="BE268" s="4"/>
      <c r="BF268" s="4"/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4"/>
      <c r="BX268" s="4"/>
      <c r="BY268" s="4"/>
      <c r="BZ268" s="4"/>
      <c r="CA268" s="4"/>
      <c r="CB268" s="4"/>
      <c r="CC268" s="4"/>
      <c r="CD268" s="4"/>
      <c r="CE268" s="4"/>
      <c r="CF268" s="4"/>
      <c r="CG268" s="4"/>
      <c r="CH268" s="4"/>
      <c r="CI268" s="4"/>
      <c r="CJ268" s="4"/>
      <c r="CK268" s="4"/>
      <c r="CL268" s="4"/>
      <c r="CM268" s="4"/>
      <c r="CN268" s="4"/>
      <c r="CO268" s="4"/>
      <c r="CP268" s="4"/>
      <c r="CQ268" s="4"/>
      <c r="CR268" s="4"/>
      <c r="CS268" s="4"/>
      <c r="CT268" s="4"/>
      <c r="CU268" s="4"/>
      <c r="CV268" s="4"/>
      <c r="CW268" s="4"/>
      <c r="CX268" s="4"/>
      <c r="CY268" s="4"/>
      <c r="CZ268" s="4"/>
      <c r="DA268" s="4"/>
      <c r="DB268" s="4"/>
      <c r="DC268" s="4"/>
      <c r="DD268" s="4"/>
      <c r="DE268" s="4"/>
      <c r="DF268" s="4"/>
      <c r="DG268" s="4"/>
      <c r="DH268" s="4"/>
      <c r="DI268" s="4"/>
      <c r="DJ268" s="4"/>
      <c r="DK268" s="4"/>
      <c r="DL268" s="4"/>
      <c r="DM268" s="4"/>
      <c r="DN268" s="4"/>
      <c r="DO268" s="4"/>
      <c r="DP268" s="4"/>
      <c r="DQ268" s="4"/>
      <c r="DR268" s="4"/>
      <c r="DS268" s="4"/>
      <c r="DT268" s="4"/>
      <c r="DU268" s="4"/>
      <c r="DV268" s="4"/>
      <c r="DW268" s="4"/>
      <c r="DX268" s="4"/>
      <c r="DY268" s="4"/>
      <c r="DZ268" s="4"/>
      <c r="EA268" s="4"/>
      <c r="EB268" s="4"/>
      <c r="EC268" s="4"/>
      <c r="ED268" s="4"/>
      <c r="EE268" s="4"/>
      <c r="EF268" s="4"/>
      <c r="EG268" s="4"/>
      <c r="EH268" s="4"/>
      <c r="EI268" s="4"/>
      <c r="EJ268" s="4"/>
      <c r="EK268" s="4"/>
      <c r="EL268" s="4"/>
      <c r="EM268" s="4"/>
      <c r="EN268" s="4"/>
      <c r="EO268" s="4"/>
      <c r="EP268" s="4"/>
      <c r="EQ268" s="4"/>
      <c r="ER268" s="4"/>
      <c r="ES268" s="4"/>
      <c r="ET268" s="4"/>
      <c r="EU268" s="4"/>
      <c r="EV268" s="4"/>
      <c r="EW268" s="4"/>
      <c r="EX268" s="4"/>
      <c r="EY268" s="4"/>
      <c r="EZ268" s="4"/>
      <c r="FA268" s="4"/>
      <c r="FB268" s="4"/>
      <c r="FC268" s="4"/>
      <c r="FD268" s="4"/>
      <c r="FE268" s="4"/>
      <c r="FF268" s="4"/>
    </row>
    <row r="269" spans="1:199" x14ac:dyDescent="0.2">
      <c r="A269" s="2"/>
      <c r="B269" s="2"/>
      <c r="C269" s="2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4"/>
      <c r="AM269" s="4"/>
      <c r="AN269" s="4"/>
      <c r="AO269" s="4"/>
      <c r="AP269" s="4"/>
      <c r="AQ269" s="4"/>
      <c r="AR269" s="4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  <c r="BG269" s="4"/>
      <c r="BH269" s="4"/>
      <c r="BI269" s="4"/>
      <c r="BJ269" s="4"/>
      <c r="BK269" s="4"/>
      <c r="BL269" s="4"/>
      <c r="BM269" s="4"/>
      <c r="BN269" s="4"/>
      <c r="BO269" s="4"/>
      <c r="BP269" s="4"/>
      <c r="BQ269" s="4"/>
      <c r="BR269" s="4"/>
      <c r="BS269" s="4"/>
      <c r="BT269" s="4"/>
      <c r="BU269" s="4"/>
      <c r="BV269" s="4"/>
      <c r="BW269" s="4"/>
      <c r="BX269" s="4"/>
      <c r="BY269" s="4"/>
      <c r="BZ269" s="4"/>
      <c r="CA269" s="4"/>
      <c r="CB269" s="4"/>
      <c r="CC269" s="4"/>
      <c r="CD269" s="4"/>
      <c r="CE269" s="4"/>
      <c r="CF269" s="4"/>
      <c r="CG269" s="4"/>
      <c r="CH269" s="4"/>
      <c r="CI269" s="4"/>
      <c r="CJ269" s="4"/>
      <c r="CK269" s="4"/>
      <c r="CL269" s="4"/>
      <c r="CM269" s="4"/>
      <c r="CN269" s="4"/>
      <c r="CO269" s="4"/>
      <c r="CP269" s="4"/>
      <c r="CQ269" s="4"/>
      <c r="CR269" s="4"/>
      <c r="CS269" s="4"/>
      <c r="CT269" s="4"/>
      <c r="CU269" s="4"/>
      <c r="CV269" s="4"/>
      <c r="CW269" s="4"/>
      <c r="CX269" s="4"/>
      <c r="CY269" s="4"/>
      <c r="CZ269" s="4"/>
      <c r="DA269" s="4"/>
      <c r="DB269" s="4"/>
      <c r="DC269" s="4"/>
      <c r="DD269" s="4"/>
      <c r="DE269" s="4"/>
      <c r="DF269" s="4"/>
      <c r="DG269" s="4"/>
      <c r="DH269" s="4"/>
      <c r="DI269" s="4"/>
      <c r="DJ269" s="4"/>
      <c r="DK269" s="4"/>
      <c r="DL269" s="4"/>
      <c r="DM269" s="4"/>
      <c r="DN269" s="4"/>
      <c r="DO269" s="4"/>
      <c r="DP269" s="4"/>
      <c r="DQ269" s="4"/>
      <c r="DR269" s="4"/>
      <c r="DS269" s="4"/>
      <c r="DT269" s="4"/>
      <c r="DU269" s="4"/>
      <c r="DV269" s="4"/>
      <c r="DW269" s="4"/>
      <c r="DX269" s="4"/>
      <c r="DY269" s="4"/>
      <c r="DZ269" s="4"/>
      <c r="EA269" s="4"/>
      <c r="EB269" s="4"/>
      <c r="EC269" s="4"/>
      <c r="ED269" s="4"/>
      <c r="EE269" s="4"/>
      <c r="EF269" s="4"/>
      <c r="EG269" s="4"/>
      <c r="EH269" s="4"/>
      <c r="EI269" s="4"/>
      <c r="EJ269" s="4"/>
      <c r="EK269" s="4"/>
      <c r="EL269" s="4"/>
      <c r="EM269" s="4"/>
      <c r="EN269" s="4"/>
      <c r="EO269" s="4"/>
      <c r="EP269" s="4"/>
      <c r="EQ269" s="4"/>
      <c r="ER269" s="4"/>
      <c r="ES269" s="4"/>
      <c r="ET269" s="4"/>
      <c r="EU269" s="4"/>
      <c r="EV269" s="4"/>
      <c r="EW269" s="4"/>
      <c r="EX269" s="4"/>
      <c r="EY269" s="4"/>
      <c r="EZ269" s="4"/>
      <c r="FA269" s="4"/>
      <c r="FB269" s="4"/>
      <c r="FC269" s="4"/>
      <c r="FD269" s="4"/>
      <c r="FE269" s="4"/>
      <c r="FF269" s="4"/>
    </row>
    <row r="270" spans="1:199" x14ac:dyDescent="0.2">
      <c r="A270" s="2"/>
      <c r="B270" s="2"/>
      <c r="C270" s="2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4"/>
      <c r="AM270" s="4"/>
      <c r="AN270" s="4"/>
      <c r="AO270" s="4"/>
      <c r="AP270" s="4"/>
      <c r="AQ270" s="4"/>
      <c r="AR270" s="4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/>
      <c r="BG270" s="4"/>
      <c r="BH270" s="4"/>
      <c r="BI270" s="4"/>
      <c r="BJ270" s="4"/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4"/>
      <c r="BX270" s="4"/>
      <c r="BY270" s="4"/>
      <c r="BZ270" s="4"/>
      <c r="CA270" s="4"/>
      <c r="CB270" s="4"/>
      <c r="CC270" s="4"/>
      <c r="CD270" s="4"/>
      <c r="CE270" s="4"/>
      <c r="CF270" s="4"/>
      <c r="CG270" s="4"/>
      <c r="CH270" s="4"/>
      <c r="CI270" s="4"/>
      <c r="CJ270" s="4"/>
      <c r="CK270" s="4"/>
      <c r="CL270" s="4"/>
      <c r="CM270" s="4"/>
      <c r="CN270" s="4"/>
      <c r="CO270" s="4"/>
      <c r="CP270" s="4"/>
      <c r="CQ270" s="4"/>
      <c r="CR270" s="4"/>
      <c r="CS270" s="4"/>
      <c r="CT270" s="4"/>
      <c r="CU270" s="4"/>
      <c r="CV270" s="4"/>
      <c r="CW270" s="4"/>
      <c r="CX270" s="4"/>
      <c r="CY270" s="4"/>
      <c r="CZ270" s="4"/>
      <c r="DA270" s="4"/>
      <c r="DB270" s="4"/>
      <c r="DC270" s="4"/>
      <c r="DD270" s="4"/>
      <c r="DE270" s="4"/>
      <c r="DF270" s="4"/>
      <c r="DG270" s="4"/>
      <c r="DH270" s="4"/>
      <c r="DI270" s="4"/>
      <c r="DJ270" s="4"/>
      <c r="DK270" s="4"/>
      <c r="DL270" s="4"/>
      <c r="DM270" s="4"/>
      <c r="DN270" s="4"/>
      <c r="DO270" s="4"/>
      <c r="DP270" s="4"/>
      <c r="DQ270" s="4"/>
      <c r="DR270" s="4"/>
      <c r="DS270" s="4"/>
      <c r="DT270" s="4"/>
      <c r="DU270" s="4"/>
      <c r="DV270" s="4"/>
      <c r="DW270" s="4"/>
      <c r="DX270" s="4"/>
      <c r="DY270" s="4"/>
      <c r="DZ270" s="4"/>
      <c r="EA270" s="4"/>
      <c r="EB270" s="4"/>
      <c r="EC270" s="4"/>
      <c r="ED270" s="4"/>
      <c r="EE270" s="4"/>
      <c r="EF270" s="4"/>
      <c r="EG270" s="4"/>
      <c r="EH270" s="4"/>
      <c r="EI270" s="4"/>
      <c r="EJ270" s="4"/>
      <c r="EK270" s="4"/>
      <c r="EL270" s="4"/>
      <c r="EM270" s="4"/>
      <c r="EN270" s="4"/>
      <c r="EO270" s="4"/>
      <c r="EP270" s="4"/>
      <c r="EQ270" s="4"/>
      <c r="ER270" s="4"/>
      <c r="ES270" s="4"/>
      <c r="ET270" s="4"/>
      <c r="EU270" s="4"/>
      <c r="EV270" s="4"/>
      <c r="EW270" s="4"/>
      <c r="EX270" s="4"/>
      <c r="EY270" s="4"/>
      <c r="EZ270" s="4"/>
      <c r="FA270" s="4"/>
      <c r="FB270" s="4"/>
      <c r="FC270" s="4"/>
      <c r="FD270" s="4"/>
      <c r="FE270" s="4"/>
      <c r="FF270" s="4"/>
    </row>
    <row r="271" spans="1:199" x14ac:dyDescent="0.2">
      <c r="A271" s="2"/>
      <c r="B271" s="2"/>
      <c r="C271" s="2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4"/>
      <c r="AM271" s="4"/>
      <c r="AN271" s="4"/>
      <c r="AO271" s="4"/>
      <c r="AP271" s="4"/>
      <c r="AQ271" s="4"/>
      <c r="AR271" s="4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4"/>
      <c r="BG271" s="4"/>
      <c r="BH271" s="4"/>
      <c r="BI271" s="4"/>
      <c r="BJ271" s="4"/>
      <c r="BK271" s="4"/>
      <c r="BL271" s="4"/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4"/>
      <c r="BX271" s="4"/>
      <c r="BY271" s="4"/>
      <c r="BZ271" s="4"/>
      <c r="CA271" s="4"/>
      <c r="CB271" s="4"/>
      <c r="CC271" s="4"/>
      <c r="CD271" s="4"/>
      <c r="CE271" s="4"/>
      <c r="CF271" s="4"/>
      <c r="CG271" s="4"/>
      <c r="CH271" s="4"/>
      <c r="CI271" s="4"/>
      <c r="CJ271" s="4"/>
      <c r="CK271" s="4"/>
      <c r="CL271" s="4"/>
      <c r="CM271" s="4"/>
      <c r="CN271" s="4"/>
      <c r="CO271" s="4"/>
      <c r="CP271" s="4"/>
      <c r="CQ271" s="4"/>
      <c r="CR271" s="4"/>
      <c r="CS271" s="4"/>
      <c r="CT271" s="4"/>
      <c r="CU271" s="4"/>
      <c r="CV271" s="4"/>
      <c r="CW271" s="4"/>
      <c r="CX271" s="4"/>
      <c r="CY271" s="4"/>
      <c r="CZ271" s="4"/>
      <c r="DA271" s="4"/>
      <c r="DB271" s="4"/>
      <c r="DC271" s="4"/>
      <c r="DD271" s="4"/>
      <c r="DE271" s="4"/>
      <c r="DF271" s="4"/>
      <c r="DG271" s="4"/>
      <c r="DH271" s="4"/>
      <c r="DI271" s="4"/>
      <c r="DJ271" s="4"/>
      <c r="DK271" s="4"/>
      <c r="DL271" s="4"/>
      <c r="DM271" s="4"/>
      <c r="DN271" s="4"/>
      <c r="DO271" s="4"/>
      <c r="DP271" s="4"/>
      <c r="DQ271" s="4"/>
      <c r="DR271" s="4"/>
      <c r="DS271" s="4"/>
      <c r="DT271" s="4"/>
      <c r="DU271" s="4"/>
      <c r="DV271" s="4"/>
      <c r="DW271" s="4"/>
      <c r="DX271" s="4"/>
      <c r="DY271" s="4"/>
      <c r="DZ271" s="4"/>
      <c r="EA271" s="4"/>
      <c r="EB271" s="4"/>
      <c r="EC271" s="4"/>
      <c r="ED271" s="4"/>
      <c r="EE271" s="4"/>
      <c r="EF271" s="4"/>
      <c r="EG271" s="4"/>
      <c r="EH271" s="4"/>
      <c r="EI271" s="4"/>
      <c r="EJ271" s="4"/>
      <c r="EK271" s="4"/>
      <c r="EL271" s="4"/>
      <c r="EM271" s="4"/>
      <c r="EN271" s="4"/>
      <c r="EO271" s="4"/>
      <c r="EP271" s="4"/>
      <c r="EQ271" s="4"/>
      <c r="ER271" s="4"/>
      <c r="ES271" s="4"/>
      <c r="ET271" s="4"/>
      <c r="EU271" s="4"/>
      <c r="EV271" s="4"/>
      <c r="EW271" s="4"/>
      <c r="EX271" s="4"/>
      <c r="EY271" s="4"/>
      <c r="EZ271" s="4"/>
      <c r="FA271" s="4"/>
      <c r="FB271" s="4"/>
      <c r="FC271" s="4"/>
      <c r="FD271" s="4"/>
      <c r="FE271" s="4"/>
      <c r="FF271" s="4"/>
    </row>
    <row r="272" spans="1:199" x14ac:dyDescent="0.2">
      <c r="A272" s="2"/>
      <c r="B272" s="2"/>
      <c r="C272" s="2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4"/>
      <c r="AM272" s="4"/>
      <c r="AN272" s="4"/>
      <c r="AO272" s="4"/>
      <c r="AP272" s="4"/>
      <c r="AQ272" s="4"/>
      <c r="AR272" s="4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4"/>
      <c r="BG272" s="4"/>
      <c r="BH272" s="4"/>
      <c r="BI272" s="4"/>
      <c r="BJ272" s="4"/>
      <c r="BK272" s="4"/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/>
      <c r="BW272" s="4"/>
      <c r="BX272" s="4"/>
      <c r="BY272" s="4"/>
      <c r="BZ272" s="4"/>
      <c r="CA272" s="4"/>
      <c r="CB272" s="4"/>
      <c r="CC272" s="4"/>
      <c r="CD272" s="4"/>
      <c r="CE272" s="4"/>
      <c r="CF272" s="4"/>
      <c r="CG272" s="4"/>
      <c r="CH272" s="4"/>
      <c r="CI272" s="4"/>
      <c r="CJ272" s="4"/>
      <c r="CK272" s="4"/>
      <c r="CL272" s="4"/>
      <c r="CM272" s="4"/>
      <c r="CN272" s="4"/>
      <c r="CO272" s="4"/>
      <c r="CP272" s="4"/>
      <c r="CQ272" s="4"/>
      <c r="CR272" s="4"/>
      <c r="CS272" s="4"/>
      <c r="CT272" s="4"/>
      <c r="CU272" s="4"/>
      <c r="CV272" s="4"/>
      <c r="CW272" s="4"/>
      <c r="CX272" s="4"/>
      <c r="CY272" s="4"/>
      <c r="CZ272" s="4"/>
      <c r="DA272" s="4"/>
      <c r="DB272" s="4"/>
      <c r="DC272" s="4"/>
      <c r="DD272" s="4"/>
      <c r="DE272" s="4"/>
      <c r="DF272" s="4"/>
      <c r="DG272" s="4"/>
      <c r="DH272" s="4"/>
      <c r="DI272" s="4"/>
      <c r="DJ272" s="4"/>
      <c r="DK272" s="4"/>
      <c r="DL272" s="4"/>
      <c r="DM272" s="4"/>
      <c r="DN272" s="4"/>
      <c r="DO272" s="4"/>
      <c r="DP272" s="4"/>
      <c r="DQ272" s="4"/>
      <c r="DR272" s="4"/>
      <c r="DS272" s="4"/>
      <c r="DT272" s="4"/>
      <c r="DU272" s="4"/>
      <c r="DV272" s="4"/>
      <c r="DW272" s="4"/>
      <c r="DX272" s="4"/>
      <c r="DY272" s="4"/>
      <c r="DZ272" s="4"/>
      <c r="EA272" s="4"/>
      <c r="EB272" s="4"/>
      <c r="EC272" s="4"/>
      <c r="ED272" s="4"/>
      <c r="EE272" s="4"/>
      <c r="EF272" s="4"/>
      <c r="EG272" s="4"/>
      <c r="EH272" s="4"/>
      <c r="EI272" s="4"/>
      <c r="EJ272" s="4"/>
      <c r="EK272" s="4"/>
      <c r="EL272" s="4"/>
      <c r="EM272" s="4"/>
      <c r="EN272" s="4"/>
      <c r="EO272" s="4"/>
      <c r="EP272" s="4"/>
      <c r="EQ272" s="4"/>
      <c r="ER272" s="4"/>
      <c r="ES272" s="4"/>
      <c r="ET272" s="4"/>
      <c r="EU272" s="4"/>
      <c r="EV272" s="4"/>
      <c r="EW272" s="4"/>
      <c r="EX272" s="4"/>
      <c r="EY272" s="4"/>
      <c r="EZ272" s="4"/>
      <c r="FA272" s="4"/>
      <c r="FB272" s="4"/>
      <c r="FC272" s="4"/>
      <c r="FD272" s="4"/>
      <c r="FE272" s="4"/>
      <c r="FF272" s="4"/>
    </row>
    <row r="273" spans="1:162" x14ac:dyDescent="0.2">
      <c r="A273" s="2"/>
      <c r="B273" s="2"/>
      <c r="C273" s="2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/>
      <c r="AM273" s="4"/>
      <c r="AN273" s="4"/>
      <c r="AO273" s="4"/>
      <c r="AP273" s="4"/>
      <c r="AQ273" s="4"/>
      <c r="AR273" s="4"/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/>
      <c r="BD273" s="4"/>
      <c r="BE273" s="4"/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4"/>
      <c r="BX273" s="4"/>
      <c r="BY273" s="4"/>
      <c r="BZ273" s="4"/>
      <c r="CA273" s="4"/>
      <c r="CB273" s="4"/>
      <c r="CC273" s="4"/>
      <c r="CD273" s="4"/>
      <c r="CE273" s="4"/>
      <c r="CF273" s="4"/>
      <c r="CG273" s="4"/>
      <c r="CH273" s="4"/>
      <c r="CI273" s="4"/>
      <c r="CJ273" s="4"/>
      <c r="CK273" s="4"/>
      <c r="CL273" s="4"/>
      <c r="CM273" s="4"/>
      <c r="CN273" s="4"/>
      <c r="CO273" s="4"/>
      <c r="CP273" s="4"/>
      <c r="CQ273" s="4"/>
      <c r="CR273" s="4"/>
      <c r="CS273" s="4"/>
      <c r="CT273" s="4"/>
      <c r="CU273" s="4"/>
      <c r="CV273" s="4"/>
      <c r="CW273" s="4"/>
      <c r="CX273" s="4"/>
      <c r="CY273" s="4"/>
      <c r="CZ273" s="4"/>
      <c r="DA273" s="4"/>
      <c r="DB273" s="4"/>
      <c r="DC273" s="4"/>
      <c r="DD273" s="4"/>
      <c r="DE273" s="4"/>
      <c r="DF273" s="4"/>
      <c r="DG273" s="4"/>
      <c r="DH273" s="4"/>
      <c r="DI273" s="4"/>
      <c r="DJ273" s="4"/>
      <c r="DK273" s="4"/>
      <c r="DL273" s="4"/>
      <c r="DM273" s="4"/>
      <c r="DN273" s="4"/>
      <c r="DO273" s="4"/>
      <c r="DP273" s="4"/>
      <c r="DQ273" s="4"/>
      <c r="DR273" s="4"/>
      <c r="DS273" s="4"/>
      <c r="DT273" s="4"/>
      <c r="DU273" s="4"/>
      <c r="DV273" s="4"/>
      <c r="DW273" s="4"/>
      <c r="DX273" s="4"/>
      <c r="DY273" s="4"/>
      <c r="DZ273" s="4"/>
      <c r="EA273" s="4"/>
      <c r="EB273" s="4"/>
      <c r="EC273" s="4"/>
      <c r="ED273" s="4"/>
      <c r="EE273" s="4"/>
      <c r="EF273" s="4"/>
      <c r="EG273" s="4"/>
      <c r="EH273" s="4"/>
      <c r="EI273" s="4"/>
      <c r="EJ273" s="4"/>
      <c r="EK273" s="4"/>
      <c r="EL273" s="4"/>
      <c r="EM273" s="4"/>
      <c r="EN273" s="4"/>
      <c r="EO273" s="4"/>
      <c r="EP273" s="4"/>
      <c r="EQ273" s="4"/>
      <c r="ER273" s="4"/>
      <c r="ES273" s="4"/>
      <c r="ET273" s="4"/>
      <c r="EU273" s="4"/>
      <c r="EV273" s="4"/>
      <c r="EW273" s="4"/>
      <c r="EX273" s="4"/>
      <c r="EY273" s="4"/>
      <c r="EZ273" s="4"/>
      <c r="FA273" s="4"/>
      <c r="FB273" s="4"/>
      <c r="FC273" s="4"/>
      <c r="FD273" s="4"/>
      <c r="FE273" s="4"/>
      <c r="FF273" s="4"/>
    </row>
    <row r="274" spans="1:162" x14ac:dyDescent="0.2">
      <c r="A274" s="2"/>
      <c r="B274" s="2"/>
      <c r="C274" s="2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/>
      <c r="AM274" s="4"/>
      <c r="AN274" s="4"/>
      <c r="AO274" s="4"/>
      <c r="AP274" s="4"/>
      <c r="AQ274" s="4"/>
      <c r="AR274" s="4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/>
      <c r="BD274" s="4"/>
      <c r="BE274" s="4"/>
      <c r="BF274" s="4"/>
      <c r="BG274" s="4"/>
      <c r="BH274" s="4"/>
      <c r="BI274" s="4"/>
      <c r="BJ274" s="4"/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4"/>
      <c r="BX274" s="4"/>
      <c r="BY274" s="4"/>
      <c r="BZ274" s="4"/>
      <c r="CA274" s="4"/>
      <c r="CB274" s="4"/>
      <c r="CC274" s="4"/>
      <c r="CD274" s="4"/>
      <c r="CE274" s="4"/>
      <c r="CF274" s="4"/>
      <c r="CG274" s="4"/>
      <c r="CH274" s="4"/>
      <c r="CI274" s="4"/>
      <c r="CJ274" s="4"/>
      <c r="CK274" s="4"/>
      <c r="CL274" s="4"/>
      <c r="CM274" s="4"/>
      <c r="CN274" s="4"/>
      <c r="CO274" s="4"/>
      <c r="CP274" s="4"/>
      <c r="CQ274" s="4"/>
      <c r="CR274" s="4"/>
      <c r="CS274" s="4"/>
      <c r="CT274" s="4"/>
      <c r="CU274" s="4"/>
      <c r="CV274" s="4"/>
      <c r="CW274" s="4"/>
      <c r="CX274" s="4"/>
      <c r="CY274" s="4"/>
      <c r="CZ274" s="4"/>
      <c r="DA274" s="4"/>
      <c r="DB274" s="4"/>
      <c r="DC274" s="4"/>
      <c r="DD274" s="4"/>
      <c r="DE274" s="4"/>
      <c r="DF274" s="4"/>
      <c r="DG274" s="4"/>
      <c r="DH274" s="4"/>
      <c r="DI274" s="4"/>
      <c r="DJ274" s="4"/>
      <c r="DK274" s="4"/>
      <c r="DL274" s="4"/>
      <c r="DM274" s="4"/>
      <c r="DN274" s="4"/>
      <c r="DO274" s="4"/>
      <c r="DP274" s="4"/>
      <c r="DQ274" s="4"/>
      <c r="DR274" s="4"/>
      <c r="DS274" s="4"/>
      <c r="DT274" s="4"/>
      <c r="DU274" s="4"/>
      <c r="DV274" s="4"/>
      <c r="DW274" s="4"/>
      <c r="DX274" s="4"/>
      <c r="DY274" s="4"/>
      <c r="DZ274" s="4"/>
      <c r="EA274" s="4"/>
      <c r="EB274" s="4"/>
      <c r="EC274" s="4"/>
      <c r="ED274" s="4"/>
      <c r="EE274" s="4"/>
      <c r="EF274" s="4"/>
      <c r="EG274" s="4"/>
      <c r="EH274" s="4"/>
      <c r="EI274" s="4"/>
      <c r="EJ274" s="4"/>
      <c r="EK274" s="4"/>
      <c r="EL274" s="4"/>
      <c r="EM274" s="4"/>
      <c r="EN274" s="4"/>
      <c r="EO274" s="4"/>
      <c r="EP274" s="4"/>
      <c r="EQ274" s="4"/>
      <c r="ER274" s="4"/>
      <c r="ES274" s="4"/>
      <c r="ET274" s="4"/>
      <c r="EU274" s="4"/>
      <c r="EV274" s="4"/>
      <c r="EW274" s="4"/>
      <c r="EX274" s="4"/>
      <c r="EY274" s="4"/>
      <c r="EZ274" s="4"/>
      <c r="FA274" s="4"/>
      <c r="FB274" s="4"/>
      <c r="FC274" s="4"/>
      <c r="FD274" s="4"/>
      <c r="FE274" s="4"/>
      <c r="FF274" s="4"/>
    </row>
    <row r="275" spans="1:162" x14ac:dyDescent="0.2">
      <c r="A275" s="2"/>
      <c r="B275" s="2"/>
      <c r="C275" s="2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4"/>
      <c r="AM275" s="4"/>
      <c r="AN275" s="4"/>
      <c r="AO275" s="4"/>
      <c r="AP275" s="4"/>
      <c r="AQ275" s="4"/>
      <c r="AR275" s="4"/>
      <c r="AS275" s="4"/>
      <c r="AT275" s="4"/>
      <c r="AU275" s="4"/>
      <c r="AV275" s="4"/>
      <c r="AW275" s="4"/>
      <c r="AX275" s="4"/>
      <c r="AY275" s="4"/>
      <c r="AZ275" s="4"/>
      <c r="BA275" s="4"/>
      <c r="BB275" s="4"/>
      <c r="BC275" s="4"/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4"/>
      <c r="BX275" s="4"/>
      <c r="BY275" s="4"/>
      <c r="BZ275" s="4"/>
      <c r="CA275" s="4"/>
      <c r="CB275" s="4"/>
      <c r="CC275" s="4"/>
      <c r="CD275" s="4"/>
      <c r="CE275" s="4"/>
      <c r="CF275" s="4"/>
      <c r="CG275" s="4"/>
      <c r="CH275" s="4"/>
      <c r="CI275" s="4"/>
      <c r="CJ275" s="4"/>
      <c r="CK275" s="4"/>
      <c r="CL275" s="4"/>
      <c r="CM275" s="4"/>
      <c r="CN275" s="4"/>
      <c r="CO275" s="4"/>
      <c r="CP275" s="4"/>
      <c r="CQ275" s="4"/>
      <c r="CR275" s="4"/>
      <c r="CS275" s="4"/>
      <c r="CT275" s="4"/>
      <c r="CU275" s="4"/>
      <c r="CV275" s="4"/>
      <c r="CW275" s="4"/>
      <c r="CX275" s="4"/>
      <c r="CY275" s="4"/>
      <c r="CZ275" s="4"/>
      <c r="DA275" s="4"/>
      <c r="DB275" s="4"/>
      <c r="DC275" s="4"/>
      <c r="DD275" s="4"/>
      <c r="DE275" s="4"/>
      <c r="DF275" s="4"/>
      <c r="DG275" s="4"/>
      <c r="DH275" s="4"/>
      <c r="DI275" s="4"/>
      <c r="DJ275" s="4"/>
      <c r="DK275" s="4"/>
      <c r="DL275" s="4"/>
      <c r="DM275" s="4"/>
      <c r="DN275" s="4"/>
      <c r="DO275" s="4"/>
      <c r="DP275" s="4"/>
      <c r="DQ275" s="4"/>
      <c r="DR275" s="4"/>
      <c r="DS275" s="4"/>
      <c r="DT275" s="4"/>
      <c r="DU275" s="4"/>
      <c r="DV275" s="4"/>
      <c r="DW275" s="4"/>
      <c r="DX275" s="4"/>
      <c r="DY275" s="4"/>
      <c r="DZ275" s="4"/>
      <c r="EA275" s="4"/>
      <c r="EB275" s="4"/>
      <c r="EC275" s="4"/>
      <c r="ED275" s="4"/>
      <c r="EE275" s="4"/>
      <c r="EF275" s="4"/>
      <c r="EG275" s="4"/>
      <c r="EH275" s="4"/>
      <c r="EI275" s="4"/>
      <c r="EJ275" s="4"/>
      <c r="EK275" s="4"/>
      <c r="EL275" s="4"/>
      <c r="EM275" s="4"/>
      <c r="EN275" s="4"/>
      <c r="EO275" s="4"/>
      <c r="EP275" s="4"/>
      <c r="EQ275" s="4"/>
      <c r="ER275" s="4"/>
      <c r="ES275" s="4"/>
      <c r="ET275" s="4"/>
      <c r="EU275" s="4"/>
      <c r="EV275" s="4"/>
      <c r="EW275" s="4"/>
      <c r="EX275" s="4"/>
      <c r="EY275" s="4"/>
      <c r="EZ275" s="4"/>
      <c r="FA275" s="4"/>
      <c r="FB275" s="4"/>
      <c r="FC275" s="4"/>
      <c r="FD275" s="4"/>
      <c r="FE275" s="4"/>
      <c r="FF275" s="4"/>
    </row>
    <row r="276" spans="1:162" x14ac:dyDescent="0.2">
      <c r="A276" s="2"/>
      <c r="B276" s="2"/>
      <c r="C276" s="2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4"/>
      <c r="AM276" s="4"/>
      <c r="AN276" s="4"/>
      <c r="AO276" s="4"/>
      <c r="AP276" s="4"/>
      <c r="AQ276" s="4"/>
      <c r="AR276" s="4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/>
      <c r="BE276" s="4"/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4"/>
      <c r="BX276" s="4"/>
      <c r="BY276" s="4"/>
      <c r="BZ276" s="4"/>
      <c r="CA276" s="4"/>
      <c r="CB276" s="4"/>
      <c r="CC276" s="4"/>
      <c r="CD276" s="4"/>
      <c r="CE276" s="4"/>
      <c r="CF276" s="4"/>
      <c r="CG276" s="4"/>
      <c r="CH276" s="4"/>
      <c r="CI276" s="4"/>
      <c r="CJ276" s="4"/>
      <c r="CK276" s="4"/>
      <c r="CL276" s="4"/>
      <c r="CM276" s="4"/>
      <c r="CN276" s="4"/>
      <c r="CO276" s="4"/>
      <c r="CP276" s="4"/>
      <c r="CQ276" s="4"/>
      <c r="CR276" s="4"/>
      <c r="CS276" s="4"/>
      <c r="CT276" s="4"/>
      <c r="CU276" s="4"/>
      <c r="CV276" s="4"/>
      <c r="CW276" s="4"/>
      <c r="CX276" s="4"/>
      <c r="CY276" s="4"/>
      <c r="CZ276" s="4"/>
      <c r="DA276" s="4"/>
      <c r="DB276" s="4"/>
      <c r="DC276" s="4"/>
      <c r="DD276" s="4"/>
      <c r="DE276" s="4"/>
      <c r="DF276" s="4"/>
      <c r="DG276" s="4"/>
      <c r="DH276" s="4"/>
      <c r="DI276" s="4"/>
      <c r="DJ276" s="4"/>
      <c r="DK276" s="4"/>
      <c r="DL276" s="4"/>
      <c r="DM276" s="4"/>
      <c r="DN276" s="4"/>
      <c r="DO276" s="4"/>
      <c r="DP276" s="4"/>
      <c r="DQ276" s="4"/>
      <c r="DR276" s="4"/>
      <c r="DS276" s="4"/>
      <c r="DT276" s="4"/>
      <c r="DU276" s="4"/>
      <c r="DV276" s="4"/>
      <c r="DW276" s="4"/>
      <c r="DX276" s="4"/>
      <c r="DY276" s="4"/>
      <c r="DZ276" s="4"/>
      <c r="EA276" s="4"/>
      <c r="EB276" s="4"/>
      <c r="EC276" s="4"/>
      <c r="ED276" s="4"/>
      <c r="EE276" s="4"/>
      <c r="EF276" s="4"/>
      <c r="EG276" s="4"/>
      <c r="EH276" s="4"/>
      <c r="EI276" s="4"/>
      <c r="EJ276" s="4"/>
      <c r="EK276" s="4"/>
      <c r="EL276" s="4"/>
      <c r="EM276" s="4"/>
      <c r="EN276" s="4"/>
      <c r="EO276" s="4"/>
      <c r="EP276" s="4"/>
      <c r="EQ276" s="4"/>
      <c r="ER276" s="4"/>
      <c r="ES276" s="4"/>
      <c r="ET276" s="4"/>
      <c r="EU276" s="4"/>
      <c r="EV276" s="4"/>
      <c r="EW276" s="4"/>
      <c r="EX276" s="4"/>
      <c r="EY276" s="4"/>
      <c r="EZ276" s="4"/>
      <c r="FA276" s="4"/>
      <c r="FB276" s="4"/>
      <c r="FC276" s="4"/>
      <c r="FD276" s="4"/>
      <c r="FE276" s="4"/>
      <c r="FF276" s="4"/>
    </row>
    <row r="277" spans="1:162" x14ac:dyDescent="0.2">
      <c r="A277" s="2"/>
      <c r="B277" s="2"/>
      <c r="C277" s="2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4"/>
      <c r="AM277" s="4"/>
      <c r="AN277" s="4"/>
      <c r="AO277" s="4"/>
      <c r="AP277" s="4"/>
      <c r="AQ277" s="4"/>
      <c r="AR277" s="4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/>
      <c r="BD277" s="4"/>
      <c r="BE277" s="4"/>
      <c r="BF277" s="4"/>
      <c r="BG277" s="4"/>
      <c r="BH277" s="4"/>
      <c r="BI277" s="4"/>
      <c r="BJ277" s="4"/>
      <c r="BK277" s="4"/>
      <c r="BL277" s="4"/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4"/>
      <c r="BX277" s="4"/>
      <c r="BY277" s="4"/>
      <c r="BZ277" s="4"/>
      <c r="CA277" s="4"/>
      <c r="CB277" s="4"/>
      <c r="CC277" s="4"/>
      <c r="CD277" s="4"/>
      <c r="CE277" s="4"/>
      <c r="CF277" s="4"/>
      <c r="CG277" s="4"/>
      <c r="CH277" s="4"/>
      <c r="CI277" s="4"/>
      <c r="CJ277" s="4"/>
      <c r="CK277" s="4"/>
      <c r="CL277" s="4"/>
      <c r="CM277" s="4"/>
      <c r="CN277" s="4"/>
      <c r="CO277" s="4"/>
      <c r="CP277" s="4"/>
      <c r="CQ277" s="4"/>
      <c r="CR277" s="4"/>
      <c r="CS277" s="4"/>
      <c r="CT277" s="4"/>
      <c r="CU277" s="4"/>
      <c r="CV277" s="4"/>
      <c r="CW277" s="4"/>
      <c r="CX277" s="4"/>
      <c r="CY277" s="4"/>
      <c r="CZ277" s="4"/>
      <c r="DA277" s="4"/>
      <c r="DB277" s="4"/>
      <c r="DC277" s="4"/>
      <c r="DD277" s="4"/>
      <c r="DE277" s="4"/>
      <c r="DF277" s="4"/>
      <c r="DG277" s="4"/>
      <c r="DH277" s="4"/>
      <c r="DI277" s="4"/>
      <c r="DJ277" s="4"/>
      <c r="DK277" s="4"/>
      <c r="DL277" s="4"/>
      <c r="DM277" s="4"/>
      <c r="DN277" s="4"/>
      <c r="DO277" s="4"/>
      <c r="DP277" s="4"/>
      <c r="DQ277" s="4"/>
      <c r="DR277" s="4"/>
      <c r="DS277" s="4"/>
      <c r="DT277" s="4"/>
      <c r="DU277" s="4"/>
      <c r="DV277" s="4"/>
      <c r="DW277" s="4"/>
      <c r="DX277" s="4"/>
      <c r="DY277" s="4"/>
      <c r="DZ277" s="4"/>
      <c r="EA277" s="4"/>
      <c r="EB277" s="4"/>
      <c r="EC277" s="4"/>
      <c r="ED277" s="4"/>
      <c r="EE277" s="4"/>
      <c r="EF277" s="4"/>
      <c r="EG277" s="4"/>
      <c r="EH277" s="4"/>
      <c r="EI277" s="4"/>
      <c r="EJ277" s="4"/>
      <c r="EK277" s="4"/>
      <c r="EL277" s="4"/>
      <c r="EM277" s="4"/>
      <c r="EN277" s="4"/>
      <c r="EO277" s="4"/>
      <c r="EP277" s="4"/>
      <c r="EQ277" s="4"/>
      <c r="ER277" s="4"/>
      <c r="ES277" s="4"/>
      <c r="ET277" s="4"/>
      <c r="EU277" s="4"/>
      <c r="EV277" s="4"/>
      <c r="EW277" s="4"/>
      <c r="EX277" s="4"/>
      <c r="EY277" s="4"/>
      <c r="EZ277" s="4"/>
      <c r="FA277" s="4"/>
      <c r="FB277" s="4"/>
      <c r="FC277" s="4"/>
      <c r="FD277" s="4"/>
      <c r="FE277" s="4"/>
      <c r="FF277" s="4"/>
    </row>
    <row r="278" spans="1:162" x14ac:dyDescent="0.2">
      <c r="A278" s="2"/>
      <c r="B278" s="2"/>
      <c r="C278" s="2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4"/>
      <c r="AM278" s="4"/>
      <c r="AN278" s="4"/>
      <c r="AO278" s="4"/>
      <c r="AP278" s="4"/>
      <c r="AQ278" s="4"/>
      <c r="AR278" s="4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/>
      <c r="BE278" s="4"/>
      <c r="BF278" s="4"/>
      <c r="BG278" s="4"/>
      <c r="BH278" s="4"/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4"/>
      <c r="BX278" s="4"/>
      <c r="BY278" s="4"/>
      <c r="BZ278" s="4"/>
      <c r="CA278" s="4"/>
      <c r="CB278" s="4"/>
      <c r="CC278" s="4"/>
      <c r="CD278" s="4"/>
      <c r="CE278" s="4"/>
      <c r="CF278" s="4"/>
      <c r="CG278" s="4"/>
      <c r="CH278" s="4"/>
      <c r="CI278" s="4"/>
      <c r="CJ278" s="4"/>
      <c r="CK278" s="4"/>
      <c r="CL278" s="4"/>
      <c r="CM278" s="4"/>
      <c r="CN278" s="4"/>
      <c r="CO278" s="4"/>
      <c r="CP278" s="4"/>
      <c r="CQ278" s="4"/>
      <c r="CR278" s="4"/>
      <c r="CS278" s="4"/>
      <c r="CT278" s="4"/>
      <c r="CU278" s="4"/>
      <c r="CV278" s="4"/>
      <c r="CW278" s="4"/>
      <c r="CX278" s="4"/>
      <c r="CY278" s="4"/>
      <c r="CZ278" s="4"/>
      <c r="DA278" s="4"/>
      <c r="DB278" s="4"/>
      <c r="DC278" s="4"/>
      <c r="DD278" s="4"/>
      <c r="DE278" s="4"/>
      <c r="DF278" s="4"/>
      <c r="DG278" s="4"/>
      <c r="DH278" s="4"/>
      <c r="DI278" s="4"/>
      <c r="DJ278" s="4"/>
      <c r="DK278" s="4"/>
      <c r="DL278" s="4"/>
      <c r="DM278" s="4"/>
      <c r="DN278" s="4"/>
      <c r="DO278" s="4"/>
      <c r="DP278" s="4"/>
      <c r="DQ278" s="4"/>
      <c r="DR278" s="4"/>
      <c r="DS278" s="4"/>
      <c r="DT278" s="4"/>
      <c r="DU278" s="4"/>
      <c r="DV278" s="4"/>
      <c r="DW278" s="4"/>
      <c r="DX278" s="4"/>
      <c r="DY278" s="4"/>
      <c r="DZ278" s="4"/>
      <c r="EA278" s="4"/>
      <c r="EB278" s="4"/>
      <c r="EC278" s="4"/>
      <c r="ED278" s="4"/>
      <c r="EE278" s="4"/>
      <c r="EF278" s="4"/>
      <c r="EG278" s="4"/>
      <c r="EH278" s="4"/>
      <c r="EI278" s="4"/>
      <c r="EJ278" s="4"/>
      <c r="EK278" s="4"/>
      <c r="EL278" s="4"/>
      <c r="EM278" s="4"/>
      <c r="EN278" s="4"/>
      <c r="EO278" s="4"/>
      <c r="EP278" s="4"/>
      <c r="EQ278" s="4"/>
      <c r="ER278" s="4"/>
      <c r="ES278" s="4"/>
      <c r="ET278" s="4"/>
      <c r="EU278" s="4"/>
      <c r="EV278" s="4"/>
      <c r="EW278" s="4"/>
      <c r="EX278" s="4"/>
      <c r="EY278" s="4"/>
      <c r="EZ278" s="4"/>
      <c r="FA278" s="4"/>
      <c r="FB278" s="4"/>
      <c r="FC278" s="4"/>
      <c r="FD278" s="4"/>
      <c r="FE278" s="4"/>
      <c r="FF278" s="4"/>
    </row>
    <row r="279" spans="1:162" x14ac:dyDescent="0.2">
      <c r="A279" s="2"/>
      <c r="B279" s="2"/>
      <c r="C279" s="2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4"/>
      <c r="AM279" s="4"/>
      <c r="AN279" s="4"/>
      <c r="AO279" s="4"/>
      <c r="AP279" s="4"/>
      <c r="AQ279" s="4"/>
      <c r="AR279" s="4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/>
      <c r="BE279" s="4"/>
      <c r="BF279" s="4"/>
      <c r="BG279" s="4"/>
      <c r="BH279" s="4"/>
      <c r="BI279" s="4"/>
      <c r="BJ279" s="4"/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4"/>
      <c r="BX279" s="4"/>
      <c r="BY279" s="4"/>
      <c r="BZ279" s="4"/>
      <c r="CA279" s="4"/>
      <c r="CB279" s="4"/>
      <c r="CC279" s="4"/>
      <c r="CD279" s="4"/>
      <c r="CE279" s="4"/>
      <c r="CF279" s="4"/>
      <c r="CG279" s="4"/>
      <c r="CH279" s="4"/>
      <c r="CI279" s="4"/>
      <c r="CJ279" s="4"/>
      <c r="CK279" s="4"/>
      <c r="CL279" s="4"/>
      <c r="CM279" s="4"/>
      <c r="CN279" s="4"/>
      <c r="CO279" s="4"/>
      <c r="CP279" s="4"/>
      <c r="CQ279" s="4"/>
      <c r="CR279" s="4"/>
      <c r="CS279" s="4"/>
      <c r="CT279" s="4"/>
      <c r="CU279" s="4"/>
      <c r="CV279" s="4"/>
      <c r="CW279" s="4"/>
      <c r="CX279" s="4"/>
      <c r="CY279" s="4"/>
      <c r="CZ279" s="4"/>
      <c r="DA279" s="4"/>
      <c r="DB279" s="4"/>
      <c r="DC279" s="4"/>
      <c r="DD279" s="4"/>
      <c r="DE279" s="4"/>
      <c r="DF279" s="4"/>
      <c r="DG279" s="4"/>
      <c r="DH279" s="4"/>
      <c r="DI279" s="4"/>
      <c r="DJ279" s="4"/>
      <c r="DK279" s="4"/>
      <c r="DL279" s="4"/>
      <c r="DM279" s="4"/>
      <c r="DN279" s="4"/>
      <c r="DO279" s="4"/>
      <c r="DP279" s="4"/>
      <c r="DQ279" s="4"/>
      <c r="DR279" s="4"/>
      <c r="DS279" s="4"/>
      <c r="DT279" s="4"/>
      <c r="DU279" s="4"/>
      <c r="DV279" s="4"/>
      <c r="DW279" s="4"/>
      <c r="DX279" s="4"/>
      <c r="DY279" s="4"/>
      <c r="DZ279" s="4"/>
      <c r="EA279" s="4"/>
      <c r="EB279" s="4"/>
      <c r="EC279" s="4"/>
      <c r="ED279" s="4"/>
      <c r="EE279" s="4"/>
      <c r="EF279" s="4"/>
      <c r="EG279" s="4"/>
      <c r="EH279" s="4"/>
      <c r="EI279" s="4"/>
      <c r="EJ279" s="4"/>
      <c r="EK279" s="4"/>
      <c r="EL279" s="4"/>
      <c r="EM279" s="4"/>
      <c r="EN279" s="4"/>
      <c r="EO279" s="4"/>
      <c r="EP279" s="4"/>
      <c r="EQ279" s="4"/>
      <c r="ER279" s="4"/>
      <c r="ES279" s="4"/>
      <c r="ET279" s="4"/>
      <c r="EU279" s="4"/>
      <c r="EV279" s="4"/>
      <c r="EW279" s="4"/>
      <c r="EX279" s="4"/>
      <c r="EY279" s="4"/>
      <c r="EZ279" s="4"/>
      <c r="FA279" s="4"/>
      <c r="FB279" s="4"/>
      <c r="FC279" s="4"/>
      <c r="FD279" s="4"/>
      <c r="FE279" s="4"/>
      <c r="FF279" s="4"/>
    </row>
    <row r="280" spans="1:162" x14ac:dyDescent="0.2">
      <c r="A280" s="2"/>
      <c r="B280" s="2"/>
      <c r="C280" s="2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/>
      <c r="AM280" s="4"/>
      <c r="AN280" s="4"/>
      <c r="AO280" s="4"/>
      <c r="AP280" s="4"/>
      <c r="AQ280" s="4"/>
      <c r="AR280" s="4"/>
      <c r="AS280" s="4"/>
      <c r="AT280" s="4"/>
      <c r="AU280" s="4"/>
      <c r="AV280" s="4"/>
      <c r="AW280" s="4"/>
      <c r="AX280" s="4"/>
      <c r="AY280" s="4"/>
      <c r="AZ280" s="4"/>
      <c r="BA280" s="4"/>
      <c r="BB280" s="4"/>
      <c r="BC280" s="4"/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4"/>
      <c r="BX280" s="4"/>
      <c r="BY280" s="4"/>
      <c r="BZ280" s="4"/>
      <c r="CA280" s="4"/>
      <c r="CB280" s="4"/>
      <c r="CC280" s="4"/>
      <c r="CD280" s="4"/>
      <c r="CE280" s="4"/>
      <c r="CF280" s="4"/>
      <c r="CG280" s="4"/>
      <c r="CH280" s="4"/>
      <c r="CI280" s="4"/>
      <c r="CJ280" s="4"/>
      <c r="CK280" s="4"/>
      <c r="CL280" s="4"/>
      <c r="CM280" s="4"/>
      <c r="CN280" s="4"/>
      <c r="CO280" s="4"/>
      <c r="CP280" s="4"/>
      <c r="CQ280" s="4"/>
      <c r="CR280" s="4"/>
      <c r="CS280" s="4"/>
      <c r="CT280" s="4"/>
      <c r="CU280" s="4"/>
      <c r="CV280" s="4"/>
      <c r="CW280" s="4"/>
      <c r="CX280" s="4"/>
      <c r="CY280" s="4"/>
      <c r="CZ280" s="4"/>
      <c r="DA280" s="4"/>
      <c r="DB280" s="4"/>
      <c r="DC280" s="4"/>
      <c r="DD280" s="4"/>
      <c r="DE280" s="4"/>
      <c r="DF280" s="4"/>
      <c r="DG280" s="4"/>
      <c r="DH280" s="4"/>
      <c r="DI280" s="4"/>
      <c r="DJ280" s="4"/>
      <c r="DK280" s="4"/>
      <c r="DL280" s="4"/>
      <c r="DM280" s="4"/>
      <c r="DN280" s="4"/>
      <c r="DO280" s="4"/>
      <c r="DP280" s="4"/>
      <c r="DQ280" s="4"/>
      <c r="DR280" s="4"/>
      <c r="DS280" s="4"/>
      <c r="DT280" s="4"/>
      <c r="DU280" s="4"/>
      <c r="DV280" s="4"/>
      <c r="DW280" s="4"/>
      <c r="DX280" s="4"/>
      <c r="DY280" s="4"/>
      <c r="DZ280" s="4"/>
      <c r="EA280" s="4"/>
      <c r="EB280" s="4"/>
      <c r="EC280" s="4"/>
      <c r="ED280" s="4"/>
      <c r="EE280" s="4"/>
      <c r="EF280" s="4"/>
      <c r="EG280" s="4"/>
      <c r="EH280" s="4"/>
      <c r="EI280" s="4"/>
      <c r="EJ280" s="4"/>
      <c r="EK280" s="4"/>
      <c r="EL280" s="4"/>
      <c r="EM280" s="4"/>
      <c r="EN280" s="4"/>
      <c r="EO280" s="4"/>
      <c r="EP280" s="4"/>
      <c r="EQ280" s="4"/>
      <c r="ER280" s="4"/>
      <c r="ES280" s="4"/>
      <c r="ET280" s="4"/>
      <c r="EU280" s="4"/>
      <c r="EV280" s="4"/>
      <c r="EW280" s="4"/>
      <c r="EX280" s="4"/>
      <c r="EY280" s="4"/>
      <c r="EZ280" s="4"/>
      <c r="FA280" s="4"/>
      <c r="FB280" s="4"/>
      <c r="FC280" s="4"/>
      <c r="FD280" s="4"/>
      <c r="FE280" s="4"/>
      <c r="FF280" s="4"/>
    </row>
    <row r="281" spans="1:162" x14ac:dyDescent="0.2">
      <c r="A281" s="2"/>
      <c r="B281" s="2"/>
      <c r="C281" s="2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4"/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4"/>
      <c r="AM281" s="4"/>
      <c r="AN281" s="4"/>
      <c r="AO281" s="4"/>
      <c r="AP281" s="4"/>
      <c r="AQ281" s="4"/>
      <c r="AR281" s="4"/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/>
      <c r="BE281" s="4"/>
      <c r="BF281" s="4"/>
      <c r="BG281" s="4"/>
      <c r="BH281" s="4"/>
      <c r="BI281" s="4"/>
      <c r="BJ281" s="4"/>
      <c r="BK281" s="4"/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/>
      <c r="BW281" s="4"/>
      <c r="BX281" s="4"/>
      <c r="BY281" s="4"/>
      <c r="BZ281" s="4"/>
      <c r="CA281" s="4"/>
      <c r="CB281" s="4"/>
      <c r="CC281" s="4"/>
      <c r="CD281" s="4"/>
      <c r="CE281" s="4"/>
      <c r="CF281" s="4"/>
      <c r="CG281" s="4"/>
      <c r="CH281" s="4"/>
      <c r="CI281" s="4"/>
      <c r="CJ281" s="4"/>
      <c r="CK281" s="4"/>
      <c r="CL281" s="4"/>
      <c r="CM281" s="4"/>
      <c r="CN281" s="4"/>
      <c r="CO281" s="4"/>
      <c r="CP281" s="4"/>
      <c r="CQ281" s="4"/>
      <c r="CR281" s="4"/>
      <c r="CS281" s="4"/>
      <c r="CT281" s="4"/>
      <c r="CU281" s="4"/>
      <c r="CV281" s="4"/>
      <c r="CW281" s="4"/>
      <c r="CX281" s="4"/>
      <c r="CY281" s="4"/>
      <c r="CZ281" s="4"/>
      <c r="DA281" s="4"/>
      <c r="DB281" s="4"/>
      <c r="DC281" s="4"/>
      <c r="DD281" s="4"/>
      <c r="DE281" s="4"/>
      <c r="DF281" s="4"/>
      <c r="DG281" s="4"/>
      <c r="DH281" s="4"/>
      <c r="DI281" s="4"/>
      <c r="DJ281" s="4"/>
      <c r="DK281" s="4"/>
      <c r="DL281" s="4"/>
      <c r="DM281" s="4"/>
      <c r="DN281" s="4"/>
      <c r="DO281" s="4"/>
      <c r="DP281" s="4"/>
      <c r="DQ281" s="4"/>
      <c r="DR281" s="4"/>
      <c r="DS281" s="4"/>
      <c r="DT281" s="4"/>
      <c r="DU281" s="4"/>
      <c r="DV281" s="4"/>
      <c r="DW281" s="4"/>
      <c r="DX281" s="4"/>
      <c r="DY281" s="4"/>
      <c r="DZ281" s="4"/>
      <c r="EA281" s="4"/>
      <c r="EB281" s="4"/>
      <c r="EC281" s="4"/>
      <c r="ED281" s="4"/>
      <c r="EE281" s="4"/>
      <c r="EF281" s="4"/>
      <c r="EG281" s="4"/>
      <c r="EH281" s="4"/>
      <c r="EI281" s="4"/>
      <c r="EJ281" s="4"/>
      <c r="EK281" s="4"/>
      <c r="EL281" s="4"/>
      <c r="EM281" s="4"/>
      <c r="EN281" s="4"/>
      <c r="EO281" s="4"/>
      <c r="EP281" s="4"/>
      <c r="EQ281" s="4"/>
      <c r="ER281" s="4"/>
      <c r="ES281" s="4"/>
      <c r="ET281" s="4"/>
      <c r="EU281" s="4"/>
      <c r="EV281" s="4"/>
      <c r="EW281" s="4"/>
      <c r="EX281" s="4"/>
      <c r="EY281" s="4"/>
      <c r="EZ281" s="4"/>
      <c r="FA281" s="4"/>
      <c r="FB281" s="4"/>
      <c r="FC281" s="4"/>
      <c r="FD281" s="4"/>
      <c r="FE281" s="4"/>
      <c r="FF281" s="4"/>
    </row>
    <row r="282" spans="1:162" x14ac:dyDescent="0.2">
      <c r="A282" s="2"/>
      <c r="B282" s="2"/>
      <c r="C282" s="2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/>
      <c r="AM282" s="4"/>
      <c r="AN282" s="4"/>
      <c r="AO282" s="4"/>
      <c r="AP282" s="4"/>
      <c r="AQ282" s="4"/>
      <c r="AR282" s="4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/>
      <c r="BE282" s="4"/>
      <c r="BF282" s="4"/>
      <c r="BG282" s="4"/>
      <c r="BH282" s="4"/>
      <c r="BI282" s="4"/>
      <c r="BJ282" s="4"/>
      <c r="BK282" s="4"/>
      <c r="BL282" s="4"/>
      <c r="BM282" s="4"/>
      <c r="BN282" s="4"/>
      <c r="BO282" s="4"/>
      <c r="BP282" s="4"/>
      <c r="BQ282" s="4"/>
      <c r="BR282" s="4"/>
      <c r="BS282" s="4"/>
      <c r="BT282" s="4"/>
      <c r="BU282" s="4"/>
      <c r="BV282" s="4"/>
      <c r="BW282" s="4"/>
      <c r="BX282" s="4"/>
      <c r="BY282" s="4"/>
      <c r="BZ282" s="4"/>
      <c r="CA282" s="4"/>
      <c r="CB282" s="4"/>
      <c r="CC282" s="4"/>
      <c r="CD282" s="4"/>
      <c r="CE282" s="4"/>
      <c r="CF282" s="4"/>
      <c r="CG282" s="4"/>
      <c r="CH282" s="4"/>
      <c r="CI282" s="4"/>
      <c r="CJ282" s="4"/>
      <c r="CK282" s="4"/>
      <c r="CL282" s="4"/>
      <c r="CM282" s="4"/>
      <c r="CN282" s="4"/>
      <c r="CO282" s="4"/>
      <c r="CP282" s="4"/>
      <c r="CQ282" s="4"/>
      <c r="CR282" s="4"/>
      <c r="CS282" s="4"/>
      <c r="CT282" s="4"/>
      <c r="CU282" s="4"/>
      <c r="CV282" s="4"/>
      <c r="CW282" s="4"/>
      <c r="CX282" s="4"/>
      <c r="CY282" s="4"/>
      <c r="CZ282" s="4"/>
      <c r="DA282" s="4"/>
      <c r="DB282" s="4"/>
      <c r="DC282" s="4"/>
      <c r="DD282" s="4"/>
      <c r="DE282" s="4"/>
      <c r="DF282" s="4"/>
      <c r="DG282" s="4"/>
      <c r="DH282" s="4"/>
      <c r="DI282" s="4"/>
      <c r="DJ282" s="4"/>
      <c r="DK282" s="4"/>
      <c r="DL282" s="4"/>
      <c r="DM282" s="4"/>
      <c r="DN282" s="4"/>
      <c r="DO282" s="4"/>
      <c r="DP282" s="4"/>
      <c r="DQ282" s="4"/>
      <c r="DR282" s="4"/>
      <c r="DS282" s="4"/>
      <c r="DT282" s="4"/>
      <c r="DU282" s="4"/>
      <c r="DV282" s="4"/>
      <c r="DW282" s="4"/>
      <c r="DX282" s="4"/>
      <c r="DY282" s="4"/>
      <c r="DZ282" s="4"/>
      <c r="EA282" s="4"/>
      <c r="EB282" s="4"/>
      <c r="EC282" s="4"/>
      <c r="ED282" s="4"/>
      <c r="EE282" s="4"/>
      <c r="EF282" s="4"/>
      <c r="EG282" s="4"/>
      <c r="EH282" s="4"/>
      <c r="EI282" s="4"/>
      <c r="EJ282" s="4"/>
      <c r="EK282" s="4"/>
      <c r="EL282" s="4"/>
      <c r="EM282" s="4"/>
      <c r="EN282" s="4"/>
      <c r="EO282" s="4"/>
      <c r="EP282" s="4"/>
      <c r="EQ282" s="4"/>
      <c r="ER282" s="4"/>
      <c r="ES282" s="4"/>
      <c r="ET282" s="4"/>
      <c r="EU282" s="4"/>
      <c r="EV282" s="4"/>
      <c r="EW282" s="4"/>
      <c r="EX282" s="4"/>
      <c r="EY282" s="4"/>
      <c r="EZ282" s="4"/>
      <c r="FA282" s="4"/>
      <c r="FB282" s="4"/>
      <c r="FC282" s="4"/>
      <c r="FD282" s="4"/>
      <c r="FE282" s="4"/>
      <c r="FF282" s="4"/>
    </row>
    <row r="283" spans="1:162" x14ac:dyDescent="0.2">
      <c r="A283" s="2"/>
      <c r="B283" s="2"/>
      <c r="C283" s="2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4"/>
      <c r="AM283" s="4"/>
      <c r="AN283" s="4"/>
      <c r="AO283" s="4"/>
      <c r="AP283" s="4"/>
      <c r="AQ283" s="4"/>
      <c r="AR283" s="4"/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/>
      <c r="BE283" s="4"/>
      <c r="BF283" s="4"/>
      <c r="BG283" s="4"/>
      <c r="BH283" s="4"/>
      <c r="BI283" s="4"/>
      <c r="BJ283" s="4"/>
      <c r="BK283" s="4"/>
      <c r="BL283" s="4"/>
      <c r="BM283" s="4"/>
      <c r="BN283" s="4"/>
      <c r="BO283" s="4"/>
      <c r="BP283" s="4"/>
      <c r="BQ283" s="4"/>
      <c r="BR283" s="4"/>
      <c r="BS283" s="4"/>
      <c r="BT283" s="4"/>
      <c r="BU283" s="4"/>
      <c r="BV283" s="4"/>
      <c r="BW283" s="4"/>
      <c r="BX283" s="4"/>
      <c r="BY283" s="4"/>
      <c r="BZ283" s="4"/>
      <c r="CA283" s="4"/>
      <c r="CB283" s="4"/>
      <c r="CC283" s="4"/>
      <c r="CD283" s="4"/>
      <c r="CE283" s="4"/>
      <c r="CF283" s="4"/>
      <c r="CG283" s="4"/>
      <c r="CH283" s="4"/>
      <c r="CI283" s="4"/>
      <c r="CJ283" s="4"/>
      <c r="CK283" s="4"/>
      <c r="CL283" s="4"/>
      <c r="CM283" s="4"/>
      <c r="CN283" s="4"/>
      <c r="CO283" s="4"/>
      <c r="CP283" s="4"/>
      <c r="CQ283" s="4"/>
      <c r="CR283" s="4"/>
      <c r="CS283" s="4"/>
      <c r="CT283" s="4"/>
      <c r="CU283" s="4"/>
      <c r="CV283" s="4"/>
      <c r="CW283" s="4"/>
      <c r="CX283" s="4"/>
      <c r="CY283" s="4"/>
      <c r="CZ283" s="4"/>
      <c r="DA283" s="4"/>
      <c r="DB283" s="4"/>
      <c r="DC283" s="4"/>
      <c r="DD283" s="4"/>
      <c r="DE283" s="4"/>
      <c r="DF283" s="4"/>
      <c r="DG283" s="4"/>
      <c r="DH283" s="4"/>
      <c r="DI283" s="4"/>
      <c r="DJ283" s="4"/>
      <c r="DK283" s="4"/>
      <c r="DL283" s="4"/>
      <c r="DM283" s="4"/>
      <c r="DN283" s="4"/>
      <c r="DO283" s="4"/>
      <c r="DP283" s="4"/>
      <c r="DQ283" s="4"/>
      <c r="DR283" s="4"/>
      <c r="DS283" s="4"/>
      <c r="DT283" s="4"/>
      <c r="DU283" s="4"/>
      <c r="DV283" s="4"/>
      <c r="DW283" s="4"/>
      <c r="DX283" s="4"/>
      <c r="DY283" s="4"/>
      <c r="DZ283" s="4"/>
      <c r="EA283" s="4"/>
      <c r="EB283" s="4"/>
      <c r="EC283" s="4"/>
      <c r="ED283" s="4"/>
      <c r="EE283" s="4"/>
      <c r="EF283" s="4"/>
      <c r="EG283" s="4"/>
      <c r="EH283" s="4"/>
      <c r="EI283" s="4"/>
      <c r="EJ283" s="4"/>
      <c r="EK283" s="4"/>
      <c r="EL283" s="4"/>
      <c r="EM283" s="4"/>
      <c r="EN283" s="4"/>
      <c r="EO283" s="4"/>
      <c r="EP283" s="4"/>
      <c r="EQ283" s="4"/>
      <c r="ER283" s="4"/>
      <c r="ES283" s="4"/>
      <c r="ET283" s="4"/>
      <c r="EU283" s="4"/>
      <c r="EV283" s="4"/>
      <c r="EW283" s="4"/>
      <c r="EX283" s="4"/>
      <c r="EY283" s="4"/>
      <c r="EZ283" s="4"/>
      <c r="FA283" s="4"/>
      <c r="FB283" s="4"/>
      <c r="FC283" s="4"/>
      <c r="FD283" s="4"/>
      <c r="FE283" s="4"/>
      <c r="FF283" s="4"/>
    </row>
    <row r="284" spans="1:162" x14ac:dyDescent="0.2">
      <c r="A284" s="2"/>
      <c r="B284" s="2"/>
      <c r="C284" s="2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/>
      <c r="AN284" s="4"/>
      <c r="AO284" s="4"/>
      <c r="AP284" s="4"/>
      <c r="AQ284" s="4"/>
      <c r="AR284" s="4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/>
      <c r="BE284" s="4"/>
      <c r="BF284" s="4"/>
      <c r="BG284" s="4"/>
      <c r="BH284" s="4"/>
      <c r="BI284" s="4"/>
      <c r="BJ284" s="4"/>
      <c r="BK284" s="4"/>
      <c r="BL284" s="4"/>
      <c r="BM284" s="4"/>
      <c r="BN284" s="4"/>
      <c r="BO284" s="4"/>
      <c r="BP284" s="4"/>
      <c r="BQ284" s="4"/>
      <c r="BR284" s="4"/>
      <c r="BS284" s="4"/>
      <c r="BT284" s="4"/>
      <c r="BU284" s="4"/>
      <c r="BV284" s="4"/>
      <c r="BW284" s="4"/>
      <c r="BX284" s="4"/>
      <c r="BY284" s="4"/>
      <c r="BZ284" s="4"/>
      <c r="CA284" s="4"/>
      <c r="CB284" s="4"/>
      <c r="CC284" s="4"/>
      <c r="CD284" s="4"/>
      <c r="CE284" s="4"/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  <c r="CQ284" s="4"/>
      <c r="CR284" s="4"/>
      <c r="CS284" s="4"/>
      <c r="CT284" s="4"/>
      <c r="CU284" s="4"/>
      <c r="CV284" s="4"/>
      <c r="CW284" s="4"/>
      <c r="CX284" s="4"/>
      <c r="CY284" s="4"/>
      <c r="CZ284" s="4"/>
      <c r="DA284" s="4"/>
      <c r="DB284" s="4"/>
      <c r="DC284" s="4"/>
      <c r="DD284" s="4"/>
      <c r="DE284" s="4"/>
      <c r="DF284" s="4"/>
      <c r="DG284" s="4"/>
      <c r="DH284" s="4"/>
      <c r="DI284" s="4"/>
      <c r="DJ284" s="4"/>
      <c r="DK284" s="4"/>
      <c r="DL284" s="4"/>
      <c r="DM284" s="4"/>
      <c r="DN284" s="4"/>
      <c r="DO284" s="4"/>
      <c r="DP284" s="4"/>
      <c r="DQ284" s="4"/>
      <c r="DR284" s="4"/>
      <c r="DS284" s="4"/>
      <c r="DT284" s="4"/>
      <c r="DU284" s="4"/>
      <c r="DV284" s="4"/>
      <c r="DW284" s="4"/>
      <c r="DX284" s="4"/>
      <c r="DY284" s="4"/>
      <c r="DZ284" s="4"/>
      <c r="EA284" s="4"/>
      <c r="EB284" s="4"/>
      <c r="EC284" s="4"/>
      <c r="ED284" s="4"/>
      <c r="EE284" s="4"/>
      <c r="EF284" s="4"/>
      <c r="EG284" s="4"/>
      <c r="EH284" s="4"/>
      <c r="EI284" s="4"/>
      <c r="EJ284" s="4"/>
      <c r="EK284" s="4"/>
      <c r="EL284" s="4"/>
      <c r="EM284" s="4"/>
      <c r="EN284" s="4"/>
      <c r="EO284" s="4"/>
      <c r="EP284" s="4"/>
      <c r="EQ284" s="4"/>
      <c r="ER284" s="4"/>
      <c r="ES284" s="4"/>
      <c r="ET284" s="4"/>
      <c r="EU284" s="4"/>
      <c r="EV284" s="4"/>
      <c r="EW284" s="4"/>
      <c r="EX284" s="4"/>
      <c r="EY284" s="4"/>
      <c r="EZ284" s="4"/>
      <c r="FA284" s="4"/>
      <c r="FB284" s="4"/>
      <c r="FC284" s="4"/>
      <c r="FD284" s="4"/>
      <c r="FE284" s="4"/>
      <c r="FF284" s="4"/>
    </row>
    <row r="285" spans="1:162" x14ac:dyDescent="0.2">
      <c r="A285" s="2"/>
      <c r="B285" s="2"/>
      <c r="C285" s="2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  <c r="Z285" s="4"/>
      <c r="AA285" s="4"/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4"/>
      <c r="AM285" s="4"/>
      <c r="AN285" s="4"/>
      <c r="AO285" s="4"/>
      <c r="AP285" s="4"/>
      <c r="AQ285" s="4"/>
      <c r="AR285" s="4"/>
      <c r="AS285" s="4"/>
      <c r="AT285" s="4"/>
      <c r="AU285" s="4"/>
      <c r="AV285" s="4"/>
      <c r="AW285" s="4"/>
      <c r="AX285" s="4"/>
      <c r="AY285" s="4"/>
      <c r="AZ285" s="4"/>
      <c r="BA285" s="4"/>
      <c r="BB285" s="4"/>
      <c r="BC285" s="4"/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4"/>
      <c r="BX285" s="4"/>
      <c r="BY285" s="4"/>
      <c r="BZ285" s="4"/>
      <c r="CA285" s="4"/>
      <c r="CB285" s="4"/>
      <c r="CC285" s="4"/>
      <c r="CD285" s="4"/>
      <c r="CE285" s="4"/>
      <c r="CF285" s="4"/>
      <c r="CG285" s="4"/>
      <c r="CH285" s="4"/>
      <c r="CI285" s="4"/>
      <c r="CJ285" s="4"/>
      <c r="CK285" s="4"/>
      <c r="CL285" s="4"/>
      <c r="CM285" s="4"/>
      <c r="CN285" s="4"/>
      <c r="CO285" s="4"/>
      <c r="CP285" s="4"/>
      <c r="CQ285" s="4"/>
      <c r="CR285" s="4"/>
      <c r="CS285" s="4"/>
      <c r="CT285" s="4"/>
      <c r="CU285" s="4"/>
      <c r="CV285" s="4"/>
      <c r="CW285" s="4"/>
      <c r="CX285" s="4"/>
      <c r="CY285" s="4"/>
      <c r="CZ285" s="4"/>
      <c r="DA285" s="4"/>
      <c r="DB285" s="4"/>
      <c r="DC285" s="4"/>
      <c r="DD285" s="4"/>
      <c r="DE285" s="4"/>
      <c r="DF285" s="4"/>
      <c r="DG285" s="4"/>
      <c r="DH285" s="4"/>
      <c r="DI285" s="4"/>
      <c r="DJ285" s="4"/>
      <c r="DK285" s="4"/>
      <c r="DL285" s="4"/>
      <c r="DM285" s="4"/>
      <c r="DN285" s="4"/>
      <c r="DO285" s="4"/>
      <c r="DP285" s="4"/>
      <c r="DQ285" s="4"/>
      <c r="DR285" s="4"/>
      <c r="DS285" s="4"/>
      <c r="DT285" s="4"/>
      <c r="DU285" s="4"/>
      <c r="DV285" s="4"/>
      <c r="DW285" s="4"/>
      <c r="DX285" s="4"/>
      <c r="DY285" s="4"/>
      <c r="DZ285" s="4"/>
      <c r="EA285" s="4"/>
      <c r="EB285" s="4"/>
      <c r="EC285" s="4"/>
      <c r="ED285" s="4"/>
      <c r="EE285" s="4"/>
      <c r="EF285" s="4"/>
      <c r="EG285" s="4"/>
      <c r="EH285" s="4"/>
      <c r="EI285" s="4"/>
      <c r="EJ285" s="4"/>
      <c r="EK285" s="4"/>
      <c r="EL285" s="4"/>
      <c r="EM285" s="4"/>
      <c r="EN285" s="4"/>
      <c r="EO285" s="4"/>
      <c r="EP285" s="4"/>
      <c r="EQ285" s="4"/>
      <c r="ER285" s="4"/>
      <c r="ES285" s="4"/>
      <c r="ET285" s="4"/>
      <c r="EU285" s="4"/>
      <c r="EV285" s="4"/>
      <c r="EW285" s="4"/>
      <c r="EX285" s="4"/>
      <c r="EY285" s="4"/>
      <c r="EZ285" s="4"/>
      <c r="FA285" s="4"/>
      <c r="FB285" s="4"/>
      <c r="FC285" s="4"/>
      <c r="FD285" s="4"/>
      <c r="FE285" s="4"/>
      <c r="FF285" s="4"/>
    </row>
    <row r="286" spans="1:162" x14ac:dyDescent="0.2">
      <c r="A286" s="2"/>
      <c r="B286" s="2"/>
      <c r="C286" s="2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/>
      <c r="AN286" s="4"/>
      <c r="AO286" s="4"/>
      <c r="AP286" s="4"/>
      <c r="AQ286" s="4"/>
      <c r="AR286" s="4"/>
      <c r="AS286" s="4"/>
      <c r="AT286" s="4"/>
      <c r="AU286" s="4"/>
      <c r="AV286" s="4"/>
      <c r="AW286" s="4"/>
      <c r="AX286" s="4"/>
      <c r="AY286" s="4"/>
      <c r="AZ286" s="4"/>
      <c r="BA286" s="4"/>
      <c r="BB286" s="4"/>
      <c r="BC286" s="4"/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/>
      <c r="BP286" s="4"/>
      <c r="BQ286" s="4"/>
      <c r="BR286" s="4"/>
      <c r="BS286" s="4"/>
      <c r="BT286" s="4"/>
      <c r="BU286" s="4"/>
      <c r="BV286" s="4"/>
      <c r="BW286" s="4"/>
      <c r="BX286" s="4"/>
      <c r="BY286" s="4"/>
      <c r="BZ286" s="4"/>
      <c r="CA286" s="4"/>
      <c r="CB286" s="4"/>
      <c r="CC286" s="4"/>
      <c r="CD286" s="4"/>
      <c r="CE286" s="4"/>
      <c r="CF286" s="4"/>
      <c r="CG286" s="4"/>
      <c r="CH286" s="4"/>
      <c r="CI286" s="4"/>
      <c r="CJ286" s="4"/>
      <c r="CK286" s="4"/>
      <c r="CL286" s="4"/>
      <c r="CM286" s="4"/>
      <c r="CN286" s="4"/>
      <c r="CO286" s="4"/>
      <c r="CP286" s="4"/>
      <c r="CQ286" s="4"/>
      <c r="CR286" s="4"/>
      <c r="CS286" s="4"/>
      <c r="CT286" s="4"/>
      <c r="CU286" s="4"/>
      <c r="CV286" s="4"/>
      <c r="CW286" s="4"/>
      <c r="CX286" s="4"/>
      <c r="CY286" s="4"/>
      <c r="CZ286" s="4"/>
      <c r="DA286" s="4"/>
      <c r="DB286" s="4"/>
      <c r="DC286" s="4"/>
      <c r="DD286" s="4"/>
      <c r="DE286" s="4"/>
      <c r="DF286" s="4"/>
      <c r="DG286" s="4"/>
      <c r="DH286" s="4"/>
      <c r="DI286" s="4"/>
      <c r="DJ286" s="4"/>
      <c r="DK286" s="4"/>
      <c r="DL286" s="4"/>
      <c r="DM286" s="4"/>
      <c r="DN286" s="4"/>
      <c r="DO286" s="4"/>
      <c r="DP286" s="4"/>
      <c r="DQ286" s="4"/>
      <c r="DR286" s="4"/>
      <c r="DS286" s="4"/>
      <c r="DT286" s="4"/>
      <c r="DU286" s="4"/>
      <c r="DV286" s="4"/>
      <c r="DW286" s="4"/>
      <c r="DX286" s="4"/>
      <c r="DY286" s="4"/>
      <c r="DZ286" s="4"/>
      <c r="EA286" s="4"/>
      <c r="EB286" s="4"/>
      <c r="EC286" s="4"/>
      <c r="ED286" s="4"/>
      <c r="EE286" s="4"/>
      <c r="EF286" s="4"/>
      <c r="EG286" s="4"/>
      <c r="EH286" s="4"/>
      <c r="EI286" s="4"/>
      <c r="EJ286" s="4"/>
      <c r="EK286" s="4"/>
      <c r="EL286" s="4"/>
      <c r="EM286" s="4"/>
      <c r="EN286" s="4"/>
      <c r="EO286" s="4"/>
      <c r="EP286" s="4"/>
      <c r="EQ286" s="4"/>
      <c r="ER286" s="4"/>
      <c r="ES286" s="4"/>
      <c r="ET286" s="4"/>
      <c r="EU286" s="4"/>
      <c r="EV286" s="4"/>
      <c r="EW286" s="4"/>
      <c r="EX286" s="4"/>
      <c r="EY286" s="4"/>
      <c r="EZ286" s="4"/>
      <c r="FA286" s="4"/>
      <c r="FB286" s="4"/>
      <c r="FC286" s="4"/>
      <c r="FD286" s="4"/>
      <c r="FE286" s="4"/>
      <c r="FF286" s="4"/>
    </row>
    <row r="287" spans="1:162" x14ac:dyDescent="0.2">
      <c r="A287" s="2"/>
      <c r="B287" s="2"/>
      <c r="C287" s="2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  <c r="Z287" s="4"/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4"/>
      <c r="AM287" s="4"/>
      <c r="AN287" s="4"/>
      <c r="AO287" s="4"/>
      <c r="AP287" s="4"/>
      <c r="AQ287" s="4"/>
      <c r="AR287" s="4"/>
      <c r="AS287" s="4"/>
      <c r="AT287" s="4"/>
      <c r="AU287" s="4"/>
      <c r="AV287" s="4"/>
      <c r="AW287" s="4"/>
      <c r="AX287" s="4"/>
      <c r="AY287" s="4"/>
      <c r="AZ287" s="4"/>
      <c r="BA287" s="4"/>
      <c r="BB287" s="4"/>
      <c r="BC287" s="4"/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4"/>
      <c r="BX287" s="4"/>
      <c r="BY287" s="4"/>
      <c r="BZ287" s="4"/>
      <c r="CA287" s="4"/>
      <c r="CB287" s="4"/>
      <c r="CC287" s="4"/>
      <c r="CD287" s="4"/>
      <c r="CE287" s="4"/>
      <c r="CF287" s="4"/>
      <c r="CG287" s="4"/>
      <c r="CH287" s="4"/>
      <c r="CI287" s="4"/>
      <c r="CJ287" s="4"/>
      <c r="CK287" s="4"/>
      <c r="CL287" s="4"/>
      <c r="CM287" s="4"/>
      <c r="CN287" s="4"/>
      <c r="CO287" s="4"/>
      <c r="CP287" s="4"/>
      <c r="CQ287" s="4"/>
      <c r="CR287" s="4"/>
      <c r="CS287" s="4"/>
      <c r="CT287" s="4"/>
      <c r="CU287" s="4"/>
      <c r="CV287" s="4"/>
      <c r="CW287" s="4"/>
      <c r="CX287" s="4"/>
      <c r="CY287" s="4"/>
      <c r="CZ287" s="4"/>
      <c r="DA287" s="4"/>
      <c r="DB287" s="4"/>
      <c r="DC287" s="4"/>
      <c r="DD287" s="4"/>
      <c r="DE287" s="4"/>
      <c r="DF287" s="4"/>
      <c r="DG287" s="4"/>
      <c r="DH287" s="4"/>
      <c r="DI287" s="4"/>
      <c r="DJ287" s="4"/>
      <c r="DK287" s="4"/>
      <c r="DL287" s="4"/>
      <c r="DM287" s="4"/>
      <c r="DN287" s="4"/>
      <c r="DO287" s="4"/>
      <c r="DP287" s="4"/>
      <c r="DQ287" s="4"/>
      <c r="DR287" s="4"/>
      <c r="DS287" s="4"/>
      <c r="DT287" s="4"/>
      <c r="DU287" s="4"/>
      <c r="DV287" s="4"/>
      <c r="DW287" s="4"/>
      <c r="DX287" s="4"/>
      <c r="DY287" s="4"/>
      <c r="DZ287" s="4"/>
      <c r="EA287" s="4"/>
      <c r="EB287" s="4"/>
      <c r="EC287" s="4"/>
      <c r="ED287" s="4"/>
      <c r="EE287" s="4"/>
      <c r="EF287" s="4"/>
      <c r="EG287" s="4"/>
      <c r="EH287" s="4"/>
      <c r="EI287" s="4"/>
      <c r="EJ287" s="4"/>
      <c r="EK287" s="4"/>
      <c r="EL287" s="4"/>
      <c r="EM287" s="4"/>
      <c r="EN287" s="4"/>
      <c r="EO287" s="4"/>
      <c r="EP287" s="4"/>
      <c r="EQ287" s="4"/>
      <c r="ER287" s="4"/>
      <c r="ES287" s="4"/>
      <c r="ET287" s="4"/>
      <c r="EU287" s="4"/>
      <c r="EV287" s="4"/>
      <c r="EW287" s="4"/>
      <c r="EX287" s="4"/>
      <c r="EY287" s="4"/>
      <c r="EZ287" s="4"/>
      <c r="FA287" s="4"/>
      <c r="FB287" s="4"/>
      <c r="FC287" s="4"/>
      <c r="FD287" s="4"/>
      <c r="FE287" s="4"/>
      <c r="FF287" s="4"/>
    </row>
    <row r="288" spans="1:162" x14ac:dyDescent="0.2">
      <c r="A288" s="2"/>
      <c r="B288" s="2"/>
      <c r="C288" s="2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4"/>
      <c r="AM288" s="4"/>
      <c r="AN288" s="4"/>
      <c r="AO288" s="4"/>
      <c r="AP288" s="4"/>
      <c r="AQ288" s="4"/>
      <c r="AR288" s="4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/>
      <c r="BE288" s="4"/>
      <c r="BF288" s="4"/>
      <c r="BG288" s="4"/>
      <c r="BH288" s="4"/>
      <c r="BI288" s="4"/>
      <c r="BJ288" s="4"/>
      <c r="BK288" s="4"/>
      <c r="BL288" s="4"/>
      <c r="BM288" s="4"/>
      <c r="BN288" s="4"/>
      <c r="BO288" s="4"/>
      <c r="BP288" s="4"/>
      <c r="BQ288" s="4"/>
      <c r="BR288" s="4"/>
      <c r="BS288" s="4"/>
      <c r="BT288" s="4"/>
      <c r="BU288" s="4"/>
      <c r="BV288" s="4"/>
      <c r="BW288" s="4"/>
      <c r="BX288" s="4"/>
      <c r="BY288" s="4"/>
      <c r="BZ288" s="4"/>
      <c r="CA288" s="4"/>
      <c r="CB288" s="4"/>
      <c r="CC288" s="4"/>
      <c r="CD288" s="4"/>
      <c r="CE288" s="4"/>
      <c r="CF288" s="4"/>
      <c r="CG288" s="4"/>
      <c r="CH288" s="4"/>
      <c r="CI288" s="4"/>
      <c r="CJ288" s="4"/>
      <c r="CK288" s="4"/>
      <c r="CL288" s="4"/>
      <c r="CM288" s="4"/>
      <c r="CN288" s="4"/>
      <c r="CO288" s="4"/>
      <c r="CP288" s="4"/>
      <c r="CQ288" s="4"/>
      <c r="CR288" s="4"/>
      <c r="CS288" s="4"/>
      <c r="CT288" s="4"/>
      <c r="CU288" s="4"/>
      <c r="CV288" s="4"/>
      <c r="CW288" s="4"/>
      <c r="CX288" s="4"/>
      <c r="CY288" s="4"/>
      <c r="CZ288" s="4"/>
      <c r="DA288" s="4"/>
      <c r="DB288" s="4"/>
      <c r="DC288" s="4"/>
      <c r="DD288" s="4"/>
      <c r="DE288" s="4"/>
      <c r="DF288" s="4"/>
      <c r="DG288" s="4"/>
      <c r="DH288" s="4"/>
      <c r="DI288" s="4"/>
      <c r="DJ288" s="4"/>
      <c r="DK288" s="4"/>
      <c r="DL288" s="4"/>
      <c r="DM288" s="4"/>
      <c r="DN288" s="4"/>
      <c r="DO288" s="4"/>
      <c r="DP288" s="4"/>
      <c r="DQ288" s="4"/>
      <c r="DR288" s="4"/>
      <c r="DS288" s="4"/>
      <c r="DT288" s="4"/>
      <c r="DU288" s="4"/>
      <c r="DV288" s="4"/>
      <c r="DW288" s="4"/>
      <c r="DX288" s="4"/>
      <c r="DY288" s="4"/>
      <c r="DZ288" s="4"/>
      <c r="EA288" s="4"/>
      <c r="EB288" s="4"/>
      <c r="EC288" s="4"/>
      <c r="ED288" s="4"/>
      <c r="EE288" s="4"/>
      <c r="EF288" s="4"/>
      <c r="EG288" s="4"/>
      <c r="EH288" s="4"/>
      <c r="EI288" s="4"/>
      <c r="EJ288" s="4"/>
      <c r="EK288" s="4"/>
      <c r="EL288" s="4"/>
      <c r="EM288" s="4"/>
      <c r="EN288" s="4"/>
      <c r="EO288" s="4"/>
      <c r="EP288" s="4"/>
      <c r="EQ288" s="4"/>
      <c r="ER288" s="4"/>
      <c r="ES288" s="4"/>
      <c r="ET288" s="4"/>
      <c r="EU288" s="4"/>
      <c r="EV288" s="4"/>
      <c r="EW288" s="4"/>
      <c r="EX288" s="4"/>
      <c r="EY288" s="4"/>
      <c r="EZ288" s="4"/>
      <c r="FA288" s="4"/>
      <c r="FB288" s="4"/>
      <c r="FC288" s="4"/>
      <c r="FD288" s="4"/>
      <c r="FE288" s="4"/>
      <c r="FF288" s="4"/>
    </row>
    <row r="289" spans="1:162" x14ac:dyDescent="0.2">
      <c r="A289" s="2"/>
      <c r="B289" s="2"/>
      <c r="C289" s="2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4"/>
      <c r="Y289" s="4"/>
      <c r="Z289" s="4"/>
      <c r="AA289" s="4"/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4"/>
      <c r="AM289" s="4"/>
      <c r="AN289" s="4"/>
      <c r="AO289" s="4"/>
      <c r="AP289" s="4"/>
      <c r="AQ289" s="4"/>
      <c r="AR289" s="4"/>
      <c r="AS289" s="4"/>
      <c r="AT289" s="4"/>
      <c r="AU289" s="4"/>
      <c r="AV289" s="4"/>
      <c r="AW289" s="4"/>
      <c r="AX289" s="4"/>
      <c r="AY289" s="4"/>
      <c r="AZ289" s="4"/>
      <c r="BA289" s="4"/>
      <c r="BB289" s="4"/>
      <c r="BC289" s="4"/>
      <c r="BD289" s="4"/>
      <c r="BE289" s="4"/>
      <c r="BF289" s="4"/>
      <c r="BG289" s="4"/>
      <c r="BH289" s="4"/>
      <c r="BI289" s="4"/>
      <c r="BJ289" s="4"/>
      <c r="BK289" s="4"/>
      <c r="BL289" s="4"/>
      <c r="BM289" s="4"/>
      <c r="BN289" s="4"/>
      <c r="BO289" s="4"/>
      <c r="BP289" s="4"/>
      <c r="BQ289" s="4"/>
      <c r="BR289" s="4"/>
      <c r="BS289" s="4"/>
      <c r="BT289" s="4"/>
      <c r="BU289" s="4"/>
      <c r="BV289" s="4"/>
      <c r="BW289" s="4"/>
      <c r="BX289" s="4"/>
      <c r="BY289" s="4"/>
      <c r="BZ289" s="4"/>
      <c r="CA289" s="4"/>
      <c r="CB289" s="4"/>
      <c r="CC289" s="4"/>
      <c r="CD289" s="4"/>
      <c r="CE289" s="4"/>
      <c r="CF289" s="4"/>
      <c r="CG289" s="4"/>
      <c r="CH289" s="4"/>
      <c r="CI289" s="4"/>
      <c r="CJ289" s="4"/>
      <c r="CK289" s="4"/>
      <c r="CL289" s="4"/>
      <c r="CM289" s="4"/>
      <c r="CN289" s="4"/>
      <c r="CO289" s="4"/>
      <c r="CP289" s="4"/>
      <c r="CQ289" s="4"/>
      <c r="CR289" s="4"/>
      <c r="CS289" s="4"/>
      <c r="CT289" s="4"/>
      <c r="CU289" s="4"/>
      <c r="CV289" s="4"/>
      <c r="CW289" s="4"/>
      <c r="CX289" s="4"/>
      <c r="CY289" s="4"/>
      <c r="CZ289" s="4"/>
      <c r="DA289" s="4"/>
      <c r="DB289" s="4"/>
      <c r="DC289" s="4"/>
      <c r="DD289" s="4"/>
      <c r="DE289" s="4"/>
      <c r="DF289" s="4"/>
      <c r="DG289" s="4"/>
      <c r="DH289" s="4"/>
      <c r="DI289" s="4"/>
      <c r="DJ289" s="4"/>
      <c r="DK289" s="4"/>
      <c r="DL289" s="4"/>
      <c r="DM289" s="4"/>
      <c r="DN289" s="4"/>
      <c r="DO289" s="4"/>
      <c r="DP289" s="4"/>
      <c r="DQ289" s="4"/>
      <c r="DR289" s="4"/>
      <c r="DS289" s="4"/>
      <c r="DT289" s="4"/>
      <c r="DU289" s="4"/>
      <c r="DV289" s="4"/>
      <c r="DW289" s="4"/>
      <c r="DX289" s="4"/>
      <c r="DY289" s="4"/>
      <c r="DZ289" s="4"/>
      <c r="EA289" s="4"/>
      <c r="EB289" s="4"/>
      <c r="EC289" s="4"/>
      <c r="ED289" s="4"/>
      <c r="EE289" s="4"/>
      <c r="EF289" s="4"/>
      <c r="EG289" s="4"/>
      <c r="EH289" s="4"/>
      <c r="EI289" s="4"/>
      <c r="EJ289" s="4"/>
      <c r="EK289" s="4"/>
      <c r="EL289" s="4"/>
      <c r="EM289" s="4"/>
      <c r="EN289" s="4"/>
      <c r="EO289" s="4"/>
      <c r="EP289" s="4"/>
      <c r="EQ289" s="4"/>
      <c r="ER289" s="4"/>
      <c r="ES289" s="4"/>
      <c r="ET289" s="4"/>
      <c r="EU289" s="4"/>
      <c r="EV289" s="4"/>
      <c r="EW289" s="4"/>
      <c r="EX289" s="4"/>
      <c r="EY289" s="4"/>
      <c r="EZ289" s="4"/>
      <c r="FA289" s="4"/>
      <c r="FB289" s="4"/>
      <c r="FC289" s="4"/>
      <c r="FD289" s="4"/>
      <c r="FE289" s="4"/>
      <c r="FF289" s="4"/>
    </row>
    <row r="290" spans="1:162" x14ac:dyDescent="0.2">
      <c r="A290" s="2"/>
      <c r="B290" s="2"/>
      <c r="C290" s="2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/>
      <c r="AN290" s="4"/>
      <c r="AO290" s="4"/>
      <c r="AP290" s="4"/>
      <c r="AQ290" s="4"/>
      <c r="AR290" s="4"/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/>
      <c r="BE290" s="4"/>
      <c r="BF290" s="4"/>
      <c r="BG290" s="4"/>
      <c r="BH290" s="4"/>
      <c r="BI290" s="4"/>
      <c r="BJ290" s="4"/>
      <c r="BK290" s="4"/>
      <c r="BL290" s="4"/>
      <c r="BM290" s="4"/>
      <c r="BN290" s="4"/>
      <c r="BO290" s="4"/>
      <c r="BP290" s="4"/>
      <c r="BQ290" s="4"/>
      <c r="BR290" s="4"/>
      <c r="BS290" s="4"/>
      <c r="BT290" s="4"/>
      <c r="BU290" s="4"/>
      <c r="BV290" s="4"/>
      <c r="BW290" s="4"/>
      <c r="BX290" s="4"/>
      <c r="BY290" s="4"/>
      <c r="BZ290" s="4"/>
      <c r="CA290" s="4"/>
      <c r="CB290" s="4"/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/>
      <c r="CP290" s="4"/>
      <c r="CQ290" s="4"/>
      <c r="CR290" s="4"/>
      <c r="CS290" s="4"/>
      <c r="CT290" s="4"/>
      <c r="CU290" s="4"/>
      <c r="CV290" s="4"/>
      <c r="CW290" s="4"/>
      <c r="CX290" s="4"/>
      <c r="CY290" s="4"/>
      <c r="CZ290" s="4"/>
      <c r="DA290" s="4"/>
      <c r="DB290" s="4"/>
      <c r="DC290" s="4"/>
      <c r="DD290" s="4"/>
      <c r="DE290" s="4"/>
      <c r="DF290" s="4"/>
      <c r="DG290" s="4"/>
      <c r="DH290" s="4"/>
      <c r="DI290" s="4"/>
      <c r="DJ290" s="4"/>
      <c r="DK290" s="4"/>
      <c r="DL290" s="4"/>
      <c r="DM290" s="4"/>
      <c r="DN290" s="4"/>
      <c r="DO290" s="4"/>
      <c r="DP290" s="4"/>
      <c r="DQ290" s="4"/>
      <c r="DR290" s="4"/>
      <c r="DS290" s="4"/>
      <c r="DT290" s="4"/>
      <c r="DU290" s="4"/>
      <c r="DV290" s="4"/>
      <c r="DW290" s="4"/>
      <c r="DX290" s="4"/>
      <c r="DY290" s="4"/>
      <c r="DZ290" s="4"/>
      <c r="EA290" s="4"/>
      <c r="EB290" s="4"/>
      <c r="EC290" s="4"/>
      <c r="ED290" s="4"/>
      <c r="EE290" s="4"/>
      <c r="EF290" s="4"/>
      <c r="EG290" s="4"/>
      <c r="EH290" s="4"/>
      <c r="EI290" s="4"/>
      <c r="EJ290" s="4"/>
      <c r="EK290" s="4"/>
      <c r="EL290" s="4"/>
      <c r="EM290" s="4"/>
      <c r="EN290" s="4"/>
      <c r="EO290" s="4"/>
      <c r="EP290" s="4"/>
      <c r="EQ290" s="4"/>
      <c r="ER290" s="4"/>
      <c r="ES290" s="4"/>
      <c r="ET290" s="4"/>
      <c r="EU290" s="4"/>
      <c r="EV290" s="4"/>
      <c r="EW290" s="4"/>
      <c r="EX290" s="4"/>
      <c r="EY290" s="4"/>
      <c r="EZ290" s="4"/>
      <c r="FA290" s="4"/>
      <c r="FB290" s="4"/>
      <c r="FC290" s="4"/>
      <c r="FD290" s="4"/>
      <c r="FE290" s="4"/>
      <c r="FF290" s="4"/>
    </row>
    <row r="291" spans="1:162" x14ac:dyDescent="0.2">
      <c r="A291" s="2"/>
      <c r="B291" s="2"/>
      <c r="C291" s="2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4"/>
      <c r="Y291" s="4"/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4"/>
      <c r="AM291" s="4"/>
      <c r="AN291" s="4"/>
      <c r="AO291" s="4"/>
      <c r="AP291" s="4"/>
      <c r="AQ291" s="4"/>
      <c r="AR291" s="4"/>
      <c r="AS291" s="4"/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/>
      <c r="BE291" s="4"/>
      <c r="BF291" s="4"/>
      <c r="BG291" s="4"/>
      <c r="BH291" s="4"/>
      <c r="BI291" s="4"/>
      <c r="BJ291" s="4"/>
      <c r="BK291" s="4"/>
      <c r="BL291" s="4"/>
      <c r="BM291" s="4"/>
      <c r="BN291" s="4"/>
      <c r="BO291" s="4"/>
      <c r="BP291" s="4"/>
      <c r="BQ291" s="4"/>
      <c r="BR291" s="4"/>
      <c r="BS291" s="4"/>
      <c r="BT291" s="4"/>
      <c r="BU291" s="4"/>
      <c r="BV291" s="4"/>
      <c r="BW291" s="4"/>
      <c r="BX291" s="4"/>
      <c r="BY291" s="4"/>
      <c r="BZ291" s="4"/>
      <c r="CA291" s="4"/>
      <c r="CB291" s="4"/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/>
      <c r="CN291" s="4"/>
      <c r="CO291" s="4"/>
      <c r="CP291" s="4"/>
      <c r="CQ291" s="4"/>
      <c r="CR291" s="4"/>
      <c r="CS291" s="4"/>
      <c r="CT291" s="4"/>
      <c r="CU291" s="4"/>
      <c r="CV291" s="4"/>
      <c r="CW291" s="4"/>
      <c r="CX291" s="4"/>
      <c r="CY291" s="4"/>
      <c r="CZ291" s="4"/>
      <c r="DA291" s="4"/>
      <c r="DB291" s="4"/>
      <c r="DC291" s="4"/>
      <c r="DD291" s="4"/>
      <c r="DE291" s="4"/>
      <c r="DF291" s="4"/>
      <c r="DG291" s="4"/>
      <c r="DH291" s="4"/>
      <c r="DI291" s="4"/>
      <c r="DJ291" s="4"/>
      <c r="DK291" s="4"/>
      <c r="DL291" s="4"/>
      <c r="DM291" s="4"/>
      <c r="DN291" s="4"/>
      <c r="DO291" s="4"/>
      <c r="DP291" s="4"/>
      <c r="DQ291" s="4"/>
      <c r="DR291" s="4"/>
      <c r="DS291" s="4"/>
      <c r="DT291" s="4"/>
      <c r="DU291" s="4"/>
      <c r="DV291" s="4"/>
      <c r="DW291" s="4"/>
      <c r="DX291" s="4"/>
      <c r="DY291" s="4"/>
      <c r="DZ291" s="4"/>
      <c r="EA291" s="4"/>
      <c r="EB291" s="4"/>
      <c r="EC291" s="4"/>
      <c r="ED291" s="4"/>
      <c r="EE291" s="4"/>
      <c r="EF291" s="4"/>
      <c r="EG291" s="4"/>
      <c r="EH291" s="4"/>
      <c r="EI291" s="4"/>
      <c r="EJ291" s="4"/>
      <c r="EK291" s="4"/>
      <c r="EL291" s="4"/>
      <c r="EM291" s="4"/>
      <c r="EN291" s="4"/>
      <c r="EO291" s="4"/>
      <c r="EP291" s="4"/>
      <c r="EQ291" s="4"/>
      <c r="ER291" s="4"/>
      <c r="ES291" s="4"/>
      <c r="ET291" s="4"/>
      <c r="EU291" s="4"/>
      <c r="EV291" s="4"/>
      <c r="EW291" s="4"/>
      <c r="EX291" s="4"/>
      <c r="EY291" s="4"/>
      <c r="EZ291" s="4"/>
      <c r="FA291" s="4"/>
      <c r="FB291" s="4"/>
      <c r="FC291" s="4"/>
      <c r="FD291" s="4"/>
      <c r="FE291" s="4"/>
      <c r="FF291" s="4"/>
    </row>
    <row r="292" spans="1:162" x14ac:dyDescent="0.2">
      <c r="A292" s="2"/>
      <c r="B292" s="2"/>
      <c r="C292" s="2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/>
      <c r="AM292" s="4"/>
      <c r="AN292" s="4"/>
      <c r="AO292" s="4"/>
      <c r="AP292" s="4"/>
      <c r="AQ292" s="4"/>
      <c r="AR292" s="4"/>
      <c r="AS292" s="4"/>
      <c r="AT292" s="4"/>
      <c r="AU292" s="4"/>
      <c r="AV292" s="4"/>
      <c r="AW292" s="4"/>
      <c r="AX292" s="4"/>
      <c r="AY292" s="4"/>
      <c r="AZ292" s="4"/>
      <c r="BA292" s="4"/>
      <c r="BB292" s="4"/>
      <c r="BC292" s="4"/>
      <c r="BD292" s="4"/>
      <c r="BE292" s="4"/>
      <c r="BF292" s="4"/>
      <c r="BG292" s="4"/>
      <c r="BH292" s="4"/>
      <c r="BI292" s="4"/>
      <c r="BJ292" s="4"/>
      <c r="BK292" s="4"/>
      <c r="BL292" s="4"/>
      <c r="BM292" s="4"/>
      <c r="BN292" s="4"/>
      <c r="BO292" s="4"/>
      <c r="BP292" s="4"/>
      <c r="BQ292" s="4"/>
      <c r="BR292" s="4"/>
      <c r="BS292" s="4"/>
      <c r="BT292" s="4"/>
      <c r="BU292" s="4"/>
      <c r="BV292" s="4"/>
      <c r="BW292" s="4"/>
      <c r="BX292" s="4"/>
      <c r="BY292" s="4"/>
      <c r="BZ292" s="4"/>
      <c r="CA292" s="4"/>
      <c r="CB292" s="4"/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  <c r="CS292" s="4"/>
      <c r="CT292" s="4"/>
      <c r="CU292" s="4"/>
      <c r="CV292" s="4"/>
      <c r="CW292" s="4"/>
      <c r="CX292" s="4"/>
      <c r="CY292" s="4"/>
      <c r="CZ292" s="4"/>
      <c r="DA292" s="4"/>
      <c r="DB292" s="4"/>
      <c r="DC292" s="4"/>
      <c r="DD292" s="4"/>
      <c r="DE292" s="4"/>
      <c r="DF292" s="4"/>
      <c r="DG292" s="4"/>
      <c r="DH292" s="4"/>
      <c r="DI292" s="4"/>
      <c r="DJ292" s="4"/>
      <c r="DK292" s="4"/>
      <c r="DL292" s="4"/>
      <c r="DM292" s="4"/>
      <c r="DN292" s="4"/>
      <c r="DO292" s="4"/>
      <c r="DP292" s="4"/>
      <c r="DQ292" s="4"/>
      <c r="DR292" s="4"/>
      <c r="DS292" s="4"/>
      <c r="DT292" s="4"/>
      <c r="DU292" s="4"/>
      <c r="DV292" s="4"/>
      <c r="DW292" s="4"/>
      <c r="DX292" s="4"/>
      <c r="DY292" s="4"/>
      <c r="DZ292" s="4"/>
      <c r="EA292" s="4"/>
      <c r="EB292" s="4"/>
      <c r="EC292" s="4"/>
      <c r="ED292" s="4"/>
      <c r="EE292" s="4"/>
      <c r="EF292" s="4"/>
      <c r="EG292" s="4"/>
      <c r="EH292" s="4"/>
      <c r="EI292" s="4"/>
      <c r="EJ292" s="4"/>
      <c r="EK292" s="4"/>
      <c r="EL292" s="4"/>
      <c r="EM292" s="4"/>
      <c r="EN292" s="4"/>
      <c r="EO292" s="4"/>
      <c r="EP292" s="4"/>
      <c r="EQ292" s="4"/>
      <c r="ER292" s="4"/>
      <c r="ES292" s="4"/>
      <c r="ET292" s="4"/>
      <c r="EU292" s="4"/>
      <c r="EV292" s="4"/>
      <c r="EW292" s="4"/>
      <c r="EX292" s="4"/>
      <c r="EY292" s="4"/>
      <c r="EZ292" s="4"/>
      <c r="FA292" s="4"/>
      <c r="FB292" s="4"/>
      <c r="FC292" s="4"/>
      <c r="FD292" s="4"/>
      <c r="FE292" s="4"/>
      <c r="FF292" s="4"/>
    </row>
    <row r="293" spans="1:162" x14ac:dyDescent="0.2">
      <c r="A293" s="2"/>
      <c r="B293" s="2"/>
      <c r="C293" s="2"/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/>
      <c r="AM293" s="4"/>
      <c r="AN293" s="4"/>
      <c r="AO293" s="4"/>
      <c r="AP293" s="4"/>
      <c r="AQ293" s="4"/>
      <c r="AR293" s="4"/>
      <c r="AS293" s="4"/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/>
      <c r="BE293" s="4"/>
      <c r="BF293" s="4"/>
      <c r="BG293" s="4"/>
      <c r="BH293" s="4"/>
      <c r="BI293" s="4"/>
      <c r="BJ293" s="4"/>
      <c r="BK293" s="4"/>
      <c r="BL293" s="4"/>
      <c r="BM293" s="4"/>
      <c r="BN293" s="4"/>
      <c r="BO293" s="4"/>
      <c r="BP293" s="4"/>
      <c r="BQ293" s="4"/>
      <c r="BR293" s="4"/>
      <c r="BS293" s="4"/>
      <c r="BT293" s="4"/>
      <c r="BU293" s="4"/>
      <c r="BV293" s="4"/>
      <c r="BW293" s="4"/>
      <c r="BX293" s="4"/>
      <c r="BY293" s="4"/>
      <c r="BZ293" s="4"/>
      <c r="CA293" s="4"/>
      <c r="CB293" s="4"/>
      <c r="CC293" s="4"/>
      <c r="CD293" s="4"/>
      <c r="CE293" s="4"/>
      <c r="CF293" s="4"/>
      <c r="CG293" s="4"/>
      <c r="CH293" s="4"/>
      <c r="CI293" s="4"/>
      <c r="CJ293" s="4"/>
      <c r="CK293" s="4"/>
      <c r="CL293" s="4"/>
      <c r="CM293" s="4"/>
      <c r="CN293" s="4"/>
      <c r="CO293" s="4"/>
      <c r="CP293" s="4"/>
      <c r="CQ293" s="4"/>
      <c r="CR293" s="4"/>
      <c r="CS293" s="4"/>
      <c r="CT293" s="4"/>
      <c r="CU293" s="4"/>
      <c r="CV293" s="4"/>
      <c r="CW293" s="4"/>
      <c r="CX293" s="4"/>
      <c r="CY293" s="4"/>
      <c r="CZ293" s="4"/>
      <c r="DA293" s="4"/>
      <c r="DB293" s="4"/>
      <c r="DC293" s="4"/>
      <c r="DD293" s="4"/>
      <c r="DE293" s="4"/>
      <c r="DF293" s="4"/>
      <c r="DG293" s="4"/>
      <c r="DH293" s="4"/>
      <c r="DI293" s="4"/>
      <c r="DJ293" s="4"/>
      <c r="DK293" s="4"/>
      <c r="DL293" s="4"/>
      <c r="DM293" s="4"/>
      <c r="DN293" s="4"/>
      <c r="DO293" s="4"/>
      <c r="DP293" s="4"/>
      <c r="DQ293" s="4"/>
      <c r="DR293" s="4"/>
      <c r="DS293" s="4"/>
      <c r="DT293" s="4"/>
      <c r="DU293" s="4"/>
      <c r="DV293" s="4"/>
      <c r="DW293" s="4"/>
      <c r="DX293" s="4"/>
      <c r="DY293" s="4"/>
      <c r="DZ293" s="4"/>
      <c r="EA293" s="4"/>
      <c r="EB293" s="4"/>
      <c r="EC293" s="4"/>
      <c r="ED293" s="4"/>
      <c r="EE293" s="4"/>
      <c r="EF293" s="4"/>
      <c r="EG293" s="4"/>
      <c r="EH293" s="4"/>
      <c r="EI293" s="4"/>
      <c r="EJ293" s="4"/>
      <c r="EK293" s="4"/>
      <c r="EL293" s="4"/>
      <c r="EM293" s="4"/>
      <c r="EN293" s="4"/>
      <c r="EO293" s="4"/>
      <c r="EP293" s="4"/>
      <c r="EQ293" s="4"/>
      <c r="ER293" s="4"/>
      <c r="ES293" s="4"/>
      <c r="ET293" s="4"/>
      <c r="EU293" s="4"/>
      <c r="EV293" s="4"/>
      <c r="EW293" s="4"/>
      <c r="EX293" s="4"/>
      <c r="EY293" s="4"/>
      <c r="EZ293" s="4"/>
      <c r="FA293" s="4"/>
      <c r="FB293" s="4"/>
      <c r="FC293" s="4"/>
      <c r="FD293" s="4"/>
      <c r="FE293" s="4"/>
      <c r="FF293" s="4"/>
    </row>
    <row r="294" spans="1:162" x14ac:dyDescent="0.2">
      <c r="A294" s="2"/>
      <c r="B294" s="2"/>
      <c r="C294" s="2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/>
      <c r="AN294" s="4"/>
      <c r="AO294" s="4"/>
      <c r="AP294" s="4"/>
      <c r="AQ294" s="4"/>
      <c r="AR294" s="4"/>
      <c r="AS294" s="4"/>
      <c r="AT294" s="4"/>
      <c r="AU294" s="4"/>
      <c r="AV294" s="4"/>
      <c r="AW294" s="4"/>
      <c r="AX294" s="4"/>
      <c r="AY294" s="4"/>
      <c r="AZ294" s="4"/>
      <c r="BA294" s="4"/>
      <c r="BB294" s="4"/>
      <c r="BC294" s="4"/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/>
      <c r="BP294" s="4"/>
      <c r="BQ294" s="4"/>
      <c r="BR294" s="4"/>
      <c r="BS294" s="4"/>
      <c r="BT294" s="4"/>
      <c r="BU294" s="4"/>
      <c r="BV294" s="4"/>
      <c r="BW294" s="4"/>
      <c r="BX294" s="4"/>
      <c r="BY294" s="4"/>
      <c r="BZ294" s="4"/>
      <c r="CA294" s="4"/>
      <c r="CB294" s="4"/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/>
      <c r="CP294" s="4"/>
      <c r="CQ294" s="4"/>
      <c r="CR294" s="4"/>
      <c r="CS294" s="4"/>
      <c r="CT294" s="4"/>
      <c r="CU294" s="4"/>
      <c r="CV294" s="4"/>
      <c r="CW294" s="4"/>
      <c r="CX294" s="4"/>
      <c r="CY294" s="4"/>
      <c r="CZ294" s="4"/>
      <c r="DA294" s="4"/>
      <c r="DB294" s="4"/>
      <c r="DC294" s="4"/>
      <c r="DD294" s="4"/>
      <c r="DE294" s="4"/>
      <c r="DF294" s="4"/>
      <c r="DG294" s="4"/>
      <c r="DH294" s="4"/>
      <c r="DI294" s="4"/>
      <c r="DJ294" s="4"/>
      <c r="DK294" s="4"/>
      <c r="DL294" s="4"/>
      <c r="DM294" s="4"/>
      <c r="DN294" s="4"/>
      <c r="DO294" s="4"/>
      <c r="DP294" s="4"/>
      <c r="DQ294" s="4"/>
      <c r="DR294" s="4"/>
      <c r="DS294" s="4"/>
      <c r="DT294" s="4"/>
      <c r="DU294" s="4"/>
      <c r="DV294" s="4"/>
      <c r="DW294" s="4"/>
      <c r="DX294" s="4"/>
      <c r="DY294" s="4"/>
      <c r="DZ294" s="4"/>
      <c r="EA294" s="4"/>
      <c r="EB294" s="4"/>
      <c r="EC294" s="4"/>
      <c r="ED294" s="4"/>
      <c r="EE294" s="4"/>
      <c r="EF294" s="4"/>
      <c r="EG294" s="4"/>
      <c r="EH294" s="4"/>
      <c r="EI294" s="4"/>
      <c r="EJ294" s="4"/>
      <c r="EK294" s="4"/>
      <c r="EL294" s="4"/>
      <c r="EM294" s="4"/>
      <c r="EN294" s="4"/>
      <c r="EO294" s="4"/>
      <c r="EP294" s="4"/>
      <c r="EQ294" s="4"/>
      <c r="ER294" s="4"/>
      <c r="ES294" s="4"/>
      <c r="ET294" s="4"/>
      <c r="EU294" s="4"/>
      <c r="EV294" s="4"/>
      <c r="EW294" s="4"/>
      <c r="EX294" s="4"/>
      <c r="EY294" s="4"/>
      <c r="EZ294" s="4"/>
      <c r="FA294" s="4"/>
      <c r="FB294" s="4"/>
      <c r="FC294" s="4"/>
      <c r="FD294" s="4"/>
      <c r="FE294" s="4"/>
      <c r="FF294" s="4"/>
    </row>
    <row r="295" spans="1:162" x14ac:dyDescent="0.2">
      <c r="A295" s="2"/>
      <c r="B295" s="2"/>
      <c r="C295" s="2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4"/>
      <c r="AM295" s="4"/>
      <c r="AN295" s="4"/>
      <c r="AO295" s="4"/>
      <c r="AP295" s="4"/>
      <c r="AQ295" s="4"/>
      <c r="AR295" s="4"/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/>
      <c r="BE295" s="4"/>
      <c r="BF295" s="4"/>
      <c r="BG295" s="4"/>
      <c r="BH295" s="4"/>
      <c r="BI295" s="4"/>
      <c r="BJ295" s="4"/>
      <c r="BK295" s="4"/>
      <c r="BL295" s="4"/>
      <c r="BM295" s="4"/>
      <c r="BN295" s="4"/>
      <c r="BO295" s="4"/>
      <c r="BP295" s="4"/>
      <c r="BQ295" s="4"/>
      <c r="BR295" s="4"/>
      <c r="BS295" s="4"/>
      <c r="BT295" s="4"/>
      <c r="BU295" s="4"/>
      <c r="BV295" s="4"/>
      <c r="BW295" s="4"/>
      <c r="BX295" s="4"/>
      <c r="BY295" s="4"/>
      <c r="BZ295" s="4"/>
      <c r="CA295" s="4"/>
      <c r="CB295" s="4"/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/>
      <c r="CP295" s="4"/>
      <c r="CQ295" s="4"/>
      <c r="CR295" s="4"/>
      <c r="CS295" s="4"/>
      <c r="CT295" s="4"/>
      <c r="CU295" s="4"/>
      <c r="CV295" s="4"/>
      <c r="CW295" s="4"/>
      <c r="CX295" s="4"/>
      <c r="CY295" s="4"/>
      <c r="CZ295" s="4"/>
      <c r="DA295" s="4"/>
      <c r="DB295" s="4"/>
      <c r="DC295" s="4"/>
      <c r="DD295" s="4"/>
      <c r="DE295" s="4"/>
      <c r="DF295" s="4"/>
      <c r="DG295" s="4"/>
      <c r="DH295" s="4"/>
      <c r="DI295" s="4"/>
      <c r="DJ295" s="4"/>
      <c r="DK295" s="4"/>
      <c r="DL295" s="4"/>
      <c r="DM295" s="4"/>
      <c r="DN295" s="4"/>
      <c r="DO295" s="4"/>
      <c r="DP295" s="4"/>
      <c r="DQ295" s="4"/>
      <c r="DR295" s="4"/>
      <c r="DS295" s="4"/>
      <c r="DT295" s="4"/>
      <c r="DU295" s="4"/>
      <c r="DV295" s="4"/>
      <c r="DW295" s="4"/>
      <c r="DX295" s="4"/>
      <c r="DY295" s="4"/>
      <c r="DZ295" s="4"/>
      <c r="EA295" s="4"/>
      <c r="EB295" s="4"/>
      <c r="EC295" s="4"/>
      <c r="ED295" s="4"/>
      <c r="EE295" s="4"/>
      <c r="EF295" s="4"/>
      <c r="EG295" s="4"/>
      <c r="EH295" s="4"/>
      <c r="EI295" s="4"/>
      <c r="EJ295" s="4"/>
      <c r="EK295" s="4"/>
      <c r="EL295" s="4"/>
      <c r="EM295" s="4"/>
      <c r="EN295" s="4"/>
      <c r="EO295" s="4"/>
      <c r="EP295" s="4"/>
      <c r="EQ295" s="4"/>
      <c r="ER295" s="4"/>
      <c r="ES295" s="4"/>
      <c r="ET295" s="4"/>
      <c r="EU295" s="4"/>
      <c r="EV295" s="4"/>
      <c r="EW295" s="4"/>
      <c r="EX295" s="4"/>
      <c r="EY295" s="4"/>
      <c r="EZ295" s="4"/>
      <c r="FA295" s="4"/>
      <c r="FB295" s="4"/>
      <c r="FC295" s="4"/>
      <c r="FD295" s="4"/>
      <c r="FE295" s="4"/>
      <c r="FF295" s="4"/>
    </row>
    <row r="296" spans="1:162" x14ac:dyDescent="0.2">
      <c r="A296" s="2"/>
      <c r="B296" s="2"/>
      <c r="C296" s="2"/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4"/>
      <c r="AM296" s="4"/>
      <c r="AN296" s="4"/>
      <c r="AO296" s="4"/>
      <c r="AP296" s="4"/>
      <c r="AQ296" s="4"/>
      <c r="AR296" s="4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/>
      <c r="BP296" s="4"/>
      <c r="BQ296" s="4"/>
      <c r="BR296" s="4"/>
      <c r="BS296" s="4"/>
      <c r="BT296" s="4"/>
      <c r="BU296" s="4"/>
      <c r="BV296" s="4"/>
      <c r="BW296" s="4"/>
      <c r="BX296" s="4"/>
      <c r="BY296" s="4"/>
      <c r="BZ296" s="4"/>
      <c r="CA296" s="4"/>
      <c r="CB296" s="4"/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/>
      <c r="CP296" s="4"/>
      <c r="CQ296" s="4"/>
      <c r="CR296" s="4"/>
      <c r="CS296" s="4"/>
      <c r="CT296" s="4"/>
      <c r="CU296" s="4"/>
      <c r="CV296" s="4"/>
      <c r="CW296" s="4"/>
      <c r="CX296" s="4"/>
      <c r="CY296" s="4"/>
      <c r="CZ296" s="4"/>
      <c r="DA296" s="4"/>
      <c r="DB296" s="4"/>
      <c r="DC296" s="4"/>
      <c r="DD296" s="4"/>
      <c r="DE296" s="4"/>
      <c r="DF296" s="4"/>
      <c r="DG296" s="4"/>
      <c r="DH296" s="4"/>
      <c r="DI296" s="4"/>
      <c r="DJ296" s="4"/>
      <c r="DK296" s="4"/>
      <c r="DL296" s="4"/>
      <c r="DM296" s="4"/>
      <c r="DN296" s="4"/>
      <c r="DO296" s="4"/>
      <c r="DP296" s="4"/>
      <c r="DQ296" s="4"/>
      <c r="DR296" s="4"/>
      <c r="DS296" s="4"/>
      <c r="DT296" s="4"/>
      <c r="DU296" s="4"/>
      <c r="DV296" s="4"/>
      <c r="DW296" s="4"/>
      <c r="DX296" s="4"/>
      <c r="DY296" s="4"/>
      <c r="DZ296" s="4"/>
      <c r="EA296" s="4"/>
      <c r="EB296" s="4"/>
      <c r="EC296" s="4"/>
      <c r="ED296" s="4"/>
      <c r="EE296" s="4"/>
      <c r="EF296" s="4"/>
      <c r="EG296" s="4"/>
      <c r="EH296" s="4"/>
      <c r="EI296" s="4"/>
      <c r="EJ296" s="4"/>
      <c r="EK296" s="4"/>
      <c r="EL296" s="4"/>
      <c r="EM296" s="4"/>
      <c r="EN296" s="4"/>
      <c r="EO296" s="4"/>
      <c r="EP296" s="4"/>
      <c r="EQ296" s="4"/>
      <c r="ER296" s="4"/>
      <c r="ES296" s="4"/>
      <c r="ET296" s="4"/>
      <c r="EU296" s="4"/>
      <c r="EV296" s="4"/>
      <c r="EW296" s="4"/>
      <c r="EX296" s="4"/>
      <c r="EY296" s="4"/>
      <c r="EZ296" s="4"/>
      <c r="FA296" s="4"/>
      <c r="FB296" s="4"/>
      <c r="FC296" s="4"/>
      <c r="FD296" s="4"/>
      <c r="FE296" s="4"/>
      <c r="FF296" s="4"/>
    </row>
    <row r="297" spans="1:162" x14ac:dyDescent="0.2">
      <c r="A297" s="2"/>
      <c r="B297" s="2"/>
      <c r="C297" s="2"/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4"/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4"/>
      <c r="AM297" s="4"/>
      <c r="AN297" s="4"/>
      <c r="AO297" s="4"/>
      <c r="AP297" s="4"/>
      <c r="AQ297" s="4"/>
      <c r="AR297" s="4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/>
      <c r="BP297" s="4"/>
      <c r="BQ297" s="4"/>
      <c r="BR297" s="4"/>
      <c r="BS297" s="4"/>
      <c r="BT297" s="4"/>
      <c r="BU297" s="4"/>
      <c r="BV297" s="4"/>
      <c r="BW297" s="4"/>
      <c r="BX297" s="4"/>
      <c r="BY297" s="4"/>
      <c r="BZ297" s="4"/>
      <c r="CA297" s="4"/>
      <c r="CB297" s="4"/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  <c r="CS297" s="4"/>
      <c r="CT297" s="4"/>
      <c r="CU297" s="4"/>
      <c r="CV297" s="4"/>
      <c r="CW297" s="4"/>
      <c r="CX297" s="4"/>
      <c r="CY297" s="4"/>
      <c r="CZ297" s="4"/>
      <c r="DA297" s="4"/>
      <c r="DB297" s="4"/>
      <c r="DC297" s="4"/>
      <c r="DD297" s="4"/>
      <c r="DE297" s="4"/>
      <c r="DF297" s="4"/>
      <c r="DG297" s="4"/>
      <c r="DH297" s="4"/>
      <c r="DI297" s="4"/>
      <c r="DJ297" s="4"/>
      <c r="DK297" s="4"/>
      <c r="DL297" s="4"/>
      <c r="DM297" s="4"/>
      <c r="DN297" s="4"/>
      <c r="DO297" s="4"/>
      <c r="DP297" s="4"/>
      <c r="DQ297" s="4"/>
      <c r="DR297" s="4"/>
      <c r="DS297" s="4"/>
      <c r="DT297" s="4"/>
      <c r="DU297" s="4"/>
      <c r="DV297" s="4"/>
      <c r="DW297" s="4"/>
      <c r="DX297" s="4"/>
      <c r="DY297" s="4"/>
      <c r="DZ297" s="4"/>
      <c r="EA297" s="4"/>
      <c r="EB297" s="4"/>
      <c r="EC297" s="4"/>
      <c r="ED297" s="4"/>
      <c r="EE297" s="4"/>
      <c r="EF297" s="4"/>
      <c r="EG297" s="4"/>
      <c r="EH297" s="4"/>
      <c r="EI297" s="4"/>
      <c r="EJ297" s="4"/>
      <c r="EK297" s="4"/>
      <c r="EL297" s="4"/>
      <c r="EM297" s="4"/>
      <c r="EN297" s="4"/>
      <c r="EO297" s="4"/>
      <c r="EP297" s="4"/>
      <c r="EQ297" s="4"/>
      <c r="ER297" s="4"/>
      <c r="ES297" s="4"/>
      <c r="ET297" s="4"/>
      <c r="EU297" s="4"/>
      <c r="EV297" s="4"/>
      <c r="EW297" s="4"/>
      <c r="EX297" s="4"/>
      <c r="EY297" s="4"/>
      <c r="EZ297" s="4"/>
      <c r="FA297" s="4"/>
      <c r="FB297" s="4"/>
      <c r="FC297" s="4"/>
      <c r="FD297" s="4"/>
      <c r="FE297" s="4"/>
      <c r="FF297" s="4"/>
    </row>
    <row r="298" spans="1:162" x14ac:dyDescent="0.2">
      <c r="A298" s="2"/>
      <c r="B298" s="2"/>
      <c r="C298" s="2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4"/>
      <c r="AM298" s="4"/>
      <c r="AN298" s="4"/>
      <c r="AO298" s="4"/>
      <c r="AP298" s="4"/>
      <c r="AQ298" s="4"/>
      <c r="AR298" s="4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/>
      <c r="BP298" s="4"/>
      <c r="BQ298" s="4"/>
      <c r="BR298" s="4"/>
      <c r="BS298" s="4"/>
      <c r="BT298" s="4"/>
      <c r="BU298" s="4"/>
      <c r="BV298" s="4"/>
      <c r="BW298" s="4"/>
      <c r="BX298" s="4"/>
      <c r="BY298" s="4"/>
      <c r="BZ298" s="4"/>
      <c r="CA298" s="4"/>
      <c r="CB298" s="4"/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/>
      <c r="CT298" s="4"/>
      <c r="CU298" s="4"/>
      <c r="CV298" s="4"/>
      <c r="CW298" s="4"/>
      <c r="CX298" s="4"/>
      <c r="CY298" s="4"/>
      <c r="CZ298" s="4"/>
      <c r="DA298" s="4"/>
      <c r="DB298" s="4"/>
      <c r="DC298" s="4"/>
      <c r="DD298" s="4"/>
      <c r="DE298" s="4"/>
      <c r="DF298" s="4"/>
      <c r="DG298" s="4"/>
      <c r="DH298" s="4"/>
      <c r="DI298" s="4"/>
      <c r="DJ298" s="4"/>
      <c r="DK298" s="4"/>
      <c r="DL298" s="4"/>
      <c r="DM298" s="4"/>
      <c r="DN298" s="4"/>
      <c r="DO298" s="4"/>
      <c r="DP298" s="4"/>
      <c r="DQ298" s="4"/>
      <c r="DR298" s="4"/>
      <c r="DS298" s="4"/>
      <c r="DT298" s="4"/>
      <c r="DU298" s="4"/>
      <c r="DV298" s="4"/>
      <c r="DW298" s="4"/>
      <c r="DX298" s="4"/>
      <c r="DY298" s="4"/>
      <c r="DZ298" s="4"/>
      <c r="EA298" s="4"/>
      <c r="EB298" s="4"/>
      <c r="EC298" s="4"/>
      <c r="ED298" s="4"/>
      <c r="EE298" s="4"/>
      <c r="EF298" s="4"/>
      <c r="EG298" s="4"/>
      <c r="EH298" s="4"/>
      <c r="EI298" s="4"/>
      <c r="EJ298" s="4"/>
      <c r="EK298" s="4"/>
      <c r="EL298" s="4"/>
      <c r="EM298" s="4"/>
      <c r="EN298" s="4"/>
      <c r="EO298" s="4"/>
      <c r="EP298" s="4"/>
      <c r="EQ298" s="4"/>
      <c r="ER298" s="4"/>
      <c r="ES298" s="4"/>
      <c r="ET298" s="4"/>
      <c r="EU298" s="4"/>
      <c r="EV298" s="4"/>
      <c r="EW298" s="4"/>
      <c r="EX298" s="4"/>
      <c r="EY298" s="4"/>
      <c r="EZ298" s="4"/>
      <c r="FA298" s="4"/>
      <c r="FB298" s="4"/>
      <c r="FC298" s="4"/>
      <c r="FD298" s="4"/>
      <c r="FE298" s="4"/>
      <c r="FF298" s="4"/>
    </row>
    <row r="299" spans="1:162" x14ac:dyDescent="0.2">
      <c r="A299" s="2"/>
      <c r="B299" s="2"/>
      <c r="C299" s="2"/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4"/>
      <c r="AM299" s="4"/>
      <c r="AN299" s="4"/>
      <c r="AO299" s="4"/>
      <c r="AP299" s="4"/>
      <c r="AQ299" s="4"/>
      <c r="AR299" s="4"/>
      <c r="AS299" s="4"/>
      <c r="AT299" s="4"/>
      <c r="AU299" s="4"/>
      <c r="AV299" s="4"/>
      <c r="AW299" s="4"/>
      <c r="AX299" s="4"/>
      <c r="AY299" s="4"/>
      <c r="AZ299" s="4"/>
      <c r="BA299" s="4"/>
      <c r="BB299" s="4"/>
      <c r="BC299" s="4"/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4"/>
      <c r="BX299" s="4"/>
      <c r="BY299" s="4"/>
      <c r="BZ299" s="4"/>
      <c r="CA299" s="4"/>
      <c r="CB299" s="4"/>
      <c r="CC299" s="4"/>
      <c r="CD299" s="4"/>
      <c r="CE299" s="4"/>
      <c r="CF299" s="4"/>
      <c r="CG299" s="4"/>
      <c r="CH299" s="4"/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/>
      <c r="CU299" s="4"/>
      <c r="CV299" s="4"/>
      <c r="CW299" s="4"/>
      <c r="CX299" s="4"/>
      <c r="CY299" s="4"/>
      <c r="CZ299" s="4"/>
      <c r="DA299" s="4"/>
      <c r="DB299" s="4"/>
      <c r="DC299" s="4"/>
      <c r="DD299" s="4"/>
      <c r="DE299" s="4"/>
      <c r="DF299" s="4"/>
      <c r="DG299" s="4"/>
      <c r="DH299" s="4"/>
      <c r="DI299" s="4"/>
      <c r="DJ299" s="4"/>
      <c r="DK299" s="4"/>
      <c r="DL299" s="4"/>
      <c r="DM299" s="4"/>
      <c r="DN299" s="4"/>
      <c r="DO299" s="4"/>
      <c r="DP299" s="4"/>
      <c r="DQ299" s="4"/>
      <c r="DR299" s="4"/>
      <c r="DS299" s="4"/>
      <c r="DT299" s="4"/>
      <c r="DU299" s="4"/>
      <c r="DV299" s="4"/>
      <c r="DW299" s="4"/>
      <c r="DX299" s="4"/>
      <c r="DY299" s="4"/>
      <c r="DZ299" s="4"/>
      <c r="EA299" s="4"/>
      <c r="EB299" s="4"/>
      <c r="EC299" s="4"/>
      <c r="ED299" s="4"/>
      <c r="EE299" s="4"/>
      <c r="EF299" s="4"/>
      <c r="EG299" s="4"/>
      <c r="EH299" s="4"/>
      <c r="EI299" s="4"/>
      <c r="EJ299" s="4"/>
      <c r="EK299" s="4"/>
      <c r="EL299" s="4"/>
      <c r="EM299" s="4"/>
      <c r="EN299" s="4"/>
      <c r="EO299" s="4"/>
      <c r="EP299" s="4"/>
      <c r="EQ299" s="4"/>
      <c r="ER299" s="4"/>
      <c r="ES299" s="4"/>
      <c r="ET299" s="4"/>
      <c r="EU299" s="4"/>
      <c r="EV299" s="4"/>
      <c r="EW299" s="4"/>
      <c r="EX299" s="4"/>
      <c r="EY299" s="4"/>
      <c r="EZ299" s="4"/>
      <c r="FA299" s="4"/>
      <c r="FB299" s="4"/>
      <c r="FC299" s="4"/>
      <c r="FD299" s="4"/>
      <c r="FE299" s="4"/>
      <c r="FF299" s="4"/>
    </row>
    <row r="300" spans="1:162" x14ac:dyDescent="0.2">
      <c r="A300" s="2"/>
      <c r="B300" s="2"/>
      <c r="C300" s="2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/>
      <c r="AN300" s="4"/>
      <c r="AO300" s="4"/>
      <c r="AP300" s="4"/>
      <c r="AQ300" s="4"/>
      <c r="AR300" s="4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/>
      <c r="BP300" s="4"/>
      <c r="BQ300" s="4"/>
      <c r="BR300" s="4"/>
      <c r="BS300" s="4"/>
      <c r="BT300" s="4"/>
      <c r="BU300" s="4"/>
      <c r="BV300" s="4"/>
      <c r="BW300" s="4"/>
      <c r="BX300" s="4"/>
      <c r="BY300" s="4"/>
      <c r="BZ300" s="4"/>
      <c r="CA300" s="4"/>
      <c r="CB300" s="4"/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/>
      <c r="CN300" s="4"/>
      <c r="CO300" s="4"/>
      <c r="CP300" s="4"/>
      <c r="CQ300" s="4"/>
      <c r="CR300" s="4"/>
      <c r="CS300" s="4"/>
      <c r="CT300" s="4"/>
      <c r="CU300" s="4"/>
      <c r="CV300" s="4"/>
      <c r="CW300" s="4"/>
      <c r="CX300" s="4"/>
      <c r="CY300" s="4"/>
      <c r="CZ300" s="4"/>
      <c r="DA300" s="4"/>
      <c r="DB300" s="4"/>
      <c r="DC300" s="4"/>
      <c r="DD300" s="4"/>
      <c r="DE300" s="4"/>
      <c r="DF300" s="4"/>
      <c r="DG300" s="4"/>
      <c r="DH300" s="4"/>
      <c r="DI300" s="4"/>
      <c r="DJ300" s="4"/>
      <c r="DK300" s="4"/>
      <c r="DL300" s="4"/>
      <c r="DM300" s="4"/>
      <c r="DN300" s="4"/>
      <c r="DO300" s="4"/>
      <c r="DP300" s="4"/>
      <c r="DQ300" s="4"/>
      <c r="DR300" s="4"/>
      <c r="DS300" s="4"/>
      <c r="DT300" s="4"/>
      <c r="DU300" s="4"/>
      <c r="DV300" s="4"/>
      <c r="DW300" s="4"/>
      <c r="DX300" s="4"/>
      <c r="DY300" s="4"/>
      <c r="DZ300" s="4"/>
      <c r="EA300" s="4"/>
      <c r="EB300" s="4"/>
      <c r="EC300" s="4"/>
      <c r="ED300" s="4"/>
      <c r="EE300" s="4"/>
      <c r="EF300" s="4"/>
      <c r="EG300" s="4"/>
      <c r="EH300" s="4"/>
      <c r="EI300" s="4"/>
      <c r="EJ300" s="4"/>
      <c r="EK300" s="4"/>
      <c r="EL300" s="4"/>
      <c r="EM300" s="4"/>
      <c r="EN300" s="4"/>
      <c r="EO300" s="4"/>
      <c r="EP300" s="4"/>
      <c r="EQ300" s="4"/>
      <c r="ER300" s="4"/>
      <c r="ES300" s="4"/>
      <c r="ET300" s="4"/>
      <c r="EU300" s="4"/>
      <c r="EV300" s="4"/>
      <c r="EW300" s="4"/>
      <c r="EX300" s="4"/>
      <c r="EY300" s="4"/>
      <c r="EZ300" s="4"/>
      <c r="FA300" s="4"/>
      <c r="FB300" s="4"/>
      <c r="FC300" s="4"/>
      <c r="FD300" s="4"/>
      <c r="FE300" s="4"/>
      <c r="FF300" s="4"/>
    </row>
    <row r="301" spans="1:162" x14ac:dyDescent="0.2">
      <c r="A301" s="2"/>
      <c r="B301" s="2"/>
      <c r="C301" s="2"/>
      <c r="D301" s="4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4"/>
      <c r="U301" s="4"/>
      <c r="V301" s="4"/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4"/>
      <c r="AM301" s="4"/>
      <c r="AN301" s="4"/>
      <c r="AO301" s="4"/>
      <c r="AP301" s="4"/>
      <c r="AQ301" s="4"/>
      <c r="AR301" s="4"/>
      <c r="AS301" s="4"/>
      <c r="AT301" s="4"/>
      <c r="AU301" s="4"/>
      <c r="AV301" s="4"/>
      <c r="AW301" s="4"/>
      <c r="AX301" s="4"/>
      <c r="AY301" s="4"/>
      <c r="AZ301" s="4"/>
      <c r="BA301" s="4"/>
      <c r="BB301" s="4"/>
      <c r="BC301" s="4"/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4"/>
      <c r="BX301" s="4"/>
      <c r="BY301" s="4"/>
      <c r="BZ301" s="4"/>
      <c r="CA301" s="4"/>
      <c r="CB301" s="4"/>
      <c r="CC301" s="4"/>
      <c r="CD301" s="4"/>
      <c r="CE301" s="4"/>
      <c r="CF301" s="4"/>
      <c r="CG301" s="4"/>
      <c r="CH301" s="4"/>
      <c r="CI301" s="4"/>
      <c r="CJ301" s="4"/>
      <c r="CK301" s="4"/>
      <c r="CL301" s="4"/>
      <c r="CM301" s="4"/>
      <c r="CN301" s="4"/>
      <c r="CO301" s="4"/>
      <c r="CP301" s="4"/>
      <c r="CQ301" s="4"/>
      <c r="CR301" s="4"/>
      <c r="CS301" s="4"/>
      <c r="CT301" s="4"/>
      <c r="CU301" s="4"/>
      <c r="CV301" s="4"/>
      <c r="CW301" s="4"/>
      <c r="CX301" s="4"/>
      <c r="CY301" s="4"/>
      <c r="CZ301" s="4"/>
      <c r="DA301" s="4"/>
      <c r="DB301" s="4"/>
      <c r="DC301" s="4"/>
      <c r="DD301" s="4"/>
      <c r="DE301" s="4"/>
      <c r="DF301" s="4"/>
      <c r="DG301" s="4"/>
      <c r="DH301" s="4"/>
      <c r="DI301" s="4"/>
      <c r="DJ301" s="4"/>
      <c r="DK301" s="4"/>
      <c r="DL301" s="4"/>
      <c r="DM301" s="4"/>
      <c r="DN301" s="4"/>
      <c r="DO301" s="4"/>
      <c r="DP301" s="4"/>
      <c r="DQ301" s="4"/>
      <c r="DR301" s="4"/>
      <c r="DS301" s="4"/>
      <c r="DT301" s="4"/>
      <c r="DU301" s="4"/>
      <c r="DV301" s="4"/>
      <c r="DW301" s="4"/>
      <c r="DX301" s="4"/>
      <c r="DY301" s="4"/>
      <c r="DZ301" s="4"/>
      <c r="EA301" s="4"/>
      <c r="EB301" s="4"/>
      <c r="EC301" s="4"/>
      <c r="ED301" s="4"/>
      <c r="EE301" s="4"/>
      <c r="EF301" s="4"/>
      <c r="EG301" s="4"/>
      <c r="EH301" s="4"/>
      <c r="EI301" s="4"/>
      <c r="EJ301" s="4"/>
      <c r="EK301" s="4"/>
      <c r="EL301" s="4"/>
      <c r="EM301" s="4"/>
      <c r="EN301" s="4"/>
      <c r="EO301" s="4"/>
      <c r="EP301" s="4"/>
      <c r="EQ301" s="4"/>
      <c r="ER301" s="4"/>
      <c r="ES301" s="4"/>
      <c r="ET301" s="4"/>
      <c r="EU301" s="4"/>
      <c r="EV301" s="4"/>
      <c r="EW301" s="4"/>
      <c r="EX301" s="4"/>
      <c r="EY301" s="4"/>
      <c r="EZ301" s="4"/>
      <c r="FA301" s="4"/>
      <c r="FB301" s="4"/>
      <c r="FC301" s="4"/>
      <c r="FD301" s="4"/>
      <c r="FE301" s="4"/>
      <c r="FF301" s="4"/>
    </row>
    <row r="302" spans="1:162" x14ac:dyDescent="0.2">
      <c r="A302" s="2"/>
      <c r="B302" s="2"/>
      <c r="C302" s="2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/>
      <c r="AN302" s="4"/>
      <c r="AO302" s="4"/>
      <c r="AP302" s="4"/>
      <c r="AQ302" s="4"/>
      <c r="AR302" s="4"/>
      <c r="AS302" s="4"/>
      <c r="AT302" s="4"/>
      <c r="AU302" s="4"/>
      <c r="AV302" s="4"/>
      <c r="AW302" s="4"/>
      <c r="AX302" s="4"/>
      <c r="AY302" s="4"/>
      <c r="AZ302" s="4"/>
      <c r="BA302" s="4"/>
      <c r="BB302" s="4"/>
      <c r="BC302" s="4"/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/>
      <c r="BP302" s="4"/>
      <c r="BQ302" s="4"/>
      <c r="BR302" s="4"/>
      <c r="BS302" s="4"/>
      <c r="BT302" s="4"/>
      <c r="BU302" s="4"/>
      <c r="BV302" s="4"/>
      <c r="BW302" s="4"/>
      <c r="BX302" s="4"/>
      <c r="BY302" s="4"/>
      <c r="BZ302" s="4"/>
      <c r="CA302" s="4"/>
      <c r="CB302" s="4"/>
      <c r="CC302" s="4"/>
      <c r="CD302" s="4"/>
      <c r="CE302" s="4"/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/>
      <c r="CT302" s="4"/>
      <c r="CU302" s="4"/>
      <c r="CV302" s="4"/>
      <c r="CW302" s="4"/>
      <c r="CX302" s="4"/>
      <c r="CY302" s="4"/>
      <c r="CZ302" s="4"/>
      <c r="DA302" s="4"/>
      <c r="DB302" s="4"/>
      <c r="DC302" s="4"/>
      <c r="DD302" s="4"/>
      <c r="DE302" s="4"/>
      <c r="DF302" s="4"/>
      <c r="DG302" s="4"/>
      <c r="DH302" s="4"/>
      <c r="DI302" s="4"/>
      <c r="DJ302" s="4"/>
      <c r="DK302" s="4"/>
      <c r="DL302" s="4"/>
      <c r="DM302" s="4"/>
      <c r="DN302" s="4"/>
      <c r="DO302" s="4"/>
      <c r="DP302" s="4"/>
      <c r="DQ302" s="4"/>
      <c r="DR302" s="4"/>
      <c r="DS302" s="4"/>
      <c r="DT302" s="4"/>
      <c r="DU302" s="4"/>
      <c r="DV302" s="4"/>
      <c r="DW302" s="4"/>
      <c r="DX302" s="4"/>
      <c r="DY302" s="4"/>
      <c r="DZ302" s="4"/>
      <c r="EA302" s="4"/>
      <c r="EB302" s="4"/>
      <c r="EC302" s="4"/>
      <c r="ED302" s="4"/>
      <c r="EE302" s="4"/>
      <c r="EF302" s="4"/>
      <c r="EG302" s="4"/>
      <c r="EH302" s="4"/>
      <c r="EI302" s="4"/>
      <c r="EJ302" s="4"/>
      <c r="EK302" s="4"/>
      <c r="EL302" s="4"/>
      <c r="EM302" s="4"/>
      <c r="EN302" s="4"/>
      <c r="EO302" s="4"/>
      <c r="EP302" s="4"/>
      <c r="EQ302" s="4"/>
      <c r="ER302" s="4"/>
      <c r="ES302" s="4"/>
      <c r="ET302" s="4"/>
      <c r="EU302" s="4"/>
      <c r="EV302" s="4"/>
      <c r="EW302" s="4"/>
      <c r="EX302" s="4"/>
      <c r="EY302" s="4"/>
      <c r="EZ302" s="4"/>
      <c r="FA302" s="4"/>
      <c r="FB302" s="4"/>
      <c r="FC302" s="4"/>
      <c r="FD302" s="4"/>
      <c r="FE302" s="4"/>
      <c r="FF302" s="4"/>
    </row>
    <row r="303" spans="1:162" x14ac:dyDescent="0.2">
      <c r="A303" s="2"/>
      <c r="B303" s="2"/>
      <c r="C303" s="2"/>
      <c r="D303" s="4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4"/>
      <c r="S303" s="4"/>
      <c r="T303" s="4"/>
      <c r="U303" s="4"/>
      <c r="V303" s="4"/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4"/>
      <c r="AM303" s="4"/>
      <c r="AN303" s="4"/>
      <c r="AO303" s="4"/>
      <c r="AP303" s="4"/>
      <c r="AQ303" s="4"/>
      <c r="AR303" s="4"/>
      <c r="AS303" s="4"/>
      <c r="AT303" s="4"/>
      <c r="AU303" s="4"/>
      <c r="AV303" s="4"/>
      <c r="AW303" s="4"/>
      <c r="AX303" s="4"/>
      <c r="AY303" s="4"/>
      <c r="AZ303" s="4"/>
      <c r="BA303" s="4"/>
      <c r="BB303" s="4"/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4"/>
      <c r="BX303" s="4"/>
      <c r="BY303" s="4"/>
      <c r="BZ303" s="4"/>
      <c r="CA303" s="4"/>
      <c r="CB303" s="4"/>
      <c r="CC303" s="4"/>
      <c r="CD303" s="4"/>
      <c r="CE303" s="4"/>
      <c r="CF303" s="4"/>
      <c r="CG303" s="4"/>
      <c r="CH303" s="4"/>
      <c r="CI303" s="4"/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/>
      <c r="CU303" s="4"/>
      <c r="CV303" s="4"/>
      <c r="CW303" s="4"/>
      <c r="CX303" s="4"/>
      <c r="CY303" s="4"/>
      <c r="CZ303" s="4"/>
      <c r="DA303" s="4"/>
      <c r="DB303" s="4"/>
      <c r="DC303" s="4"/>
      <c r="DD303" s="4"/>
      <c r="DE303" s="4"/>
      <c r="DF303" s="4"/>
      <c r="DG303" s="4"/>
      <c r="DH303" s="4"/>
      <c r="DI303" s="4"/>
      <c r="DJ303" s="4"/>
      <c r="DK303" s="4"/>
      <c r="DL303" s="4"/>
      <c r="DM303" s="4"/>
      <c r="DN303" s="4"/>
      <c r="DO303" s="4"/>
      <c r="DP303" s="4"/>
      <c r="DQ303" s="4"/>
      <c r="DR303" s="4"/>
      <c r="DS303" s="4"/>
      <c r="DT303" s="4"/>
      <c r="DU303" s="4"/>
      <c r="DV303" s="4"/>
      <c r="DW303" s="4"/>
      <c r="DX303" s="4"/>
      <c r="DY303" s="4"/>
      <c r="DZ303" s="4"/>
      <c r="EA303" s="4"/>
      <c r="EB303" s="4"/>
      <c r="EC303" s="4"/>
      <c r="ED303" s="4"/>
      <c r="EE303" s="4"/>
      <c r="EF303" s="4"/>
      <c r="EG303" s="4"/>
      <c r="EH303" s="4"/>
      <c r="EI303" s="4"/>
      <c r="EJ303" s="4"/>
      <c r="EK303" s="4"/>
      <c r="EL303" s="4"/>
      <c r="EM303" s="4"/>
      <c r="EN303" s="4"/>
      <c r="EO303" s="4"/>
      <c r="EP303" s="4"/>
      <c r="EQ303" s="4"/>
      <c r="ER303" s="4"/>
      <c r="ES303" s="4"/>
      <c r="ET303" s="4"/>
      <c r="EU303" s="4"/>
      <c r="EV303" s="4"/>
      <c r="EW303" s="4"/>
      <c r="EX303" s="4"/>
      <c r="EY303" s="4"/>
      <c r="EZ303" s="4"/>
      <c r="FA303" s="4"/>
      <c r="FB303" s="4"/>
      <c r="FC303" s="4"/>
      <c r="FD303" s="4"/>
      <c r="FE303" s="4"/>
      <c r="FF303" s="4"/>
    </row>
    <row r="304" spans="1:162" x14ac:dyDescent="0.2">
      <c r="A304" s="2"/>
      <c r="B304" s="2"/>
      <c r="C304" s="2"/>
      <c r="D304" s="4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  <c r="AA304" s="4"/>
      <c r="AB304" s="4"/>
      <c r="AC304" s="4"/>
      <c r="AD304" s="4"/>
      <c r="AE304" s="4"/>
      <c r="AF304" s="4"/>
      <c r="AG304" s="4"/>
      <c r="AH304" s="4"/>
      <c r="AI304" s="4"/>
      <c r="AJ304" s="4"/>
      <c r="AK304" s="4"/>
      <c r="AL304" s="4"/>
      <c r="AM304" s="4"/>
      <c r="AN304" s="4"/>
      <c r="AO304" s="4"/>
      <c r="AP304" s="4"/>
      <c r="AQ304" s="4"/>
      <c r="AR304" s="4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/>
      <c r="BP304" s="4"/>
      <c r="BQ304" s="4"/>
      <c r="BR304" s="4"/>
      <c r="BS304" s="4"/>
      <c r="BT304" s="4"/>
      <c r="BU304" s="4"/>
      <c r="BV304" s="4"/>
      <c r="BW304" s="4"/>
      <c r="BX304" s="4"/>
      <c r="BY304" s="4"/>
      <c r="BZ304" s="4"/>
      <c r="CA304" s="4"/>
      <c r="CB304" s="4"/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/>
      <c r="CN304" s="4"/>
      <c r="CO304" s="4"/>
      <c r="CP304" s="4"/>
      <c r="CQ304" s="4"/>
      <c r="CR304" s="4"/>
      <c r="CS304" s="4"/>
      <c r="CT304" s="4"/>
      <c r="CU304" s="4"/>
      <c r="CV304" s="4"/>
      <c r="CW304" s="4"/>
      <c r="CX304" s="4"/>
      <c r="CY304" s="4"/>
      <c r="CZ304" s="4"/>
      <c r="DA304" s="4"/>
      <c r="DB304" s="4"/>
      <c r="DC304" s="4"/>
      <c r="DD304" s="4"/>
      <c r="DE304" s="4"/>
      <c r="DF304" s="4"/>
      <c r="DG304" s="4"/>
      <c r="DH304" s="4"/>
      <c r="DI304" s="4"/>
      <c r="DJ304" s="4"/>
      <c r="DK304" s="4"/>
      <c r="DL304" s="4"/>
      <c r="DM304" s="4"/>
      <c r="DN304" s="4"/>
      <c r="DO304" s="4"/>
      <c r="DP304" s="4"/>
      <c r="DQ304" s="4"/>
      <c r="DR304" s="4"/>
      <c r="DS304" s="4"/>
      <c r="DT304" s="4"/>
      <c r="DU304" s="4"/>
      <c r="DV304" s="4"/>
      <c r="DW304" s="4"/>
      <c r="DX304" s="4"/>
      <c r="DY304" s="4"/>
      <c r="DZ304" s="4"/>
      <c r="EA304" s="4"/>
      <c r="EB304" s="4"/>
      <c r="EC304" s="4"/>
      <c r="ED304" s="4"/>
      <c r="EE304" s="4"/>
      <c r="EF304" s="4"/>
      <c r="EG304" s="4"/>
      <c r="EH304" s="4"/>
      <c r="EI304" s="4"/>
      <c r="EJ304" s="4"/>
      <c r="EK304" s="4"/>
      <c r="EL304" s="4"/>
      <c r="EM304" s="4"/>
      <c r="EN304" s="4"/>
      <c r="EO304" s="4"/>
      <c r="EP304" s="4"/>
      <c r="EQ304" s="4"/>
      <c r="ER304" s="4"/>
      <c r="ES304" s="4"/>
      <c r="ET304" s="4"/>
      <c r="EU304" s="4"/>
      <c r="EV304" s="4"/>
      <c r="EW304" s="4"/>
      <c r="EX304" s="4"/>
      <c r="EY304" s="4"/>
      <c r="EZ304" s="4"/>
      <c r="FA304" s="4"/>
      <c r="FB304" s="4"/>
      <c r="FC304" s="4"/>
      <c r="FD304" s="4"/>
      <c r="FE304" s="4"/>
      <c r="FF304" s="4"/>
    </row>
    <row r="305" spans="1:162" x14ac:dyDescent="0.2">
      <c r="A305" s="2"/>
      <c r="B305" s="2"/>
      <c r="C305" s="2"/>
      <c r="D305" s="4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  <c r="AA305" s="4"/>
      <c r="AB305" s="4"/>
      <c r="AC305" s="4"/>
      <c r="AD305" s="4"/>
      <c r="AE305" s="4"/>
      <c r="AF305" s="4"/>
      <c r="AG305" s="4"/>
      <c r="AH305" s="4"/>
      <c r="AI305" s="4"/>
      <c r="AJ305" s="4"/>
      <c r="AK305" s="4"/>
      <c r="AL305" s="4"/>
      <c r="AM305" s="4"/>
      <c r="AN305" s="4"/>
      <c r="AO305" s="4"/>
      <c r="AP305" s="4"/>
      <c r="AQ305" s="4"/>
      <c r="AR305" s="4"/>
      <c r="AS305" s="4"/>
      <c r="AT305" s="4"/>
      <c r="AU305" s="4"/>
      <c r="AV305" s="4"/>
      <c r="AW305" s="4"/>
      <c r="AX305" s="4"/>
      <c r="AY305" s="4"/>
      <c r="AZ305" s="4"/>
      <c r="BA305" s="4"/>
      <c r="BB305" s="4"/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4"/>
      <c r="BX305" s="4"/>
      <c r="BY305" s="4"/>
      <c r="BZ305" s="4"/>
      <c r="CA305" s="4"/>
      <c r="CB305" s="4"/>
      <c r="CC305" s="4"/>
      <c r="CD305" s="4"/>
      <c r="CE305" s="4"/>
      <c r="CF305" s="4"/>
      <c r="CG305" s="4"/>
      <c r="CH305" s="4"/>
      <c r="CI305" s="4"/>
      <c r="CJ305" s="4"/>
      <c r="CK305" s="4"/>
      <c r="CL305" s="4"/>
      <c r="CM305" s="4"/>
      <c r="CN305" s="4"/>
      <c r="CO305" s="4"/>
      <c r="CP305" s="4"/>
      <c r="CQ305" s="4"/>
      <c r="CR305" s="4"/>
      <c r="CS305" s="4"/>
      <c r="CT305" s="4"/>
      <c r="CU305" s="4"/>
      <c r="CV305" s="4"/>
      <c r="CW305" s="4"/>
      <c r="CX305" s="4"/>
      <c r="CY305" s="4"/>
      <c r="CZ305" s="4"/>
      <c r="DA305" s="4"/>
      <c r="DB305" s="4"/>
      <c r="DC305" s="4"/>
      <c r="DD305" s="4"/>
      <c r="DE305" s="4"/>
      <c r="DF305" s="4"/>
      <c r="DG305" s="4"/>
      <c r="DH305" s="4"/>
      <c r="DI305" s="4"/>
      <c r="DJ305" s="4"/>
      <c r="DK305" s="4"/>
      <c r="DL305" s="4"/>
      <c r="DM305" s="4"/>
      <c r="DN305" s="4"/>
      <c r="DO305" s="4"/>
      <c r="DP305" s="4"/>
      <c r="DQ305" s="4"/>
      <c r="DR305" s="4"/>
      <c r="DS305" s="4"/>
      <c r="DT305" s="4"/>
      <c r="DU305" s="4"/>
      <c r="DV305" s="4"/>
      <c r="DW305" s="4"/>
      <c r="DX305" s="4"/>
      <c r="DY305" s="4"/>
      <c r="DZ305" s="4"/>
      <c r="EA305" s="4"/>
      <c r="EB305" s="4"/>
      <c r="EC305" s="4"/>
      <c r="ED305" s="4"/>
      <c r="EE305" s="4"/>
      <c r="EF305" s="4"/>
      <c r="EG305" s="4"/>
      <c r="EH305" s="4"/>
      <c r="EI305" s="4"/>
      <c r="EJ305" s="4"/>
      <c r="EK305" s="4"/>
      <c r="EL305" s="4"/>
      <c r="EM305" s="4"/>
      <c r="EN305" s="4"/>
      <c r="EO305" s="4"/>
      <c r="EP305" s="4"/>
      <c r="EQ305" s="4"/>
      <c r="ER305" s="4"/>
      <c r="ES305" s="4"/>
      <c r="ET305" s="4"/>
      <c r="EU305" s="4"/>
      <c r="EV305" s="4"/>
      <c r="EW305" s="4"/>
      <c r="EX305" s="4"/>
      <c r="EY305" s="4"/>
      <c r="EZ305" s="4"/>
      <c r="FA305" s="4"/>
      <c r="FB305" s="4"/>
      <c r="FC305" s="4"/>
      <c r="FD305" s="4"/>
      <c r="FE305" s="4"/>
      <c r="FF305" s="4"/>
    </row>
    <row r="306" spans="1:162" x14ac:dyDescent="0.2">
      <c r="A306" s="2"/>
      <c r="B306" s="2"/>
      <c r="C306" s="2"/>
      <c r="D306" s="4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  <c r="AA306" s="4"/>
      <c r="AB306" s="4"/>
      <c r="AC306" s="4"/>
      <c r="AD306" s="4"/>
      <c r="AE306" s="4"/>
      <c r="AF306" s="4"/>
      <c r="AG306" s="4"/>
      <c r="AH306" s="4"/>
      <c r="AI306" s="4"/>
      <c r="AJ306" s="4"/>
      <c r="AK306" s="4"/>
      <c r="AL306" s="4"/>
      <c r="AM306" s="4"/>
      <c r="AN306" s="4"/>
      <c r="AO306" s="4"/>
      <c r="AP306" s="4"/>
      <c r="AQ306" s="4"/>
      <c r="AR306" s="4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/>
      <c r="BP306" s="4"/>
      <c r="BQ306" s="4"/>
      <c r="BR306" s="4"/>
      <c r="BS306" s="4"/>
      <c r="BT306" s="4"/>
      <c r="BU306" s="4"/>
      <c r="BV306" s="4"/>
      <c r="BW306" s="4"/>
      <c r="BX306" s="4"/>
      <c r="BY306" s="4"/>
      <c r="BZ306" s="4"/>
      <c r="CA306" s="4"/>
      <c r="CB306" s="4"/>
      <c r="CC306" s="4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  <c r="CO306" s="4"/>
      <c r="CP306" s="4"/>
      <c r="CQ306" s="4"/>
      <c r="CR306" s="4"/>
      <c r="CS306" s="4"/>
      <c r="CT306" s="4"/>
      <c r="CU306" s="4"/>
      <c r="CV306" s="4"/>
      <c r="CW306" s="4"/>
      <c r="CX306" s="4"/>
      <c r="CY306" s="4"/>
      <c r="CZ306" s="4"/>
      <c r="DA306" s="4"/>
      <c r="DB306" s="4"/>
      <c r="DC306" s="4"/>
      <c r="DD306" s="4"/>
      <c r="DE306" s="4"/>
      <c r="DF306" s="4"/>
      <c r="DG306" s="4"/>
      <c r="DH306" s="4"/>
      <c r="DI306" s="4"/>
      <c r="DJ306" s="4"/>
      <c r="DK306" s="4"/>
      <c r="DL306" s="4"/>
      <c r="DM306" s="4"/>
      <c r="DN306" s="4"/>
      <c r="DO306" s="4"/>
      <c r="DP306" s="4"/>
      <c r="DQ306" s="4"/>
      <c r="DR306" s="4"/>
      <c r="DS306" s="4"/>
      <c r="DT306" s="4"/>
      <c r="DU306" s="4"/>
      <c r="DV306" s="4"/>
      <c r="DW306" s="4"/>
      <c r="DX306" s="4"/>
      <c r="DY306" s="4"/>
      <c r="DZ306" s="4"/>
      <c r="EA306" s="4"/>
      <c r="EB306" s="4"/>
      <c r="EC306" s="4"/>
      <c r="ED306" s="4"/>
      <c r="EE306" s="4"/>
      <c r="EF306" s="4"/>
      <c r="EG306" s="4"/>
      <c r="EH306" s="4"/>
      <c r="EI306" s="4"/>
      <c r="EJ306" s="4"/>
      <c r="EK306" s="4"/>
      <c r="EL306" s="4"/>
      <c r="EM306" s="4"/>
      <c r="EN306" s="4"/>
      <c r="EO306" s="4"/>
      <c r="EP306" s="4"/>
      <c r="EQ306" s="4"/>
      <c r="ER306" s="4"/>
      <c r="ES306" s="4"/>
      <c r="ET306" s="4"/>
      <c r="EU306" s="4"/>
      <c r="EV306" s="4"/>
      <c r="EW306" s="4"/>
      <c r="EX306" s="4"/>
      <c r="EY306" s="4"/>
      <c r="EZ306" s="4"/>
      <c r="FA306" s="4"/>
      <c r="FB306" s="4"/>
      <c r="FC306" s="4"/>
      <c r="FD306" s="4"/>
      <c r="FE306" s="4"/>
      <c r="FF306" s="4"/>
    </row>
    <row r="307" spans="1:162" x14ac:dyDescent="0.2">
      <c r="A307" s="2"/>
      <c r="B307" s="2"/>
      <c r="C307" s="2"/>
      <c r="D307" s="4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4"/>
      <c r="U307" s="4"/>
      <c r="V307" s="4"/>
      <c r="W307" s="4"/>
      <c r="X307" s="4"/>
      <c r="Y307" s="4"/>
      <c r="Z307" s="4"/>
      <c r="AA307" s="4"/>
      <c r="AB307" s="4"/>
      <c r="AC307" s="4"/>
      <c r="AD307" s="4"/>
      <c r="AE307" s="4"/>
      <c r="AF307" s="4"/>
      <c r="AG307" s="4"/>
      <c r="AH307" s="4"/>
      <c r="AI307" s="4"/>
      <c r="AJ307" s="4"/>
      <c r="AK307" s="4"/>
      <c r="AL307" s="4"/>
      <c r="AM307" s="4"/>
      <c r="AN307" s="4"/>
      <c r="AO307" s="4"/>
      <c r="AP307" s="4"/>
      <c r="AQ307" s="4"/>
      <c r="AR307" s="4"/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/>
      <c r="BQ307" s="4"/>
      <c r="BR307" s="4"/>
      <c r="BS307" s="4"/>
      <c r="BT307" s="4"/>
      <c r="BU307" s="4"/>
      <c r="BV307" s="4"/>
      <c r="BW307" s="4"/>
      <c r="BX307" s="4"/>
      <c r="BY307" s="4"/>
      <c r="BZ307" s="4"/>
      <c r="CA307" s="4"/>
      <c r="CB307" s="4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/>
      <c r="CU307" s="4"/>
      <c r="CV307" s="4"/>
      <c r="CW307" s="4"/>
      <c r="CX307" s="4"/>
      <c r="CY307" s="4"/>
      <c r="CZ307" s="4"/>
      <c r="DA307" s="4"/>
      <c r="DB307" s="4"/>
      <c r="DC307" s="4"/>
      <c r="DD307" s="4"/>
      <c r="DE307" s="4"/>
      <c r="DF307" s="4"/>
      <c r="DG307" s="4"/>
      <c r="DH307" s="4"/>
      <c r="DI307" s="4"/>
      <c r="DJ307" s="4"/>
      <c r="DK307" s="4"/>
      <c r="DL307" s="4"/>
      <c r="DM307" s="4"/>
      <c r="DN307" s="4"/>
      <c r="DO307" s="4"/>
      <c r="DP307" s="4"/>
      <c r="DQ307" s="4"/>
      <c r="DR307" s="4"/>
      <c r="DS307" s="4"/>
      <c r="DT307" s="4"/>
      <c r="DU307" s="4"/>
      <c r="DV307" s="4"/>
      <c r="DW307" s="4"/>
      <c r="DX307" s="4"/>
      <c r="DY307" s="4"/>
      <c r="DZ307" s="4"/>
      <c r="EA307" s="4"/>
      <c r="EB307" s="4"/>
      <c r="EC307" s="4"/>
      <c r="ED307" s="4"/>
      <c r="EE307" s="4"/>
      <c r="EF307" s="4"/>
      <c r="EG307" s="4"/>
      <c r="EH307" s="4"/>
      <c r="EI307" s="4"/>
      <c r="EJ307" s="4"/>
      <c r="EK307" s="4"/>
      <c r="EL307" s="4"/>
      <c r="EM307" s="4"/>
      <c r="EN307" s="4"/>
      <c r="EO307" s="4"/>
      <c r="EP307" s="4"/>
      <c r="EQ307" s="4"/>
      <c r="ER307" s="4"/>
      <c r="ES307" s="4"/>
      <c r="ET307" s="4"/>
      <c r="EU307" s="4"/>
      <c r="EV307" s="4"/>
      <c r="EW307" s="4"/>
      <c r="EX307" s="4"/>
      <c r="EY307" s="4"/>
      <c r="EZ307" s="4"/>
      <c r="FA307" s="4"/>
      <c r="FB307" s="4"/>
      <c r="FC307" s="4"/>
      <c r="FD307" s="4"/>
      <c r="FE307" s="4"/>
      <c r="FF307" s="4"/>
    </row>
    <row r="308" spans="1:162" x14ac:dyDescent="0.2">
      <c r="A308" s="2"/>
      <c r="B308" s="2"/>
      <c r="C308" s="2"/>
      <c r="D308" s="4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  <c r="AA308" s="4"/>
      <c r="AB308" s="4"/>
      <c r="AC308" s="4"/>
      <c r="AD308" s="4"/>
      <c r="AE308" s="4"/>
      <c r="AF308" s="4"/>
      <c r="AG308" s="4"/>
      <c r="AH308" s="4"/>
      <c r="AI308" s="4"/>
      <c r="AJ308" s="4"/>
      <c r="AK308" s="4"/>
      <c r="AL308" s="4"/>
      <c r="AM308" s="4"/>
      <c r="AN308" s="4"/>
      <c r="AO308" s="4"/>
      <c r="AP308" s="4"/>
      <c r="AQ308" s="4"/>
      <c r="AR308" s="4"/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4"/>
      <c r="BX308" s="4"/>
      <c r="BY308" s="4"/>
      <c r="BZ308" s="4"/>
      <c r="CA308" s="4"/>
      <c r="CB308" s="4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/>
      <c r="CU308" s="4"/>
      <c r="CV308" s="4"/>
      <c r="CW308" s="4"/>
      <c r="CX308" s="4"/>
      <c r="CY308" s="4"/>
      <c r="CZ308" s="4"/>
      <c r="DA308" s="4"/>
      <c r="DB308" s="4"/>
      <c r="DC308" s="4"/>
      <c r="DD308" s="4"/>
      <c r="DE308" s="4"/>
      <c r="DF308" s="4"/>
      <c r="DG308" s="4"/>
      <c r="DH308" s="4"/>
      <c r="DI308" s="4"/>
      <c r="DJ308" s="4"/>
      <c r="DK308" s="4"/>
      <c r="DL308" s="4"/>
      <c r="DM308" s="4"/>
      <c r="DN308" s="4"/>
      <c r="DO308" s="4"/>
      <c r="DP308" s="4"/>
      <c r="DQ308" s="4"/>
      <c r="DR308" s="4"/>
      <c r="DS308" s="4"/>
      <c r="DT308" s="4"/>
      <c r="DU308" s="4"/>
      <c r="DV308" s="4"/>
      <c r="DW308" s="4"/>
      <c r="DX308" s="4"/>
      <c r="DY308" s="4"/>
      <c r="DZ308" s="4"/>
      <c r="EA308" s="4"/>
      <c r="EB308" s="4"/>
      <c r="EC308" s="4"/>
      <c r="ED308" s="4"/>
      <c r="EE308" s="4"/>
      <c r="EF308" s="4"/>
      <c r="EG308" s="4"/>
      <c r="EH308" s="4"/>
      <c r="EI308" s="4"/>
      <c r="EJ308" s="4"/>
      <c r="EK308" s="4"/>
      <c r="EL308" s="4"/>
      <c r="EM308" s="4"/>
      <c r="EN308" s="4"/>
      <c r="EO308" s="4"/>
      <c r="EP308" s="4"/>
      <c r="EQ308" s="4"/>
      <c r="ER308" s="4"/>
      <c r="ES308" s="4"/>
      <c r="ET308" s="4"/>
      <c r="EU308" s="4"/>
      <c r="EV308" s="4"/>
      <c r="EW308" s="4"/>
      <c r="EX308" s="4"/>
      <c r="EY308" s="4"/>
      <c r="EZ308" s="4"/>
      <c r="FA308" s="4"/>
      <c r="FB308" s="4"/>
      <c r="FC308" s="4"/>
      <c r="FD308" s="4"/>
      <c r="FE308" s="4"/>
      <c r="FF308" s="4"/>
    </row>
    <row r="309" spans="1:162" x14ac:dyDescent="0.2">
      <c r="A309" s="2"/>
      <c r="B309" s="2"/>
      <c r="C309" s="2"/>
      <c r="D309" s="4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4"/>
      <c r="U309" s="4"/>
      <c r="V309" s="4"/>
      <c r="W309" s="4"/>
      <c r="X309" s="4"/>
      <c r="Y309" s="4"/>
      <c r="Z309" s="4"/>
      <c r="AA309" s="4"/>
      <c r="AB309" s="4"/>
      <c r="AC309" s="4"/>
      <c r="AD309" s="4"/>
      <c r="AE309" s="4"/>
      <c r="AF309" s="4"/>
      <c r="AG309" s="4"/>
      <c r="AH309" s="4"/>
      <c r="AI309" s="4"/>
      <c r="AJ309" s="4"/>
      <c r="AK309" s="4"/>
      <c r="AL309" s="4"/>
      <c r="AM309" s="4"/>
      <c r="AN309" s="4"/>
      <c r="AO309" s="4"/>
      <c r="AP309" s="4"/>
      <c r="AQ309" s="4"/>
      <c r="AR309" s="4"/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/>
      <c r="BQ309" s="4"/>
      <c r="BR309" s="4"/>
      <c r="BS309" s="4"/>
      <c r="BT309" s="4"/>
      <c r="BU309" s="4"/>
      <c r="BV309" s="4"/>
      <c r="BW309" s="4"/>
      <c r="BX309" s="4"/>
      <c r="BY309" s="4"/>
      <c r="BZ309" s="4"/>
      <c r="CA309" s="4"/>
      <c r="CB309" s="4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  <c r="CR309" s="4"/>
      <c r="CS309" s="4"/>
      <c r="CT309" s="4"/>
      <c r="CU309" s="4"/>
      <c r="CV309" s="4"/>
      <c r="CW309" s="4"/>
      <c r="CX309" s="4"/>
      <c r="CY309" s="4"/>
      <c r="CZ309" s="4"/>
      <c r="DA309" s="4"/>
      <c r="DB309" s="4"/>
      <c r="DC309" s="4"/>
      <c r="DD309" s="4"/>
      <c r="DE309" s="4"/>
      <c r="DF309" s="4"/>
      <c r="DG309" s="4"/>
      <c r="DH309" s="4"/>
      <c r="DI309" s="4"/>
      <c r="DJ309" s="4"/>
      <c r="DK309" s="4"/>
      <c r="DL309" s="4"/>
      <c r="DM309" s="4"/>
      <c r="DN309" s="4"/>
      <c r="DO309" s="4"/>
      <c r="DP309" s="4"/>
      <c r="DQ309" s="4"/>
      <c r="DR309" s="4"/>
      <c r="DS309" s="4"/>
      <c r="DT309" s="4"/>
      <c r="DU309" s="4"/>
      <c r="DV309" s="4"/>
      <c r="DW309" s="4"/>
      <c r="DX309" s="4"/>
      <c r="DY309" s="4"/>
      <c r="DZ309" s="4"/>
      <c r="EA309" s="4"/>
      <c r="EB309" s="4"/>
      <c r="EC309" s="4"/>
      <c r="ED309" s="4"/>
      <c r="EE309" s="4"/>
      <c r="EF309" s="4"/>
      <c r="EG309" s="4"/>
      <c r="EH309" s="4"/>
      <c r="EI309" s="4"/>
      <c r="EJ309" s="4"/>
      <c r="EK309" s="4"/>
      <c r="EL309" s="4"/>
      <c r="EM309" s="4"/>
      <c r="EN309" s="4"/>
      <c r="EO309" s="4"/>
      <c r="EP309" s="4"/>
      <c r="EQ309" s="4"/>
      <c r="ER309" s="4"/>
      <c r="ES309" s="4"/>
      <c r="ET309" s="4"/>
      <c r="EU309" s="4"/>
      <c r="EV309" s="4"/>
      <c r="EW309" s="4"/>
      <c r="EX309" s="4"/>
      <c r="EY309" s="4"/>
      <c r="EZ309" s="4"/>
      <c r="FA309" s="4"/>
      <c r="FB309" s="4"/>
      <c r="FC309" s="4"/>
      <c r="FD309" s="4"/>
      <c r="FE309" s="4"/>
      <c r="FF309" s="4"/>
    </row>
    <row r="310" spans="1:162" x14ac:dyDescent="0.2">
      <c r="A310" s="2"/>
      <c r="B310" s="2"/>
      <c r="C310" s="2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  <c r="AA310" s="4"/>
      <c r="AB310" s="4"/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/>
      <c r="AN310" s="4"/>
      <c r="AO310" s="4"/>
      <c r="AP310" s="4"/>
      <c r="AQ310" s="4"/>
      <c r="AR310" s="4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/>
      <c r="BQ310" s="4"/>
      <c r="BR310" s="4"/>
      <c r="BS310" s="4"/>
      <c r="BT310" s="4"/>
      <c r="BU310" s="4"/>
      <c r="BV310" s="4"/>
      <c r="BW310" s="4"/>
      <c r="BX310" s="4"/>
      <c r="BY310" s="4"/>
      <c r="BZ310" s="4"/>
      <c r="CA310" s="4"/>
      <c r="CB310" s="4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/>
      <c r="CU310" s="4"/>
      <c r="CV310" s="4"/>
      <c r="CW310" s="4"/>
      <c r="CX310" s="4"/>
      <c r="CY310" s="4"/>
      <c r="CZ310" s="4"/>
      <c r="DA310" s="4"/>
      <c r="DB310" s="4"/>
      <c r="DC310" s="4"/>
      <c r="DD310" s="4"/>
      <c r="DE310" s="4"/>
      <c r="DF310" s="4"/>
      <c r="DG310" s="4"/>
      <c r="DH310" s="4"/>
      <c r="DI310" s="4"/>
      <c r="DJ310" s="4"/>
      <c r="DK310" s="4"/>
      <c r="DL310" s="4"/>
      <c r="DM310" s="4"/>
      <c r="DN310" s="4"/>
      <c r="DO310" s="4"/>
      <c r="DP310" s="4"/>
      <c r="DQ310" s="4"/>
      <c r="DR310" s="4"/>
      <c r="DS310" s="4"/>
      <c r="DT310" s="4"/>
      <c r="DU310" s="4"/>
      <c r="DV310" s="4"/>
      <c r="DW310" s="4"/>
      <c r="DX310" s="4"/>
      <c r="DY310" s="4"/>
      <c r="DZ310" s="4"/>
      <c r="EA310" s="4"/>
      <c r="EB310" s="4"/>
      <c r="EC310" s="4"/>
      <c r="ED310" s="4"/>
      <c r="EE310" s="4"/>
      <c r="EF310" s="4"/>
      <c r="EG310" s="4"/>
      <c r="EH310" s="4"/>
      <c r="EI310" s="4"/>
      <c r="EJ310" s="4"/>
      <c r="EK310" s="4"/>
      <c r="EL310" s="4"/>
      <c r="EM310" s="4"/>
      <c r="EN310" s="4"/>
      <c r="EO310" s="4"/>
      <c r="EP310" s="4"/>
      <c r="EQ310" s="4"/>
      <c r="ER310" s="4"/>
      <c r="ES310" s="4"/>
      <c r="ET310" s="4"/>
      <c r="EU310" s="4"/>
      <c r="EV310" s="4"/>
      <c r="EW310" s="4"/>
      <c r="EX310" s="4"/>
      <c r="EY310" s="4"/>
      <c r="EZ310" s="4"/>
      <c r="FA310" s="4"/>
      <c r="FB310" s="4"/>
      <c r="FC310" s="4"/>
      <c r="FD310" s="4"/>
      <c r="FE310" s="4"/>
      <c r="FF310" s="4"/>
    </row>
    <row r="311" spans="1:162" x14ac:dyDescent="0.2">
      <c r="A311" s="2"/>
      <c r="B311" s="2"/>
      <c r="C311" s="2"/>
      <c r="D311" s="4"/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  <c r="AA311" s="4"/>
      <c r="AB311" s="4"/>
      <c r="AC311" s="4"/>
      <c r="AD311" s="4"/>
      <c r="AE311" s="4"/>
      <c r="AF311" s="4"/>
      <c r="AG311" s="4"/>
      <c r="AH311" s="4"/>
      <c r="AI311" s="4"/>
      <c r="AJ311" s="4"/>
      <c r="AK311" s="4"/>
      <c r="AL311" s="4"/>
      <c r="AM311" s="4"/>
      <c r="AN311" s="4"/>
      <c r="AO311" s="4"/>
      <c r="AP311" s="4"/>
      <c r="AQ311" s="4"/>
      <c r="AR311" s="4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/>
      <c r="BQ311" s="4"/>
      <c r="BR311" s="4"/>
      <c r="BS311" s="4"/>
      <c r="BT311" s="4"/>
      <c r="BU311" s="4"/>
      <c r="BV311" s="4"/>
      <c r="BW311" s="4"/>
      <c r="BX311" s="4"/>
      <c r="BY311" s="4"/>
      <c r="BZ311" s="4"/>
      <c r="CA311" s="4"/>
      <c r="CB311" s="4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  <c r="CS311" s="4"/>
      <c r="CT311" s="4"/>
      <c r="CU311" s="4"/>
      <c r="CV311" s="4"/>
      <c r="CW311" s="4"/>
      <c r="CX311" s="4"/>
      <c r="CY311" s="4"/>
      <c r="CZ311" s="4"/>
      <c r="DA311" s="4"/>
      <c r="DB311" s="4"/>
      <c r="DC311" s="4"/>
      <c r="DD311" s="4"/>
      <c r="DE311" s="4"/>
      <c r="DF311" s="4"/>
      <c r="DG311" s="4"/>
      <c r="DH311" s="4"/>
      <c r="DI311" s="4"/>
      <c r="DJ311" s="4"/>
      <c r="DK311" s="4"/>
      <c r="DL311" s="4"/>
      <c r="DM311" s="4"/>
      <c r="DN311" s="4"/>
      <c r="DO311" s="4"/>
      <c r="DP311" s="4"/>
      <c r="DQ311" s="4"/>
      <c r="DR311" s="4"/>
      <c r="DS311" s="4"/>
      <c r="DT311" s="4"/>
      <c r="DU311" s="4"/>
      <c r="DV311" s="4"/>
      <c r="DW311" s="4"/>
      <c r="DX311" s="4"/>
      <c r="DY311" s="4"/>
      <c r="DZ311" s="4"/>
      <c r="EA311" s="4"/>
      <c r="EB311" s="4"/>
      <c r="EC311" s="4"/>
      <c r="ED311" s="4"/>
      <c r="EE311" s="4"/>
      <c r="EF311" s="4"/>
      <c r="EG311" s="4"/>
      <c r="EH311" s="4"/>
      <c r="EI311" s="4"/>
      <c r="EJ311" s="4"/>
      <c r="EK311" s="4"/>
      <c r="EL311" s="4"/>
      <c r="EM311" s="4"/>
      <c r="EN311" s="4"/>
      <c r="EO311" s="4"/>
      <c r="EP311" s="4"/>
      <c r="EQ311" s="4"/>
      <c r="ER311" s="4"/>
      <c r="ES311" s="4"/>
      <c r="ET311" s="4"/>
      <c r="EU311" s="4"/>
      <c r="EV311" s="4"/>
      <c r="EW311" s="4"/>
      <c r="EX311" s="4"/>
      <c r="EY311" s="4"/>
      <c r="EZ311" s="4"/>
      <c r="FA311" s="4"/>
      <c r="FB311" s="4"/>
      <c r="FC311" s="4"/>
      <c r="FD311" s="4"/>
      <c r="FE311" s="4"/>
      <c r="FF311" s="4"/>
    </row>
    <row r="312" spans="1:162" x14ac:dyDescent="0.2">
      <c r="A312" s="2"/>
      <c r="B312" s="2"/>
      <c r="C312" s="2"/>
      <c r="D312" s="4"/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  <c r="AA312" s="4"/>
      <c r="AB312" s="4"/>
      <c r="AC312" s="4"/>
      <c r="AD312" s="4"/>
      <c r="AE312" s="4"/>
      <c r="AF312" s="4"/>
      <c r="AG312" s="4"/>
      <c r="AH312" s="4"/>
      <c r="AI312" s="4"/>
      <c r="AJ312" s="4"/>
      <c r="AK312" s="4"/>
      <c r="AL312" s="4"/>
      <c r="AM312" s="4"/>
      <c r="AN312" s="4"/>
      <c r="AO312" s="4"/>
      <c r="AP312" s="4"/>
      <c r="AQ312" s="4"/>
      <c r="AR312" s="4"/>
      <c r="AS312" s="4"/>
      <c r="AT312" s="4"/>
      <c r="AU312" s="4"/>
      <c r="AV312" s="4"/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4"/>
      <c r="BX312" s="4"/>
      <c r="BY312" s="4"/>
      <c r="BZ312" s="4"/>
      <c r="CA312" s="4"/>
      <c r="CB312" s="4"/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  <c r="CS312" s="4"/>
      <c r="CT312" s="4"/>
      <c r="CU312" s="4"/>
      <c r="CV312" s="4"/>
      <c r="CW312" s="4"/>
      <c r="CX312" s="4"/>
      <c r="CY312" s="4"/>
      <c r="CZ312" s="4"/>
      <c r="DA312" s="4"/>
      <c r="DB312" s="4"/>
      <c r="DC312" s="4"/>
      <c r="DD312" s="4"/>
      <c r="DE312" s="4"/>
      <c r="DF312" s="4"/>
      <c r="DG312" s="4"/>
      <c r="DH312" s="4"/>
      <c r="DI312" s="4"/>
      <c r="DJ312" s="4"/>
      <c r="DK312" s="4"/>
      <c r="DL312" s="4"/>
      <c r="DM312" s="4"/>
      <c r="DN312" s="4"/>
      <c r="DO312" s="4"/>
      <c r="DP312" s="4"/>
      <c r="DQ312" s="4"/>
      <c r="DR312" s="4"/>
      <c r="DS312" s="4"/>
      <c r="DT312" s="4"/>
      <c r="DU312" s="4"/>
      <c r="DV312" s="4"/>
      <c r="DW312" s="4"/>
      <c r="DX312" s="4"/>
      <c r="DY312" s="4"/>
      <c r="DZ312" s="4"/>
      <c r="EA312" s="4"/>
      <c r="EB312" s="4"/>
      <c r="EC312" s="4"/>
      <c r="ED312" s="4"/>
      <c r="EE312" s="4"/>
      <c r="EF312" s="4"/>
      <c r="EG312" s="4"/>
      <c r="EH312" s="4"/>
      <c r="EI312" s="4"/>
      <c r="EJ312" s="4"/>
      <c r="EK312" s="4"/>
      <c r="EL312" s="4"/>
      <c r="EM312" s="4"/>
      <c r="EN312" s="4"/>
      <c r="EO312" s="4"/>
      <c r="EP312" s="4"/>
      <c r="EQ312" s="4"/>
      <c r="ER312" s="4"/>
      <c r="ES312" s="4"/>
      <c r="ET312" s="4"/>
      <c r="EU312" s="4"/>
      <c r="EV312" s="4"/>
      <c r="EW312" s="4"/>
      <c r="EX312" s="4"/>
      <c r="EY312" s="4"/>
      <c r="EZ312" s="4"/>
      <c r="FA312" s="4"/>
      <c r="FB312" s="4"/>
      <c r="FC312" s="4"/>
      <c r="FD312" s="4"/>
      <c r="FE312" s="4"/>
      <c r="FF312" s="4"/>
    </row>
    <row r="313" spans="1:162" x14ac:dyDescent="0.2">
      <c r="A313" s="2"/>
      <c r="B313" s="2"/>
      <c r="C313" s="2"/>
      <c r="D313" s="4"/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4"/>
      <c r="P313" s="4"/>
      <c r="Q313" s="4"/>
      <c r="R313" s="4"/>
      <c r="S313" s="4"/>
      <c r="T313" s="4"/>
      <c r="U313" s="4"/>
      <c r="V313" s="4"/>
      <c r="W313" s="4"/>
      <c r="X313" s="4"/>
      <c r="Y313" s="4"/>
      <c r="Z313" s="4"/>
      <c r="AA313" s="4"/>
      <c r="AB313" s="4"/>
      <c r="AC313" s="4"/>
      <c r="AD313" s="4"/>
      <c r="AE313" s="4"/>
      <c r="AF313" s="4"/>
      <c r="AG313" s="4"/>
      <c r="AH313" s="4"/>
      <c r="AI313" s="4"/>
      <c r="AJ313" s="4"/>
      <c r="AK313" s="4"/>
      <c r="AL313" s="4"/>
      <c r="AM313" s="4"/>
      <c r="AN313" s="4"/>
      <c r="AO313" s="4"/>
      <c r="AP313" s="4"/>
      <c r="AQ313" s="4"/>
      <c r="AR313" s="4"/>
      <c r="AS313" s="4"/>
      <c r="AT313" s="4"/>
      <c r="AU313" s="4"/>
      <c r="AV313" s="4"/>
      <c r="AW313" s="4"/>
      <c r="AX313" s="4"/>
      <c r="AY313" s="4"/>
      <c r="AZ313" s="4"/>
      <c r="BA313" s="4"/>
      <c r="BB313" s="4"/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4"/>
      <c r="BX313" s="4"/>
      <c r="BY313" s="4"/>
      <c r="BZ313" s="4"/>
      <c r="CA313" s="4"/>
      <c r="CB313" s="4"/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  <c r="CS313" s="4"/>
      <c r="CT313" s="4"/>
      <c r="CU313" s="4"/>
      <c r="CV313" s="4"/>
      <c r="CW313" s="4"/>
      <c r="CX313" s="4"/>
      <c r="CY313" s="4"/>
      <c r="CZ313" s="4"/>
      <c r="DA313" s="4"/>
      <c r="DB313" s="4"/>
      <c r="DC313" s="4"/>
      <c r="DD313" s="4"/>
      <c r="DE313" s="4"/>
      <c r="DF313" s="4"/>
      <c r="DG313" s="4"/>
      <c r="DH313" s="4"/>
      <c r="DI313" s="4"/>
      <c r="DJ313" s="4"/>
      <c r="DK313" s="4"/>
      <c r="DL313" s="4"/>
      <c r="DM313" s="4"/>
      <c r="DN313" s="4"/>
      <c r="DO313" s="4"/>
      <c r="DP313" s="4"/>
      <c r="DQ313" s="4"/>
      <c r="DR313" s="4"/>
      <c r="DS313" s="4"/>
      <c r="DT313" s="4"/>
      <c r="DU313" s="4"/>
      <c r="DV313" s="4"/>
      <c r="DW313" s="4"/>
      <c r="DX313" s="4"/>
      <c r="DY313" s="4"/>
      <c r="DZ313" s="4"/>
      <c r="EA313" s="4"/>
      <c r="EB313" s="4"/>
      <c r="EC313" s="4"/>
      <c r="ED313" s="4"/>
      <c r="EE313" s="4"/>
      <c r="EF313" s="4"/>
      <c r="EG313" s="4"/>
      <c r="EH313" s="4"/>
      <c r="EI313" s="4"/>
      <c r="EJ313" s="4"/>
      <c r="EK313" s="4"/>
      <c r="EL313" s="4"/>
      <c r="EM313" s="4"/>
      <c r="EN313" s="4"/>
      <c r="EO313" s="4"/>
      <c r="EP313" s="4"/>
      <c r="EQ313" s="4"/>
      <c r="ER313" s="4"/>
      <c r="ES313" s="4"/>
      <c r="ET313" s="4"/>
      <c r="EU313" s="4"/>
      <c r="EV313" s="4"/>
      <c r="EW313" s="4"/>
      <c r="EX313" s="4"/>
      <c r="EY313" s="4"/>
      <c r="EZ313" s="4"/>
      <c r="FA313" s="4"/>
      <c r="FB313" s="4"/>
      <c r="FC313" s="4"/>
      <c r="FD313" s="4"/>
      <c r="FE313" s="4"/>
      <c r="FF313" s="4"/>
    </row>
    <row r="314" spans="1:162" x14ac:dyDescent="0.2">
      <c r="A314" s="2"/>
      <c r="B314" s="2"/>
      <c r="C314" s="2"/>
      <c r="D314" s="4"/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  <c r="AA314" s="4"/>
      <c r="AB314" s="4"/>
      <c r="AC314" s="4"/>
      <c r="AD314" s="4"/>
      <c r="AE314" s="4"/>
      <c r="AF314" s="4"/>
      <c r="AG314" s="4"/>
      <c r="AH314" s="4"/>
      <c r="AI314" s="4"/>
      <c r="AJ314" s="4"/>
      <c r="AK314" s="4"/>
      <c r="AL314" s="4"/>
      <c r="AM314" s="4"/>
      <c r="AN314" s="4"/>
      <c r="AO314" s="4"/>
      <c r="AP314" s="4"/>
      <c r="AQ314" s="4"/>
      <c r="AR314" s="4"/>
      <c r="AS314" s="4"/>
      <c r="AT314" s="4"/>
      <c r="AU314" s="4"/>
      <c r="AV314" s="4"/>
      <c r="AW314" s="4"/>
      <c r="AX314" s="4"/>
      <c r="AY314" s="4"/>
      <c r="AZ314" s="4"/>
      <c r="BA314" s="4"/>
      <c r="BB314" s="4"/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/>
      <c r="BQ314" s="4"/>
      <c r="BR314" s="4"/>
      <c r="BS314" s="4"/>
      <c r="BT314" s="4"/>
      <c r="BU314" s="4"/>
      <c r="BV314" s="4"/>
      <c r="BW314" s="4"/>
      <c r="BX314" s="4"/>
      <c r="BY314" s="4"/>
      <c r="BZ314" s="4"/>
      <c r="CA314" s="4"/>
      <c r="CB314" s="4"/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/>
      <c r="CU314" s="4"/>
      <c r="CV314" s="4"/>
      <c r="CW314" s="4"/>
      <c r="CX314" s="4"/>
      <c r="CY314" s="4"/>
      <c r="CZ314" s="4"/>
      <c r="DA314" s="4"/>
      <c r="DB314" s="4"/>
      <c r="DC314" s="4"/>
      <c r="DD314" s="4"/>
      <c r="DE314" s="4"/>
      <c r="DF314" s="4"/>
      <c r="DG314" s="4"/>
      <c r="DH314" s="4"/>
      <c r="DI314" s="4"/>
      <c r="DJ314" s="4"/>
      <c r="DK314" s="4"/>
      <c r="DL314" s="4"/>
      <c r="DM314" s="4"/>
      <c r="DN314" s="4"/>
      <c r="DO314" s="4"/>
      <c r="DP314" s="4"/>
      <c r="DQ314" s="4"/>
      <c r="DR314" s="4"/>
      <c r="DS314" s="4"/>
      <c r="DT314" s="4"/>
      <c r="DU314" s="4"/>
      <c r="DV314" s="4"/>
      <c r="DW314" s="4"/>
      <c r="DX314" s="4"/>
      <c r="DY314" s="4"/>
      <c r="DZ314" s="4"/>
      <c r="EA314" s="4"/>
      <c r="EB314" s="4"/>
      <c r="EC314" s="4"/>
      <c r="ED314" s="4"/>
      <c r="EE314" s="4"/>
      <c r="EF314" s="4"/>
      <c r="EG314" s="4"/>
      <c r="EH314" s="4"/>
      <c r="EI314" s="4"/>
      <c r="EJ314" s="4"/>
      <c r="EK314" s="4"/>
      <c r="EL314" s="4"/>
      <c r="EM314" s="4"/>
      <c r="EN314" s="4"/>
      <c r="EO314" s="4"/>
      <c r="EP314" s="4"/>
      <c r="EQ314" s="4"/>
      <c r="ER314" s="4"/>
      <c r="ES314" s="4"/>
      <c r="ET314" s="4"/>
      <c r="EU314" s="4"/>
      <c r="EV314" s="4"/>
      <c r="EW314" s="4"/>
      <c r="EX314" s="4"/>
      <c r="EY314" s="4"/>
      <c r="EZ314" s="4"/>
      <c r="FA314" s="4"/>
      <c r="FB314" s="4"/>
      <c r="FC314" s="4"/>
      <c r="FD314" s="4"/>
      <c r="FE314" s="4"/>
      <c r="FF314" s="4"/>
    </row>
    <row r="315" spans="1:162" x14ac:dyDescent="0.2">
      <c r="A315" s="2"/>
      <c r="B315" s="2"/>
      <c r="C315" s="2"/>
      <c r="D315" s="4"/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/>
      <c r="U315" s="4"/>
      <c r="V315" s="4"/>
      <c r="W315" s="4"/>
      <c r="X315" s="4"/>
      <c r="Y315" s="4"/>
      <c r="Z315" s="4"/>
      <c r="AA315" s="4"/>
      <c r="AB315" s="4"/>
      <c r="AC315" s="4"/>
      <c r="AD315" s="4"/>
      <c r="AE315" s="4"/>
      <c r="AF315" s="4"/>
      <c r="AG315" s="4"/>
      <c r="AH315" s="4"/>
      <c r="AI315" s="4"/>
      <c r="AJ315" s="4"/>
      <c r="AK315" s="4"/>
      <c r="AL315" s="4"/>
      <c r="AM315" s="4"/>
      <c r="AN315" s="4"/>
      <c r="AO315" s="4"/>
      <c r="AP315" s="4"/>
      <c r="AQ315" s="4"/>
      <c r="AR315" s="4"/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/>
      <c r="BQ315" s="4"/>
      <c r="BR315" s="4"/>
      <c r="BS315" s="4"/>
      <c r="BT315" s="4"/>
      <c r="BU315" s="4"/>
      <c r="BV315" s="4"/>
      <c r="BW315" s="4"/>
      <c r="BX315" s="4"/>
      <c r="BY315" s="4"/>
      <c r="BZ315" s="4"/>
      <c r="CA315" s="4"/>
      <c r="CB315" s="4"/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/>
      <c r="CU315" s="4"/>
      <c r="CV315" s="4"/>
      <c r="CW315" s="4"/>
      <c r="CX315" s="4"/>
      <c r="CY315" s="4"/>
      <c r="CZ315" s="4"/>
      <c r="DA315" s="4"/>
      <c r="DB315" s="4"/>
      <c r="DC315" s="4"/>
      <c r="DD315" s="4"/>
      <c r="DE315" s="4"/>
      <c r="DF315" s="4"/>
      <c r="DG315" s="4"/>
      <c r="DH315" s="4"/>
      <c r="DI315" s="4"/>
      <c r="DJ315" s="4"/>
      <c r="DK315" s="4"/>
      <c r="DL315" s="4"/>
      <c r="DM315" s="4"/>
      <c r="DN315" s="4"/>
      <c r="DO315" s="4"/>
      <c r="DP315" s="4"/>
      <c r="DQ315" s="4"/>
      <c r="DR315" s="4"/>
      <c r="DS315" s="4"/>
      <c r="DT315" s="4"/>
      <c r="DU315" s="4"/>
      <c r="DV315" s="4"/>
      <c r="DW315" s="4"/>
      <c r="DX315" s="4"/>
      <c r="DY315" s="4"/>
      <c r="DZ315" s="4"/>
      <c r="EA315" s="4"/>
      <c r="EB315" s="4"/>
      <c r="EC315" s="4"/>
      <c r="ED315" s="4"/>
      <c r="EE315" s="4"/>
      <c r="EF315" s="4"/>
      <c r="EG315" s="4"/>
      <c r="EH315" s="4"/>
      <c r="EI315" s="4"/>
      <c r="EJ315" s="4"/>
      <c r="EK315" s="4"/>
      <c r="EL315" s="4"/>
      <c r="EM315" s="4"/>
      <c r="EN315" s="4"/>
      <c r="EO315" s="4"/>
      <c r="EP315" s="4"/>
      <c r="EQ315" s="4"/>
      <c r="ER315" s="4"/>
      <c r="ES315" s="4"/>
      <c r="ET315" s="4"/>
      <c r="EU315" s="4"/>
      <c r="EV315" s="4"/>
      <c r="EW315" s="4"/>
      <c r="EX315" s="4"/>
      <c r="EY315" s="4"/>
      <c r="EZ315" s="4"/>
      <c r="FA315" s="4"/>
      <c r="FB315" s="4"/>
      <c r="FC315" s="4"/>
      <c r="FD315" s="4"/>
      <c r="FE315" s="4"/>
      <c r="FF315" s="4"/>
    </row>
    <row r="316" spans="1:162" x14ac:dyDescent="0.2">
      <c r="A316" s="2"/>
      <c r="B316" s="2"/>
      <c r="C316" s="2"/>
      <c r="D316" s="4"/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  <c r="AA316" s="4"/>
      <c r="AB316" s="4"/>
      <c r="AC316" s="4"/>
      <c r="AD316" s="4"/>
      <c r="AE316" s="4"/>
      <c r="AF316" s="4"/>
      <c r="AG316" s="4"/>
      <c r="AH316" s="4"/>
      <c r="AI316" s="4"/>
      <c r="AJ316" s="4"/>
      <c r="AK316" s="4"/>
      <c r="AL316" s="4"/>
      <c r="AM316" s="4"/>
      <c r="AN316" s="4"/>
      <c r="AO316" s="4"/>
      <c r="AP316" s="4"/>
      <c r="AQ316" s="4"/>
      <c r="AR316" s="4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/>
      <c r="BQ316" s="4"/>
      <c r="BR316" s="4"/>
      <c r="BS316" s="4"/>
      <c r="BT316" s="4"/>
      <c r="BU316" s="4"/>
      <c r="BV316" s="4"/>
      <c r="BW316" s="4"/>
      <c r="BX316" s="4"/>
      <c r="BY316" s="4"/>
      <c r="BZ316" s="4"/>
      <c r="CA316" s="4"/>
      <c r="CB316" s="4"/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/>
      <c r="CU316" s="4"/>
      <c r="CV316" s="4"/>
      <c r="CW316" s="4"/>
      <c r="CX316" s="4"/>
      <c r="CY316" s="4"/>
      <c r="CZ316" s="4"/>
      <c r="DA316" s="4"/>
      <c r="DB316" s="4"/>
      <c r="DC316" s="4"/>
      <c r="DD316" s="4"/>
      <c r="DE316" s="4"/>
      <c r="DF316" s="4"/>
      <c r="DG316" s="4"/>
      <c r="DH316" s="4"/>
      <c r="DI316" s="4"/>
      <c r="DJ316" s="4"/>
      <c r="DK316" s="4"/>
      <c r="DL316" s="4"/>
      <c r="DM316" s="4"/>
      <c r="DN316" s="4"/>
      <c r="DO316" s="4"/>
      <c r="DP316" s="4"/>
      <c r="DQ316" s="4"/>
      <c r="DR316" s="4"/>
      <c r="DS316" s="4"/>
      <c r="DT316" s="4"/>
      <c r="DU316" s="4"/>
      <c r="DV316" s="4"/>
      <c r="DW316" s="4"/>
      <c r="DX316" s="4"/>
      <c r="DY316" s="4"/>
      <c r="DZ316" s="4"/>
      <c r="EA316" s="4"/>
      <c r="EB316" s="4"/>
      <c r="EC316" s="4"/>
      <c r="ED316" s="4"/>
      <c r="EE316" s="4"/>
      <c r="EF316" s="4"/>
      <c r="EG316" s="4"/>
      <c r="EH316" s="4"/>
      <c r="EI316" s="4"/>
      <c r="EJ316" s="4"/>
      <c r="EK316" s="4"/>
      <c r="EL316" s="4"/>
      <c r="EM316" s="4"/>
      <c r="EN316" s="4"/>
      <c r="EO316" s="4"/>
      <c r="EP316" s="4"/>
      <c r="EQ316" s="4"/>
      <c r="ER316" s="4"/>
      <c r="ES316" s="4"/>
      <c r="ET316" s="4"/>
      <c r="EU316" s="4"/>
      <c r="EV316" s="4"/>
      <c r="EW316" s="4"/>
      <c r="EX316" s="4"/>
      <c r="EY316" s="4"/>
      <c r="EZ316" s="4"/>
      <c r="FA316" s="4"/>
      <c r="FB316" s="4"/>
      <c r="FC316" s="4"/>
      <c r="FD316" s="4"/>
      <c r="FE316" s="4"/>
      <c r="FF316" s="4"/>
    </row>
    <row r="317" spans="1:162" x14ac:dyDescent="0.2">
      <c r="A317" s="2"/>
      <c r="B317" s="2"/>
      <c r="C317" s="2"/>
      <c r="D317" s="4"/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  <c r="AA317" s="4"/>
      <c r="AB317" s="4"/>
      <c r="AC317" s="4"/>
      <c r="AD317" s="4"/>
      <c r="AE317" s="4"/>
      <c r="AF317" s="4"/>
      <c r="AG317" s="4"/>
      <c r="AH317" s="4"/>
      <c r="AI317" s="4"/>
      <c r="AJ317" s="4"/>
      <c r="AK317" s="4"/>
      <c r="AL317" s="4"/>
      <c r="AM317" s="4"/>
      <c r="AN317" s="4"/>
      <c r="AO317" s="4"/>
      <c r="AP317" s="4"/>
      <c r="AQ317" s="4"/>
      <c r="AR317" s="4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4"/>
      <c r="BX317" s="4"/>
      <c r="BY317" s="4"/>
      <c r="BZ317" s="4"/>
      <c r="CA317" s="4"/>
      <c r="CB317" s="4"/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/>
      <c r="CU317" s="4"/>
      <c r="CV317" s="4"/>
      <c r="CW317" s="4"/>
      <c r="CX317" s="4"/>
      <c r="CY317" s="4"/>
      <c r="CZ317" s="4"/>
      <c r="DA317" s="4"/>
      <c r="DB317" s="4"/>
      <c r="DC317" s="4"/>
      <c r="DD317" s="4"/>
      <c r="DE317" s="4"/>
      <c r="DF317" s="4"/>
      <c r="DG317" s="4"/>
      <c r="DH317" s="4"/>
      <c r="DI317" s="4"/>
      <c r="DJ317" s="4"/>
      <c r="DK317" s="4"/>
      <c r="DL317" s="4"/>
      <c r="DM317" s="4"/>
      <c r="DN317" s="4"/>
      <c r="DO317" s="4"/>
      <c r="DP317" s="4"/>
      <c r="DQ317" s="4"/>
      <c r="DR317" s="4"/>
      <c r="DS317" s="4"/>
      <c r="DT317" s="4"/>
      <c r="DU317" s="4"/>
      <c r="DV317" s="4"/>
      <c r="DW317" s="4"/>
      <c r="DX317" s="4"/>
      <c r="DY317" s="4"/>
      <c r="DZ317" s="4"/>
      <c r="EA317" s="4"/>
      <c r="EB317" s="4"/>
      <c r="EC317" s="4"/>
      <c r="ED317" s="4"/>
      <c r="EE317" s="4"/>
      <c r="EF317" s="4"/>
      <c r="EG317" s="4"/>
      <c r="EH317" s="4"/>
      <c r="EI317" s="4"/>
      <c r="EJ317" s="4"/>
      <c r="EK317" s="4"/>
      <c r="EL317" s="4"/>
      <c r="EM317" s="4"/>
      <c r="EN317" s="4"/>
      <c r="EO317" s="4"/>
      <c r="EP317" s="4"/>
      <c r="EQ317" s="4"/>
      <c r="ER317" s="4"/>
      <c r="ES317" s="4"/>
      <c r="ET317" s="4"/>
      <c r="EU317" s="4"/>
      <c r="EV317" s="4"/>
      <c r="EW317" s="4"/>
      <c r="EX317" s="4"/>
      <c r="EY317" s="4"/>
      <c r="EZ317" s="4"/>
      <c r="FA317" s="4"/>
      <c r="FB317" s="4"/>
      <c r="FC317" s="4"/>
      <c r="FD317" s="4"/>
      <c r="FE317" s="4"/>
      <c r="FF317" s="4"/>
    </row>
    <row r="318" spans="1:162" x14ac:dyDescent="0.2">
      <c r="A318" s="2"/>
      <c r="B318" s="2"/>
      <c r="C318" s="2"/>
      <c r="D318" s="4"/>
      <c r="E318" s="4"/>
      <c r="F318" s="4"/>
      <c r="G318" s="4"/>
      <c r="H318" s="4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  <c r="AA318" s="4"/>
      <c r="AB318" s="4"/>
      <c r="AC318" s="4"/>
      <c r="AD318" s="4"/>
      <c r="AE318" s="4"/>
      <c r="AF318" s="4"/>
      <c r="AG318" s="4"/>
      <c r="AH318" s="4"/>
      <c r="AI318" s="4"/>
      <c r="AJ318" s="4"/>
      <c r="AK318" s="4"/>
      <c r="AL318" s="4"/>
      <c r="AM318" s="4"/>
      <c r="AN318" s="4"/>
      <c r="AO318" s="4"/>
      <c r="AP318" s="4"/>
      <c r="AQ318" s="4"/>
      <c r="AR318" s="4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4"/>
      <c r="BX318" s="4"/>
      <c r="BY318" s="4"/>
      <c r="BZ318" s="4"/>
      <c r="CA318" s="4"/>
      <c r="CB318" s="4"/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/>
      <c r="CT318" s="4"/>
      <c r="CU318" s="4"/>
      <c r="CV318" s="4"/>
      <c r="CW318" s="4"/>
      <c r="CX318" s="4"/>
      <c r="CY318" s="4"/>
      <c r="CZ318" s="4"/>
      <c r="DA318" s="4"/>
      <c r="DB318" s="4"/>
      <c r="DC318" s="4"/>
      <c r="DD318" s="4"/>
      <c r="DE318" s="4"/>
      <c r="DF318" s="4"/>
      <c r="DG318" s="4"/>
      <c r="DH318" s="4"/>
      <c r="DI318" s="4"/>
      <c r="DJ318" s="4"/>
      <c r="DK318" s="4"/>
      <c r="DL318" s="4"/>
      <c r="DM318" s="4"/>
      <c r="DN318" s="4"/>
      <c r="DO318" s="4"/>
      <c r="DP318" s="4"/>
      <c r="DQ318" s="4"/>
      <c r="DR318" s="4"/>
      <c r="DS318" s="4"/>
      <c r="DT318" s="4"/>
      <c r="DU318" s="4"/>
      <c r="DV318" s="4"/>
      <c r="DW318" s="4"/>
      <c r="DX318" s="4"/>
      <c r="DY318" s="4"/>
      <c r="DZ318" s="4"/>
      <c r="EA318" s="4"/>
      <c r="EB318" s="4"/>
      <c r="EC318" s="4"/>
      <c r="ED318" s="4"/>
      <c r="EE318" s="4"/>
      <c r="EF318" s="4"/>
      <c r="EG318" s="4"/>
      <c r="EH318" s="4"/>
      <c r="EI318" s="4"/>
      <c r="EJ318" s="4"/>
      <c r="EK318" s="4"/>
      <c r="EL318" s="4"/>
      <c r="EM318" s="4"/>
      <c r="EN318" s="4"/>
      <c r="EO318" s="4"/>
      <c r="EP318" s="4"/>
      <c r="EQ318" s="4"/>
      <c r="ER318" s="4"/>
      <c r="ES318" s="4"/>
      <c r="ET318" s="4"/>
      <c r="EU318" s="4"/>
      <c r="EV318" s="4"/>
      <c r="EW318" s="4"/>
      <c r="EX318" s="4"/>
      <c r="EY318" s="4"/>
      <c r="EZ318" s="4"/>
      <c r="FA318" s="4"/>
      <c r="FB318" s="4"/>
      <c r="FC318" s="4"/>
      <c r="FD318" s="4"/>
      <c r="FE318" s="4"/>
      <c r="FF318" s="4"/>
    </row>
    <row r="319" spans="1:162" x14ac:dyDescent="0.2">
      <c r="A319" s="2"/>
      <c r="B319" s="2"/>
      <c r="C319" s="2"/>
      <c r="D319" s="4"/>
      <c r="E319" s="4"/>
      <c r="F319" s="4"/>
      <c r="G319" s="4"/>
      <c r="H319" s="4"/>
      <c r="I319" s="4"/>
      <c r="J319" s="4"/>
      <c r="K319" s="4"/>
      <c r="L319" s="4"/>
      <c r="M319" s="4"/>
      <c r="N319" s="4"/>
      <c r="O319" s="4"/>
      <c r="P319" s="4"/>
      <c r="Q319" s="4"/>
      <c r="R319" s="4"/>
      <c r="S319" s="4"/>
      <c r="T319" s="4"/>
      <c r="U319" s="4"/>
      <c r="V319" s="4"/>
      <c r="W319" s="4"/>
      <c r="X319" s="4"/>
      <c r="Y319" s="4"/>
      <c r="Z319" s="4"/>
      <c r="AA319" s="4"/>
      <c r="AB319" s="4"/>
      <c r="AC319" s="4"/>
      <c r="AD319" s="4"/>
      <c r="AE319" s="4"/>
      <c r="AF319" s="4"/>
      <c r="AG319" s="4"/>
      <c r="AH319" s="4"/>
      <c r="AI319" s="4"/>
      <c r="AJ319" s="4"/>
      <c r="AK319" s="4"/>
      <c r="AL319" s="4"/>
      <c r="AM319" s="4"/>
      <c r="AN319" s="4"/>
      <c r="AO319" s="4"/>
      <c r="AP319" s="4"/>
      <c r="AQ319" s="4"/>
      <c r="AR319" s="4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4"/>
      <c r="BX319" s="4"/>
      <c r="BY319" s="4"/>
      <c r="BZ319" s="4"/>
      <c r="CA319" s="4"/>
      <c r="CB319" s="4"/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/>
      <c r="CU319" s="4"/>
      <c r="CV319" s="4"/>
      <c r="CW319" s="4"/>
      <c r="CX319" s="4"/>
      <c r="CY319" s="4"/>
      <c r="CZ319" s="4"/>
      <c r="DA319" s="4"/>
      <c r="DB319" s="4"/>
      <c r="DC319" s="4"/>
      <c r="DD319" s="4"/>
      <c r="DE319" s="4"/>
      <c r="DF319" s="4"/>
      <c r="DG319" s="4"/>
      <c r="DH319" s="4"/>
      <c r="DI319" s="4"/>
      <c r="DJ319" s="4"/>
      <c r="DK319" s="4"/>
      <c r="DL319" s="4"/>
      <c r="DM319" s="4"/>
      <c r="DN319" s="4"/>
      <c r="DO319" s="4"/>
      <c r="DP319" s="4"/>
      <c r="DQ319" s="4"/>
      <c r="DR319" s="4"/>
      <c r="DS319" s="4"/>
      <c r="DT319" s="4"/>
      <c r="DU319" s="4"/>
      <c r="DV319" s="4"/>
      <c r="DW319" s="4"/>
      <c r="DX319" s="4"/>
      <c r="DY319" s="4"/>
      <c r="DZ319" s="4"/>
      <c r="EA319" s="4"/>
      <c r="EB319" s="4"/>
      <c r="EC319" s="4"/>
      <c r="ED319" s="4"/>
      <c r="EE319" s="4"/>
      <c r="EF319" s="4"/>
      <c r="EG319" s="4"/>
      <c r="EH319" s="4"/>
      <c r="EI319" s="4"/>
      <c r="EJ319" s="4"/>
      <c r="EK319" s="4"/>
      <c r="EL319" s="4"/>
      <c r="EM319" s="4"/>
      <c r="EN319" s="4"/>
      <c r="EO319" s="4"/>
      <c r="EP319" s="4"/>
      <c r="EQ319" s="4"/>
      <c r="ER319" s="4"/>
      <c r="ES319" s="4"/>
      <c r="ET319" s="4"/>
      <c r="EU319" s="4"/>
      <c r="EV319" s="4"/>
      <c r="EW319" s="4"/>
      <c r="EX319" s="4"/>
      <c r="EY319" s="4"/>
      <c r="EZ319" s="4"/>
      <c r="FA319" s="4"/>
      <c r="FB319" s="4"/>
      <c r="FC319" s="4"/>
      <c r="FD319" s="4"/>
      <c r="FE319" s="4"/>
      <c r="FF319" s="4"/>
    </row>
    <row r="320" spans="1:162" x14ac:dyDescent="0.2">
      <c r="A320" s="2"/>
      <c r="B320" s="2"/>
      <c r="C320" s="2"/>
      <c r="D320" s="4"/>
      <c r="E320" s="4"/>
      <c r="F320" s="4"/>
      <c r="G320" s="4"/>
      <c r="H320" s="4"/>
      <c r="I320" s="4"/>
      <c r="J320" s="4"/>
      <c r="K320" s="4"/>
      <c r="L320" s="4"/>
      <c r="M320" s="4"/>
      <c r="N320" s="4"/>
      <c r="O320" s="4"/>
      <c r="P320" s="4"/>
      <c r="Q320" s="4"/>
      <c r="R320" s="4"/>
      <c r="S320" s="4"/>
      <c r="T320" s="4"/>
      <c r="U320" s="4"/>
      <c r="V320" s="4"/>
      <c r="W320" s="4"/>
      <c r="X320" s="4"/>
      <c r="Y320" s="4"/>
      <c r="Z320" s="4"/>
      <c r="AA320" s="4"/>
      <c r="AB320" s="4"/>
      <c r="AC320" s="4"/>
      <c r="AD320" s="4"/>
      <c r="AE320" s="4"/>
      <c r="AF320" s="4"/>
      <c r="AG320" s="4"/>
      <c r="AH320" s="4"/>
      <c r="AI320" s="4"/>
      <c r="AJ320" s="4"/>
      <c r="AK320" s="4"/>
      <c r="AL320" s="4"/>
      <c r="AM320" s="4"/>
      <c r="AN320" s="4"/>
      <c r="AO320" s="4"/>
      <c r="AP320" s="4"/>
      <c r="AQ320" s="4"/>
      <c r="AR320" s="4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4"/>
      <c r="BX320" s="4"/>
      <c r="BY320" s="4"/>
      <c r="BZ320" s="4"/>
      <c r="CA320" s="4"/>
      <c r="CB320" s="4"/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  <c r="CS320" s="4"/>
      <c r="CT320" s="4"/>
      <c r="CU320" s="4"/>
      <c r="CV320" s="4"/>
      <c r="CW320" s="4"/>
      <c r="CX320" s="4"/>
      <c r="CY320" s="4"/>
      <c r="CZ320" s="4"/>
      <c r="DA320" s="4"/>
      <c r="DB320" s="4"/>
      <c r="DC320" s="4"/>
      <c r="DD320" s="4"/>
      <c r="DE320" s="4"/>
      <c r="DF320" s="4"/>
      <c r="DG320" s="4"/>
      <c r="DH320" s="4"/>
      <c r="DI320" s="4"/>
      <c r="DJ320" s="4"/>
      <c r="DK320" s="4"/>
      <c r="DL320" s="4"/>
      <c r="DM320" s="4"/>
      <c r="DN320" s="4"/>
      <c r="DO320" s="4"/>
      <c r="DP320" s="4"/>
      <c r="DQ320" s="4"/>
      <c r="DR320" s="4"/>
      <c r="DS320" s="4"/>
      <c r="DT320" s="4"/>
      <c r="DU320" s="4"/>
      <c r="DV320" s="4"/>
      <c r="DW320" s="4"/>
      <c r="DX320" s="4"/>
      <c r="DY320" s="4"/>
      <c r="DZ320" s="4"/>
      <c r="EA320" s="4"/>
      <c r="EB320" s="4"/>
      <c r="EC320" s="4"/>
      <c r="ED320" s="4"/>
      <c r="EE320" s="4"/>
      <c r="EF320" s="4"/>
      <c r="EG320" s="4"/>
      <c r="EH320" s="4"/>
      <c r="EI320" s="4"/>
      <c r="EJ320" s="4"/>
      <c r="EK320" s="4"/>
      <c r="EL320" s="4"/>
      <c r="EM320" s="4"/>
      <c r="EN320" s="4"/>
      <c r="EO320" s="4"/>
      <c r="EP320" s="4"/>
      <c r="EQ320" s="4"/>
      <c r="ER320" s="4"/>
      <c r="ES320" s="4"/>
      <c r="ET320" s="4"/>
      <c r="EU320" s="4"/>
      <c r="EV320" s="4"/>
      <c r="EW320" s="4"/>
      <c r="EX320" s="4"/>
      <c r="EY320" s="4"/>
      <c r="EZ320" s="4"/>
      <c r="FA320" s="4"/>
      <c r="FB320" s="4"/>
      <c r="FC320" s="4"/>
      <c r="FD320" s="4"/>
      <c r="FE320" s="4"/>
      <c r="FF320" s="4"/>
    </row>
    <row r="321" spans="1:162" x14ac:dyDescent="0.2">
      <c r="A321" s="2"/>
      <c r="B321" s="2"/>
      <c r="C321" s="2"/>
      <c r="D321" s="4"/>
      <c r="E321" s="4"/>
      <c r="F321" s="4"/>
      <c r="G321" s="4"/>
      <c r="H321" s="4"/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4"/>
      <c r="T321" s="4"/>
      <c r="U321" s="4"/>
      <c r="V321" s="4"/>
      <c r="W321" s="4"/>
      <c r="X321" s="4"/>
      <c r="Y321" s="4"/>
      <c r="Z321" s="4"/>
      <c r="AA321" s="4"/>
      <c r="AB321" s="4"/>
      <c r="AC321" s="4"/>
      <c r="AD321" s="4"/>
      <c r="AE321" s="4"/>
      <c r="AF321" s="4"/>
      <c r="AG321" s="4"/>
      <c r="AH321" s="4"/>
      <c r="AI321" s="4"/>
      <c r="AJ321" s="4"/>
      <c r="AK321" s="4"/>
      <c r="AL321" s="4"/>
      <c r="AM321" s="4"/>
      <c r="AN321" s="4"/>
      <c r="AO321" s="4"/>
      <c r="AP321" s="4"/>
      <c r="AQ321" s="4"/>
      <c r="AR321" s="4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/>
      <c r="BQ321" s="4"/>
      <c r="BR321" s="4"/>
      <c r="BS321" s="4"/>
      <c r="BT321" s="4"/>
      <c r="BU321" s="4"/>
      <c r="BV321" s="4"/>
      <c r="BW321" s="4"/>
      <c r="BX321" s="4"/>
      <c r="BY321" s="4"/>
      <c r="BZ321" s="4"/>
      <c r="CA321" s="4"/>
      <c r="CB321" s="4"/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/>
      <c r="CU321" s="4"/>
      <c r="CV321" s="4"/>
      <c r="CW321" s="4"/>
      <c r="CX321" s="4"/>
      <c r="CY321" s="4"/>
      <c r="CZ321" s="4"/>
      <c r="DA321" s="4"/>
      <c r="DB321" s="4"/>
      <c r="DC321" s="4"/>
      <c r="DD321" s="4"/>
      <c r="DE321" s="4"/>
      <c r="DF321" s="4"/>
      <c r="DG321" s="4"/>
      <c r="DH321" s="4"/>
      <c r="DI321" s="4"/>
      <c r="DJ321" s="4"/>
      <c r="DK321" s="4"/>
      <c r="DL321" s="4"/>
      <c r="DM321" s="4"/>
      <c r="DN321" s="4"/>
      <c r="DO321" s="4"/>
      <c r="DP321" s="4"/>
      <c r="DQ321" s="4"/>
      <c r="DR321" s="4"/>
      <c r="DS321" s="4"/>
      <c r="DT321" s="4"/>
      <c r="DU321" s="4"/>
      <c r="DV321" s="4"/>
      <c r="DW321" s="4"/>
      <c r="DX321" s="4"/>
      <c r="DY321" s="4"/>
      <c r="DZ321" s="4"/>
      <c r="EA321" s="4"/>
      <c r="EB321" s="4"/>
      <c r="EC321" s="4"/>
      <c r="ED321" s="4"/>
      <c r="EE321" s="4"/>
      <c r="EF321" s="4"/>
      <c r="EG321" s="4"/>
      <c r="EH321" s="4"/>
      <c r="EI321" s="4"/>
      <c r="EJ321" s="4"/>
      <c r="EK321" s="4"/>
      <c r="EL321" s="4"/>
      <c r="EM321" s="4"/>
      <c r="EN321" s="4"/>
      <c r="EO321" s="4"/>
      <c r="EP321" s="4"/>
      <c r="EQ321" s="4"/>
      <c r="ER321" s="4"/>
      <c r="ES321" s="4"/>
      <c r="ET321" s="4"/>
      <c r="EU321" s="4"/>
      <c r="EV321" s="4"/>
      <c r="EW321" s="4"/>
      <c r="EX321" s="4"/>
      <c r="EY321" s="4"/>
      <c r="EZ321" s="4"/>
      <c r="FA321" s="4"/>
      <c r="FB321" s="4"/>
      <c r="FC321" s="4"/>
      <c r="FD321" s="4"/>
      <c r="FE321" s="4"/>
      <c r="FF321" s="4"/>
    </row>
    <row r="322" spans="1:162" x14ac:dyDescent="0.2">
      <c r="A322" s="2"/>
      <c r="B322" s="2"/>
      <c r="C322" s="2"/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4"/>
      <c r="X322" s="4"/>
      <c r="Y322" s="4"/>
      <c r="Z322" s="4"/>
      <c r="AA322" s="4"/>
      <c r="AB322" s="4"/>
      <c r="AC322" s="4"/>
      <c r="AD322" s="4"/>
      <c r="AE322" s="4"/>
      <c r="AF322" s="4"/>
      <c r="AG322" s="4"/>
      <c r="AH322" s="4"/>
      <c r="AI322" s="4"/>
      <c r="AJ322" s="4"/>
      <c r="AK322" s="4"/>
      <c r="AL322" s="4"/>
      <c r="AM322" s="4"/>
      <c r="AN322" s="4"/>
      <c r="AO322" s="4"/>
      <c r="AP322" s="4"/>
      <c r="AQ322" s="4"/>
      <c r="AR322" s="4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4"/>
      <c r="BX322" s="4"/>
      <c r="BY322" s="4"/>
      <c r="BZ322" s="4"/>
      <c r="CA322" s="4"/>
      <c r="CB322" s="4"/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/>
      <c r="CU322" s="4"/>
      <c r="CV322" s="4"/>
      <c r="CW322" s="4"/>
      <c r="CX322" s="4"/>
      <c r="CY322" s="4"/>
      <c r="CZ322" s="4"/>
      <c r="DA322" s="4"/>
      <c r="DB322" s="4"/>
      <c r="DC322" s="4"/>
      <c r="DD322" s="4"/>
      <c r="DE322" s="4"/>
      <c r="DF322" s="4"/>
      <c r="DG322" s="4"/>
      <c r="DH322" s="4"/>
      <c r="DI322" s="4"/>
      <c r="DJ322" s="4"/>
      <c r="DK322" s="4"/>
      <c r="DL322" s="4"/>
      <c r="DM322" s="4"/>
      <c r="DN322" s="4"/>
      <c r="DO322" s="4"/>
      <c r="DP322" s="4"/>
      <c r="DQ322" s="4"/>
      <c r="DR322" s="4"/>
      <c r="DS322" s="4"/>
      <c r="DT322" s="4"/>
      <c r="DU322" s="4"/>
      <c r="DV322" s="4"/>
      <c r="DW322" s="4"/>
      <c r="DX322" s="4"/>
      <c r="DY322" s="4"/>
      <c r="DZ322" s="4"/>
      <c r="EA322" s="4"/>
      <c r="EB322" s="4"/>
      <c r="EC322" s="4"/>
      <c r="ED322" s="4"/>
      <c r="EE322" s="4"/>
      <c r="EF322" s="4"/>
      <c r="EG322" s="4"/>
      <c r="EH322" s="4"/>
      <c r="EI322" s="4"/>
      <c r="EJ322" s="4"/>
      <c r="EK322" s="4"/>
      <c r="EL322" s="4"/>
      <c r="EM322" s="4"/>
      <c r="EN322" s="4"/>
      <c r="EO322" s="4"/>
      <c r="EP322" s="4"/>
      <c r="EQ322" s="4"/>
      <c r="ER322" s="4"/>
      <c r="ES322" s="4"/>
      <c r="ET322" s="4"/>
      <c r="EU322" s="4"/>
      <c r="EV322" s="4"/>
      <c r="EW322" s="4"/>
      <c r="EX322" s="4"/>
      <c r="EY322" s="4"/>
      <c r="EZ322" s="4"/>
      <c r="FA322" s="4"/>
      <c r="FB322" s="4"/>
      <c r="FC322" s="4"/>
      <c r="FD322" s="4"/>
      <c r="FE322" s="4"/>
      <c r="FF322" s="4"/>
    </row>
    <row r="323" spans="1:162" x14ac:dyDescent="0.2">
      <c r="A323" s="2"/>
      <c r="B323" s="2"/>
      <c r="C323" s="2"/>
      <c r="D323" s="4"/>
      <c r="E323" s="4"/>
      <c r="F323" s="4"/>
      <c r="G323" s="4"/>
      <c r="H323" s="4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  <c r="AA323" s="4"/>
      <c r="AB323" s="4"/>
      <c r="AC323" s="4"/>
      <c r="AD323" s="4"/>
      <c r="AE323" s="4"/>
      <c r="AF323" s="4"/>
      <c r="AG323" s="4"/>
      <c r="AH323" s="4"/>
      <c r="AI323" s="4"/>
      <c r="AJ323" s="4"/>
      <c r="AK323" s="4"/>
      <c r="AL323" s="4"/>
      <c r="AM323" s="4"/>
      <c r="AN323" s="4"/>
      <c r="AO323" s="4"/>
      <c r="AP323" s="4"/>
      <c r="AQ323" s="4"/>
      <c r="AR323" s="4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/>
      <c r="BQ323" s="4"/>
      <c r="BR323" s="4"/>
      <c r="BS323" s="4"/>
      <c r="BT323" s="4"/>
      <c r="BU323" s="4"/>
      <c r="BV323" s="4"/>
      <c r="BW323" s="4"/>
      <c r="BX323" s="4"/>
      <c r="BY323" s="4"/>
      <c r="BZ323" s="4"/>
      <c r="CA323" s="4"/>
      <c r="CB323" s="4"/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/>
      <c r="CT323" s="4"/>
      <c r="CU323" s="4"/>
      <c r="CV323" s="4"/>
      <c r="CW323" s="4"/>
      <c r="CX323" s="4"/>
      <c r="CY323" s="4"/>
      <c r="CZ323" s="4"/>
      <c r="DA323" s="4"/>
      <c r="DB323" s="4"/>
      <c r="DC323" s="4"/>
      <c r="DD323" s="4"/>
      <c r="DE323" s="4"/>
      <c r="DF323" s="4"/>
      <c r="DG323" s="4"/>
      <c r="DH323" s="4"/>
      <c r="DI323" s="4"/>
      <c r="DJ323" s="4"/>
      <c r="DK323" s="4"/>
      <c r="DL323" s="4"/>
      <c r="DM323" s="4"/>
      <c r="DN323" s="4"/>
      <c r="DO323" s="4"/>
      <c r="DP323" s="4"/>
      <c r="DQ323" s="4"/>
      <c r="DR323" s="4"/>
      <c r="DS323" s="4"/>
      <c r="DT323" s="4"/>
      <c r="DU323" s="4"/>
      <c r="DV323" s="4"/>
      <c r="DW323" s="4"/>
      <c r="DX323" s="4"/>
      <c r="DY323" s="4"/>
      <c r="DZ323" s="4"/>
      <c r="EA323" s="4"/>
      <c r="EB323" s="4"/>
      <c r="EC323" s="4"/>
      <c r="ED323" s="4"/>
      <c r="EE323" s="4"/>
      <c r="EF323" s="4"/>
      <c r="EG323" s="4"/>
      <c r="EH323" s="4"/>
      <c r="EI323" s="4"/>
      <c r="EJ323" s="4"/>
      <c r="EK323" s="4"/>
      <c r="EL323" s="4"/>
      <c r="EM323" s="4"/>
      <c r="EN323" s="4"/>
      <c r="EO323" s="4"/>
      <c r="EP323" s="4"/>
      <c r="EQ323" s="4"/>
      <c r="ER323" s="4"/>
      <c r="ES323" s="4"/>
      <c r="ET323" s="4"/>
      <c r="EU323" s="4"/>
      <c r="EV323" s="4"/>
      <c r="EW323" s="4"/>
      <c r="EX323" s="4"/>
      <c r="EY323" s="4"/>
      <c r="EZ323" s="4"/>
      <c r="FA323" s="4"/>
      <c r="FB323" s="4"/>
      <c r="FC323" s="4"/>
      <c r="FD323" s="4"/>
      <c r="FE323" s="4"/>
      <c r="FF323" s="4"/>
    </row>
    <row r="324" spans="1:162" x14ac:dyDescent="0.2">
      <c r="A324" s="2"/>
      <c r="B324" s="2"/>
      <c r="C324" s="2"/>
      <c r="D324" s="4"/>
      <c r="E324" s="4"/>
      <c r="F324" s="4"/>
      <c r="G324" s="4"/>
      <c r="H324" s="4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  <c r="AA324" s="4"/>
      <c r="AB324" s="4"/>
      <c r="AC324" s="4"/>
      <c r="AD324" s="4"/>
      <c r="AE324" s="4"/>
      <c r="AF324" s="4"/>
      <c r="AG324" s="4"/>
      <c r="AH324" s="4"/>
      <c r="AI324" s="4"/>
      <c r="AJ324" s="4"/>
      <c r="AK324" s="4"/>
      <c r="AL324" s="4"/>
      <c r="AM324" s="4"/>
      <c r="AN324" s="4"/>
      <c r="AO324" s="4"/>
      <c r="AP324" s="4"/>
      <c r="AQ324" s="4"/>
      <c r="AR324" s="4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4"/>
      <c r="BX324" s="4"/>
      <c r="BY324" s="4"/>
      <c r="BZ324" s="4"/>
      <c r="CA324" s="4"/>
      <c r="CB324" s="4"/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  <c r="CS324" s="4"/>
      <c r="CT324" s="4"/>
      <c r="CU324" s="4"/>
      <c r="CV324" s="4"/>
      <c r="CW324" s="4"/>
      <c r="CX324" s="4"/>
      <c r="CY324" s="4"/>
      <c r="CZ324" s="4"/>
      <c r="DA324" s="4"/>
      <c r="DB324" s="4"/>
      <c r="DC324" s="4"/>
      <c r="DD324" s="4"/>
      <c r="DE324" s="4"/>
      <c r="DF324" s="4"/>
      <c r="DG324" s="4"/>
      <c r="DH324" s="4"/>
      <c r="DI324" s="4"/>
      <c r="DJ324" s="4"/>
      <c r="DK324" s="4"/>
      <c r="DL324" s="4"/>
      <c r="DM324" s="4"/>
      <c r="DN324" s="4"/>
      <c r="DO324" s="4"/>
      <c r="DP324" s="4"/>
      <c r="DQ324" s="4"/>
      <c r="DR324" s="4"/>
      <c r="DS324" s="4"/>
      <c r="DT324" s="4"/>
      <c r="DU324" s="4"/>
      <c r="DV324" s="4"/>
      <c r="DW324" s="4"/>
      <c r="DX324" s="4"/>
      <c r="DY324" s="4"/>
      <c r="DZ324" s="4"/>
      <c r="EA324" s="4"/>
      <c r="EB324" s="4"/>
      <c r="EC324" s="4"/>
      <c r="ED324" s="4"/>
      <c r="EE324" s="4"/>
      <c r="EF324" s="4"/>
      <c r="EG324" s="4"/>
      <c r="EH324" s="4"/>
      <c r="EI324" s="4"/>
      <c r="EJ324" s="4"/>
      <c r="EK324" s="4"/>
      <c r="EL324" s="4"/>
      <c r="EM324" s="4"/>
      <c r="EN324" s="4"/>
      <c r="EO324" s="4"/>
      <c r="EP324" s="4"/>
      <c r="EQ324" s="4"/>
      <c r="ER324" s="4"/>
      <c r="ES324" s="4"/>
      <c r="ET324" s="4"/>
      <c r="EU324" s="4"/>
      <c r="EV324" s="4"/>
      <c r="EW324" s="4"/>
      <c r="EX324" s="4"/>
      <c r="EY324" s="4"/>
      <c r="EZ324" s="4"/>
      <c r="FA324" s="4"/>
      <c r="FB324" s="4"/>
      <c r="FC324" s="4"/>
      <c r="FD324" s="4"/>
      <c r="FE324" s="4"/>
      <c r="FF324" s="4"/>
    </row>
    <row r="325" spans="1:162" x14ac:dyDescent="0.2">
      <c r="A325" s="2"/>
      <c r="B325" s="2"/>
      <c r="C325" s="2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/>
      <c r="AN325" s="4"/>
      <c r="AO325" s="4"/>
      <c r="AP325" s="4"/>
      <c r="AQ325" s="4"/>
      <c r="AR325" s="4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4"/>
      <c r="BX325" s="4"/>
      <c r="BY325" s="4"/>
      <c r="BZ325" s="4"/>
      <c r="CA325" s="4"/>
      <c r="CB325" s="4"/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  <c r="CS325" s="4"/>
      <c r="CT325" s="4"/>
      <c r="CU325" s="4"/>
      <c r="CV325" s="4"/>
      <c r="CW325" s="4"/>
      <c r="CX325" s="4"/>
      <c r="CY325" s="4"/>
      <c r="CZ325" s="4"/>
      <c r="DA325" s="4"/>
      <c r="DB325" s="4"/>
      <c r="DC325" s="4"/>
      <c r="DD325" s="4"/>
      <c r="DE325" s="4"/>
      <c r="DF325" s="4"/>
      <c r="DG325" s="4"/>
      <c r="DH325" s="4"/>
      <c r="DI325" s="4"/>
      <c r="DJ325" s="4"/>
      <c r="DK325" s="4"/>
      <c r="DL325" s="4"/>
      <c r="DM325" s="4"/>
      <c r="DN325" s="4"/>
      <c r="DO325" s="4"/>
      <c r="DP325" s="4"/>
      <c r="DQ325" s="4"/>
      <c r="DR325" s="4"/>
      <c r="DS325" s="4"/>
      <c r="DT325" s="4"/>
      <c r="DU325" s="4"/>
      <c r="DV325" s="4"/>
      <c r="DW325" s="4"/>
      <c r="DX325" s="4"/>
      <c r="DY325" s="4"/>
      <c r="DZ325" s="4"/>
      <c r="EA325" s="4"/>
      <c r="EB325" s="4"/>
      <c r="EC325" s="4"/>
      <c r="ED325" s="4"/>
      <c r="EE325" s="4"/>
      <c r="EF325" s="4"/>
      <c r="EG325" s="4"/>
      <c r="EH325" s="4"/>
      <c r="EI325" s="4"/>
      <c r="EJ325" s="4"/>
      <c r="EK325" s="4"/>
      <c r="EL325" s="4"/>
      <c r="EM325" s="4"/>
      <c r="EN325" s="4"/>
      <c r="EO325" s="4"/>
      <c r="EP325" s="4"/>
      <c r="EQ325" s="4"/>
      <c r="ER325" s="4"/>
      <c r="ES325" s="4"/>
      <c r="ET325" s="4"/>
      <c r="EU325" s="4"/>
      <c r="EV325" s="4"/>
      <c r="EW325" s="4"/>
      <c r="EX325" s="4"/>
      <c r="EY325" s="4"/>
      <c r="EZ325" s="4"/>
      <c r="FA325" s="4"/>
      <c r="FB325" s="4"/>
      <c r="FC325" s="4"/>
      <c r="FD325" s="4"/>
      <c r="FE325" s="4"/>
      <c r="FF325" s="4"/>
    </row>
    <row r="326" spans="1:162" x14ac:dyDescent="0.2">
      <c r="A326" s="2"/>
      <c r="B326" s="2"/>
      <c r="C326" s="2"/>
      <c r="D326" s="4"/>
      <c r="E326" s="4"/>
      <c r="F326" s="4"/>
      <c r="G326" s="4"/>
      <c r="H326" s="4"/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  <c r="AA326" s="4"/>
      <c r="AB326" s="4"/>
      <c r="AC326" s="4"/>
      <c r="AD326" s="4"/>
      <c r="AE326" s="4"/>
      <c r="AF326" s="4"/>
      <c r="AG326" s="4"/>
      <c r="AH326" s="4"/>
      <c r="AI326" s="4"/>
      <c r="AJ326" s="4"/>
      <c r="AK326" s="4"/>
      <c r="AL326" s="4"/>
      <c r="AM326" s="4"/>
      <c r="AN326" s="4"/>
      <c r="AO326" s="4"/>
      <c r="AP326" s="4"/>
      <c r="AQ326" s="4"/>
      <c r="AR326" s="4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4"/>
      <c r="BX326" s="4"/>
      <c r="BY326" s="4"/>
      <c r="BZ326" s="4"/>
      <c r="CA326" s="4"/>
      <c r="CB326" s="4"/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/>
      <c r="CU326" s="4"/>
      <c r="CV326" s="4"/>
      <c r="CW326" s="4"/>
      <c r="CX326" s="4"/>
      <c r="CY326" s="4"/>
      <c r="CZ326" s="4"/>
      <c r="DA326" s="4"/>
      <c r="DB326" s="4"/>
      <c r="DC326" s="4"/>
      <c r="DD326" s="4"/>
      <c r="DE326" s="4"/>
      <c r="DF326" s="4"/>
      <c r="DG326" s="4"/>
      <c r="DH326" s="4"/>
      <c r="DI326" s="4"/>
      <c r="DJ326" s="4"/>
      <c r="DK326" s="4"/>
      <c r="DL326" s="4"/>
      <c r="DM326" s="4"/>
      <c r="DN326" s="4"/>
      <c r="DO326" s="4"/>
      <c r="DP326" s="4"/>
      <c r="DQ326" s="4"/>
      <c r="DR326" s="4"/>
      <c r="DS326" s="4"/>
      <c r="DT326" s="4"/>
      <c r="DU326" s="4"/>
      <c r="DV326" s="4"/>
      <c r="DW326" s="4"/>
      <c r="DX326" s="4"/>
      <c r="DY326" s="4"/>
      <c r="DZ326" s="4"/>
      <c r="EA326" s="4"/>
      <c r="EB326" s="4"/>
      <c r="EC326" s="4"/>
      <c r="ED326" s="4"/>
      <c r="EE326" s="4"/>
      <c r="EF326" s="4"/>
      <c r="EG326" s="4"/>
      <c r="EH326" s="4"/>
      <c r="EI326" s="4"/>
      <c r="EJ326" s="4"/>
      <c r="EK326" s="4"/>
      <c r="EL326" s="4"/>
      <c r="EM326" s="4"/>
      <c r="EN326" s="4"/>
      <c r="EO326" s="4"/>
      <c r="EP326" s="4"/>
      <c r="EQ326" s="4"/>
      <c r="ER326" s="4"/>
      <c r="ES326" s="4"/>
      <c r="ET326" s="4"/>
      <c r="EU326" s="4"/>
      <c r="EV326" s="4"/>
      <c r="EW326" s="4"/>
      <c r="EX326" s="4"/>
      <c r="EY326" s="4"/>
      <c r="EZ326" s="4"/>
      <c r="FA326" s="4"/>
      <c r="FB326" s="4"/>
      <c r="FC326" s="4"/>
      <c r="FD326" s="4"/>
      <c r="FE326" s="4"/>
      <c r="FF326" s="4"/>
    </row>
    <row r="327" spans="1:162" x14ac:dyDescent="0.2">
      <c r="A327" s="2"/>
      <c r="B327" s="2"/>
      <c r="C327" s="2"/>
      <c r="D327" s="4"/>
      <c r="E327" s="4"/>
      <c r="F327" s="4"/>
      <c r="G327" s="4"/>
      <c r="H327" s="4"/>
      <c r="I327" s="4"/>
      <c r="J327" s="4"/>
      <c r="K327" s="4"/>
      <c r="L327" s="4"/>
      <c r="M327" s="4"/>
      <c r="N327" s="4"/>
      <c r="O327" s="4"/>
      <c r="P327" s="4"/>
      <c r="Q327" s="4"/>
      <c r="R327" s="4"/>
      <c r="S327" s="4"/>
      <c r="T327" s="4"/>
      <c r="U327" s="4"/>
      <c r="V327" s="4"/>
      <c r="W327" s="4"/>
      <c r="X327" s="4"/>
      <c r="Y327" s="4"/>
      <c r="Z327" s="4"/>
      <c r="AA327" s="4"/>
      <c r="AB327" s="4"/>
      <c r="AC327" s="4"/>
      <c r="AD327" s="4"/>
      <c r="AE327" s="4"/>
      <c r="AF327" s="4"/>
      <c r="AG327" s="4"/>
      <c r="AH327" s="4"/>
      <c r="AI327" s="4"/>
      <c r="AJ327" s="4"/>
      <c r="AK327" s="4"/>
      <c r="AL327" s="4"/>
      <c r="AM327" s="4"/>
      <c r="AN327" s="4"/>
      <c r="AO327" s="4"/>
      <c r="AP327" s="4"/>
      <c r="AQ327" s="4"/>
      <c r="AR327" s="4"/>
      <c r="AS327" s="4"/>
      <c r="AT327" s="4"/>
      <c r="AU327" s="4"/>
      <c r="AV327" s="4"/>
      <c r="AW327" s="4"/>
      <c r="AX327" s="4"/>
      <c r="AY327" s="4"/>
      <c r="AZ327" s="4"/>
      <c r="BA327" s="4"/>
      <c r="BB327" s="4"/>
      <c r="BC327" s="4"/>
      <c r="BD327" s="4"/>
      <c r="BE327" s="4"/>
      <c r="BF327" s="4"/>
      <c r="BG327" s="4"/>
      <c r="BH327" s="4"/>
      <c r="BI327" s="4"/>
      <c r="BJ327" s="4"/>
      <c r="BK327" s="4"/>
      <c r="BL327" s="4"/>
      <c r="BM327" s="4"/>
      <c r="BN327" s="4"/>
      <c r="BO327" s="4"/>
      <c r="BP327" s="4"/>
      <c r="BQ327" s="4"/>
      <c r="BR327" s="4"/>
      <c r="BS327" s="4"/>
      <c r="BT327" s="4"/>
      <c r="BU327" s="4"/>
      <c r="BV327" s="4"/>
      <c r="BW327" s="4"/>
      <c r="BX327" s="4"/>
      <c r="BY327" s="4"/>
      <c r="BZ327" s="4"/>
      <c r="CA327" s="4"/>
      <c r="CB327" s="4"/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  <c r="CS327" s="4"/>
      <c r="CT327" s="4"/>
      <c r="CU327" s="4"/>
      <c r="CV327" s="4"/>
      <c r="CW327" s="4"/>
      <c r="CX327" s="4"/>
      <c r="CY327" s="4"/>
      <c r="CZ327" s="4"/>
      <c r="DA327" s="4"/>
      <c r="DB327" s="4"/>
      <c r="DC327" s="4"/>
      <c r="DD327" s="4"/>
      <c r="DE327" s="4"/>
      <c r="DF327" s="4"/>
      <c r="DG327" s="4"/>
      <c r="DH327" s="4"/>
      <c r="DI327" s="4"/>
      <c r="DJ327" s="4"/>
      <c r="DK327" s="4"/>
      <c r="DL327" s="4"/>
      <c r="DM327" s="4"/>
      <c r="DN327" s="4"/>
      <c r="DO327" s="4"/>
      <c r="DP327" s="4"/>
      <c r="DQ327" s="4"/>
      <c r="DR327" s="4"/>
      <c r="DS327" s="4"/>
      <c r="DT327" s="4"/>
      <c r="DU327" s="4"/>
      <c r="DV327" s="4"/>
      <c r="DW327" s="4"/>
      <c r="DX327" s="4"/>
      <c r="DY327" s="4"/>
      <c r="DZ327" s="4"/>
      <c r="EA327" s="4"/>
      <c r="EB327" s="4"/>
      <c r="EC327" s="4"/>
      <c r="ED327" s="4"/>
      <c r="EE327" s="4"/>
      <c r="EF327" s="4"/>
      <c r="EG327" s="4"/>
      <c r="EH327" s="4"/>
      <c r="EI327" s="4"/>
      <c r="EJ327" s="4"/>
      <c r="EK327" s="4"/>
      <c r="EL327" s="4"/>
      <c r="EM327" s="4"/>
      <c r="EN327" s="4"/>
      <c r="EO327" s="4"/>
      <c r="EP327" s="4"/>
      <c r="EQ327" s="4"/>
      <c r="ER327" s="4"/>
      <c r="ES327" s="4"/>
      <c r="ET327" s="4"/>
      <c r="EU327" s="4"/>
      <c r="EV327" s="4"/>
      <c r="EW327" s="4"/>
      <c r="EX327" s="4"/>
      <c r="EY327" s="4"/>
      <c r="EZ327" s="4"/>
      <c r="FA327" s="4"/>
      <c r="FB327" s="4"/>
      <c r="FC327" s="4"/>
      <c r="FD327" s="4"/>
      <c r="FE327" s="4"/>
      <c r="FF327" s="4"/>
    </row>
    <row r="328" spans="1:162" x14ac:dyDescent="0.2">
      <c r="A328" s="2"/>
      <c r="B328" s="2"/>
      <c r="C328" s="2"/>
      <c r="D328" s="4"/>
      <c r="E328" s="4"/>
      <c r="F328" s="4"/>
      <c r="G328" s="4"/>
      <c r="H328" s="4"/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  <c r="AA328" s="4"/>
      <c r="AB328" s="4"/>
      <c r="AC328" s="4"/>
      <c r="AD328" s="4"/>
      <c r="AE328" s="4"/>
      <c r="AF328" s="4"/>
      <c r="AG328" s="4"/>
      <c r="AH328" s="4"/>
      <c r="AI328" s="4"/>
      <c r="AJ328" s="4"/>
      <c r="AK328" s="4"/>
      <c r="AL328" s="4"/>
      <c r="AM328" s="4"/>
      <c r="AN328" s="4"/>
      <c r="AO328" s="4"/>
      <c r="AP328" s="4"/>
      <c r="AQ328" s="4"/>
      <c r="AR328" s="4"/>
      <c r="AS328" s="4"/>
      <c r="AT328" s="4"/>
      <c r="AU328" s="4"/>
      <c r="AV328" s="4"/>
      <c r="AW328" s="4"/>
      <c r="AX328" s="4"/>
      <c r="AY328" s="4"/>
      <c r="AZ328" s="4"/>
      <c r="BA328" s="4"/>
      <c r="BB328" s="4"/>
      <c r="BC328" s="4"/>
      <c r="BD328" s="4"/>
      <c r="BE328" s="4"/>
      <c r="BF328" s="4"/>
      <c r="BG328" s="4"/>
      <c r="BH328" s="4"/>
      <c r="BI328" s="4"/>
      <c r="BJ328" s="4"/>
      <c r="BK328" s="4"/>
      <c r="BL328" s="4"/>
      <c r="BM328" s="4"/>
      <c r="BN328" s="4"/>
      <c r="BO328" s="4"/>
      <c r="BP328" s="4"/>
      <c r="BQ328" s="4"/>
      <c r="BR328" s="4"/>
      <c r="BS328" s="4"/>
      <c r="BT328" s="4"/>
      <c r="BU328" s="4"/>
      <c r="BV328" s="4"/>
      <c r="BW328" s="4"/>
      <c r="BX328" s="4"/>
      <c r="BY328" s="4"/>
      <c r="BZ328" s="4"/>
      <c r="CA328" s="4"/>
      <c r="CB328" s="4"/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  <c r="DC328" s="4"/>
      <c r="DD328" s="4"/>
      <c r="DE328" s="4"/>
      <c r="DF328" s="4"/>
      <c r="DG328" s="4"/>
      <c r="DH328" s="4"/>
      <c r="DI328" s="4"/>
      <c r="DJ328" s="4"/>
      <c r="DK328" s="4"/>
      <c r="DL328" s="4"/>
      <c r="DM328" s="4"/>
      <c r="DN328" s="4"/>
      <c r="DO328" s="4"/>
      <c r="DP328" s="4"/>
      <c r="DQ328" s="4"/>
      <c r="DR328" s="4"/>
      <c r="DS328" s="4"/>
      <c r="DT328" s="4"/>
      <c r="DU328" s="4"/>
      <c r="DV328" s="4"/>
      <c r="DW328" s="4"/>
      <c r="DX328" s="4"/>
      <c r="DY328" s="4"/>
      <c r="DZ328" s="4"/>
      <c r="EA328" s="4"/>
      <c r="EB328" s="4"/>
      <c r="EC328" s="4"/>
      <c r="ED328" s="4"/>
      <c r="EE328" s="4"/>
      <c r="EF328" s="4"/>
      <c r="EG328" s="4"/>
      <c r="EH328" s="4"/>
      <c r="EI328" s="4"/>
      <c r="EJ328" s="4"/>
      <c r="EK328" s="4"/>
      <c r="EL328" s="4"/>
      <c r="EM328" s="4"/>
      <c r="EN328" s="4"/>
      <c r="EO328" s="4"/>
      <c r="EP328" s="4"/>
      <c r="EQ328" s="4"/>
      <c r="ER328" s="4"/>
      <c r="ES328" s="4"/>
      <c r="ET328" s="4"/>
      <c r="EU328" s="4"/>
      <c r="EV328" s="4"/>
      <c r="EW328" s="4"/>
      <c r="EX328" s="4"/>
      <c r="EY328" s="4"/>
      <c r="EZ328" s="4"/>
      <c r="FA328" s="4"/>
      <c r="FB328" s="4"/>
      <c r="FC328" s="4"/>
      <c r="FD328" s="4"/>
      <c r="FE328" s="4"/>
      <c r="FF328" s="4"/>
    </row>
    <row r="329" spans="1:162" x14ac:dyDescent="0.2">
      <c r="A329" s="2"/>
      <c r="B329" s="2"/>
      <c r="C329" s="2"/>
      <c r="D329" s="4"/>
      <c r="E329" s="4"/>
      <c r="F329" s="4"/>
      <c r="G329" s="4"/>
      <c r="H329" s="4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  <c r="AA329" s="4"/>
      <c r="AB329" s="4"/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/>
      <c r="AN329" s="4"/>
      <c r="AO329" s="4"/>
      <c r="AP329" s="4"/>
      <c r="AQ329" s="4"/>
      <c r="AR329" s="4"/>
      <c r="AS329" s="4"/>
      <c r="AT329" s="4"/>
      <c r="AU329" s="4"/>
      <c r="AV329" s="4"/>
      <c r="AW329" s="4"/>
      <c r="AX329" s="4"/>
      <c r="AY329" s="4"/>
      <c r="AZ329" s="4"/>
      <c r="BA329" s="4"/>
      <c r="BB329" s="4"/>
      <c r="BC329" s="4"/>
      <c r="BD329" s="4"/>
      <c r="BE329" s="4"/>
      <c r="BF329" s="4"/>
      <c r="BG329" s="4"/>
      <c r="BH329" s="4"/>
      <c r="BI329" s="4"/>
      <c r="BJ329" s="4"/>
      <c r="BK329" s="4"/>
      <c r="BL329" s="4"/>
      <c r="BM329" s="4"/>
      <c r="BN329" s="4"/>
      <c r="BO329" s="4"/>
      <c r="BP329" s="4"/>
      <c r="BQ329" s="4"/>
      <c r="BR329" s="4"/>
      <c r="BS329" s="4"/>
      <c r="BT329" s="4"/>
      <c r="BU329" s="4"/>
      <c r="BV329" s="4"/>
      <c r="BW329" s="4"/>
      <c r="BX329" s="4"/>
      <c r="BY329" s="4"/>
      <c r="BZ329" s="4"/>
      <c r="CA329" s="4"/>
      <c r="CB329" s="4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/>
      <c r="CU329" s="4"/>
      <c r="CV329" s="4"/>
      <c r="CW329" s="4"/>
      <c r="CX329" s="4"/>
      <c r="CY329" s="4"/>
      <c r="CZ329" s="4"/>
      <c r="DA329" s="4"/>
      <c r="DB329" s="4"/>
      <c r="DC329" s="4"/>
      <c r="DD329" s="4"/>
      <c r="DE329" s="4"/>
      <c r="DF329" s="4"/>
      <c r="DG329" s="4"/>
      <c r="DH329" s="4"/>
      <c r="DI329" s="4"/>
      <c r="DJ329" s="4"/>
      <c r="DK329" s="4"/>
      <c r="DL329" s="4"/>
      <c r="DM329" s="4"/>
      <c r="DN329" s="4"/>
      <c r="DO329" s="4"/>
      <c r="DP329" s="4"/>
      <c r="DQ329" s="4"/>
      <c r="DR329" s="4"/>
      <c r="DS329" s="4"/>
      <c r="DT329" s="4"/>
      <c r="DU329" s="4"/>
      <c r="DV329" s="4"/>
      <c r="DW329" s="4"/>
      <c r="DX329" s="4"/>
      <c r="DY329" s="4"/>
      <c r="DZ329" s="4"/>
      <c r="EA329" s="4"/>
      <c r="EB329" s="4"/>
      <c r="EC329" s="4"/>
      <c r="ED329" s="4"/>
      <c r="EE329" s="4"/>
      <c r="EF329" s="4"/>
      <c r="EG329" s="4"/>
      <c r="EH329" s="4"/>
      <c r="EI329" s="4"/>
      <c r="EJ329" s="4"/>
      <c r="EK329" s="4"/>
      <c r="EL329" s="4"/>
      <c r="EM329" s="4"/>
      <c r="EN329" s="4"/>
      <c r="EO329" s="4"/>
      <c r="EP329" s="4"/>
      <c r="EQ329" s="4"/>
      <c r="ER329" s="4"/>
      <c r="ES329" s="4"/>
      <c r="ET329" s="4"/>
      <c r="EU329" s="4"/>
      <c r="EV329" s="4"/>
      <c r="EW329" s="4"/>
      <c r="EX329" s="4"/>
      <c r="EY329" s="4"/>
      <c r="EZ329" s="4"/>
      <c r="FA329" s="4"/>
      <c r="FB329" s="4"/>
      <c r="FC329" s="4"/>
      <c r="FD329" s="4"/>
      <c r="FE329" s="4"/>
      <c r="FF329" s="4"/>
    </row>
    <row r="330" spans="1:162" x14ac:dyDescent="0.2">
      <c r="A330" s="2"/>
      <c r="B330" s="2"/>
      <c r="C330" s="2"/>
      <c r="D330" s="4"/>
      <c r="E330" s="4"/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  <c r="AA330" s="4"/>
      <c r="AB330" s="4"/>
      <c r="AC330" s="4"/>
      <c r="AD330" s="4"/>
      <c r="AE330" s="4"/>
      <c r="AF330" s="4"/>
      <c r="AG330" s="4"/>
      <c r="AH330" s="4"/>
      <c r="AI330" s="4"/>
      <c r="AJ330" s="4"/>
      <c r="AK330" s="4"/>
      <c r="AL330" s="4"/>
      <c r="AM330" s="4"/>
      <c r="AN330" s="4"/>
      <c r="AO330" s="4"/>
      <c r="AP330" s="4"/>
      <c r="AQ330" s="4"/>
      <c r="AR330" s="4"/>
      <c r="AS330" s="4"/>
      <c r="AT330" s="4"/>
      <c r="AU330" s="4"/>
      <c r="AV330" s="4"/>
      <c r="AW330" s="4"/>
      <c r="AX330" s="4"/>
      <c r="AY330" s="4"/>
      <c r="AZ330" s="4"/>
      <c r="BA330" s="4"/>
      <c r="BB330" s="4"/>
      <c r="BC330" s="4"/>
      <c r="BD330" s="4"/>
      <c r="BE330" s="4"/>
      <c r="BF330" s="4"/>
      <c r="BG330" s="4"/>
      <c r="BH330" s="4"/>
      <c r="BI330" s="4"/>
      <c r="BJ330" s="4"/>
      <c r="BK330" s="4"/>
      <c r="BL330" s="4"/>
      <c r="BM330" s="4"/>
      <c r="BN330" s="4"/>
      <c r="BO330" s="4"/>
      <c r="BP330" s="4"/>
      <c r="BQ330" s="4"/>
      <c r="BR330" s="4"/>
      <c r="BS330" s="4"/>
      <c r="BT330" s="4"/>
      <c r="BU330" s="4"/>
      <c r="BV330" s="4"/>
      <c r="BW330" s="4"/>
      <c r="BX330" s="4"/>
      <c r="BY330" s="4"/>
      <c r="BZ330" s="4"/>
      <c r="CA330" s="4"/>
      <c r="CB330" s="4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/>
      <c r="CU330" s="4"/>
      <c r="CV330" s="4"/>
      <c r="CW330" s="4"/>
      <c r="CX330" s="4"/>
      <c r="CY330" s="4"/>
      <c r="CZ330" s="4"/>
      <c r="DA330" s="4"/>
      <c r="DB330" s="4"/>
      <c r="DC330" s="4"/>
      <c r="DD330" s="4"/>
      <c r="DE330" s="4"/>
      <c r="DF330" s="4"/>
      <c r="DG330" s="4"/>
      <c r="DH330" s="4"/>
      <c r="DI330" s="4"/>
      <c r="DJ330" s="4"/>
      <c r="DK330" s="4"/>
      <c r="DL330" s="4"/>
      <c r="DM330" s="4"/>
      <c r="DN330" s="4"/>
      <c r="DO330" s="4"/>
      <c r="DP330" s="4"/>
      <c r="DQ330" s="4"/>
      <c r="DR330" s="4"/>
      <c r="DS330" s="4"/>
      <c r="DT330" s="4"/>
      <c r="DU330" s="4"/>
      <c r="DV330" s="4"/>
      <c r="DW330" s="4"/>
      <c r="DX330" s="4"/>
      <c r="DY330" s="4"/>
      <c r="DZ330" s="4"/>
      <c r="EA330" s="4"/>
      <c r="EB330" s="4"/>
      <c r="EC330" s="4"/>
      <c r="ED330" s="4"/>
      <c r="EE330" s="4"/>
      <c r="EF330" s="4"/>
      <c r="EG330" s="4"/>
      <c r="EH330" s="4"/>
      <c r="EI330" s="4"/>
      <c r="EJ330" s="4"/>
      <c r="EK330" s="4"/>
      <c r="EL330" s="4"/>
      <c r="EM330" s="4"/>
      <c r="EN330" s="4"/>
      <c r="EO330" s="4"/>
      <c r="EP330" s="4"/>
      <c r="EQ330" s="4"/>
      <c r="ER330" s="4"/>
      <c r="ES330" s="4"/>
      <c r="ET330" s="4"/>
      <c r="EU330" s="4"/>
      <c r="EV330" s="4"/>
      <c r="EW330" s="4"/>
      <c r="EX330" s="4"/>
      <c r="EY330" s="4"/>
      <c r="EZ330" s="4"/>
      <c r="FA330" s="4"/>
      <c r="FB330" s="4"/>
      <c r="FC330" s="4"/>
      <c r="FD330" s="4"/>
      <c r="FE330" s="4"/>
      <c r="FF330" s="4"/>
    </row>
    <row r="331" spans="1:162" x14ac:dyDescent="0.2">
      <c r="A331" s="2"/>
      <c r="B331" s="2"/>
      <c r="C331" s="2"/>
      <c r="D331" s="4"/>
      <c r="E331" s="4"/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  <c r="AA331" s="4"/>
      <c r="AB331" s="4"/>
      <c r="AC331" s="4"/>
      <c r="AD331" s="4"/>
      <c r="AE331" s="4"/>
      <c r="AF331" s="4"/>
      <c r="AG331" s="4"/>
      <c r="AH331" s="4"/>
      <c r="AI331" s="4"/>
      <c r="AJ331" s="4"/>
      <c r="AK331" s="4"/>
      <c r="AL331" s="4"/>
      <c r="AM331" s="4"/>
      <c r="AN331" s="4"/>
      <c r="AO331" s="4"/>
      <c r="AP331" s="4"/>
      <c r="AQ331" s="4"/>
      <c r="AR331" s="4"/>
      <c r="AS331" s="4"/>
      <c r="AT331" s="4"/>
      <c r="AU331" s="4"/>
      <c r="AV331" s="4"/>
      <c r="AW331" s="4"/>
      <c r="AX331" s="4"/>
      <c r="AY331" s="4"/>
      <c r="AZ331" s="4"/>
      <c r="BA331" s="4"/>
      <c r="BB331" s="4"/>
      <c r="BC331" s="4"/>
      <c r="BD331" s="4"/>
      <c r="BE331" s="4"/>
      <c r="BF331" s="4"/>
      <c r="BG331" s="4"/>
      <c r="BH331" s="4"/>
      <c r="BI331" s="4"/>
      <c r="BJ331" s="4"/>
      <c r="BK331" s="4"/>
      <c r="BL331" s="4"/>
      <c r="BM331" s="4"/>
      <c r="BN331" s="4"/>
      <c r="BO331" s="4"/>
      <c r="BP331" s="4"/>
      <c r="BQ331" s="4"/>
      <c r="BR331" s="4"/>
      <c r="BS331" s="4"/>
      <c r="BT331" s="4"/>
      <c r="BU331" s="4"/>
      <c r="BV331" s="4"/>
      <c r="BW331" s="4"/>
      <c r="BX331" s="4"/>
      <c r="BY331" s="4"/>
      <c r="BZ331" s="4"/>
      <c r="CA331" s="4"/>
      <c r="CB331" s="4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/>
      <c r="CT331" s="4"/>
      <c r="CU331" s="4"/>
      <c r="CV331" s="4"/>
      <c r="CW331" s="4"/>
      <c r="CX331" s="4"/>
      <c r="CY331" s="4"/>
      <c r="CZ331" s="4"/>
      <c r="DA331" s="4"/>
      <c r="DB331" s="4"/>
      <c r="DC331" s="4"/>
      <c r="DD331" s="4"/>
      <c r="DE331" s="4"/>
      <c r="DF331" s="4"/>
      <c r="DG331" s="4"/>
      <c r="DH331" s="4"/>
      <c r="DI331" s="4"/>
      <c r="DJ331" s="4"/>
      <c r="DK331" s="4"/>
      <c r="DL331" s="4"/>
      <c r="DM331" s="4"/>
      <c r="DN331" s="4"/>
      <c r="DO331" s="4"/>
      <c r="DP331" s="4"/>
      <c r="DQ331" s="4"/>
      <c r="DR331" s="4"/>
      <c r="DS331" s="4"/>
      <c r="DT331" s="4"/>
      <c r="DU331" s="4"/>
      <c r="DV331" s="4"/>
      <c r="DW331" s="4"/>
      <c r="DX331" s="4"/>
      <c r="DY331" s="4"/>
      <c r="DZ331" s="4"/>
      <c r="EA331" s="4"/>
      <c r="EB331" s="4"/>
      <c r="EC331" s="4"/>
      <c r="ED331" s="4"/>
      <c r="EE331" s="4"/>
      <c r="EF331" s="4"/>
      <c r="EG331" s="4"/>
      <c r="EH331" s="4"/>
      <c r="EI331" s="4"/>
      <c r="EJ331" s="4"/>
      <c r="EK331" s="4"/>
      <c r="EL331" s="4"/>
      <c r="EM331" s="4"/>
      <c r="EN331" s="4"/>
      <c r="EO331" s="4"/>
      <c r="EP331" s="4"/>
      <c r="EQ331" s="4"/>
      <c r="ER331" s="4"/>
      <c r="ES331" s="4"/>
      <c r="ET331" s="4"/>
      <c r="EU331" s="4"/>
      <c r="EV331" s="4"/>
      <c r="EW331" s="4"/>
      <c r="EX331" s="4"/>
      <c r="EY331" s="4"/>
      <c r="EZ331" s="4"/>
      <c r="FA331" s="4"/>
      <c r="FB331" s="4"/>
      <c r="FC331" s="4"/>
      <c r="FD331" s="4"/>
      <c r="FE331" s="4"/>
      <c r="FF331" s="4"/>
    </row>
    <row r="332" spans="1:162" x14ac:dyDescent="0.2">
      <c r="A332" s="2"/>
      <c r="B332" s="2"/>
      <c r="C332" s="2"/>
      <c r="D332" s="4"/>
      <c r="E332" s="4"/>
      <c r="F332" s="4"/>
      <c r="G332" s="4"/>
      <c r="H332" s="4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  <c r="AA332" s="4"/>
      <c r="AB332" s="4"/>
      <c r="AC332" s="4"/>
      <c r="AD332" s="4"/>
      <c r="AE332" s="4"/>
      <c r="AF332" s="4"/>
      <c r="AG332" s="4"/>
      <c r="AH332" s="4"/>
      <c r="AI332" s="4"/>
      <c r="AJ332" s="4"/>
      <c r="AK332" s="4"/>
      <c r="AL332" s="4"/>
      <c r="AM332" s="4"/>
      <c r="AN332" s="4"/>
      <c r="AO332" s="4"/>
      <c r="AP332" s="4"/>
      <c r="AQ332" s="4"/>
      <c r="AR332" s="4"/>
      <c r="AS332" s="4"/>
      <c r="AT332" s="4"/>
      <c r="AU332" s="4"/>
      <c r="AV332" s="4"/>
      <c r="AW332" s="4"/>
      <c r="AX332" s="4"/>
      <c r="AY332" s="4"/>
      <c r="AZ332" s="4"/>
      <c r="BA332" s="4"/>
      <c r="BB332" s="4"/>
      <c r="BC332" s="4"/>
      <c r="BD332" s="4"/>
      <c r="BE332" s="4"/>
      <c r="BF332" s="4"/>
      <c r="BG332" s="4"/>
      <c r="BH332" s="4"/>
      <c r="BI332" s="4"/>
      <c r="BJ332" s="4"/>
      <c r="BK332" s="4"/>
      <c r="BL332" s="4"/>
      <c r="BM332" s="4"/>
      <c r="BN332" s="4"/>
      <c r="BO332" s="4"/>
      <c r="BP332" s="4"/>
      <c r="BQ332" s="4"/>
      <c r="BR332" s="4"/>
      <c r="BS332" s="4"/>
      <c r="BT332" s="4"/>
      <c r="BU332" s="4"/>
      <c r="BV332" s="4"/>
      <c r="BW332" s="4"/>
      <c r="BX332" s="4"/>
      <c r="BY332" s="4"/>
      <c r="BZ332" s="4"/>
      <c r="CA332" s="4"/>
      <c r="CB332" s="4"/>
      <c r="CC332" s="4"/>
      <c r="CD332" s="4"/>
      <c r="CE332" s="4"/>
      <c r="CF332" s="4"/>
      <c r="CG332" s="4"/>
      <c r="CH332" s="4"/>
      <c r="CI332" s="4"/>
      <c r="CJ332" s="4"/>
      <c r="CK332" s="4"/>
      <c r="CL332" s="4"/>
      <c r="CM332" s="4"/>
      <c r="CN332" s="4"/>
      <c r="CO332" s="4"/>
      <c r="CP332" s="4"/>
      <c r="CQ332" s="4"/>
      <c r="CR332" s="4"/>
      <c r="CS332" s="4"/>
      <c r="CT332" s="4"/>
      <c r="CU332" s="4"/>
      <c r="CV332" s="4"/>
      <c r="CW332" s="4"/>
      <c r="CX332" s="4"/>
      <c r="CY332" s="4"/>
      <c r="CZ332" s="4"/>
      <c r="DA332" s="4"/>
      <c r="DB332" s="4"/>
      <c r="DC332" s="4"/>
      <c r="DD332" s="4"/>
      <c r="DE332" s="4"/>
      <c r="DF332" s="4"/>
      <c r="DG332" s="4"/>
      <c r="DH332" s="4"/>
      <c r="DI332" s="4"/>
      <c r="DJ332" s="4"/>
      <c r="DK332" s="4"/>
      <c r="DL332" s="4"/>
      <c r="DM332" s="4"/>
      <c r="DN332" s="4"/>
      <c r="DO332" s="4"/>
      <c r="DP332" s="4"/>
      <c r="DQ332" s="4"/>
      <c r="DR332" s="4"/>
      <c r="DS332" s="4"/>
      <c r="DT332" s="4"/>
      <c r="DU332" s="4"/>
      <c r="DV332" s="4"/>
      <c r="DW332" s="4"/>
      <c r="DX332" s="4"/>
      <c r="DY332" s="4"/>
      <c r="DZ332" s="4"/>
      <c r="EA332" s="4"/>
      <c r="EB332" s="4"/>
      <c r="EC332" s="4"/>
      <c r="ED332" s="4"/>
      <c r="EE332" s="4"/>
      <c r="EF332" s="4"/>
      <c r="EG332" s="4"/>
      <c r="EH332" s="4"/>
      <c r="EI332" s="4"/>
      <c r="EJ332" s="4"/>
      <c r="EK332" s="4"/>
      <c r="EL332" s="4"/>
      <c r="EM332" s="4"/>
      <c r="EN332" s="4"/>
      <c r="EO332" s="4"/>
      <c r="EP332" s="4"/>
      <c r="EQ332" s="4"/>
      <c r="ER332" s="4"/>
      <c r="ES332" s="4"/>
      <c r="ET332" s="4"/>
      <c r="EU332" s="4"/>
      <c r="EV332" s="4"/>
      <c r="EW332" s="4"/>
      <c r="EX332" s="4"/>
      <c r="EY332" s="4"/>
      <c r="EZ332" s="4"/>
      <c r="FA332" s="4"/>
      <c r="FB332" s="4"/>
      <c r="FC332" s="4"/>
      <c r="FD332" s="4"/>
      <c r="FE332" s="4"/>
      <c r="FF332" s="4"/>
    </row>
    <row r="333" spans="1:162" x14ac:dyDescent="0.2">
      <c r="A333" s="2"/>
      <c r="B333" s="2"/>
      <c r="C333" s="2"/>
      <c r="D333" s="4"/>
      <c r="E333" s="4"/>
      <c r="F333" s="4"/>
      <c r="G333" s="4"/>
      <c r="H333" s="4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  <c r="AA333" s="4"/>
      <c r="AB333" s="4"/>
      <c r="AC333" s="4"/>
      <c r="AD333" s="4"/>
      <c r="AE333" s="4"/>
      <c r="AF333" s="4"/>
      <c r="AG333" s="4"/>
      <c r="AH333" s="4"/>
      <c r="AI333" s="4"/>
      <c r="AJ333" s="4"/>
      <c r="AK333" s="4"/>
      <c r="AL333" s="4"/>
      <c r="AM333" s="4"/>
      <c r="AN333" s="4"/>
      <c r="AO333" s="4"/>
      <c r="AP333" s="4"/>
      <c r="AQ333" s="4"/>
      <c r="AR333" s="4"/>
      <c r="AS333" s="4"/>
      <c r="AT333" s="4"/>
      <c r="AU333" s="4"/>
      <c r="AV333" s="4"/>
      <c r="AW333" s="4"/>
      <c r="AX333" s="4"/>
      <c r="AY333" s="4"/>
      <c r="AZ333" s="4"/>
      <c r="BA333" s="4"/>
      <c r="BB333" s="4"/>
      <c r="BC333" s="4"/>
      <c r="BD333" s="4"/>
      <c r="BE333" s="4"/>
      <c r="BF333" s="4"/>
      <c r="BG333" s="4"/>
      <c r="BH333" s="4"/>
      <c r="BI333" s="4"/>
      <c r="BJ333" s="4"/>
      <c r="BK333" s="4"/>
      <c r="BL333" s="4"/>
      <c r="BM333" s="4"/>
      <c r="BN333" s="4"/>
      <c r="BO333" s="4"/>
      <c r="BP333" s="4"/>
      <c r="BQ333" s="4"/>
      <c r="BR333" s="4"/>
      <c r="BS333" s="4"/>
      <c r="BT333" s="4"/>
      <c r="BU333" s="4"/>
      <c r="BV333" s="4"/>
      <c r="BW333" s="4"/>
      <c r="BX333" s="4"/>
      <c r="BY333" s="4"/>
      <c r="BZ333" s="4"/>
      <c r="CA333" s="4"/>
      <c r="CB333" s="4"/>
      <c r="CC333" s="4"/>
      <c r="CD333" s="4"/>
      <c r="CE333" s="4"/>
      <c r="CF333" s="4"/>
      <c r="CG333" s="4"/>
      <c r="CH333" s="4"/>
      <c r="CI333" s="4"/>
      <c r="CJ333" s="4"/>
      <c r="CK333" s="4"/>
      <c r="CL333" s="4"/>
      <c r="CM333" s="4"/>
      <c r="CN333" s="4"/>
      <c r="CO333" s="4"/>
      <c r="CP333" s="4"/>
      <c r="CQ333" s="4"/>
      <c r="CR333" s="4"/>
      <c r="CS333" s="4"/>
      <c r="CT333" s="4"/>
      <c r="CU333" s="4"/>
      <c r="CV333" s="4"/>
      <c r="CW333" s="4"/>
      <c r="CX333" s="4"/>
      <c r="CY333" s="4"/>
      <c r="CZ333" s="4"/>
      <c r="DA333" s="4"/>
      <c r="DB333" s="4"/>
      <c r="DC333" s="4"/>
      <c r="DD333" s="4"/>
      <c r="DE333" s="4"/>
      <c r="DF333" s="4"/>
      <c r="DG333" s="4"/>
      <c r="DH333" s="4"/>
      <c r="DI333" s="4"/>
      <c r="DJ333" s="4"/>
      <c r="DK333" s="4"/>
      <c r="DL333" s="4"/>
      <c r="DM333" s="4"/>
      <c r="DN333" s="4"/>
      <c r="DO333" s="4"/>
      <c r="DP333" s="4"/>
      <c r="DQ333" s="4"/>
      <c r="DR333" s="4"/>
      <c r="DS333" s="4"/>
      <c r="DT333" s="4"/>
      <c r="DU333" s="4"/>
      <c r="DV333" s="4"/>
      <c r="DW333" s="4"/>
      <c r="DX333" s="4"/>
      <c r="DY333" s="4"/>
      <c r="DZ333" s="4"/>
      <c r="EA333" s="4"/>
      <c r="EB333" s="4"/>
      <c r="EC333" s="4"/>
      <c r="ED333" s="4"/>
      <c r="EE333" s="4"/>
      <c r="EF333" s="4"/>
      <c r="EG333" s="4"/>
      <c r="EH333" s="4"/>
      <c r="EI333" s="4"/>
      <c r="EJ333" s="4"/>
      <c r="EK333" s="4"/>
      <c r="EL333" s="4"/>
      <c r="EM333" s="4"/>
      <c r="EN333" s="4"/>
      <c r="EO333" s="4"/>
      <c r="EP333" s="4"/>
      <c r="EQ333" s="4"/>
      <c r="ER333" s="4"/>
      <c r="ES333" s="4"/>
      <c r="ET333" s="4"/>
      <c r="EU333" s="4"/>
      <c r="EV333" s="4"/>
      <c r="EW333" s="4"/>
      <c r="EX333" s="4"/>
      <c r="EY333" s="4"/>
      <c r="EZ333" s="4"/>
      <c r="FA333" s="4"/>
      <c r="FB333" s="4"/>
      <c r="FC333" s="4"/>
      <c r="FD333" s="4"/>
      <c r="FE333" s="4"/>
      <c r="FF333" s="4"/>
    </row>
    <row r="334" spans="1:162" x14ac:dyDescent="0.2">
      <c r="A334" s="2"/>
      <c r="B334" s="2"/>
      <c r="C334" s="2"/>
      <c r="D334" s="4"/>
      <c r="E334" s="4"/>
      <c r="F334" s="4"/>
      <c r="G334" s="4"/>
      <c r="H334" s="4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  <c r="AA334" s="4"/>
      <c r="AB334" s="4"/>
      <c r="AC334" s="4"/>
      <c r="AD334" s="4"/>
      <c r="AE334" s="4"/>
      <c r="AF334" s="4"/>
      <c r="AG334" s="4"/>
      <c r="AH334" s="4"/>
      <c r="AI334" s="4"/>
      <c r="AJ334" s="4"/>
      <c r="AK334" s="4"/>
      <c r="AL334" s="4"/>
      <c r="AM334" s="4"/>
      <c r="AN334" s="4"/>
      <c r="AO334" s="4"/>
      <c r="AP334" s="4"/>
      <c r="AQ334" s="4"/>
      <c r="AR334" s="4"/>
      <c r="AS334" s="4"/>
      <c r="AT334" s="4"/>
      <c r="AU334" s="4"/>
      <c r="AV334" s="4"/>
      <c r="AW334" s="4"/>
      <c r="AX334" s="4"/>
      <c r="AY334" s="4"/>
      <c r="AZ334" s="4"/>
      <c r="BA334" s="4"/>
      <c r="BB334" s="4"/>
      <c r="BC334" s="4"/>
      <c r="BD334" s="4"/>
      <c r="BE334" s="4"/>
      <c r="BF334" s="4"/>
      <c r="BG334" s="4"/>
      <c r="BH334" s="4"/>
      <c r="BI334" s="4"/>
      <c r="BJ334" s="4"/>
      <c r="BK334" s="4"/>
      <c r="BL334" s="4"/>
      <c r="BM334" s="4"/>
      <c r="BN334" s="4"/>
      <c r="BO334" s="4"/>
      <c r="BP334" s="4"/>
      <c r="BQ334" s="4"/>
      <c r="BR334" s="4"/>
      <c r="BS334" s="4"/>
      <c r="BT334" s="4"/>
      <c r="BU334" s="4"/>
      <c r="BV334" s="4"/>
      <c r="BW334" s="4"/>
      <c r="BX334" s="4"/>
      <c r="BY334" s="4"/>
      <c r="BZ334" s="4"/>
      <c r="CA334" s="4"/>
      <c r="CB334" s="4"/>
      <c r="CC334" s="4"/>
      <c r="CD334" s="4"/>
      <c r="CE334" s="4"/>
      <c r="CF334" s="4"/>
      <c r="CG334" s="4"/>
      <c r="CH334" s="4"/>
      <c r="CI334" s="4"/>
      <c r="CJ334" s="4"/>
      <c r="CK334" s="4"/>
      <c r="CL334" s="4"/>
      <c r="CM334" s="4"/>
      <c r="CN334" s="4"/>
      <c r="CO334" s="4"/>
      <c r="CP334" s="4"/>
      <c r="CQ334" s="4"/>
      <c r="CR334" s="4"/>
      <c r="CS334" s="4"/>
      <c r="CT334" s="4"/>
      <c r="CU334" s="4"/>
      <c r="CV334" s="4"/>
      <c r="CW334" s="4"/>
      <c r="CX334" s="4"/>
      <c r="CY334" s="4"/>
      <c r="CZ334" s="4"/>
      <c r="DA334" s="4"/>
      <c r="DB334" s="4"/>
      <c r="DC334" s="4"/>
      <c r="DD334" s="4"/>
      <c r="DE334" s="4"/>
      <c r="DF334" s="4"/>
      <c r="DG334" s="4"/>
      <c r="DH334" s="4"/>
      <c r="DI334" s="4"/>
      <c r="DJ334" s="4"/>
      <c r="DK334" s="4"/>
      <c r="DL334" s="4"/>
      <c r="DM334" s="4"/>
      <c r="DN334" s="4"/>
      <c r="DO334" s="4"/>
      <c r="DP334" s="4"/>
      <c r="DQ334" s="4"/>
      <c r="DR334" s="4"/>
      <c r="DS334" s="4"/>
      <c r="DT334" s="4"/>
      <c r="DU334" s="4"/>
      <c r="DV334" s="4"/>
      <c r="DW334" s="4"/>
      <c r="DX334" s="4"/>
      <c r="DY334" s="4"/>
      <c r="DZ334" s="4"/>
      <c r="EA334" s="4"/>
      <c r="EB334" s="4"/>
      <c r="EC334" s="4"/>
      <c r="ED334" s="4"/>
      <c r="EE334" s="4"/>
      <c r="EF334" s="4"/>
      <c r="EG334" s="4"/>
      <c r="EH334" s="4"/>
      <c r="EI334" s="4"/>
      <c r="EJ334" s="4"/>
      <c r="EK334" s="4"/>
      <c r="EL334" s="4"/>
      <c r="EM334" s="4"/>
      <c r="EN334" s="4"/>
      <c r="EO334" s="4"/>
      <c r="EP334" s="4"/>
      <c r="EQ334" s="4"/>
      <c r="ER334" s="4"/>
      <c r="ES334" s="4"/>
      <c r="ET334" s="4"/>
      <c r="EU334" s="4"/>
      <c r="EV334" s="4"/>
      <c r="EW334" s="4"/>
      <c r="EX334" s="4"/>
      <c r="EY334" s="4"/>
      <c r="EZ334" s="4"/>
      <c r="FA334" s="4"/>
      <c r="FB334" s="4"/>
      <c r="FC334" s="4"/>
      <c r="FD334" s="4"/>
      <c r="FE334" s="4"/>
      <c r="FF334" s="4"/>
    </row>
    <row r="335" spans="1:162" x14ac:dyDescent="0.2">
      <c r="A335" s="2"/>
      <c r="B335" s="2"/>
      <c r="C335" s="2"/>
      <c r="D335" s="4"/>
      <c r="E335" s="4"/>
      <c r="F335" s="4"/>
      <c r="G335" s="4"/>
      <c r="H335" s="4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4"/>
      <c r="AM335" s="4"/>
      <c r="AN335" s="4"/>
      <c r="AO335" s="4"/>
      <c r="AP335" s="4"/>
      <c r="AQ335" s="4"/>
      <c r="AR335" s="4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/>
      <c r="BO335" s="4"/>
      <c r="BP335" s="4"/>
      <c r="BQ335" s="4"/>
      <c r="BR335" s="4"/>
      <c r="BS335" s="4"/>
      <c r="BT335" s="4"/>
      <c r="BU335" s="4"/>
      <c r="BV335" s="4"/>
      <c r="BW335" s="4"/>
      <c r="BX335" s="4"/>
      <c r="BY335" s="4"/>
      <c r="BZ335" s="4"/>
      <c r="CA335" s="4"/>
      <c r="CB335" s="4"/>
      <c r="CC335" s="4"/>
      <c r="CD335" s="4"/>
      <c r="CE335" s="4"/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/>
      <c r="CT335" s="4"/>
      <c r="CU335" s="4"/>
      <c r="CV335" s="4"/>
      <c r="CW335" s="4"/>
      <c r="CX335" s="4"/>
      <c r="CY335" s="4"/>
      <c r="CZ335" s="4"/>
      <c r="DA335" s="4"/>
      <c r="DB335" s="4"/>
      <c r="DC335" s="4"/>
      <c r="DD335" s="4"/>
      <c r="DE335" s="4"/>
      <c r="DF335" s="4"/>
      <c r="DG335" s="4"/>
      <c r="DH335" s="4"/>
      <c r="DI335" s="4"/>
      <c r="DJ335" s="4"/>
      <c r="DK335" s="4"/>
      <c r="DL335" s="4"/>
      <c r="DM335" s="4"/>
      <c r="DN335" s="4"/>
      <c r="DO335" s="4"/>
      <c r="DP335" s="4"/>
      <c r="DQ335" s="4"/>
      <c r="DR335" s="4"/>
      <c r="DS335" s="4"/>
      <c r="DT335" s="4"/>
      <c r="DU335" s="4"/>
      <c r="DV335" s="4"/>
      <c r="DW335" s="4"/>
      <c r="DX335" s="4"/>
      <c r="DY335" s="4"/>
      <c r="DZ335" s="4"/>
      <c r="EA335" s="4"/>
      <c r="EB335" s="4"/>
      <c r="EC335" s="4"/>
      <c r="ED335" s="4"/>
      <c r="EE335" s="4"/>
      <c r="EF335" s="4"/>
      <c r="EG335" s="4"/>
      <c r="EH335" s="4"/>
      <c r="EI335" s="4"/>
      <c r="EJ335" s="4"/>
      <c r="EK335" s="4"/>
      <c r="EL335" s="4"/>
      <c r="EM335" s="4"/>
      <c r="EN335" s="4"/>
      <c r="EO335" s="4"/>
      <c r="EP335" s="4"/>
      <c r="EQ335" s="4"/>
      <c r="ER335" s="4"/>
      <c r="ES335" s="4"/>
      <c r="ET335" s="4"/>
      <c r="EU335" s="4"/>
      <c r="EV335" s="4"/>
      <c r="EW335" s="4"/>
      <c r="EX335" s="4"/>
      <c r="EY335" s="4"/>
      <c r="EZ335" s="4"/>
      <c r="FA335" s="4"/>
      <c r="FB335" s="4"/>
      <c r="FC335" s="4"/>
      <c r="FD335" s="4"/>
      <c r="FE335" s="4"/>
      <c r="FF335" s="4"/>
    </row>
    <row r="336" spans="1:162" x14ac:dyDescent="0.2">
      <c r="A336" s="2"/>
      <c r="B336" s="2"/>
      <c r="C336" s="2"/>
      <c r="D336" s="4"/>
      <c r="E336" s="4"/>
      <c r="F336" s="4"/>
      <c r="G336" s="4"/>
      <c r="H336" s="4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4"/>
      <c r="AM336" s="4"/>
      <c r="AN336" s="4"/>
      <c r="AO336" s="4"/>
      <c r="AP336" s="4"/>
      <c r="AQ336" s="4"/>
      <c r="AR336" s="4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/>
      <c r="BL336" s="4"/>
      <c r="BM336" s="4"/>
      <c r="BN336" s="4"/>
      <c r="BO336" s="4"/>
      <c r="BP336" s="4"/>
      <c r="BQ336" s="4"/>
      <c r="BR336" s="4"/>
      <c r="BS336" s="4"/>
      <c r="BT336" s="4"/>
      <c r="BU336" s="4"/>
      <c r="BV336" s="4"/>
      <c r="BW336" s="4"/>
      <c r="BX336" s="4"/>
      <c r="BY336" s="4"/>
      <c r="BZ336" s="4"/>
      <c r="CA336" s="4"/>
      <c r="CB336" s="4"/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/>
      <c r="CP336" s="4"/>
      <c r="CQ336" s="4"/>
      <c r="CR336" s="4"/>
      <c r="CS336" s="4"/>
      <c r="CT336" s="4"/>
      <c r="CU336" s="4"/>
      <c r="CV336" s="4"/>
      <c r="CW336" s="4"/>
      <c r="CX336" s="4"/>
      <c r="CY336" s="4"/>
      <c r="CZ336" s="4"/>
      <c r="DA336" s="4"/>
      <c r="DB336" s="4"/>
      <c r="DC336" s="4"/>
      <c r="DD336" s="4"/>
      <c r="DE336" s="4"/>
      <c r="DF336" s="4"/>
      <c r="DG336" s="4"/>
      <c r="DH336" s="4"/>
      <c r="DI336" s="4"/>
      <c r="DJ336" s="4"/>
      <c r="DK336" s="4"/>
      <c r="DL336" s="4"/>
      <c r="DM336" s="4"/>
      <c r="DN336" s="4"/>
      <c r="DO336" s="4"/>
      <c r="DP336" s="4"/>
      <c r="DQ336" s="4"/>
      <c r="DR336" s="4"/>
      <c r="DS336" s="4"/>
      <c r="DT336" s="4"/>
      <c r="DU336" s="4"/>
      <c r="DV336" s="4"/>
      <c r="DW336" s="4"/>
      <c r="DX336" s="4"/>
      <c r="DY336" s="4"/>
      <c r="DZ336" s="4"/>
      <c r="EA336" s="4"/>
      <c r="EB336" s="4"/>
      <c r="EC336" s="4"/>
      <c r="ED336" s="4"/>
      <c r="EE336" s="4"/>
      <c r="EF336" s="4"/>
      <c r="EG336" s="4"/>
      <c r="EH336" s="4"/>
      <c r="EI336" s="4"/>
      <c r="EJ336" s="4"/>
      <c r="EK336" s="4"/>
      <c r="EL336" s="4"/>
      <c r="EM336" s="4"/>
      <c r="EN336" s="4"/>
      <c r="EO336" s="4"/>
      <c r="EP336" s="4"/>
      <c r="EQ336" s="4"/>
      <c r="ER336" s="4"/>
      <c r="ES336" s="4"/>
      <c r="ET336" s="4"/>
      <c r="EU336" s="4"/>
      <c r="EV336" s="4"/>
      <c r="EW336" s="4"/>
      <c r="EX336" s="4"/>
      <c r="EY336" s="4"/>
      <c r="EZ336" s="4"/>
      <c r="FA336" s="4"/>
      <c r="FB336" s="4"/>
      <c r="FC336" s="4"/>
      <c r="FD336" s="4"/>
      <c r="FE336" s="4"/>
      <c r="FF336" s="4"/>
    </row>
    <row r="337" spans="1:162" x14ac:dyDescent="0.2">
      <c r="A337" s="2"/>
      <c r="B337" s="2"/>
      <c r="C337" s="2"/>
      <c r="D337" s="4"/>
      <c r="E337" s="4"/>
      <c r="F337" s="4"/>
      <c r="G337" s="4"/>
      <c r="H337" s="4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/>
      <c r="AM337" s="4"/>
      <c r="AN337" s="4"/>
      <c r="AO337" s="4"/>
      <c r="AP337" s="4"/>
      <c r="AQ337" s="4"/>
      <c r="AR337" s="4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4"/>
      <c r="BU337" s="4"/>
      <c r="BV337" s="4"/>
      <c r="BW337" s="4"/>
      <c r="BX337" s="4"/>
      <c r="BY337" s="4"/>
      <c r="BZ337" s="4"/>
      <c r="CA337" s="4"/>
      <c r="CB337" s="4"/>
      <c r="CC337" s="4"/>
      <c r="CD337" s="4"/>
      <c r="CE337" s="4"/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/>
      <c r="CT337" s="4"/>
      <c r="CU337" s="4"/>
      <c r="CV337" s="4"/>
      <c r="CW337" s="4"/>
      <c r="CX337" s="4"/>
      <c r="CY337" s="4"/>
      <c r="CZ337" s="4"/>
      <c r="DA337" s="4"/>
      <c r="DB337" s="4"/>
      <c r="DC337" s="4"/>
      <c r="DD337" s="4"/>
      <c r="DE337" s="4"/>
      <c r="DF337" s="4"/>
      <c r="DG337" s="4"/>
      <c r="DH337" s="4"/>
      <c r="DI337" s="4"/>
      <c r="DJ337" s="4"/>
      <c r="DK337" s="4"/>
      <c r="DL337" s="4"/>
      <c r="DM337" s="4"/>
      <c r="DN337" s="4"/>
      <c r="DO337" s="4"/>
      <c r="DP337" s="4"/>
      <c r="DQ337" s="4"/>
      <c r="DR337" s="4"/>
      <c r="DS337" s="4"/>
      <c r="DT337" s="4"/>
      <c r="DU337" s="4"/>
      <c r="DV337" s="4"/>
      <c r="DW337" s="4"/>
      <c r="DX337" s="4"/>
      <c r="DY337" s="4"/>
      <c r="DZ337" s="4"/>
      <c r="EA337" s="4"/>
      <c r="EB337" s="4"/>
      <c r="EC337" s="4"/>
      <c r="ED337" s="4"/>
      <c r="EE337" s="4"/>
      <c r="EF337" s="4"/>
      <c r="EG337" s="4"/>
      <c r="EH337" s="4"/>
      <c r="EI337" s="4"/>
      <c r="EJ337" s="4"/>
      <c r="EK337" s="4"/>
      <c r="EL337" s="4"/>
      <c r="EM337" s="4"/>
      <c r="EN337" s="4"/>
      <c r="EO337" s="4"/>
      <c r="EP337" s="4"/>
      <c r="EQ337" s="4"/>
      <c r="ER337" s="4"/>
      <c r="ES337" s="4"/>
      <c r="ET337" s="4"/>
      <c r="EU337" s="4"/>
      <c r="EV337" s="4"/>
      <c r="EW337" s="4"/>
      <c r="EX337" s="4"/>
      <c r="EY337" s="4"/>
      <c r="EZ337" s="4"/>
      <c r="FA337" s="4"/>
      <c r="FB337" s="4"/>
      <c r="FC337" s="4"/>
      <c r="FD337" s="4"/>
      <c r="FE337" s="4"/>
      <c r="FF337" s="4"/>
    </row>
    <row r="338" spans="1:162" x14ac:dyDescent="0.2">
      <c r="A338" s="2"/>
      <c r="B338" s="2"/>
      <c r="C338" s="2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/>
      <c r="AN338" s="4"/>
      <c r="AO338" s="4"/>
      <c r="AP338" s="4"/>
      <c r="AQ338" s="4"/>
      <c r="AR338" s="4"/>
      <c r="AS338" s="4"/>
      <c r="AT338" s="4"/>
      <c r="AU338" s="4"/>
      <c r="AV338" s="4"/>
      <c r="AW338" s="4"/>
      <c r="AX338" s="4"/>
      <c r="AY338" s="4"/>
      <c r="AZ338" s="4"/>
      <c r="BA338" s="4"/>
      <c r="BB338" s="4"/>
      <c r="BC338" s="4"/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4"/>
      <c r="BX338" s="4"/>
      <c r="BY338" s="4"/>
      <c r="BZ338" s="4"/>
      <c r="CA338" s="4"/>
      <c r="CB338" s="4"/>
      <c r="CC338" s="4"/>
      <c r="CD338" s="4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/>
      <c r="CS338" s="4"/>
      <c r="CT338" s="4"/>
      <c r="CU338" s="4"/>
      <c r="CV338" s="4"/>
      <c r="CW338" s="4"/>
      <c r="CX338" s="4"/>
      <c r="CY338" s="4"/>
      <c r="CZ338" s="4"/>
      <c r="DA338" s="4"/>
      <c r="DB338" s="4"/>
      <c r="DC338" s="4"/>
      <c r="DD338" s="4"/>
      <c r="DE338" s="4"/>
      <c r="DF338" s="4"/>
      <c r="DG338" s="4"/>
      <c r="DH338" s="4"/>
      <c r="DI338" s="4"/>
      <c r="DJ338" s="4"/>
      <c r="DK338" s="4"/>
      <c r="DL338" s="4"/>
      <c r="DM338" s="4"/>
      <c r="DN338" s="4"/>
      <c r="DO338" s="4"/>
      <c r="DP338" s="4"/>
      <c r="DQ338" s="4"/>
      <c r="DR338" s="4"/>
      <c r="DS338" s="4"/>
      <c r="DT338" s="4"/>
      <c r="DU338" s="4"/>
      <c r="DV338" s="4"/>
      <c r="DW338" s="4"/>
      <c r="DX338" s="4"/>
      <c r="DY338" s="4"/>
      <c r="DZ338" s="4"/>
      <c r="EA338" s="4"/>
      <c r="EB338" s="4"/>
      <c r="EC338" s="4"/>
      <c r="ED338" s="4"/>
      <c r="EE338" s="4"/>
      <c r="EF338" s="4"/>
      <c r="EG338" s="4"/>
      <c r="EH338" s="4"/>
      <c r="EI338" s="4"/>
      <c r="EJ338" s="4"/>
      <c r="EK338" s="4"/>
      <c r="EL338" s="4"/>
      <c r="EM338" s="4"/>
      <c r="EN338" s="4"/>
      <c r="EO338" s="4"/>
      <c r="EP338" s="4"/>
      <c r="EQ338" s="4"/>
      <c r="ER338" s="4"/>
      <c r="ES338" s="4"/>
      <c r="ET338" s="4"/>
      <c r="EU338" s="4"/>
      <c r="EV338" s="4"/>
      <c r="EW338" s="4"/>
      <c r="EX338" s="4"/>
      <c r="EY338" s="4"/>
      <c r="EZ338" s="4"/>
      <c r="FA338" s="4"/>
      <c r="FB338" s="4"/>
      <c r="FC338" s="4"/>
      <c r="FD338" s="4"/>
      <c r="FE338" s="4"/>
      <c r="FF338" s="4"/>
    </row>
    <row r="339" spans="1:162" x14ac:dyDescent="0.2">
      <c r="A339" s="2"/>
      <c r="B339" s="2"/>
      <c r="C339" s="2"/>
      <c r="D339" s="4"/>
      <c r="E339" s="4"/>
      <c r="F339" s="4"/>
      <c r="G339" s="4"/>
      <c r="H339" s="4"/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/>
      <c r="AM339" s="4"/>
      <c r="AN339" s="4"/>
      <c r="AO339" s="4"/>
      <c r="AP339" s="4"/>
      <c r="AQ339" s="4"/>
      <c r="AR339" s="4"/>
      <c r="AS339" s="4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4"/>
      <c r="BH339" s="4"/>
      <c r="BI339" s="4"/>
      <c r="BJ339" s="4"/>
      <c r="BK339" s="4"/>
      <c r="BL339" s="4"/>
      <c r="BM339" s="4"/>
      <c r="BN339" s="4"/>
      <c r="BO339" s="4"/>
      <c r="BP339" s="4"/>
      <c r="BQ339" s="4"/>
      <c r="BR339" s="4"/>
      <c r="BS339" s="4"/>
      <c r="BT339" s="4"/>
      <c r="BU339" s="4"/>
      <c r="BV339" s="4"/>
      <c r="BW339" s="4"/>
      <c r="BX339" s="4"/>
      <c r="BY339" s="4"/>
      <c r="BZ339" s="4"/>
      <c r="CA339" s="4"/>
      <c r="CB339" s="4"/>
      <c r="CC339" s="4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/>
      <c r="CP339" s="4"/>
      <c r="CQ339" s="4"/>
      <c r="CR339" s="4"/>
      <c r="CS339" s="4"/>
      <c r="CT339" s="4"/>
      <c r="CU339" s="4"/>
      <c r="CV339" s="4"/>
      <c r="CW339" s="4"/>
      <c r="CX339" s="4"/>
      <c r="CY339" s="4"/>
      <c r="CZ339" s="4"/>
      <c r="DA339" s="4"/>
      <c r="DB339" s="4"/>
      <c r="DC339" s="4"/>
      <c r="DD339" s="4"/>
      <c r="DE339" s="4"/>
      <c r="DF339" s="4"/>
      <c r="DG339" s="4"/>
      <c r="DH339" s="4"/>
      <c r="DI339" s="4"/>
      <c r="DJ339" s="4"/>
      <c r="DK339" s="4"/>
      <c r="DL339" s="4"/>
      <c r="DM339" s="4"/>
      <c r="DN339" s="4"/>
      <c r="DO339" s="4"/>
      <c r="DP339" s="4"/>
      <c r="DQ339" s="4"/>
      <c r="DR339" s="4"/>
      <c r="DS339" s="4"/>
      <c r="DT339" s="4"/>
      <c r="DU339" s="4"/>
      <c r="DV339" s="4"/>
      <c r="DW339" s="4"/>
      <c r="DX339" s="4"/>
      <c r="DY339" s="4"/>
      <c r="DZ339" s="4"/>
      <c r="EA339" s="4"/>
      <c r="EB339" s="4"/>
      <c r="EC339" s="4"/>
      <c r="ED339" s="4"/>
      <c r="EE339" s="4"/>
      <c r="EF339" s="4"/>
      <c r="EG339" s="4"/>
      <c r="EH339" s="4"/>
      <c r="EI339" s="4"/>
      <c r="EJ339" s="4"/>
      <c r="EK339" s="4"/>
      <c r="EL339" s="4"/>
      <c r="EM339" s="4"/>
      <c r="EN339" s="4"/>
      <c r="EO339" s="4"/>
      <c r="EP339" s="4"/>
      <c r="EQ339" s="4"/>
      <c r="ER339" s="4"/>
      <c r="ES339" s="4"/>
      <c r="ET339" s="4"/>
      <c r="EU339" s="4"/>
      <c r="EV339" s="4"/>
      <c r="EW339" s="4"/>
      <c r="EX339" s="4"/>
      <c r="EY339" s="4"/>
      <c r="EZ339" s="4"/>
      <c r="FA339" s="4"/>
      <c r="FB339" s="4"/>
      <c r="FC339" s="4"/>
      <c r="FD339" s="4"/>
      <c r="FE339" s="4"/>
      <c r="FF339" s="4"/>
    </row>
    <row r="340" spans="1:162" x14ac:dyDescent="0.2">
      <c r="A340" s="2"/>
      <c r="B340" s="2"/>
      <c r="C340" s="2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4"/>
      <c r="AM340" s="4"/>
      <c r="AN340" s="4"/>
      <c r="AO340" s="4"/>
      <c r="AP340" s="4"/>
      <c r="AQ340" s="4"/>
      <c r="AR340" s="4"/>
      <c r="AS340" s="4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  <c r="BG340" s="4"/>
      <c r="BH340" s="4"/>
      <c r="BI340" s="4"/>
      <c r="BJ340" s="4"/>
      <c r="BK340" s="4"/>
      <c r="BL340" s="4"/>
      <c r="BM340" s="4"/>
      <c r="BN340" s="4"/>
      <c r="BO340" s="4"/>
      <c r="BP340" s="4"/>
      <c r="BQ340" s="4"/>
      <c r="BR340" s="4"/>
      <c r="BS340" s="4"/>
      <c r="BT340" s="4"/>
      <c r="BU340" s="4"/>
      <c r="BV340" s="4"/>
      <c r="BW340" s="4"/>
      <c r="BX340" s="4"/>
      <c r="BY340" s="4"/>
      <c r="BZ340" s="4"/>
      <c r="CA340" s="4"/>
      <c r="CB340" s="4"/>
      <c r="CC340" s="4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/>
      <c r="CT340" s="4"/>
      <c r="CU340" s="4"/>
      <c r="CV340" s="4"/>
      <c r="CW340" s="4"/>
      <c r="CX340" s="4"/>
      <c r="CY340" s="4"/>
      <c r="CZ340" s="4"/>
      <c r="DA340" s="4"/>
      <c r="DB340" s="4"/>
      <c r="DC340" s="4"/>
      <c r="DD340" s="4"/>
      <c r="DE340" s="4"/>
      <c r="DF340" s="4"/>
      <c r="DG340" s="4"/>
      <c r="DH340" s="4"/>
      <c r="DI340" s="4"/>
      <c r="DJ340" s="4"/>
      <c r="DK340" s="4"/>
      <c r="DL340" s="4"/>
      <c r="DM340" s="4"/>
      <c r="DN340" s="4"/>
      <c r="DO340" s="4"/>
      <c r="DP340" s="4"/>
      <c r="DQ340" s="4"/>
      <c r="DR340" s="4"/>
      <c r="DS340" s="4"/>
      <c r="DT340" s="4"/>
      <c r="DU340" s="4"/>
      <c r="DV340" s="4"/>
      <c r="DW340" s="4"/>
      <c r="DX340" s="4"/>
      <c r="DY340" s="4"/>
      <c r="DZ340" s="4"/>
      <c r="EA340" s="4"/>
      <c r="EB340" s="4"/>
      <c r="EC340" s="4"/>
      <c r="ED340" s="4"/>
      <c r="EE340" s="4"/>
      <c r="EF340" s="4"/>
      <c r="EG340" s="4"/>
      <c r="EH340" s="4"/>
      <c r="EI340" s="4"/>
      <c r="EJ340" s="4"/>
      <c r="EK340" s="4"/>
      <c r="EL340" s="4"/>
      <c r="EM340" s="4"/>
      <c r="EN340" s="4"/>
      <c r="EO340" s="4"/>
      <c r="EP340" s="4"/>
      <c r="EQ340" s="4"/>
      <c r="ER340" s="4"/>
      <c r="ES340" s="4"/>
      <c r="ET340" s="4"/>
      <c r="EU340" s="4"/>
      <c r="EV340" s="4"/>
      <c r="EW340" s="4"/>
      <c r="EX340" s="4"/>
      <c r="EY340" s="4"/>
      <c r="EZ340" s="4"/>
      <c r="FA340" s="4"/>
      <c r="FB340" s="4"/>
      <c r="FC340" s="4"/>
      <c r="FD340" s="4"/>
      <c r="FE340" s="4"/>
      <c r="FF340" s="4"/>
    </row>
    <row r="341" spans="1:162" x14ac:dyDescent="0.2">
      <c r="A341" s="2"/>
      <c r="B341" s="2"/>
      <c r="C341" s="2"/>
      <c r="D341" s="4"/>
      <c r="E341" s="4"/>
      <c r="F341" s="4"/>
      <c r="G341" s="4"/>
      <c r="H341" s="4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4"/>
      <c r="AM341" s="4"/>
      <c r="AN341" s="4"/>
      <c r="AO341" s="4"/>
      <c r="AP341" s="4"/>
      <c r="AQ341" s="4"/>
      <c r="AR341" s="4"/>
      <c r="AS341" s="4"/>
      <c r="AT341" s="4"/>
      <c r="AU341" s="4"/>
      <c r="AV341" s="4"/>
      <c r="AW341" s="4"/>
      <c r="AX341" s="4"/>
      <c r="AY341" s="4"/>
      <c r="AZ341" s="4"/>
      <c r="BA341" s="4"/>
      <c r="BB341" s="4"/>
      <c r="BC341" s="4"/>
      <c r="BD341" s="4"/>
      <c r="BE341" s="4"/>
      <c r="BF341" s="4"/>
      <c r="BG341" s="4"/>
      <c r="BH341" s="4"/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4"/>
      <c r="BX341" s="4"/>
      <c r="BY341" s="4"/>
      <c r="BZ341" s="4"/>
      <c r="CA341" s="4"/>
      <c r="CB341" s="4"/>
      <c r="CC341" s="4"/>
      <c r="CD341" s="4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  <c r="CR341" s="4"/>
      <c r="CS341" s="4"/>
      <c r="CT341" s="4"/>
      <c r="CU341" s="4"/>
      <c r="CV341" s="4"/>
      <c r="CW341" s="4"/>
      <c r="CX341" s="4"/>
      <c r="CY341" s="4"/>
      <c r="CZ341" s="4"/>
      <c r="DA341" s="4"/>
      <c r="DB341" s="4"/>
      <c r="DC341" s="4"/>
      <c r="DD341" s="4"/>
      <c r="DE341" s="4"/>
      <c r="DF341" s="4"/>
      <c r="DG341" s="4"/>
      <c r="DH341" s="4"/>
      <c r="DI341" s="4"/>
      <c r="DJ341" s="4"/>
      <c r="DK341" s="4"/>
      <c r="DL341" s="4"/>
      <c r="DM341" s="4"/>
      <c r="DN341" s="4"/>
      <c r="DO341" s="4"/>
      <c r="DP341" s="4"/>
      <c r="DQ341" s="4"/>
      <c r="DR341" s="4"/>
      <c r="DS341" s="4"/>
      <c r="DT341" s="4"/>
      <c r="DU341" s="4"/>
      <c r="DV341" s="4"/>
      <c r="DW341" s="4"/>
      <c r="DX341" s="4"/>
      <c r="DY341" s="4"/>
      <c r="DZ341" s="4"/>
      <c r="EA341" s="4"/>
      <c r="EB341" s="4"/>
      <c r="EC341" s="4"/>
      <c r="ED341" s="4"/>
      <c r="EE341" s="4"/>
      <c r="EF341" s="4"/>
      <c r="EG341" s="4"/>
      <c r="EH341" s="4"/>
      <c r="EI341" s="4"/>
      <c r="EJ341" s="4"/>
      <c r="EK341" s="4"/>
      <c r="EL341" s="4"/>
      <c r="EM341" s="4"/>
      <c r="EN341" s="4"/>
      <c r="EO341" s="4"/>
      <c r="EP341" s="4"/>
      <c r="EQ341" s="4"/>
      <c r="ER341" s="4"/>
      <c r="ES341" s="4"/>
      <c r="ET341" s="4"/>
      <c r="EU341" s="4"/>
      <c r="EV341" s="4"/>
      <c r="EW341" s="4"/>
      <c r="EX341" s="4"/>
      <c r="EY341" s="4"/>
      <c r="EZ341" s="4"/>
      <c r="FA341" s="4"/>
      <c r="FB341" s="4"/>
      <c r="FC341" s="4"/>
      <c r="FD341" s="4"/>
      <c r="FE341" s="4"/>
      <c r="FF341" s="4"/>
    </row>
    <row r="342" spans="1:162" x14ac:dyDescent="0.2">
      <c r="A342" s="2"/>
      <c r="B342" s="2"/>
      <c r="C342" s="2"/>
      <c r="D342" s="4"/>
      <c r="E342" s="4"/>
      <c r="F342" s="4"/>
      <c r="G342" s="4"/>
      <c r="H342" s="4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4"/>
      <c r="AM342" s="4"/>
      <c r="AN342" s="4"/>
      <c r="AO342" s="4"/>
      <c r="AP342" s="4"/>
      <c r="AQ342" s="4"/>
      <c r="AR342" s="4"/>
      <c r="AS342" s="4"/>
      <c r="AT342" s="4"/>
      <c r="AU342" s="4"/>
      <c r="AV342" s="4"/>
      <c r="AW342" s="4"/>
      <c r="AX342" s="4"/>
      <c r="AY342" s="4"/>
      <c r="AZ342" s="4"/>
      <c r="BA342" s="4"/>
      <c r="BB342" s="4"/>
      <c r="BC342" s="4"/>
      <c r="BD342" s="4"/>
      <c r="BE342" s="4"/>
      <c r="BF342" s="4"/>
      <c r="BG342" s="4"/>
      <c r="BH342" s="4"/>
      <c r="BI342" s="4"/>
      <c r="BJ342" s="4"/>
      <c r="BK342" s="4"/>
      <c r="BL342" s="4"/>
      <c r="BM342" s="4"/>
      <c r="BN342" s="4"/>
      <c r="BO342" s="4"/>
      <c r="BP342" s="4"/>
      <c r="BQ342" s="4"/>
      <c r="BR342" s="4"/>
      <c r="BS342" s="4"/>
      <c r="BT342" s="4"/>
      <c r="BU342" s="4"/>
      <c r="BV342" s="4"/>
      <c r="BW342" s="4"/>
      <c r="BX342" s="4"/>
      <c r="BY342" s="4"/>
      <c r="BZ342" s="4"/>
      <c r="CA342" s="4"/>
      <c r="CB342" s="4"/>
      <c r="CC342" s="4"/>
      <c r="CD342" s="4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/>
      <c r="CT342" s="4"/>
      <c r="CU342" s="4"/>
      <c r="CV342" s="4"/>
      <c r="CW342" s="4"/>
      <c r="CX342" s="4"/>
      <c r="CY342" s="4"/>
      <c r="CZ342" s="4"/>
      <c r="DA342" s="4"/>
      <c r="DB342" s="4"/>
      <c r="DC342" s="4"/>
      <c r="DD342" s="4"/>
      <c r="DE342" s="4"/>
      <c r="DF342" s="4"/>
      <c r="DG342" s="4"/>
      <c r="DH342" s="4"/>
      <c r="DI342" s="4"/>
      <c r="DJ342" s="4"/>
      <c r="DK342" s="4"/>
      <c r="DL342" s="4"/>
      <c r="DM342" s="4"/>
      <c r="DN342" s="4"/>
      <c r="DO342" s="4"/>
      <c r="DP342" s="4"/>
      <c r="DQ342" s="4"/>
      <c r="DR342" s="4"/>
      <c r="DS342" s="4"/>
      <c r="DT342" s="4"/>
      <c r="DU342" s="4"/>
      <c r="DV342" s="4"/>
      <c r="DW342" s="4"/>
      <c r="DX342" s="4"/>
      <c r="DY342" s="4"/>
      <c r="DZ342" s="4"/>
      <c r="EA342" s="4"/>
      <c r="EB342" s="4"/>
      <c r="EC342" s="4"/>
      <c r="ED342" s="4"/>
      <c r="EE342" s="4"/>
      <c r="EF342" s="4"/>
      <c r="EG342" s="4"/>
      <c r="EH342" s="4"/>
      <c r="EI342" s="4"/>
      <c r="EJ342" s="4"/>
      <c r="EK342" s="4"/>
      <c r="EL342" s="4"/>
      <c r="EM342" s="4"/>
      <c r="EN342" s="4"/>
      <c r="EO342" s="4"/>
      <c r="EP342" s="4"/>
      <c r="EQ342" s="4"/>
      <c r="ER342" s="4"/>
      <c r="ES342" s="4"/>
      <c r="ET342" s="4"/>
      <c r="EU342" s="4"/>
      <c r="EV342" s="4"/>
      <c r="EW342" s="4"/>
      <c r="EX342" s="4"/>
      <c r="EY342" s="4"/>
      <c r="EZ342" s="4"/>
      <c r="FA342" s="4"/>
      <c r="FB342" s="4"/>
      <c r="FC342" s="4"/>
      <c r="FD342" s="4"/>
      <c r="FE342" s="4"/>
      <c r="FF342" s="4"/>
    </row>
    <row r="343" spans="1:162" x14ac:dyDescent="0.2">
      <c r="A343" s="2"/>
      <c r="B343" s="2"/>
      <c r="C343" s="2"/>
      <c r="D343" s="4"/>
      <c r="E343" s="4"/>
      <c r="F343" s="4"/>
      <c r="G343" s="4"/>
      <c r="H343" s="4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4"/>
      <c r="AM343" s="4"/>
      <c r="AN343" s="4"/>
      <c r="AO343" s="4"/>
      <c r="AP343" s="4"/>
      <c r="AQ343" s="4"/>
      <c r="AR343" s="4"/>
      <c r="AS343" s="4"/>
      <c r="AT343" s="4"/>
      <c r="AU343" s="4"/>
      <c r="AV343" s="4"/>
      <c r="AW343" s="4"/>
      <c r="AX343" s="4"/>
      <c r="AY343" s="4"/>
      <c r="AZ343" s="4"/>
      <c r="BA343" s="4"/>
      <c r="BB343" s="4"/>
      <c r="BC343" s="4"/>
      <c r="BD343" s="4"/>
      <c r="BE343" s="4"/>
      <c r="BF343" s="4"/>
      <c r="BG343" s="4"/>
      <c r="BH343" s="4"/>
      <c r="BI343" s="4"/>
      <c r="BJ343" s="4"/>
      <c r="BK343" s="4"/>
      <c r="BL343" s="4"/>
      <c r="BM343" s="4"/>
      <c r="BN343" s="4"/>
      <c r="BO343" s="4"/>
      <c r="BP343" s="4"/>
      <c r="BQ343" s="4"/>
      <c r="BR343" s="4"/>
      <c r="BS343" s="4"/>
      <c r="BT343" s="4"/>
      <c r="BU343" s="4"/>
      <c r="BV343" s="4"/>
      <c r="BW343" s="4"/>
      <c r="BX343" s="4"/>
      <c r="BY343" s="4"/>
      <c r="BZ343" s="4"/>
      <c r="CA343" s="4"/>
      <c r="CB343" s="4"/>
      <c r="CC343" s="4"/>
      <c r="CD343" s="4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/>
      <c r="CP343" s="4"/>
      <c r="CQ343" s="4"/>
      <c r="CR343" s="4"/>
      <c r="CS343" s="4"/>
      <c r="CT343" s="4"/>
      <c r="CU343" s="4"/>
      <c r="CV343" s="4"/>
      <c r="CW343" s="4"/>
      <c r="CX343" s="4"/>
      <c r="CY343" s="4"/>
      <c r="CZ343" s="4"/>
      <c r="DA343" s="4"/>
      <c r="DB343" s="4"/>
      <c r="DC343" s="4"/>
      <c r="DD343" s="4"/>
      <c r="DE343" s="4"/>
      <c r="DF343" s="4"/>
      <c r="DG343" s="4"/>
      <c r="DH343" s="4"/>
      <c r="DI343" s="4"/>
      <c r="DJ343" s="4"/>
      <c r="DK343" s="4"/>
      <c r="DL343" s="4"/>
      <c r="DM343" s="4"/>
      <c r="DN343" s="4"/>
      <c r="DO343" s="4"/>
      <c r="DP343" s="4"/>
      <c r="DQ343" s="4"/>
      <c r="DR343" s="4"/>
      <c r="DS343" s="4"/>
      <c r="DT343" s="4"/>
      <c r="DU343" s="4"/>
      <c r="DV343" s="4"/>
      <c r="DW343" s="4"/>
      <c r="DX343" s="4"/>
      <c r="DY343" s="4"/>
      <c r="DZ343" s="4"/>
      <c r="EA343" s="4"/>
      <c r="EB343" s="4"/>
      <c r="EC343" s="4"/>
      <c r="ED343" s="4"/>
      <c r="EE343" s="4"/>
      <c r="EF343" s="4"/>
      <c r="EG343" s="4"/>
      <c r="EH343" s="4"/>
      <c r="EI343" s="4"/>
      <c r="EJ343" s="4"/>
      <c r="EK343" s="4"/>
      <c r="EL343" s="4"/>
      <c r="EM343" s="4"/>
      <c r="EN343" s="4"/>
      <c r="EO343" s="4"/>
      <c r="EP343" s="4"/>
      <c r="EQ343" s="4"/>
      <c r="ER343" s="4"/>
      <c r="ES343" s="4"/>
      <c r="ET343" s="4"/>
      <c r="EU343" s="4"/>
      <c r="EV343" s="4"/>
      <c r="EW343" s="4"/>
      <c r="EX343" s="4"/>
      <c r="EY343" s="4"/>
      <c r="EZ343" s="4"/>
      <c r="FA343" s="4"/>
      <c r="FB343" s="4"/>
      <c r="FC343" s="4"/>
      <c r="FD343" s="4"/>
      <c r="FE343" s="4"/>
      <c r="FF343" s="4"/>
    </row>
    <row r="344" spans="1:162" x14ac:dyDescent="0.2">
      <c r="A344" s="2"/>
      <c r="B344" s="2"/>
      <c r="C344" s="2"/>
      <c r="D344" s="4"/>
      <c r="E344" s="4"/>
      <c r="F344" s="4"/>
      <c r="G344" s="4"/>
      <c r="H344" s="4"/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4"/>
      <c r="AM344" s="4"/>
      <c r="AN344" s="4"/>
      <c r="AO344" s="4"/>
      <c r="AP344" s="4"/>
      <c r="AQ344" s="4"/>
      <c r="AR344" s="4"/>
      <c r="AS344" s="4"/>
      <c r="AT344" s="4"/>
      <c r="AU344" s="4"/>
      <c r="AV344" s="4"/>
      <c r="AW344" s="4"/>
      <c r="AX344" s="4"/>
      <c r="AY344" s="4"/>
      <c r="AZ344" s="4"/>
      <c r="BA344" s="4"/>
      <c r="BB344" s="4"/>
      <c r="BC344" s="4"/>
      <c r="BD344" s="4"/>
      <c r="BE344" s="4"/>
      <c r="BF344" s="4"/>
      <c r="BG344" s="4"/>
      <c r="BH344" s="4"/>
      <c r="BI344" s="4"/>
      <c r="BJ344" s="4"/>
      <c r="BK344" s="4"/>
      <c r="BL344" s="4"/>
      <c r="BM344" s="4"/>
      <c r="BN344" s="4"/>
      <c r="BO344" s="4"/>
      <c r="BP344" s="4"/>
      <c r="BQ344" s="4"/>
      <c r="BR344" s="4"/>
      <c r="BS344" s="4"/>
      <c r="BT344" s="4"/>
      <c r="BU344" s="4"/>
      <c r="BV344" s="4"/>
      <c r="BW344" s="4"/>
      <c r="BX344" s="4"/>
      <c r="BY344" s="4"/>
      <c r="BZ344" s="4"/>
      <c r="CA344" s="4"/>
      <c r="CB344" s="4"/>
      <c r="CC344" s="4"/>
      <c r="CD344" s="4"/>
      <c r="CE344" s="4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  <c r="CQ344" s="4"/>
      <c r="CR344" s="4"/>
      <c r="CS344" s="4"/>
      <c r="CT344" s="4"/>
      <c r="CU344" s="4"/>
      <c r="CV344" s="4"/>
      <c r="CW344" s="4"/>
      <c r="CX344" s="4"/>
      <c r="CY344" s="4"/>
      <c r="CZ344" s="4"/>
      <c r="DA344" s="4"/>
      <c r="DB344" s="4"/>
      <c r="DC344" s="4"/>
      <c r="DD344" s="4"/>
      <c r="DE344" s="4"/>
      <c r="DF344" s="4"/>
      <c r="DG344" s="4"/>
      <c r="DH344" s="4"/>
      <c r="DI344" s="4"/>
      <c r="DJ344" s="4"/>
      <c r="DK344" s="4"/>
      <c r="DL344" s="4"/>
      <c r="DM344" s="4"/>
      <c r="DN344" s="4"/>
      <c r="DO344" s="4"/>
      <c r="DP344" s="4"/>
      <c r="DQ344" s="4"/>
      <c r="DR344" s="4"/>
      <c r="DS344" s="4"/>
      <c r="DT344" s="4"/>
      <c r="DU344" s="4"/>
      <c r="DV344" s="4"/>
      <c r="DW344" s="4"/>
      <c r="DX344" s="4"/>
      <c r="DY344" s="4"/>
      <c r="DZ344" s="4"/>
      <c r="EA344" s="4"/>
      <c r="EB344" s="4"/>
      <c r="EC344" s="4"/>
      <c r="ED344" s="4"/>
      <c r="EE344" s="4"/>
      <c r="EF344" s="4"/>
      <c r="EG344" s="4"/>
      <c r="EH344" s="4"/>
      <c r="EI344" s="4"/>
      <c r="EJ344" s="4"/>
      <c r="EK344" s="4"/>
      <c r="EL344" s="4"/>
      <c r="EM344" s="4"/>
      <c r="EN344" s="4"/>
      <c r="EO344" s="4"/>
      <c r="EP344" s="4"/>
      <c r="EQ344" s="4"/>
      <c r="ER344" s="4"/>
      <c r="ES344" s="4"/>
      <c r="ET344" s="4"/>
      <c r="EU344" s="4"/>
      <c r="EV344" s="4"/>
      <c r="EW344" s="4"/>
      <c r="EX344" s="4"/>
      <c r="EY344" s="4"/>
      <c r="EZ344" s="4"/>
      <c r="FA344" s="4"/>
      <c r="FB344" s="4"/>
      <c r="FC344" s="4"/>
      <c r="FD344" s="4"/>
      <c r="FE344" s="4"/>
      <c r="FF344" s="4"/>
    </row>
    <row r="345" spans="1:162" x14ac:dyDescent="0.2">
      <c r="A345" s="2"/>
      <c r="B345" s="2"/>
      <c r="C345" s="2"/>
      <c r="D345" s="4"/>
      <c r="E345" s="4"/>
      <c r="F345" s="4"/>
      <c r="G345" s="4"/>
      <c r="H345" s="4"/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/>
      <c r="AM345" s="4"/>
      <c r="AN345" s="4"/>
      <c r="AO345" s="4"/>
      <c r="AP345" s="4"/>
      <c r="AQ345" s="4"/>
      <c r="AR345" s="4"/>
      <c r="AS345" s="4"/>
      <c r="AT345" s="4"/>
      <c r="AU345" s="4"/>
      <c r="AV345" s="4"/>
      <c r="AW345" s="4"/>
      <c r="AX345" s="4"/>
      <c r="AY345" s="4"/>
      <c r="AZ345" s="4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/>
      <c r="BL345" s="4"/>
      <c r="BM345" s="4"/>
      <c r="BN345" s="4"/>
      <c r="BO345" s="4"/>
      <c r="BP345" s="4"/>
      <c r="BQ345" s="4"/>
      <c r="BR345" s="4"/>
      <c r="BS345" s="4"/>
      <c r="BT345" s="4"/>
      <c r="BU345" s="4"/>
      <c r="BV345" s="4"/>
      <c r="BW345" s="4"/>
      <c r="BX345" s="4"/>
      <c r="BY345" s="4"/>
      <c r="BZ345" s="4"/>
      <c r="CA345" s="4"/>
      <c r="CB345" s="4"/>
      <c r="CC345" s="4"/>
      <c r="CD345" s="4"/>
      <c r="CE345" s="4"/>
      <c r="CF345" s="4"/>
      <c r="CG345" s="4"/>
      <c r="CH345" s="4"/>
      <c r="CI345" s="4"/>
      <c r="CJ345" s="4"/>
      <c r="CK345" s="4"/>
      <c r="CL345" s="4"/>
      <c r="CM345" s="4"/>
      <c r="CN345" s="4"/>
      <c r="CO345" s="4"/>
      <c r="CP345" s="4"/>
      <c r="CQ345" s="4"/>
      <c r="CR345" s="4"/>
      <c r="CS345" s="4"/>
      <c r="CT345" s="4"/>
      <c r="CU345" s="4"/>
      <c r="CV345" s="4"/>
      <c r="CW345" s="4"/>
      <c r="CX345" s="4"/>
      <c r="CY345" s="4"/>
      <c r="CZ345" s="4"/>
      <c r="DA345" s="4"/>
      <c r="DB345" s="4"/>
      <c r="DC345" s="4"/>
      <c r="DD345" s="4"/>
      <c r="DE345" s="4"/>
      <c r="DF345" s="4"/>
      <c r="DG345" s="4"/>
      <c r="DH345" s="4"/>
      <c r="DI345" s="4"/>
      <c r="DJ345" s="4"/>
      <c r="DK345" s="4"/>
      <c r="DL345" s="4"/>
      <c r="DM345" s="4"/>
      <c r="DN345" s="4"/>
      <c r="DO345" s="4"/>
      <c r="DP345" s="4"/>
      <c r="DQ345" s="4"/>
      <c r="DR345" s="4"/>
      <c r="DS345" s="4"/>
      <c r="DT345" s="4"/>
      <c r="DU345" s="4"/>
      <c r="DV345" s="4"/>
      <c r="DW345" s="4"/>
      <c r="DX345" s="4"/>
      <c r="DY345" s="4"/>
      <c r="DZ345" s="4"/>
      <c r="EA345" s="4"/>
      <c r="EB345" s="4"/>
      <c r="EC345" s="4"/>
      <c r="ED345" s="4"/>
      <c r="EE345" s="4"/>
      <c r="EF345" s="4"/>
      <c r="EG345" s="4"/>
      <c r="EH345" s="4"/>
      <c r="EI345" s="4"/>
      <c r="EJ345" s="4"/>
      <c r="EK345" s="4"/>
      <c r="EL345" s="4"/>
      <c r="EM345" s="4"/>
      <c r="EN345" s="4"/>
      <c r="EO345" s="4"/>
      <c r="EP345" s="4"/>
      <c r="EQ345" s="4"/>
      <c r="ER345" s="4"/>
      <c r="ES345" s="4"/>
      <c r="ET345" s="4"/>
      <c r="EU345" s="4"/>
      <c r="EV345" s="4"/>
      <c r="EW345" s="4"/>
      <c r="EX345" s="4"/>
      <c r="EY345" s="4"/>
      <c r="EZ345" s="4"/>
      <c r="FA345" s="4"/>
      <c r="FB345" s="4"/>
      <c r="FC345" s="4"/>
      <c r="FD345" s="4"/>
      <c r="FE345" s="4"/>
      <c r="FF345" s="4"/>
    </row>
    <row r="346" spans="1:162" x14ac:dyDescent="0.2">
      <c r="A346" s="2"/>
      <c r="B346" s="2"/>
      <c r="C346" s="2"/>
      <c r="D346" s="4"/>
      <c r="E346" s="4"/>
      <c r="F346" s="4"/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/>
      <c r="AM346" s="4"/>
      <c r="AN346" s="4"/>
      <c r="AO346" s="4"/>
      <c r="AP346" s="4"/>
      <c r="AQ346" s="4"/>
      <c r="AR346" s="4"/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/>
      <c r="BD346" s="4"/>
      <c r="BE346" s="4"/>
      <c r="BF346" s="4"/>
      <c r="BG346" s="4"/>
      <c r="BH346" s="4"/>
      <c r="BI346" s="4"/>
      <c r="BJ346" s="4"/>
      <c r="BK346" s="4"/>
      <c r="BL346" s="4"/>
      <c r="BM346" s="4"/>
      <c r="BN346" s="4"/>
      <c r="BO346" s="4"/>
      <c r="BP346" s="4"/>
      <c r="BQ346" s="4"/>
      <c r="BR346" s="4"/>
      <c r="BS346" s="4"/>
      <c r="BT346" s="4"/>
      <c r="BU346" s="4"/>
      <c r="BV346" s="4"/>
      <c r="BW346" s="4"/>
      <c r="BX346" s="4"/>
      <c r="BY346" s="4"/>
      <c r="BZ346" s="4"/>
      <c r="CA346" s="4"/>
      <c r="CB346" s="4"/>
      <c r="CC346" s="4"/>
      <c r="CD346" s="4"/>
      <c r="CE346" s="4"/>
      <c r="CF346" s="4"/>
      <c r="CG346" s="4"/>
      <c r="CH346" s="4"/>
      <c r="CI346" s="4"/>
      <c r="CJ346" s="4"/>
      <c r="CK346" s="4"/>
      <c r="CL346" s="4"/>
      <c r="CM346" s="4"/>
      <c r="CN346" s="4"/>
      <c r="CO346" s="4"/>
      <c r="CP346" s="4"/>
      <c r="CQ346" s="4"/>
      <c r="CR346" s="4"/>
      <c r="CS346" s="4"/>
      <c r="CT346" s="4"/>
      <c r="CU346" s="4"/>
      <c r="CV346" s="4"/>
      <c r="CW346" s="4"/>
      <c r="CX346" s="4"/>
      <c r="CY346" s="4"/>
      <c r="CZ346" s="4"/>
      <c r="DA346" s="4"/>
      <c r="DB346" s="4"/>
      <c r="DC346" s="4"/>
      <c r="DD346" s="4"/>
      <c r="DE346" s="4"/>
      <c r="DF346" s="4"/>
      <c r="DG346" s="4"/>
      <c r="DH346" s="4"/>
      <c r="DI346" s="4"/>
      <c r="DJ346" s="4"/>
      <c r="DK346" s="4"/>
      <c r="DL346" s="4"/>
      <c r="DM346" s="4"/>
      <c r="DN346" s="4"/>
      <c r="DO346" s="4"/>
      <c r="DP346" s="4"/>
      <c r="DQ346" s="4"/>
      <c r="DR346" s="4"/>
      <c r="DS346" s="4"/>
      <c r="DT346" s="4"/>
      <c r="DU346" s="4"/>
      <c r="DV346" s="4"/>
      <c r="DW346" s="4"/>
      <c r="DX346" s="4"/>
      <c r="DY346" s="4"/>
      <c r="DZ346" s="4"/>
      <c r="EA346" s="4"/>
      <c r="EB346" s="4"/>
      <c r="EC346" s="4"/>
      <c r="ED346" s="4"/>
      <c r="EE346" s="4"/>
      <c r="EF346" s="4"/>
      <c r="EG346" s="4"/>
      <c r="EH346" s="4"/>
      <c r="EI346" s="4"/>
      <c r="EJ346" s="4"/>
      <c r="EK346" s="4"/>
      <c r="EL346" s="4"/>
      <c r="EM346" s="4"/>
      <c r="EN346" s="4"/>
      <c r="EO346" s="4"/>
      <c r="EP346" s="4"/>
      <c r="EQ346" s="4"/>
      <c r="ER346" s="4"/>
      <c r="ES346" s="4"/>
      <c r="ET346" s="4"/>
      <c r="EU346" s="4"/>
      <c r="EV346" s="4"/>
      <c r="EW346" s="4"/>
      <c r="EX346" s="4"/>
      <c r="EY346" s="4"/>
      <c r="EZ346" s="4"/>
      <c r="FA346" s="4"/>
      <c r="FB346" s="4"/>
      <c r="FC346" s="4"/>
      <c r="FD346" s="4"/>
      <c r="FE346" s="4"/>
      <c r="FF346" s="4"/>
    </row>
    <row r="347" spans="1:162" x14ac:dyDescent="0.2">
      <c r="A347" s="2"/>
      <c r="B347" s="2"/>
      <c r="C347" s="2"/>
      <c r="D347" s="4"/>
      <c r="E347" s="4"/>
      <c r="F347" s="4"/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/>
      <c r="AM347" s="4"/>
      <c r="AN347" s="4"/>
      <c r="AO347" s="4"/>
      <c r="AP347" s="4"/>
      <c r="AQ347" s="4"/>
      <c r="AR347" s="4"/>
      <c r="AS347" s="4"/>
      <c r="AT347" s="4"/>
      <c r="AU347" s="4"/>
      <c r="AV347" s="4"/>
      <c r="AW347" s="4"/>
      <c r="AX347" s="4"/>
      <c r="AY347" s="4"/>
      <c r="AZ347" s="4"/>
      <c r="BA347" s="4"/>
      <c r="BB347" s="4"/>
      <c r="BC347" s="4"/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4"/>
      <c r="BX347" s="4"/>
      <c r="BY347" s="4"/>
      <c r="BZ347" s="4"/>
      <c r="CA347" s="4"/>
      <c r="CB347" s="4"/>
      <c r="CC347" s="4"/>
      <c r="CD347" s="4"/>
      <c r="CE347" s="4"/>
      <c r="CF347" s="4"/>
      <c r="CG347" s="4"/>
      <c r="CH347" s="4"/>
      <c r="CI347" s="4"/>
      <c r="CJ347" s="4"/>
      <c r="CK347" s="4"/>
      <c r="CL347" s="4"/>
      <c r="CM347" s="4"/>
      <c r="CN347" s="4"/>
      <c r="CO347" s="4"/>
      <c r="CP347" s="4"/>
      <c r="CQ347" s="4"/>
      <c r="CR347" s="4"/>
      <c r="CS347" s="4"/>
      <c r="CT347" s="4"/>
      <c r="CU347" s="4"/>
      <c r="CV347" s="4"/>
      <c r="CW347" s="4"/>
      <c r="CX347" s="4"/>
      <c r="CY347" s="4"/>
      <c r="CZ347" s="4"/>
      <c r="DA347" s="4"/>
      <c r="DB347" s="4"/>
      <c r="DC347" s="4"/>
      <c r="DD347" s="4"/>
      <c r="DE347" s="4"/>
      <c r="DF347" s="4"/>
      <c r="DG347" s="4"/>
      <c r="DH347" s="4"/>
      <c r="DI347" s="4"/>
      <c r="DJ347" s="4"/>
      <c r="DK347" s="4"/>
      <c r="DL347" s="4"/>
      <c r="DM347" s="4"/>
      <c r="DN347" s="4"/>
      <c r="DO347" s="4"/>
      <c r="DP347" s="4"/>
      <c r="DQ347" s="4"/>
      <c r="DR347" s="4"/>
      <c r="DS347" s="4"/>
      <c r="DT347" s="4"/>
      <c r="DU347" s="4"/>
      <c r="DV347" s="4"/>
      <c r="DW347" s="4"/>
      <c r="DX347" s="4"/>
      <c r="DY347" s="4"/>
      <c r="DZ347" s="4"/>
      <c r="EA347" s="4"/>
      <c r="EB347" s="4"/>
      <c r="EC347" s="4"/>
      <c r="ED347" s="4"/>
      <c r="EE347" s="4"/>
      <c r="EF347" s="4"/>
      <c r="EG347" s="4"/>
      <c r="EH347" s="4"/>
      <c r="EI347" s="4"/>
      <c r="EJ347" s="4"/>
      <c r="EK347" s="4"/>
      <c r="EL347" s="4"/>
      <c r="EM347" s="4"/>
      <c r="EN347" s="4"/>
      <c r="EO347" s="4"/>
      <c r="EP347" s="4"/>
      <c r="EQ347" s="4"/>
      <c r="ER347" s="4"/>
      <c r="ES347" s="4"/>
      <c r="ET347" s="4"/>
      <c r="EU347" s="4"/>
      <c r="EV347" s="4"/>
      <c r="EW347" s="4"/>
      <c r="EX347" s="4"/>
      <c r="EY347" s="4"/>
      <c r="EZ347" s="4"/>
      <c r="FA347" s="4"/>
      <c r="FB347" s="4"/>
      <c r="FC347" s="4"/>
      <c r="FD347" s="4"/>
      <c r="FE347" s="4"/>
      <c r="FF347" s="4"/>
    </row>
    <row r="348" spans="1:162" x14ac:dyDescent="0.2">
      <c r="A348" s="2"/>
      <c r="B348" s="2"/>
      <c r="C348" s="2"/>
      <c r="D348" s="4"/>
      <c r="E348" s="4"/>
      <c r="F348" s="4"/>
      <c r="G348" s="4"/>
      <c r="H348" s="4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/>
      <c r="AM348" s="4"/>
      <c r="AN348" s="4"/>
      <c r="AO348" s="4"/>
      <c r="AP348" s="4"/>
      <c r="AQ348" s="4"/>
      <c r="AR348" s="4"/>
      <c r="AS348" s="4"/>
      <c r="AT348" s="4"/>
      <c r="AU348" s="4"/>
      <c r="AV348" s="4"/>
      <c r="AW348" s="4"/>
      <c r="AX348" s="4"/>
      <c r="AY348" s="4"/>
      <c r="AZ348" s="4"/>
      <c r="BA348" s="4"/>
      <c r="BB348" s="4"/>
      <c r="BC348" s="4"/>
      <c r="BD348" s="4"/>
      <c r="BE348" s="4"/>
      <c r="BF348" s="4"/>
      <c r="BG348" s="4"/>
      <c r="BH348" s="4"/>
      <c r="BI348" s="4"/>
      <c r="BJ348" s="4"/>
      <c r="BK348" s="4"/>
      <c r="BL348" s="4"/>
      <c r="BM348" s="4"/>
      <c r="BN348" s="4"/>
      <c r="BO348" s="4"/>
      <c r="BP348" s="4"/>
      <c r="BQ348" s="4"/>
      <c r="BR348" s="4"/>
      <c r="BS348" s="4"/>
      <c r="BT348" s="4"/>
      <c r="BU348" s="4"/>
      <c r="BV348" s="4"/>
      <c r="BW348" s="4"/>
      <c r="BX348" s="4"/>
      <c r="BY348" s="4"/>
      <c r="BZ348" s="4"/>
      <c r="CA348" s="4"/>
      <c r="CB348" s="4"/>
      <c r="CC348" s="4"/>
      <c r="CD348" s="4"/>
      <c r="CE348" s="4"/>
      <c r="CF348" s="4"/>
      <c r="CG348" s="4"/>
      <c r="CH348" s="4"/>
      <c r="CI348" s="4"/>
      <c r="CJ348" s="4"/>
      <c r="CK348" s="4"/>
      <c r="CL348" s="4"/>
      <c r="CM348" s="4"/>
      <c r="CN348" s="4"/>
      <c r="CO348" s="4"/>
      <c r="CP348" s="4"/>
      <c r="CQ348" s="4"/>
      <c r="CR348" s="4"/>
      <c r="CS348" s="4"/>
      <c r="CT348" s="4"/>
      <c r="CU348" s="4"/>
      <c r="CV348" s="4"/>
      <c r="CW348" s="4"/>
      <c r="CX348" s="4"/>
      <c r="CY348" s="4"/>
      <c r="CZ348" s="4"/>
      <c r="DA348" s="4"/>
      <c r="DB348" s="4"/>
      <c r="DC348" s="4"/>
      <c r="DD348" s="4"/>
      <c r="DE348" s="4"/>
      <c r="DF348" s="4"/>
      <c r="DG348" s="4"/>
      <c r="DH348" s="4"/>
      <c r="DI348" s="4"/>
      <c r="DJ348" s="4"/>
      <c r="DK348" s="4"/>
      <c r="DL348" s="4"/>
      <c r="DM348" s="4"/>
      <c r="DN348" s="4"/>
      <c r="DO348" s="4"/>
      <c r="DP348" s="4"/>
      <c r="DQ348" s="4"/>
      <c r="DR348" s="4"/>
      <c r="DS348" s="4"/>
      <c r="DT348" s="4"/>
      <c r="DU348" s="4"/>
      <c r="DV348" s="4"/>
      <c r="DW348" s="4"/>
      <c r="DX348" s="4"/>
      <c r="DY348" s="4"/>
      <c r="DZ348" s="4"/>
      <c r="EA348" s="4"/>
      <c r="EB348" s="4"/>
      <c r="EC348" s="4"/>
      <c r="ED348" s="4"/>
      <c r="EE348" s="4"/>
      <c r="EF348" s="4"/>
      <c r="EG348" s="4"/>
      <c r="EH348" s="4"/>
      <c r="EI348" s="4"/>
      <c r="EJ348" s="4"/>
      <c r="EK348" s="4"/>
      <c r="EL348" s="4"/>
      <c r="EM348" s="4"/>
      <c r="EN348" s="4"/>
      <c r="EO348" s="4"/>
      <c r="EP348" s="4"/>
      <c r="EQ348" s="4"/>
      <c r="ER348" s="4"/>
      <c r="ES348" s="4"/>
      <c r="ET348" s="4"/>
      <c r="EU348" s="4"/>
      <c r="EV348" s="4"/>
      <c r="EW348" s="4"/>
      <c r="EX348" s="4"/>
      <c r="EY348" s="4"/>
      <c r="EZ348" s="4"/>
      <c r="FA348" s="4"/>
      <c r="FB348" s="4"/>
      <c r="FC348" s="4"/>
      <c r="FD348" s="4"/>
      <c r="FE348" s="4"/>
      <c r="FF348" s="4"/>
    </row>
    <row r="349" spans="1:162" x14ac:dyDescent="0.2">
      <c r="A349" s="2"/>
      <c r="B349" s="2"/>
      <c r="C349" s="2"/>
      <c r="D349" s="4"/>
      <c r="E349" s="4"/>
      <c r="F349" s="4"/>
      <c r="G349" s="4"/>
      <c r="H349" s="4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4"/>
      <c r="U349" s="4"/>
      <c r="V349" s="4"/>
      <c r="W349" s="4"/>
      <c r="X349" s="4"/>
      <c r="Y349" s="4"/>
      <c r="Z349" s="4"/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4"/>
      <c r="AM349" s="4"/>
      <c r="AN349" s="4"/>
      <c r="AO349" s="4"/>
      <c r="AP349" s="4"/>
      <c r="AQ349" s="4"/>
      <c r="AR349" s="4"/>
      <c r="AS349" s="4"/>
      <c r="AT349" s="4"/>
      <c r="AU349" s="4"/>
      <c r="AV349" s="4"/>
      <c r="AW349" s="4"/>
      <c r="AX349" s="4"/>
      <c r="AY349" s="4"/>
      <c r="AZ349" s="4"/>
      <c r="BA349" s="4"/>
      <c r="BB349" s="4"/>
      <c r="BC349" s="4"/>
      <c r="BD349" s="4"/>
      <c r="BE349" s="4"/>
      <c r="BF349" s="4"/>
      <c r="BG349" s="4"/>
      <c r="BH349" s="4"/>
      <c r="BI349" s="4"/>
      <c r="BJ349" s="4"/>
      <c r="BK349" s="4"/>
      <c r="BL349" s="4"/>
      <c r="BM349" s="4"/>
      <c r="BN349" s="4"/>
      <c r="BO349" s="4"/>
      <c r="BP349" s="4"/>
      <c r="BQ349" s="4"/>
      <c r="BR349" s="4"/>
      <c r="BS349" s="4"/>
      <c r="BT349" s="4"/>
      <c r="BU349" s="4"/>
      <c r="BV349" s="4"/>
      <c r="BW349" s="4"/>
      <c r="BX349" s="4"/>
      <c r="BY349" s="4"/>
      <c r="BZ349" s="4"/>
      <c r="CA349" s="4"/>
      <c r="CB349" s="4"/>
      <c r="CC349" s="4"/>
      <c r="CD349" s="4"/>
      <c r="CE349" s="4"/>
      <c r="CF349" s="4"/>
      <c r="CG349" s="4"/>
      <c r="CH349" s="4"/>
      <c r="CI349" s="4"/>
      <c r="CJ349" s="4"/>
      <c r="CK349" s="4"/>
      <c r="CL349" s="4"/>
      <c r="CM349" s="4"/>
      <c r="CN349" s="4"/>
      <c r="CO349" s="4"/>
      <c r="CP349" s="4"/>
      <c r="CQ349" s="4"/>
      <c r="CR349" s="4"/>
      <c r="CS349" s="4"/>
      <c r="CT349" s="4"/>
      <c r="CU349" s="4"/>
      <c r="CV349" s="4"/>
      <c r="CW349" s="4"/>
      <c r="CX349" s="4"/>
      <c r="CY349" s="4"/>
      <c r="CZ349" s="4"/>
      <c r="DA349" s="4"/>
      <c r="DB349" s="4"/>
      <c r="DC349" s="4"/>
      <c r="DD349" s="4"/>
      <c r="DE349" s="4"/>
      <c r="DF349" s="4"/>
      <c r="DG349" s="4"/>
      <c r="DH349" s="4"/>
      <c r="DI349" s="4"/>
      <c r="DJ349" s="4"/>
      <c r="DK349" s="4"/>
      <c r="DL349" s="4"/>
      <c r="DM349" s="4"/>
      <c r="DN349" s="4"/>
      <c r="DO349" s="4"/>
      <c r="DP349" s="4"/>
      <c r="DQ349" s="4"/>
      <c r="DR349" s="4"/>
      <c r="DS349" s="4"/>
      <c r="DT349" s="4"/>
      <c r="DU349" s="4"/>
      <c r="DV349" s="4"/>
      <c r="DW349" s="4"/>
      <c r="DX349" s="4"/>
      <c r="DY349" s="4"/>
      <c r="DZ349" s="4"/>
      <c r="EA349" s="4"/>
      <c r="EB349" s="4"/>
      <c r="EC349" s="4"/>
      <c r="ED349" s="4"/>
      <c r="EE349" s="4"/>
      <c r="EF349" s="4"/>
      <c r="EG349" s="4"/>
      <c r="EH349" s="4"/>
      <c r="EI349" s="4"/>
      <c r="EJ349" s="4"/>
      <c r="EK349" s="4"/>
      <c r="EL349" s="4"/>
      <c r="EM349" s="4"/>
      <c r="EN349" s="4"/>
      <c r="EO349" s="4"/>
      <c r="EP349" s="4"/>
      <c r="EQ349" s="4"/>
      <c r="ER349" s="4"/>
      <c r="ES349" s="4"/>
      <c r="ET349" s="4"/>
      <c r="EU349" s="4"/>
      <c r="EV349" s="4"/>
      <c r="EW349" s="4"/>
      <c r="EX349" s="4"/>
      <c r="EY349" s="4"/>
      <c r="EZ349" s="4"/>
      <c r="FA349" s="4"/>
      <c r="FB349" s="4"/>
      <c r="FC349" s="4"/>
      <c r="FD349" s="4"/>
      <c r="FE349" s="4"/>
      <c r="FF349" s="4"/>
    </row>
    <row r="350" spans="1:162" x14ac:dyDescent="0.2">
      <c r="A350" s="2"/>
      <c r="B350" s="2"/>
      <c r="C350" s="2"/>
      <c r="D350" s="4"/>
      <c r="E350" s="4"/>
      <c r="F350" s="4"/>
      <c r="G350" s="4"/>
      <c r="H350" s="4"/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  <c r="Z350" s="4"/>
      <c r="AA350" s="4"/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4"/>
      <c r="AM350" s="4"/>
      <c r="AN350" s="4"/>
      <c r="AO350" s="4"/>
      <c r="AP350" s="4"/>
      <c r="AQ350" s="4"/>
      <c r="AR350" s="4"/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/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4"/>
      <c r="BX350" s="4"/>
      <c r="BY350" s="4"/>
      <c r="BZ350" s="4"/>
      <c r="CA350" s="4"/>
      <c r="CB350" s="4"/>
      <c r="CC350" s="4"/>
      <c r="CD350" s="4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/>
      <c r="CP350" s="4"/>
      <c r="CQ350" s="4"/>
      <c r="CR350" s="4"/>
      <c r="CS350" s="4"/>
      <c r="CT350" s="4"/>
      <c r="CU350" s="4"/>
      <c r="CV350" s="4"/>
      <c r="CW350" s="4"/>
      <c r="CX350" s="4"/>
      <c r="CY350" s="4"/>
      <c r="CZ350" s="4"/>
      <c r="DA350" s="4"/>
      <c r="DB350" s="4"/>
      <c r="DC350" s="4"/>
      <c r="DD350" s="4"/>
      <c r="DE350" s="4"/>
      <c r="DF350" s="4"/>
      <c r="DG350" s="4"/>
      <c r="DH350" s="4"/>
      <c r="DI350" s="4"/>
      <c r="DJ350" s="4"/>
      <c r="DK350" s="4"/>
      <c r="DL350" s="4"/>
      <c r="DM350" s="4"/>
      <c r="DN350" s="4"/>
      <c r="DO350" s="4"/>
      <c r="DP350" s="4"/>
      <c r="DQ350" s="4"/>
      <c r="DR350" s="4"/>
      <c r="DS350" s="4"/>
      <c r="DT350" s="4"/>
      <c r="DU350" s="4"/>
      <c r="DV350" s="4"/>
      <c r="DW350" s="4"/>
      <c r="DX350" s="4"/>
      <c r="DY350" s="4"/>
      <c r="DZ350" s="4"/>
      <c r="EA350" s="4"/>
      <c r="EB350" s="4"/>
      <c r="EC350" s="4"/>
      <c r="ED350" s="4"/>
      <c r="EE350" s="4"/>
      <c r="EF350" s="4"/>
      <c r="EG350" s="4"/>
      <c r="EH350" s="4"/>
      <c r="EI350" s="4"/>
      <c r="EJ350" s="4"/>
      <c r="EK350" s="4"/>
      <c r="EL350" s="4"/>
      <c r="EM350" s="4"/>
      <c r="EN350" s="4"/>
      <c r="EO350" s="4"/>
      <c r="EP350" s="4"/>
      <c r="EQ350" s="4"/>
      <c r="ER350" s="4"/>
      <c r="ES350" s="4"/>
      <c r="ET350" s="4"/>
      <c r="EU350" s="4"/>
      <c r="EV350" s="4"/>
      <c r="EW350" s="4"/>
      <c r="EX350" s="4"/>
      <c r="EY350" s="4"/>
      <c r="EZ350" s="4"/>
      <c r="FA350" s="4"/>
      <c r="FB350" s="4"/>
      <c r="FC350" s="4"/>
      <c r="FD350" s="4"/>
      <c r="FE350" s="4"/>
      <c r="FF350" s="4"/>
    </row>
    <row r="351" spans="1:162" x14ac:dyDescent="0.2">
      <c r="A351" s="2"/>
      <c r="B351" s="2"/>
      <c r="C351" s="2"/>
      <c r="D351" s="4"/>
      <c r="E351" s="4"/>
      <c r="F351" s="4"/>
      <c r="G351" s="4"/>
      <c r="H351" s="4"/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4"/>
      <c r="AM351" s="4"/>
      <c r="AN351" s="4"/>
      <c r="AO351" s="4"/>
      <c r="AP351" s="4"/>
      <c r="AQ351" s="4"/>
      <c r="AR351" s="4"/>
      <c r="AS351" s="4"/>
      <c r="AT351" s="4"/>
      <c r="AU351" s="4"/>
      <c r="AV351" s="4"/>
      <c r="AW351" s="4"/>
      <c r="AX351" s="4"/>
      <c r="AY351" s="4"/>
      <c r="AZ351" s="4"/>
      <c r="BA351" s="4"/>
      <c r="BB351" s="4"/>
      <c r="BC351" s="4"/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4"/>
      <c r="BX351" s="4"/>
      <c r="BY351" s="4"/>
      <c r="BZ351" s="4"/>
      <c r="CA351" s="4"/>
      <c r="CB351" s="4"/>
      <c r="CC351" s="4"/>
      <c r="CD351" s="4"/>
      <c r="CE351" s="4"/>
      <c r="CF351" s="4"/>
      <c r="CG351" s="4"/>
      <c r="CH351" s="4"/>
      <c r="CI351" s="4"/>
      <c r="CJ351" s="4"/>
      <c r="CK351" s="4"/>
      <c r="CL351" s="4"/>
      <c r="CM351" s="4"/>
      <c r="CN351" s="4"/>
      <c r="CO351" s="4"/>
      <c r="CP351" s="4"/>
      <c r="CQ351" s="4"/>
      <c r="CR351" s="4"/>
      <c r="CS351" s="4"/>
      <c r="CT351" s="4"/>
      <c r="CU351" s="4"/>
      <c r="CV351" s="4"/>
      <c r="CW351" s="4"/>
      <c r="CX351" s="4"/>
      <c r="CY351" s="4"/>
      <c r="CZ351" s="4"/>
      <c r="DA351" s="4"/>
      <c r="DB351" s="4"/>
      <c r="DC351" s="4"/>
      <c r="DD351" s="4"/>
      <c r="DE351" s="4"/>
      <c r="DF351" s="4"/>
      <c r="DG351" s="4"/>
      <c r="DH351" s="4"/>
      <c r="DI351" s="4"/>
      <c r="DJ351" s="4"/>
      <c r="DK351" s="4"/>
      <c r="DL351" s="4"/>
      <c r="DM351" s="4"/>
      <c r="DN351" s="4"/>
      <c r="DO351" s="4"/>
      <c r="DP351" s="4"/>
      <c r="DQ351" s="4"/>
      <c r="DR351" s="4"/>
      <c r="DS351" s="4"/>
      <c r="DT351" s="4"/>
      <c r="DU351" s="4"/>
      <c r="DV351" s="4"/>
      <c r="DW351" s="4"/>
      <c r="DX351" s="4"/>
      <c r="DY351" s="4"/>
      <c r="DZ351" s="4"/>
      <c r="EA351" s="4"/>
      <c r="EB351" s="4"/>
      <c r="EC351" s="4"/>
      <c r="ED351" s="4"/>
      <c r="EE351" s="4"/>
      <c r="EF351" s="4"/>
      <c r="EG351" s="4"/>
      <c r="EH351" s="4"/>
      <c r="EI351" s="4"/>
      <c r="EJ351" s="4"/>
      <c r="EK351" s="4"/>
      <c r="EL351" s="4"/>
      <c r="EM351" s="4"/>
      <c r="EN351" s="4"/>
      <c r="EO351" s="4"/>
      <c r="EP351" s="4"/>
      <c r="EQ351" s="4"/>
      <c r="ER351" s="4"/>
      <c r="ES351" s="4"/>
      <c r="ET351" s="4"/>
      <c r="EU351" s="4"/>
      <c r="EV351" s="4"/>
      <c r="EW351" s="4"/>
      <c r="EX351" s="4"/>
      <c r="EY351" s="4"/>
      <c r="EZ351" s="4"/>
      <c r="FA351" s="4"/>
      <c r="FB351" s="4"/>
      <c r="FC351" s="4"/>
      <c r="FD351" s="4"/>
      <c r="FE351" s="4"/>
      <c r="FF351" s="4"/>
    </row>
    <row r="352" spans="1:162" x14ac:dyDescent="0.2">
      <c r="A352" s="2"/>
      <c r="B352" s="2"/>
      <c r="C352" s="2"/>
      <c r="D352" s="4"/>
      <c r="E352" s="4"/>
      <c r="F352" s="4"/>
      <c r="G352" s="4"/>
      <c r="H352" s="4"/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  <c r="AA352" s="4"/>
      <c r="AB352" s="4"/>
      <c r="AC352" s="4"/>
      <c r="AD352" s="4"/>
      <c r="AE352" s="4"/>
      <c r="AF352" s="4"/>
      <c r="AG352" s="4"/>
      <c r="AH352" s="4"/>
      <c r="AI352" s="4"/>
      <c r="AJ352" s="4"/>
      <c r="AK352" s="4"/>
      <c r="AL352" s="4"/>
      <c r="AM352" s="4"/>
      <c r="AN352" s="4"/>
      <c r="AO352" s="4"/>
      <c r="AP352" s="4"/>
      <c r="AQ352" s="4"/>
      <c r="AR352" s="4"/>
      <c r="AS352" s="4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/>
      <c r="BL352" s="4"/>
      <c r="BM352" s="4"/>
      <c r="BN352" s="4"/>
      <c r="BO352" s="4"/>
      <c r="BP352" s="4"/>
      <c r="BQ352" s="4"/>
      <c r="BR352" s="4"/>
      <c r="BS352" s="4"/>
      <c r="BT352" s="4"/>
      <c r="BU352" s="4"/>
      <c r="BV352" s="4"/>
      <c r="BW352" s="4"/>
      <c r="BX352" s="4"/>
      <c r="BY352" s="4"/>
      <c r="BZ352" s="4"/>
      <c r="CA352" s="4"/>
      <c r="CB352" s="4"/>
      <c r="CC352" s="4"/>
      <c r="CD352" s="4"/>
      <c r="CE352" s="4"/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  <c r="DB352" s="4"/>
      <c r="DC352" s="4"/>
      <c r="DD352" s="4"/>
      <c r="DE352" s="4"/>
      <c r="DF352" s="4"/>
      <c r="DG352" s="4"/>
      <c r="DH352" s="4"/>
      <c r="DI352" s="4"/>
      <c r="DJ352" s="4"/>
      <c r="DK352" s="4"/>
      <c r="DL352" s="4"/>
      <c r="DM352" s="4"/>
      <c r="DN352" s="4"/>
      <c r="DO352" s="4"/>
      <c r="DP352" s="4"/>
      <c r="DQ352" s="4"/>
      <c r="DR352" s="4"/>
      <c r="DS352" s="4"/>
      <c r="DT352" s="4"/>
      <c r="DU352" s="4"/>
      <c r="DV352" s="4"/>
      <c r="DW352" s="4"/>
      <c r="DX352" s="4"/>
      <c r="DY352" s="4"/>
      <c r="DZ352" s="4"/>
      <c r="EA352" s="4"/>
      <c r="EB352" s="4"/>
      <c r="EC352" s="4"/>
      <c r="ED352" s="4"/>
      <c r="EE352" s="4"/>
      <c r="EF352" s="4"/>
      <c r="EG352" s="4"/>
      <c r="EH352" s="4"/>
      <c r="EI352" s="4"/>
      <c r="EJ352" s="4"/>
      <c r="EK352" s="4"/>
      <c r="EL352" s="4"/>
      <c r="EM352" s="4"/>
      <c r="EN352" s="4"/>
      <c r="EO352" s="4"/>
      <c r="EP352" s="4"/>
      <c r="EQ352" s="4"/>
      <c r="ER352" s="4"/>
      <c r="ES352" s="4"/>
      <c r="ET352" s="4"/>
      <c r="EU352" s="4"/>
      <c r="EV352" s="4"/>
      <c r="EW352" s="4"/>
      <c r="EX352" s="4"/>
      <c r="EY352" s="4"/>
      <c r="EZ352" s="4"/>
      <c r="FA352" s="4"/>
      <c r="FB352" s="4"/>
      <c r="FC352" s="4"/>
      <c r="FD352" s="4"/>
      <c r="FE352" s="4"/>
      <c r="FF352" s="4"/>
    </row>
    <row r="353" spans="1:162" x14ac:dyDescent="0.2">
      <c r="A353" s="2"/>
      <c r="B353" s="2"/>
      <c r="C353" s="2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  <c r="AN353" s="4"/>
      <c r="AO353" s="4"/>
      <c r="AP353" s="4"/>
      <c r="AQ353" s="4"/>
      <c r="AR353" s="4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/>
      <c r="BL353" s="4"/>
      <c r="BM353" s="4"/>
      <c r="BN353" s="4"/>
      <c r="BO353" s="4"/>
      <c r="BP353" s="4"/>
      <c r="BQ353" s="4"/>
      <c r="BR353" s="4"/>
      <c r="BS353" s="4"/>
      <c r="BT353" s="4"/>
      <c r="BU353" s="4"/>
      <c r="BV353" s="4"/>
      <c r="BW353" s="4"/>
      <c r="BX353" s="4"/>
      <c r="BY353" s="4"/>
      <c r="BZ353" s="4"/>
      <c r="CA353" s="4"/>
      <c r="CB353" s="4"/>
      <c r="CC353" s="4"/>
      <c r="CD353" s="4"/>
      <c r="CE353" s="4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  <c r="CQ353" s="4"/>
      <c r="CR353" s="4"/>
      <c r="CS353" s="4"/>
      <c r="CT353" s="4"/>
      <c r="CU353" s="4"/>
      <c r="CV353" s="4"/>
      <c r="CW353" s="4"/>
      <c r="CX353" s="4"/>
      <c r="CY353" s="4"/>
      <c r="CZ353" s="4"/>
      <c r="DA353" s="4"/>
      <c r="DB353" s="4"/>
      <c r="DC353" s="4"/>
      <c r="DD353" s="4"/>
      <c r="DE353" s="4"/>
      <c r="DF353" s="4"/>
      <c r="DG353" s="4"/>
      <c r="DH353" s="4"/>
      <c r="DI353" s="4"/>
      <c r="DJ353" s="4"/>
      <c r="DK353" s="4"/>
      <c r="DL353" s="4"/>
      <c r="DM353" s="4"/>
      <c r="DN353" s="4"/>
      <c r="DO353" s="4"/>
      <c r="DP353" s="4"/>
      <c r="DQ353" s="4"/>
      <c r="DR353" s="4"/>
      <c r="DS353" s="4"/>
      <c r="DT353" s="4"/>
      <c r="DU353" s="4"/>
      <c r="DV353" s="4"/>
      <c r="DW353" s="4"/>
      <c r="DX353" s="4"/>
      <c r="DY353" s="4"/>
      <c r="DZ353" s="4"/>
      <c r="EA353" s="4"/>
      <c r="EB353" s="4"/>
      <c r="EC353" s="4"/>
      <c r="ED353" s="4"/>
      <c r="EE353" s="4"/>
      <c r="EF353" s="4"/>
      <c r="EG353" s="4"/>
      <c r="EH353" s="4"/>
      <c r="EI353" s="4"/>
      <c r="EJ353" s="4"/>
      <c r="EK353" s="4"/>
      <c r="EL353" s="4"/>
      <c r="EM353" s="4"/>
      <c r="EN353" s="4"/>
      <c r="EO353" s="4"/>
      <c r="EP353" s="4"/>
      <c r="EQ353" s="4"/>
      <c r="ER353" s="4"/>
      <c r="ES353" s="4"/>
      <c r="ET353" s="4"/>
      <c r="EU353" s="4"/>
      <c r="EV353" s="4"/>
      <c r="EW353" s="4"/>
      <c r="EX353" s="4"/>
      <c r="EY353" s="4"/>
      <c r="EZ353" s="4"/>
      <c r="FA353" s="4"/>
      <c r="FB353" s="4"/>
      <c r="FC353" s="4"/>
      <c r="FD353" s="4"/>
      <c r="FE353" s="4"/>
      <c r="FF353" s="4"/>
    </row>
    <row r="354" spans="1:162" x14ac:dyDescent="0.2">
      <c r="A354" s="2"/>
      <c r="B354" s="2"/>
      <c r="C354" s="2"/>
      <c r="D354" s="4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/>
      <c r="AN354" s="4"/>
      <c r="AO354" s="4"/>
      <c r="AP354" s="4"/>
      <c r="AQ354" s="4"/>
      <c r="AR354" s="4"/>
      <c r="AS354" s="4"/>
      <c r="AT354" s="4"/>
      <c r="AU354" s="4"/>
      <c r="AV354" s="4"/>
      <c r="AW354" s="4"/>
      <c r="AX354" s="4"/>
      <c r="AY354" s="4"/>
      <c r="AZ354" s="4"/>
      <c r="BA354" s="4"/>
      <c r="BB354" s="4"/>
      <c r="BC354" s="4"/>
      <c r="BD354" s="4"/>
      <c r="BE354" s="4"/>
      <c r="BF354" s="4"/>
      <c r="BG354" s="4"/>
      <c r="BH354" s="4"/>
      <c r="BI354" s="4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4"/>
      <c r="BX354" s="4"/>
      <c r="BY354" s="4"/>
      <c r="BZ354" s="4"/>
      <c r="CA354" s="4"/>
      <c r="CB354" s="4"/>
      <c r="CC354" s="4"/>
      <c r="CD354" s="4"/>
      <c r="CE354" s="4"/>
      <c r="CF354" s="4"/>
      <c r="CG354" s="4"/>
      <c r="CH354" s="4"/>
      <c r="CI354" s="4"/>
      <c r="CJ354" s="4"/>
      <c r="CK354" s="4"/>
      <c r="CL354" s="4"/>
      <c r="CM354" s="4"/>
      <c r="CN354" s="4"/>
      <c r="CO354" s="4"/>
      <c r="CP354" s="4"/>
      <c r="CQ354" s="4"/>
      <c r="CR354" s="4"/>
      <c r="CS354" s="4"/>
      <c r="CT354" s="4"/>
      <c r="CU354" s="4"/>
      <c r="CV354" s="4"/>
      <c r="CW354" s="4"/>
      <c r="CX354" s="4"/>
      <c r="CY354" s="4"/>
      <c r="CZ354" s="4"/>
      <c r="DA354" s="4"/>
      <c r="DB354" s="4"/>
      <c r="DC354" s="4"/>
      <c r="DD354" s="4"/>
      <c r="DE354" s="4"/>
      <c r="DF354" s="4"/>
      <c r="DG354" s="4"/>
      <c r="DH354" s="4"/>
      <c r="DI354" s="4"/>
      <c r="DJ354" s="4"/>
      <c r="DK354" s="4"/>
      <c r="DL354" s="4"/>
      <c r="DM354" s="4"/>
      <c r="DN354" s="4"/>
      <c r="DO354" s="4"/>
      <c r="DP354" s="4"/>
      <c r="DQ354" s="4"/>
      <c r="DR354" s="4"/>
      <c r="DS354" s="4"/>
      <c r="DT354" s="4"/>
      <c r="DU354" s="4"/>
      <c r="DV354" s="4"/>
      <c r="DW354" s="4"/>
      <c r="DX354" s="4"/>
      <c r="DY354" s="4"/>
      <c r="DZ354" s="4"/>
      <c r="EA354" s="4"/>
      <c r="EB354" s="4"/>
      <c r="EC354" s="4"/>
      <c r="ED354" s="4"/>
      <c r="EE354" s="4"/>
      <c r="EF354" s="4"/>
      <c r="EG354" s="4"/>
      <c r="EH354" s="4"/>
      <c r="EI354" s="4"/>
      <c r="EJ354" s="4"/>
      <c r="EK354" s="4"/>
      <c r="EL354" s="4"/>
      <c r="EM354" s="4"/>
      <c r="EN354" s="4"/>
      <c r="EO354" s="4"/>
      <c r="EP354" s="4"/>
      <c r="EQ354" s="4"/>
      <c r="ER354" s="4"/>
      <c r="ES354" s="4"/>
      <c r="ET354" s="4"/>
      <c r="EU354" s="4"/>
      <c r="EV354" s="4"/>
      <c r="EW354" s="4"/>
      <c r="EX354" s="4"/>
      <c r="EY354" s="4"/>
      <c r="EZ354" s="4"/>
      <c r="FA354" s="4"/>
      <c r="FB354" s="4"/>
      <c r="FC354" s="4"/>
      <c r="FD354" s="4"/>
      <c r="FE354" s="4"/>
      <c r="FF354" s="4"/>
    </row>
    <row r="355" spans="1:162" x14ac:dyDescent="0.2">
      <c r="A355" s="2"/>
      <c r="B355" s="2"/>
      <c r="C355" s="2"/>
      <c r="D355" s="4"/>
      <c r="E355" s="4"/>
      <c r="F355" s="4"/>
      <c r="G355" s="4"/>
      <c r="H355" s="4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4"/>
      <c r="V355" s="4"/>
      <c r="W355" s="4"/>
      <c r="X355" s="4"/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4"/>
      <c r="AJ355" s="4"/>
      <c r="AK355" s="4"/>
      <c r="AL355" s="4"/>
      <c r="AM355" s="4"/>
      <c r="AN355" s="4"/>
      <c r="AO355" s="4"/>
      <c r="AP355" s="4"/>
      <c r="AQ355" s="4"/>
      <c r="AR355" s="4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/>
      <c r="BH355" s="4"/>
      <c r="BI355" s="4"/>
      <c r="BJ355" s="4"/>
      <c r="BK355" s="4"/>
      <c r="BL355" s="4"/>
      <c r="BM355" s="4"/>
      <c r="BN355" s="4"/>
      <c r="BO355" s="4"/>
      <c r="BP355" s="4"/>
      <c r="BQ355" s="4"/>
      <c r="BR355" s="4"/>
      <c r="BS355" s="4"/>
      <c r="BT355" s="4"/>
      <c r="BU355" s="4"/>
      <c r="BV355" s="4"/>
      <c r="BW355" s="4"/>
      <c r="BX355" s="4"/>
      <c r="BY355" s="4"/>
      <c r="BZ355" s="4"/>
      <c r="CA355" s="4"/>
      <c r="CB355" s="4"/>
      <c r="CC355" s="4"/>
      <c r="CD355" s="4"/>
      <c r="CE355" s="4"/>
      <c r="CF355" s="4"/>
      <c r="CG355" s="4"/>
      <c r="CH355" s="4"/>
      <c r="CI355" s="4"/>
      <c r="CJ355" s="4"/>
      <c r="CK355" s="4"/>
      <c r="CL355" s="4"/>
      <c r="CM355" s="4"/>
      <c r="CN355" s="4"/>
      <c r="CO355" s="4"/>
      <c r="CP355" s="4"/>
      <c r="CQ355" s="4"/>
      <c r="CR355" s="4"/>
      <c r="CS355" s="4"/>
      <c r="CT355" s="4"/>
      <c r="CU355" s="4"/>
      <c r="CV355" s="4"/>
      <c r="CW355" s="4"/>
      <c r="CX355" s="4"/>
      <c r="CY355" s="4"/>
      <c r="CZ355" s="4"/>
      <c r="DA355" s="4"/>
      <c r="DB355" s="4"/>
      <c r="DC355" s="4"/>
      <c r="DD355" s="4"/>
      <c r="DE355" s="4"/>
      <c r="DF355" s="4"/>
      <c r="DG355" s="4"/>
      <c r="DH355" s="4"/>
      <c r="DI355" s="4"/>
      <c r="DJ355" s="4"/>
      <c r="DK355" s="4"/>
      <c r="DL355" s="4"/>
      <c r="DM355" s="4"/>
      <c r="DN355" s="4"/>
      <c r="DO355" s="4"/>
      <c r="DP355" s="4"/>
      <c r="DQ355" s="4"/>
      <c r="DR355" s="4"/>
      <c r="DS355" s="4"/>
      <c r="DT355" s="4"/>
      <c r="DU355" s="4"/>
      <c r="DV355" s="4"/>
      <c r="DW355" s="4"/>
      <c r="DX355" s="4"/>
      <c r="DY355" s="4"/>
      <c r="DZ355" s="4"/>
      <c r="EA355" s="4"/>
      <c r="EB355" s="4"/>
      <c r="EC355" s="4"/>
      <c r="ED355" s="4"/>
      <c r="EE355" s="4"/>
      <c r="EF355" s="4"/>
      <c r="EG355" s="4"/>
      <c r="EH355" s="4"/>
      <c r="EI355" s="4"/>
      <c r="EJ355" s="4"/>
      <c r="EK355" s="4"/>
      <c r="EL355" s="4"/>
      <c r="EM355" s="4"/>
      <c r="EN355" s="4"/>
      <c r="EO355" s="4"/>
      <c r="EP355" s="4"/>
      <c r="EQ355" s="4"/>
      <c r="ER355" s="4"/>
      <c r="ES355" s="4"/>
      <c r="ET355" s="4"/>
      <c r="EU355" s="4"/>
      <c r="EV355" s="4"/>
      <c r="EW355" s="4"/>
      <c r="EX355" s="4"/>
      <c r="EY355" s="4"/>
      <c r="EZ355" s="4"/>
      <c r="FA355" s="4"/>
      <c r="FB355" s="4"/>
      <c r="FC355" s="4"/>
      <c r="FD355" s="4"/>
      <c r="FE355" s="4"/>
      <c r="FF355" s="4"/>
    </row>
    <row r="356" spans="1:162" x14ac:dyDescent="0.2">
      <c r="A356" s="2"/>
      <c r="B356" s="2"/>
      <c r="C356" s="2"/>
      <c r="D356" s="4"/>
      <c r="E356" s="4"/>
      <c r="F356" s="4"/>
      <c r="G356" s="4"/>
      <c r="H356" s="4"/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/>
      <c r="AM356" s="4"/>
      <c r="AN356" s="4"/>
      <c r="AO356" s="4"/>
      <c r="AP356" s="4"/>
      <c r="AQ356" s="4"/>
      <c r="AR356" s="4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4"/>
      <c r="BQ356" s="4"/>
      <c r="BR356" s="4"/>
      <c r="BS356" s="4"/>
      <c r="BT356" s="4"/>
      <c r="BU356" s="4"/>
      <c r="BV356" s="4"/>
      <c r="BW356" s="4"/>
      <c r="BX356" s="4"/>
      <c r="BY356" s="4"/>
      <c r="BZ356" s="4"/>
      <c r="CA356" s="4"/>
      <c r="CB356" s="4"/>
      <c r="CC356" s="4"/>
      <c r="CD356" s="4"/>
      <c r="CE356" s="4"/>
      <c r="CF356" s="4"/>
      <c r="CG356" s="4"/>
      <c r="CH356" s="4"/>
      <c r="CI356" s="4"/>
      <c r="CJ356" s="4"/>
      <c r="CK356" s="4"/>
      <c r="CL356" s="4"/>
      <c r="CM356" s="4"/>
      <c r="CN356" s="4"/>
      <c r="CO356" s="4"/>
      <c r="CP356" s="4"/>
      <c r="CQ356" s="4"/>
      <c r="CR356" s="4"/>
      <c r="CS356" s="4"/>
      <c r="CT356" s="4"/>
      <c r="CU356" s="4"/>
      <c r="CV356" s="4"/>
      <c r="CW356" s="4"/>
      <c r="CX356" s="4"/>
      <c r="CY356" s="4"/>
      <c r="CZ356" s="4"/>
      <c r="DA356" s="4"/>
      <c r="DB356" s="4"/>
      <c r="DC356" s="4"/>
      <c r="DD356" s="4"/>
      <c r="DE356" s="4"/>
      <c r="DF356" s="4"/>
      <c r="DG356" s="4"/>
      <c r="DH356" s="4"/>
      <c r="DI356" s="4"/>
      <c r="DJ356" s="4"/>
      <c r="DK356" s="4"/>
      <c r="DL356" s="4"/>
      <c r="DM356" s="4"/>
      <c r="DN356" s="4"/>
      <c r="DO356" s="4"/>
      <c r="DP356" s="4"/>
      <c r="DQ356" s="4"/>
      <c r="DR356" s="4"/>
      <c r="DS356" s="4"/>
      <c r="DT356" s="4"/>
      <c r="DU356" s="4"/>
      <c r="DV356" s="4"/>
      <c r="DW356" s="4"/>
      <c r="DX356" s="4"/>
      <c r="DY356" s="4"/>
      <c r="DZ356" s="4"/>
      <c r="EA356" s="4"/>
      <c r="EB356" s="4"/>
      <c r="EC356" s="4"/>
      <c r="ED356" s="4"/>
      <c r="EE356" s="4"/>
      <c r="EF356" s="4"/>
      <c r="EG356" s="4"/>
      <c r="EH356" s="4"/>
      <c r="EI356" s="4"/>
      <c r="EJ356" s="4"/>
      <c r="EK356" s="4"/>
      <c r="EL356" s="4"/>
      <c r="EM356" s="4"/>
      <c r="EN356" s="4"/>
      <c r="EO356" s="4"/>
      <c r="EP356" s="4"/>
      <c r="EQ356" s="4"/>
      <c r="ER356" s="4"/>
      <c r="ES356" s="4"/>
      <c r="ET356" s="4"/>
      <c r="EU356" s="4"/>
      <c r="EV356" s="4"/>
      <c r="EW356" s="4"/>
      <c r="EX356" s="4"/>
      <c r="EY356" s="4"/>
      <c r="EZ356" s="4"/>
      <c r="FA356" s="4"/>
      <c r="FB356" s="4"/>
      <c r="FC356" s="4"/>
      <c r="FD356" s="4"/>
      <c r="FE356" s="4"/>
      <c r="FF356" s="4"/>
    </row>
    <row r="357" spans="1:162" x14ac:dyDescent="0.2">
      <c r="A357" s="2"/>
      <c r="B357" s="2"/>
      <c r="C357" s="2"/>
      <c r="D357" s="4"/>
      <c r="E357" s="4"/>
      <c r="F357" s="4"/>
      <c r="G357" s="4"/>
      <c r="H357" s="4"/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  <c r="Z357" s="4"/>
      <c r="AA357" s="4"/>
      <c r="AB357" s="4"/>
      <c r="AC357" s="4"/>
      <c r="AD357" s="4"/>
      <c r="AE357" s="4"/>
      <c r="AF357" s="4"/>
      <c r="AG357" s="4"/>
      <c r="AH357" s="4"/>
      <c r="AI357" s="4"/>
      <c r="AJ357" s="4"/>
      <c r="AK357" s="4"/>
      <c r="AL357" s="4"/>
      <c r="AM357" s="4"/>
      <c r="AN357" s="4"/>
      <c r="AO357" s="4"/>
      <c r="AP357" s="4"/>
      <c r="AQ357" s="4"/>
      <c r="AR357" s="4"/>
      <c r="AS357" s="4"/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/>
      <c r="BL357" s="4"/>
      <c r="BM357" s="4"/>
      <c r="BN357" s="4"/>
      <c r="BO357" s="4"/>
      <c r="BP357" s="4"/>
      <c r="BQ357" s="4"/>
      <c r="BR357" s="4"/>
      <c r="BS357" s="4"/>
      <c r="BT357" s="4"/>
      <c r="BU357" s="4"/>
      <c r="BV357" s="4"/>
      <c r="BW357" s="4"/>
      <c r="BX357" s="4"/>
      <c r="BY357" s="4"/>
      <c r="BZ357" s="4"/>
      <c r="CA357" s="4"/>
      <c r="CB357" s="4"/>
      <c r="CC357" s="4"/>
      <c r="CD357" s="4"/>
      <c r="CE357" s="4"/>
      <c r="CF357" s="4"/>
      <c r="CG357" s="4"/>
      <c r="CH357" s="4"/>
      <c r="CI357" s="4"/>
      <c r="CJ357" s="4"/>
      <c r="CK357" s="4"/>
      <c r="CL357" s="4"/>
      <c r="CM357" s="4"/>
      <c r="CN357" s="4"/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/>
      <c r="DB357" s="4"/>
      <c r="DC357" s="4"/>
      <c r="DD357" s="4"/>
      <c r="DE357" s="4"/>
      <c r="DF357" s="4"/>
      <c r="DG357" s="4"/>
      <c r="DH357" s="4"/>
      <c r="DI357" s="4"/>
      <c r="DJ357" s="4"/>
      <c r="DK357" s="4"/>
      <c r="DL357" s="4"/>
      <c r="DM357" s="4"/>
      <c r="DN357" s="4"/>
      <c r="DO357" s="4"/>
      <c r="DP357" s="4"/>
      <c r="DQ357" s="4"/>
      <c r="DR357" s="4"/>
      <c r="DS357" s="4"/>
      <c r="DT357" s="4"/>
      <c r="DU357" s="4"/>
      <c r="DV357" s="4"/>
      <c r="DW357" s="4"/>
      <c r="DX357" s="4"/>
      <c r="DY357" s="4"/>
      <c r="DZ357" s="4"/>
      <c r="EA357" s="4"/>
      <c r="EB357" s="4"/>
      <c r="EC357" s="4"/>
      <c r="ED357" s="4"/>
      <c r="EE357" s="4"/>
      <c r="EF357" s="4"/>
      <c r="EG357" s="4"/>
      <c r="EH357" s="4"/>
      <c r="EI357" s="4"/>
      <c r="EJ357" s="4"/>
      <c r="EK357" s="4"/>
      <c r="EL357" s="4"/>
      <c r="EM357" s="4"/>
      <c r="EN357" s="4"/>
      <c r="EO357" s="4"/>
      <c r="EP357" s="4"/>
      <c r="EQ357" s="4"/>
      <c r="ER357" s="4"/>
      <c r="ES357" s="4"/>
      <c r="ET357" s="4"/>
      <c r="EU357" s="4"/>
      <c r="EV357" s="4"/>
      <c r="EW357" s="4"/>
      <c r="EX357" s="4"/>
      <c r="EY357" s="4"/>
      <c r="EZ357" s="4"/>
      <c r="FA357" s="4"/>
      <c r="FB357" s="4"/>
      <c r="FC357" s="4"/>
      <c r="FD357" s="4"/>
      <c r="FE357" s="4"/>
      <c r="FF357" s="4"/>
    </row>
    <row r="358" spans="1:162" x14ac:dyDescent="0.2">
      <c r="A358" s="2"/>
      <c r="B358" s="2"/>
      <c r="C358" s="2"/>
      <c r="D358" s="4"/>
      <c r="E358" s="4"/>
      <c r="F358" s="4"/>
      <c r="G358" s="4"/>
      <c r="H358" s="4"/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4"/>
      <c r="AJ358" s="4"/>
      <c r="AK358" s="4"/>
      <c r="AL358" s="4"/>
      <c r="AM358" s="4"/>
      <c r="AN358" s="4"/>
      <c r="AO358" s="4"/>
      <c r="AP358" s="4"/>
      <c r="AQ358" s="4"/>
      <c r="AR358" s="4"/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4"/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4"/>
      <c r="BX358" s="4"/>
      <c r="BY358" s="4"/>
      <c r="BZ358" s="4"/>
      <c r="CA358" s="4"/>
      <c r="CB358" s="4"/>
      <c r="CC358" s="4"/>
      <c r="CD358" s="4"/>
      <c r="CE358" s="4"/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/>
      <c r="CU358" s="4"/>
      <c r="CV358" s="4"/>
      <c r="CW358" s="4"/>
      <c r="CX358" s="4"/>
      <c r="CY358" s="4"/>
      <c r="CZ358" s="4"/>
      <c r="DA358" s="4"/>
      <c r="DB358" s="4"/>
      <c r="DC358" s="4"/>
      <c r="DD358" s="4"/>
      <c r="DE358" s="4"/>
      <c r="DF358" s="4"/>
      <c r="DG358" s="4"/>
      <c r="DH358" s="4"/>
      <c r="DI358" s="4"/>
      <c r="DJ358" s="4"/>
      <c r="DK358" s="4"/>
      <c r="DL358" s="4"/>
      <c r="DM358" s="4"/>
      <c r="DN358" s="4"/>
      <c r="DO358" s="4"/>
      <c r="DP358" s="4"/>
      <c r="DQ358" s="4"/>
      <c r="DR358" s="4"/>
      <c r="DS358" s="4"/>
      <c r="DT358" s="4"/>
      <c r="DU358" s="4"/>
      <c r="DV358" s="4"/>
      <c r="DW358" s="4"/>
      <c r="DX358" s="4"/>
      <c r="DY358" s="4"/>
      <c r="DZ358" s="4"/>
      <c r="EA358" s="4"/>
      <c r="EB358" s="4"/>
      <c r="EC358" s="4"/>
      <c r="ED358" s="4"/>
      <c r="EE358" s="4"/>
      <c r="EF358" s="4"/>
      <c r="EG358" s="4"/>
      <c r="EH358" s="4"/>
      <c r="EI358" s="4"/>
      <c r="EJ358" s="4"/>
      <c r="EK358" s="4"/>
      <c r="EL358" s="4"/>
      <c r="EM358" s="4"/>
      <c r="EN358" s="4"/>
      <c r="EO358" s="4"/>
      <c r="EP358" s="4"/>
      <c r="EQ358" s="4"/>
      <c r="ER358" s="4"/>
      <c r="ES358" s="4"/>
      <c r="ET358" s="4"/>
      <c r="EU358" s="4"/>
      <c r="EV358" s="4"/>
      <c r="EW358" s="4"/>
      <c r="EX358" s="4"/>
      <c r="EY358" s="4"/>
      <c r="EZ358" s="4"/>
      <c r="FA358" s="4"/>
      <c r="FB358" s="4"/>
      <c r="FC358" s="4"/>
      <c r="FD358" s="4"/>
      <c r="FE358" s="4"/>
      <c r="FF358" s="4"/>
    </row>
    <row r="359" spans="1:162" x14ac:dyDescent="0.2">
      <c r="A359" s="2"/>
      <c r="B359" s="2"/>
      <c r="C359" s="2"/>
      <c r="D359" s="4"/>
      <c r="E359" s="4"/>
      <c r="F359" s="4"/>
      <c r="G359" s="4"/>
      <c r="H359" s="4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  <c r="AA359" s="4"/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4"/>
      <c r="AM359" s="4"/>
      <c r="AN359" s="4"/>
      <c r="AO359" s="4"/>
      <c r="AP359" s="4"/>
      <c r="AQ359" s="4"/>
      <c r="AR359" s="4"/>
      <c r="AS359" s="4"/>
      <c r="AT359" s="4"/>
      <c r="AU359" s="4"/>
      <c r="AV359" s="4"/>
      <c r="AW359" s="4"/>
      <c r="AX359" s="4"/>
      <c r="AY359" s="4"/>
      <c r="AZ359" s="4"/>
      <c r="BA359" s="4"/>
      <c r="BB359" s="4"/>
      <c r="BC359" s="4"/>
      <c r="BD359" s="4"/>
      <c r="BE359" s="4"/>
      <c r="BF359" s="4"/>
      <c r="BG359" s="4"/>
      <c r="BH359" s="4"/>
      <c r="BI359" s="4"/>
      <c r="BJ359" s="4"/>
      <c r="BK359" s="4"/>
      <c r="BL359" s="4"/>
      <c r="BM359" s="4"/>
      <c r="BN359" s="4"/>
      <c r="BO359" s="4"/>
      <c r="BP359" s="4"/>
      <c r="BQ359" s="4"/>
      <c r="BR359" s="4"/>
      <c r="BS359" s="4"/>
      <c r="BT359" s="4"/>
      <c r="BU359" s="4"/>
      <c r="BV359" s="4"/>
      <c r="BW359" s="4"/>
      <c r="BX359" s="4"/>
      <c r="BY359" s="4"/>
      <c r="BZ359" s="4"/>
      <c r="CA359" s="4"/>
      <c r="CB359" s="4"/>
      <c r="CC359" s="4"/>
      <c r="CD359" s="4"/>
      <c r="CE359" s="4"/>
      <c r="CF359" s="4"/>
      <c r="CG359" s="4"/>
      <c r="CH359" s="4"/>
      <c r="CI359" s="4"/>
      <c r="CJ359" s="4"/>
      <c r="CK359" s="4"/>
      <c r="CL359" s="4"/>
      <c r="CM359" s="4"/>
      <c r="CN359" s="4"/>
      <c r="CO359" s="4"/>
      <c r="CP359" s="4"/>
      <c r="CQ359" s="4"/>
      <c r="CR359" s="4"/>
      <c r="CS359" s="4"/>
      <c r="CT359" s="4"/>
      <c r="CU359" s="4"/>
      <c r="CV359" s="4"/>
      <c r="CW359" s="4"/>
      <c r="CX359" s="4"/>
      <c r="CY359" s="4"/>
      <c r="CZ359" s="4"/>
      <c r="DA359" s="4"/>
      <c r="DB359" s="4"/>
      <c r="DC359" s="4"/>
      <c r="DD359" s="4"/>
      <c r="DE359" s="4"/>
      <c r="DF359" s="4"/>
      <c r="DG359" s="4"/>
      <c r="DH359" s="4"/>
      <c r="DI359" s="4"/>
      <c r="DJ359" s="4"/>
      <c r="DK359" s="4"/>
      <c r="DL359" s="4"/>
      <c r="DM359" s="4"/>
      <c r="DN359" s="4"/>
      <c r="DO359" s="4"/>
      <c r="DP359" s="4"/>
      <c r="DQ359" s="4"/>
      <c r="DR359" s="4"/>
      <c r="DS359" s="4"/>
      <c r="DT359" s="4"/>
      <c r="DU359" s="4"/>
      <c r="DV359" s="4"/>
      <c r="DW359" s="4"/>
      <c r="DX359" s="4"/>
      <c r="DY359" s="4"/>
      <c r="DZ359" s="4"/>
      <c r="EA359" s="4"/>
      <c r="EB359" s="4"/>
      <c r="EC359" s="4"/>
      <c r="ED359" s="4"/>
      <c r="EE359" s="4"/>
      <c r="EF359" s="4"/>
      <c r="EG359" s="4"/>
      <c r="EH359" s="4"/>
      <c r="EI359" s="4"/>
      <c r="EJ359" s="4"/>
      <c r="EK359" s="4"/>
      <c r="EL359" s="4"/>
      <c r="EM359" s="4"/>
      <c r="EN359" s="4"/>
      <c r="EO359" s="4"/>
      <c r="EP359" s="4"/>
      <c r="EQ359" s="4"/>
      <c r="ER359" s="4"/>
      <c r="ES359" s="4"/>
      <c r="ET359" s="4"/>
      <c r="EU359" s="4"/>
      <c r="EV359" s="4"/>
      <c r="EW359" s="4"/>
      <c r="EX359" s="4"/>
      <c r="EY359" s="4"/>
      <c r="EZ359" s="4"/>
      <c r="FA359" s="4"/>
      <c r="FB359" s="4"/>
      <c r="FC359" s="4"/>
      <c r="FD359" s="4"/>
      <c r="FE359" s="4"/>
      <c r="FF359" s="4"/>
    </row>
    <row r="360" spans="1:162" x14ac:dyDescent="0.2">
      <c r="A360" s="2"/>
      <c r="B360" s="2"/>
      <c r="C360" s="2"/>
      <c r="D360" s="4"/>
      <c r="E360" s="4"/>
      <c r="F360" s="4"/>
      <c r="G360" s="4"/>
      <c r="H360" s="4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4"/>
      <c r="AM360" s="4"/>
      <c r="AN360" s="4"/>
      <c r="AO360" s="4"/>
      <c r="AP360" s="4"/>
      <c r="AQ360" s="4"/>
      <c r="AR360" s="4"/>
      <c r="AS360" s="4"/>
      <c r="AT360" s="4"/>
      <c r="AU360" s="4"/>
      <c r="AV360" s="4"/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/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4"/>
      <c r="BX360" s="4"/>
      <c r="BY360" s="4"/>
      <c r="BZ360" s="4"/>
      <c r="CA360" s="4"/>
      <c r="CB360" s="4"/>
      <c r="CC360" s="4"/>
      <c r="CD360" s="4"/>
      <c r="CE360" s="4"/>
      <c r="CF360" s="4"/>
      <c r="CG360" s="4"/>
      <c r="CH360" s="4"/>
      <c r="CI360" s="4"/>
      <c r="CJ360" s="4"/>
      <c r="CK360" s="4"/>
      <c r="CL360" s="4"/>
      <c r="CM360" s="4"/>
      <c r="CN360" s="4"/>
      <c r="CO360" s="4"/>
      <c r="CP360" s="4"/>
      <c r="CQ360" s="4"/>
      <c r="CR360" s="4"/>
      <c r="CS360" s="4"/>
      <c r="CT360" s="4"/>
      <c r="CU360" s="4"/>
      <c r="CV360" s="4"/>
      <c r="CW360" s="4"/>
      <c r="CX360" s="4"/>
      <c r="CY360" s="4"/>
      <c r="CZ360" s="4"/>
      <c r="DA360" s="4"/>
      <c r="DB360" s="4"/>
      <c r="DC360" s="4"/>
      <c r="DD360" s="4"/>
      <c r="DE360" s="4"/>
      <c r="DF360" s="4"/>
      <c r="DG360" s="4"/>
      <c r="DH360" s="4"/>
      <c r="DI360" s="4"/>
      <c r="DJ360" s="4"/>
      <c r="DK360" s="4"/>
      <c r="DL360" s="4"/>
      <c r="DM360" s="4"/>
      <c r="DN360" s="4"/>
      <c r="DO360" s="4"/>
      <c r="DP360" s="4"/>
      <c r="DQ360" s="4"/>
      <c r="DR360" s="4"/>
      <c r="DS360" s="4"/>
      <c r="DT360" s="4"/>
      <c r="DU360" s="4"/>
      <c r="DV360" s="4"/>
      <c r="DW360" s="4"/>
      <c r="DX360" s="4"/>
      <c r="DY360" s="4"/>
      <c r="DZ360" s="4"/>
      <c r="EA360" s="4"/>
      <c r="EB360" s="4"/>
      <c r="EC360" s="4"/>
      <c r="ED360" s="4"/>
      <c r="EE360" s="4"/>
      <c r="EF360" s="4"/>
      <c r="EG360" s="4"/>
      <c r="EH360" s="4"/>
      <c r="EI360" s="4"/>
      <c r="EJ360" s="4"/>
      <c r="EK360" s="4"/>
      <c r="EL360" s="4"/>
      <c r="EM360" s="4"/>
      <c r="EN360" s="4"/>
      <c r="EO360" s="4"/>
      <c r="EP360" s="4"/>
      <c r="EQ360" s="4"/>
      <c r="ER360" s="4"/>
      <c r="ES360" s="4"/>
      <c r="ET360" s="4"/>
      <c r="EU360" s="4"/>
      <c r="EV360" s="4"/>
      <c r="EW360" s="4"/>
      <c r="EX360" s="4"/>
      <c r="EY360" s="4"/>
      <c r="EZ360" s="4"/>
      <c r="FA360" s="4"/>
      <c r="FB360" s="4"/>
      <c r="FC360" s="4"/>
      <c r="FD360" s="4"/>
      <c r="FE360" s="4"/>
      <c r="FF360" s="4"/>
    </row>
    <row r="361" spans="1:162" x14ac:dyDescent="0.2">
      <c r="A361" s="2"/>
      <c r="B361" s="2"/>
      <c r="C361" s="2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/>
      <c r="X361" s="4"/>
      <c r="Y361" s="4"/>
      <c r="Z361" s="4"/>
      <c r="AA361" s="4"/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4"/>
      <c r="AM361" s="4"/>
      <c r="AN361" s="4"/>
      <c r="AO361" s="4"/>
      <c r="AP361" s="4"/>
      <c r="AQ361" s="4"/>
      <c r="AR361" s="4"/>
      <c r="AS361" s="4"/>
      <c r="AT361" s="4"/>
      <c r="AU361" s="4"/>
      <c r="AV361" s="4"/>
      <c r="AW361" s="4"/>
      <c r="AX361" s="4"/>
      <c r="AY361" s="4"/>
      <c r="AZ361" s="4"/>
      <c r="BA361" s="4"/>
      <c r="BB361" s="4"/>
      <c r="BC361" s="4"/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4"/>
      <c r="BX361" s="4"/>
      <c r="BY361" s="4"/>
      <c r="BZ361" s="4"/>
      <c r="CA361" s="4"/>
      <c r="CB361" s="4"/>
      <c r="CC361" s="4"/>
      <c r="CD361" s="4"/>
      <c r="CE361" s="4"/>
      <c r="CF361" s="4"/>
      <c r="CG361" s="4"/>
      <c r="CH361" s="4"/>
      <c r="CI361" s="4"/>
      <c r="CJ361" s="4"/>
      <c r="CK361" s="4"/>
      <c r="CL361" s="4"/>
      <c r="CM361" s="4"/>
      <c r="CN361" s="4"/>
      <c r="CO361" s="4"/>
      <c r="CP361" s="4"/>
      <c r="CQ361" s="4"/>
      <c r="CR361" s="4"/>
      <c r="CS361" s="4"/>
      <c r="CT361" s="4"/>
      <c r="CU361" s="4"/>
      <c r="CV361" s="4"/>
      <c r="CW361" s="4"/>
      <c r="CX361" s="4"/>
      <c r="CY361" s="4"/>
      <c r="CZ361" s="4"/>
      <c r="DA361" s="4"/>
      <c r="DB361" s="4"/>
      <c r="DC361" s="4"/>
      <c r="DD361" s="4"/>
      <c r="DE361" s="4"/>
      <c r="DF361" s="4"/>
      <c r="DG361" s="4"/>
      <c r="DH361" s="4"/>
      <c r="DI361" s="4"/>
      <c r="DJ361" s="4"/>
      <c r="DK361" s="4"/>
      <c r="DL361" s="4"/>
      <c r="DM361" s="4"/>
      <c r="DN361" s="4"/>
      <c r="DO361" s="4"/>
      <c r="DP361" s="4"/>
      <c r="DQ361" s="4"/>
      <c r="DR361" s="4"/>
      <c r="DS361" s="4"/>
      <c r="DT361" s="4"/>
      <c r="DU361" s="4"/>
      <c r="DV361" s="4"/>
      <c r="DW361" s="4"/>
      <c r="DX361" s="4"/>
      <c r="DY361" s="4"/>
      <c r="DZ361" s="4"/>
      <c r="EA361" s="4"/>
      <c r="EB361" s="4"/>
      <c r="EC361" s="4"/>
      <c r="ED361" s="4"/>
      <c r="EE361" s="4"/>
      <c r="EF361" s="4"/>
      <c r="EG361" s="4"/>
      <c r="EH361" s="4"/>
      <c r="EI361" s="4"/>
      <c r="EJ361" s="4"/>
      <c r="EK361" s="4"/>
      <c r="EL361" s="4"/>
      <c r="EM361" s="4"/>
      <c r="EN361" s="4"/>
      <c r="EO361" s="4"/>
      <c r="EP361" s="4"/>
      <c r="EQ361" s="4"/>
      <c r="ER361" s="4"/>
      <c r="ES361" s="4"/>
      <c r="ET361" s="4"/>
      <c r="EU361" s="4"/>
      <c r="EV361" s="4"/>
      <c r="EW361" s="4"/>
      <c r="EX361" s="4"/>
      <c r="EY361" s="4"/>
      <c r="EZ361" s="4"/>
      <c r="FA361" s="4"/>
      <c r="FB361" s="4"/>
      <c r="FC361" s="4"/>
      <c r="FD361" s="4"/>
      <c r="FE361" s="4"/>
      <c r="FF361" s="4"/>
    </row>
    <row r="362" spans="1:162" x14ac:dyDescent="0.2">
      <c r="A362" s="2"/>
      <c r="B362" s="2"/>
      <c r="C362" s="2"/>
      <c r="D362" s="4"/>
      <c r="E362" s="4"/>
      <c r="F362" s="4"/>
      <c r="G362" s="4"/>
      <c r="H362" s="4"/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/>
      <c r="AM362" s="4"/>
      <c r="AN362" s="4"/>
      <c r="AO362" s="4"/>
      <c r="AP362" s="4"/>
      <c r="AQ362" s="4"/>
      <c r="AR362" s="4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/>
      <c r="BG362" s="4"/>
      <c r="BH362" s="4"/>
      <c r="BI362" s="4"/>
      <c r="BJ362" s="4"/>
      <c r="BK362" s="4"/>
      <c r="BL362" s="4"/>
      <c r="BM362" s="4"/>
      <c r="BN362" s="4"/>
      <c r="BO362" s="4"/>
      <c r="BP362" s="4"/>
      <c r="BQ362" s="4"/>
      <c r="BR362" s="4"/>
      <c r="BS362" s="4"/>
      <c r="BT362" s="4"/>
      <c r="BU362" s="4"/>
      <c r="BV362" s="4"/>
      <c r="BW362" s="4"/>
      <c r="BX362" s="4"/>
      <c r="BY362" s="4"/>
      <c r="BZ362" s="4"/>
      <c r="CA362" s="4"/>
      <c r="CB362" s="4"/>
      <c r="CC362" s="4"/>
      <c r="CD362" s="4"/>
      <c r="CE362" s="4"/>
      <c r="CF362" s="4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  <c r="CR362" s="4"/>
      <c r="CS362" s="4"/>
      <c r="CT362" s="4"/>
      <c r="CU362" s="4"/>
      <c r="CV362" s="4"/>
      <c r="CW362" s="4"/>
      <c r="CX362" s="4"/>
      <c r="CY362" s="4"/>
      <c r="CZ362" s="4"/>
      <c r="DA362" s="4"/>
      <c r="DB362" s="4"/>
      <c r="DC362" s="4"/>
      <c r="DD362" s="4"/>
      <c r="DE362" s="4"/>
      <c r="DF362" s="4"/>
      <c r="DG362" s="4"/>
      <c r="DH362" s="4"/>
      <c r="DI362" s="4"/>
      <c r="DJ362" s="4"/>
      <c r="DK362" s="4"/>
      <c r="DL362" s="4"/>
      <c r="DM362" s="4"/>
      <c r="DN362" s="4"/>
      <c r="DO362" s="4"/>
      <c r="DP362" s="4"/>
      <c r="DQ362" s="4"/>
      <c r="DR362" s="4"/>
      <c r="DS362" s="4"/>
      <c r="DT362" s="4"/>
      <c r="DU362" s="4"/>
      <c r="DV362" s="4"/>
      <c r="DW362" s="4"/>
      <c r="DX362" s="4"/>
      <c r="DY362" s="4"/>
      <c r="DZ362" s="4"/>
      <c r="EA362" s="4"/>
      <c r="EB362" s="4"/>
      <c r="EC362" s="4"/>
      <c r="ED362" s="4"/>
      <c r="EE362" s="4"/>
      <c r="EF362" s="4"/>
      <c r="EG362" s="4"/>
      <c r="EH362" s="4"/>
      <c r="EI362" s="4"/>
      <c r="EJ362" s="4"/>
      <c r="EK362" s="4"/>
      <c r="EL362" s="4"/>
      <c r="EM362" s="4"/>
      <c r="EN362" s="4"/>
      <c r="EO362" s="4"/>
      <c r="EP362" s="4"/>
      <c r="EQ362" s="4"/>
      <c r="ER362" s="4"/>
      <c r="ES362" s="4"/>
      <c r="ET362" s="4"/>
      <c r="EU362" s="4"/>
      <c r="EV362" s="4"/>
      <c r="EW362" s="4"/>
      <c r="EX362" s="4"/>
      <c r="EY362" s="4"/>
      <c r="EZ362" s="4"/>
      <c r="FA362" s="4"/>
      <c r="FB362" s="4"/>
      <c r="FC362" s="4"/>
      <c r="FD362" s="4"/>
      <c r="FE362" s="4"/>
      <c r="FF362" s="4"/>
    </row>
    <row r="363" spans="1:162" x14ac:dyDescent="0.2">
      <c r="A363" s="2"/>
      <c r="B363" s="2"/>
      <c r="C363" s="2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  <c r="AA363" s="4"/>
      <c r="AB363" s="4"/>
      <c r="AC363" s="4"/>
      <c r="AD363" s="4"/>
      <c r="AE363" s="4"/>
      <c r="AF363" s="4"/>
      <c r="AG363" s="4"/>
      <c r="AH363" s="4"/>
      <c r="AI363" s="4"/>
      <c r="AJ363" s="4"/>
      <c r="AK363" s="4"/>
      <c r="AL363" s="4"/>
      <c r="AM363" s="4"/>
      <c r="AN363" s="4"/>
      <c r="AO363" s="4"/>
      <c r="AP363" s="4"/>
      <c r="AQ363" s="4"/>
      <c r="AR363" s="4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  <c r="BG363" s="4"/>
      <c r="BH363" s="4"/>
      <c r="BI363" s="4"/>
      <c r="BJ363" s="4"/>
      <c r="BK363" s="4"/>
      <c r="BL363" s="4"/>
      <c r="BM363" s="4"/>
      <c r="BN363" s="4"/>
      <c r="BO363" s="4"/>
      <c r="BP363" s="4"/>
      <c r="BQ363" s="4"/>
      <c r="BR363" s="4"/>
      <c r="BS363" s="4"/>
      <c r="BT363" s="4"/>
      <c r="BU363" s="4"/>
      <c r="BV363" s="4"/>
      <c r="BW363" s="4"/>
      <c r="BX363" s="4"/>
      <c r="BY363" s="4"/>
      <c r="BZ363" s="4"/>
      <c r="CA363" s="4"/>
      <c r="CB363" s="4"/>
      <c r="CC363" s="4"/>
      <c r="CD363" s="4"/>
      <c r="CE363" s="4"/>
      <c r="CF363" s="4"/>
      <c r="CG363" s="4"/>
      <c r="CH363" s="4"/>
      <c r="CI363" s="4"/>
      <c r="CJ363" s="4"/>
      <c r="CK363" s="4"/>
      <c r="CL363" s="4"/>
      <c r="CM363" s="4"/>
      <c r="CN363" s="4"/>
      <c r="CO363" s="4"/>
      <c r="CP363" s="4"/>
      <c r="CQ363" s="4"/>
      <c r="CR363" s="4"/>
      <c r="CS363" s="4"/>
      <c r="CT363" s="4"/>
      <c r="CU363" s="4"/>
      <c r="CV363" s="4"/>
      <c r="CW363" s="4"/>
      <c r="CX363" s="4"/>
      <c r="CY363" s="4"/>
      <c r="CZ363" s="4"/>
      <c r="DA363" s="4"/>
      <c r="DB363" s="4"/>
      <c r="DC363" s="4"/>
      <c r="DD363" s="4"/>
      <c r="DE363" s="4"/>
      <c r="DF363" s="4"/>
      <c r="DG363" s="4"/>
      <c r="DH363" s="4"/>
      <c r="DI363" s="4"/>
      <c r="DJ363" s="4"/>
      <c r="DK363" s="4"/>
      <c r="DL363" s="4"/>
      <c r="DM363" s="4"/>
      <c r="DN363" s="4"/>
      <c r="DO363" s="4"/>
      <c r="DP363" s="4"/>
      <c r="DQ363" s="4"/>
      <c r="DR363" s="4"/>
      <c r="DS363" s="4"/>
      <c r="DT363" s="4"/>
      <c r="DU363" s="4"/>
      <c r="DV363" s="4"/>
      <c r="DW363" s="4"/>
      <c r="DX363" s="4"/>
      <c r="DY363" s="4"/>
      <c r="DZ363" s="4"/>
      <c r="EA363" s="4"/>
      <c r="EB363" s="4"/>
      <c r="EC363" s="4"/>
      <c r="ED363" s="4"/>
      <c r="EE363" s="4"/>
      <c r="EF363" s="4"/>
      <c r="EG363" s="4"/>
      <c r="EH363" s="4"/>
      <c r="EI363" s="4"/>
      <c r="EJ363" s="4"/>
      <c r="EK363" s="4"/>
      <c r="EL363" s="4"/>
      <c r="EM363" s="4"/>
      <c r="EN363" s="4"/>
      <c r="EO363" s="4"/>
      <c r="EP363" s="4"/>
      <c r="EQ363" s="4"/>
      <c r="ER363" s="4"/>
      <c r="ES363" s="4"/>
      <c r="ET363" s="4"/>
      <c r="EU363" s="4"/>
      <c r="EV363" s="4"/>
      <c r="EW363" s="4"/>
      <c r="EX363" s="4"/>
      <c r="EY363" s="4"/>
      <c r="EZ363" s="4"/>
      <c r="FA363" s="4"/>
      <c r="FB363" s="4"/>
      <c r="FC363" s="4"/>
      <c r="FD363" s="4"/>
      <c r="FE363" s="4"/>
      <c r="FF363" s="4"/>
    </row>
    <row r="364" spans="1:162" x14ac:dyDescent="0.2">
      <c r="A364" s="2"/>
      <c r="B364" s="2"/>
      <c r="C364" s="2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  <c r="AH364" s="4"/>
      <c r="AI364" s="4"/>
      <c r="AJ364" s="4"/>
      <c r="AK364" s="4"/>
      <c r="AL364" s="4"/>
      <c r="AM364" s="4"/>
      <c r="AN364" s="4"/>
      <c r="AO364" s="4"/>
      <c r="AP364" s="4"/>
      <c r="AQ364" s="4"/>
      <c r="AR364" s="4"/>
      <c r="AS364" s="4"/>
      <c r="AT364" s="4"/>
      <c r="AU364" s="4"/>
      <c r="AV364" s="4"/>
      <c r="AW364" s="4"/>
      <c r="AX364" s="4"/>
      <c r="AY364" s="4"/>
      <c r="AZ364" s="4"/>
      <c r="BA364" s="4"/>
      <c r="BB364" s="4"/>
      <c r="BC364" s="4"/>
      <c r="BD364" s="4"/>
      <c r="BE364" s="4"/>
      <c r="BF364" s="4"/>
      <c r="BG364" s="4"/>
      <c r="BH364" s="4"/>
      <c r="BI364" s="4"/>
      <c r="BJ364" s="4"/>
      <c r="BK364" s="4"/>
      <c r="BL364" s="4"/>
      <c r="BM364" s="4"/>
      <c r="BN364" s="4"/>
      <c r="BO364" s="4"/>
      <c r="BP364" s="4"/>
      <c r="BQ364" s="4"/>
      <c r="BR364" s="4"/>
      <c r="BS364" s="4"/>
      <c r="BT364" s="4"/>
      <c r="BU364" s="4"/>
      <c r="BV364" s="4"/>
      <c r="BW364" s="4"/>
      <c r="BX364" s="4"/>
      <c r="BY364" s="4"/>
      <c r="BZ364" s="4"/>
      <c r="CA364" s="4"/>
      <c r="CB364" s="4"/>
      <c r="CC364" s="4"/>
      <c r="CD364" s="4"/>
      <c r="CE364" s="4"/>
      <c r="CF364" s="4"/>
      <c r="CG364" s="4"/>
      <c r="CH364" s="4"/>
      <c r="CI364" s="4"/>
      <c r="CJ364" s="4"/>
      <c r="CK364" s="4"/>
      <c r="CL364" s="4"/>
      <c r="CM364" s="4"/>
      <c r="CN364" s="4"/>
      <c r="CO364" s="4"/>
      <c r="CP364" s="4"/>
      <c r="CQ364" s="4"/>
      <c r="CR364" s="4"/>
      <c r="CS364" s="4"/>
      <c r="CT364" s="4"/>
      <c r="CU364" s="4"/>
      <c r="CV364" s="4"/>
      <c r="CW364" s="4"/>
      <c r="CX364" s="4"/>
      <c r="CY364" s="4"/>
      <c r="CZ364" s="4"/>
      <c r="DA364" s="4"/>
      <c r="DB364" s="4"/>
      <c r="DC364" s="4"/>
      <c r="DD364" s="4"/>
      <c r="DE364" s="4"/>
      <c r="DF364" s="4"/>
      <c r="DG364" s="4"/>
      <c r="DH364" s="4"/>
      <c r="DI364" s="4"/>
      <c r="DJ364" s="4"/>
      <c r="DK364" s="4"/>
      <c r="DL364" s="4"/>
      <c r="DM364" s="4"/>
      <c r="DN364" s="4"/>
      <c r="DO364" s="4"/>
      <c r="DP364" s="4"/>
      <c r="DQ364" s="4"/>
      <c r="DR364" s="4"/>
      <c r="DS364" s="4"/>
      <c r="DT364" s="4"/>
      <c r="DU364" s="4"/>
      <c r="DV364" s="4"/>
      <c r="DW364" s="4"/>
      <c r="DX364" s="4"/>
      <c r="DY364" s="4"/>
      <c r="DZ364" s="4"/>
      <c r="EA364" s="4"/>
      <c r="EB364" s="4"/>
      <c r="EC364" s="4"/>
      <c r="ED364" s="4"/>
      <c r="EE364" s="4"/>
      <c r="EF364" s="4"/>
      <c r="EG364" s="4"/>
      <c r="EH364" s="4"/>
      <c r="EI364" s="4"/>
      <c r="EJ364" s="4"/>
      <c r="EK364" s="4"/>
      <c r="EL364" s="4"/>
      <c r="EM364" s="4"/>
      <c r="EN364" s="4"/>
      <c r="EO364" s="4"/>
      <c r="EP364" s="4"/>
      <c r="EQ364" s="4"/>
      <c r="ER364" s="4"/>
      <c r="ES364" s="4"/>
      <c r="ET364" s="4"/>
      <c r="EU364" s="4"/>
      <c r="EV364" s="4"/>
      <c r="EW364" s="4"/>
      <c r="EX364" s="4"/>
      <c r="EY364" s="4"/>
      <c r="EZ364" s="4"/>
      <c r="FA364" s="4"/>
      <c r="FB364" s="4"/>
      <c r="FC364" s="4"/>
      <c r="FD364" s="4"/>
      <c r="FE364" s="4"/>
      <c r="FF364" s="4"/>
    </row>
    <row r="365" spans="1:162" x14ac:dyDescent="0.2">
      <c r="A365" s="2"/>
      <c r="B365" s="2"/>
      <c r="C365" s="2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4"/>
      <c r="AM365" s="4"/>
      <c r="AN365" s="4"/>
      <c r="AO365" s="4"/>
      <c r="AP365" s="4"/>
      <c r="AQ365" s="4"/>
      <c r="AR365" s="4"/>
      <c r="AS365" s="4"/>
      <c r="AT365" s="4"/>
      <c r="AU365" s="4"/>
      <c r="AV365" s="4"/>
      <c r="AW365" s="4"/>
      <c r="AX365" s="4"/>
      <c r="AY365" s="4"/>
      <c r="AZ365" s="4"/>
      <c r="BA365" s="4"/>
      <c r="BB365" s="4"/>
      <c r="BC365" s="4"/>
      <c r="BD365" s="4"/>
      <c r="BE365" s="4"/>
      <c r="BF365" s="4"/>
      <c r="BG365" s="4"/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4"/>
      <c r="BV365" s="4"/>
      <c r="BW365" s="4"/>
      <c r="BX365" s="4"/>
      <c r="BY365" s="4"/>
      <c r="BZ365" s="4"/>
      <c r="CA365" s="4"/>
      <c r="CB365" s="4"/>
      <c r="CC365" s="4"/>
      <c r="CD365" s="4"/>
      <c r="CE365" s="4"/>
      <c r="CF365" s="4"/>
      <c r="CG365" s="4"/>
      <c r="CH365" s="4"/>
      <c r="CI365" s="4"/>
      <c r="CJ365" s="4"/>
      <c r="CK365" s="4"/>
      <c r="CL365" s="4"/>
      <c r="CM365" s="4"/>
      <c r="CN365" s="4"/>
      <c r="CO365" s="4"/>
      <c r="CP365" s="4"/>
      <c r="CQ365" s="4"/>
      <c r="CR365" s="4"/>
      <c r="CS365" s="4"/>
      <c r="CT365" s="4"/>
      <c r="CU365" s="4"/>
      <c r="CV365" s="4"/>
      <c r="CW365" s="4"/>
      <c r="CX365" s="4"/>
      <c r="CY365" s="4"/>
      <c r="CZ365" s="4"/>
      <c r="DA365" s="4"/>
      <c r="DB365" s="4"/>
      <c r="DC365" s="4"/>
      <c r="DD365" s="4"/>
      <c r="DE365" s="4"/>
      <c r="DF365" s="4"/>
      <c r="DG365" s="4"/>
      <c r="DH365" s="4"/>
      <c r="DI365" s="4"/>
      <c r="DJ365" s="4"/>
      <c r="DK365" s="4"/>
      <c r="DL365" s="4"/>
      <c r="DM365" s="4"/>
      <c r="DN365" s="4"/>
      <c r="DO365" s="4"/>
      <c r="DP365" s="4"/>
      <c r="DQ365" s="4"/>
      <c r="DR365" s="4"/>
      <c r="DS365" s="4"/>
      <c r="DT365" s="4"/>
      <c r="DU365" s="4"/>
      <c r="DV365" s="4"/>
      <c r="DW365" s="4"/>
      <c r="DX365" s="4"/>
      <c r="DY365" s="4"/>
      <c r="DZ365" s="4"/>
      <c r="EA365" s="4"/>
      <c r="EB365" s="4"/>
      <c r="EC365" s="4"/>
      <c r="ED365" s="4"/>
      <c r="EE365" s="4"/>
      <c r="EF365" s="4"/>
      <c r="EG365" s="4"/>
      <c r="EH365" s="4"/>
      <c r="EI365" s="4"/>
      <c r="EJ365" s="4"/>
      <c r="EK365" s="4"/>
      <c r="EL365" s="4"/>
      <c r="EM365" s="4"/>
      <c r="EN365" s="4"/>
      <c r="EO365" s="4"/>
      <c r="EP365" s="4"/>
      <c r="EQ365" s="4"/>
      <c r="ER365" s="4"/>
      <c r="ES365" s="4"/>
      <c r="ET365" s="4"/>
      <c r="EU365" s="4"/>
      <c r="EV365" s="4"/>
      <c r="EW365" s="4"/>
      <c r="EX365" s="4"/>
      <c r="EY365" s="4"/>
      <c r="EZ365" s="4"/>
      <c r="FA365" s="4"/>
      <c r="FB365" s="4"/>
      <c r="FC365" s="4"/>
      <c r="FD365" s="4"/>
      <c r="FE365" s="4"/>
      <c r="FF365" s="4"/>
    </row>
    <row r="366" spans="1:162" x14ac:dyDescent="0.2">
      <c r="A366" s="2"/>
      <c r="B366" s="2"/>
      <c r="C366" s="2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  <c r="AA366" s="4"/>
      <c r="AB366" s="4"/>
      <c r="AC366" s="4"/>
      <c r="AD366" s="4"/>
      <c r="AE366" s="4"/>
      <c r="AF366" s="4"/>
      <c r="AG366" s="4"/>
      <c r="AH366" s="4"/>
      <c r="AI366" s="4"/>
      <c r="AJ366" s="4"/>
      <c r="AK366" s="4"/>
      <c r="AL366" s="4"/>
      <c r="AM366" s="4"/>
      <c r="AN366" s="4"/>
      <c r="AO366" s="4"/>
      <c r="AP366" s="4"/>
      <c r="AQ366" s="4"/>
      <c r="AR366" s="4"/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/>
      <c r="BG366" s="4"/>
      <c r="BH366" s="4"/>
      <c r="BI366" s="4"/>
      <c r="BJ366" s="4"/>
      <c r="BK366" s="4"/>
      <c r="BL366" s="4"/>
      <c r="BM366" s="4"/>
      <c r="BN366" s="4"/>
      <c r="BO366" s="4"/>
      <c r="BP366" s="4"/>
      <c r="BQ366" s="4"/>
      <c r="BR366" s="4"/>
      <c r="BS366" s="4"/>
      <c r="BT366" s="4"/>
      <c r="BU366" s="4"/>
      <c r="BV366" s="4"/>
      <c r="BW366" s="4"/>
      <c r="BX366" s="4"/>
      <c r="BY366" s="4"/>
      <c r="BZ366" s="4"/>
      <c r="CA366" s="4"/>
      <c r="CB366" s="4"/>
      <c r="CC366" s="4"/>
      <c r="CD366" s="4"/>
      <c r="CE366" s="4"/>
      <c r="CF366" s="4"/>
      <c r="CG366" s="4"/>
      <c r="CH366" s="4"/>
      <c r="CI366" s="4"/>
      <c r="CJ366" s="4"/>
      <c r="CK366" s="4"/>
      <c r="CL366" s="4"/>
      <c r="CM366" s="4"/>
      <c r="CN366" s="4"/>
      <c r="CO366" s="4"/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/>
      <c r="DC366" s="4"/>
      <c r="DD366" s="4"/>
      <c r="DE366" s="4"/>
      <c r="DF366" s="4"/>
      <c r="DG366" s="4"/>
      <c r="DH366" s="4"/>
      <c r="DI366" s="4"/>
      <c r="DJ366" s="4"/>
      <c r="DK366" s="4"/>
      <c r="DL366" s="4"/>
      <c r="DM366" s="4"/>
      <c r="DN366" s="4"/>
      <c r="DO366" s="4"/>
      <c r="DP366" s="4"/>
      <c r="DQ366" s="4"/>
      <c r="DR366" s="4"/>
      <c r="DS366" s="4"/>
      <c r="DT366" s="4"/>
      <c r="DU366" s="4"/>
      <c r="DV366" s="4"/>
      <c r="DW366" s="4"/>
      <c r="DX366" s="4"/>
      <c r="DY366" s="4"/>
      <c r="DZ366" s="4"/>
      <c r="EA366" s="4"/>
      <c r="EB366" s="4"/>
      <c r="EC366" s="4"/>
      <c r="ED366" s="4"/>
      <c r="EE366" s="4"/>
      <c r="EF366" s="4"/>
      <c r="EG366" s="4"/>
      <c r="EH366" s="4"/>
      <c r="EI366" s="4"/>
      <c r="EJ366" s="4"/>
      <c r="EK366" s="4"/>
      <c r="EL366" s="4"/>
      <c r="EM366" s="4"/>
      <c r="EN366" s="4"/>
      <c r="EO366" s="4"/>
      <c r="EP366" s="4"/>
      <c r="EQ366" s="4"/>
      <c r="ER366" s="4"/>
      <c r="ES366" s="4"/>
      <c r="ET366" s="4"/>
      <c r="EU366" s="4"/>
      <c r="EV366" s="4"/>
      <c r="EW366" s="4"/>
      <c r="EX366" s="4"/>
      <c r="EY366" s="4"/>
      <c r="EZ366" s="4"/>
      <c r="FA366" s="4"/>
      <c r="FB366" s="4"/>
      <c r="FC366" s="4"/>
      <c r="FD366" s="4"/>
      <c r="FE366" s="4"/>
      <c r="FF366" s="4"/>
    </row>
    <row r="367" spans="1:162" x14ac:dyDescent="0.2">
      <c r="A367" s="2"/>
      <c r="B367" s="2"/>
      <c r="C367" s="2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  <c r="AA367" s="4"/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4"/>
      <c r="AM367" s="4"/>
      <c r="AN367" s="4"/>
      <c r="AO367" s="4"/>
      <c r="AP367" s="4"/>
      <c r="AQ367" s="4"/>
      <c r="AR367" s="4"/>
      <c r="AS367" s="4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  <c r="BG367" s="4"/>
      <c r="BH367" s="4"/>
      <c r="BI367" s="4"/>
      <c r="BJ367" s="4"/>
      <c r="BK367" s="4"/>
      <c r="BL367" s="4"/>
      <c r="BM367" s="4"/>
      <c r="BN367" s="4"/>
      <c r="BO367" s="4"/>
      <c r="BP367" s="4"/>
      <c r="BQ367" s="4"/>
      <c r="BR367" s="4"/>
      <c r="BS367" s="4"/>
      <c r="BT367" s="4"/>
      <c r="BU367" s="4"/>
      <c r="BV367" s="4"/>
      <c r="BW367" s="4"/>
      <c r="BX367" s="4"/>
      <c r="BY367" s="4"/>
      <c r="BZ367" s="4"/>
      <c r="CA367" s="4"/>
      <c r="CB367" s="4"/>
      <c r="CC367" s="4"/>
      <c r="CD367" s="4"/>
      <c r="CE367" s="4"/>
      <c r="CF367" s="4"/>
      <c r="CG367" s="4"/>
      <c r="CH367" s="4"/>
      <c r="CI367" s="4"/>
      <c r="CJ367" s="4"/>
      <c r="CK367" s="4"/>
      <c r="CL367" s="4"/>
      <c r="CM367" s="4"/>
      <c r="CN367" s="4"/>
      <c r="CO367" s="4"/>
      <c r="CP367" s="4"/>
      <c r="CQ367" s="4"/>
      <c r="CR367" s="4"/>
      <c r="CS367" s="4"/>
      <c r="CT367" s="4"/>
      <c r="CU367" s="4"/>
      <c r="CV367" s="4"/>
      <c r="CW367" s="4"/>
      <c r="CX367" s="4"/>
      <c r="CY367" s="4"/>
      <c r="CZ367" s="4"/>
      <c r="DA367" s="4"/>
      <c r="DB367" s="4"/>
      <c r="DC367" s="4"/>
      <c r="DD367" s="4"/>
      <c r="DE367" s="4"/>
      <c r="DF367" s="4"/>
      <c r="DG367" s="4"/>
      <c r="DH367" s="4"/>
      <c r="DI367" s="4"/>
      <c r="DJ367" s="4"/>
      <c r="DK367" s="4"/>
      <c r="DL367" s="4"/>
      <c r="DM367" s="4"/>
      <c r="DN367" s="4"/>
      <c r="DO367" s="4"/>
      <c r="DP367" s="4"/>
      <c r="DQ367" s="4"/>
      <c r="DR367" s="4"/>
      <c r="DS367" s="4"/>
      <c r="DT367" s="4"/>
      <c r="DU367" s="4"/>
      <c r="DV367" s="4"/>
      <c r="DW367" s="4"/>
      <c r="DX367" s="4"/>
      <c r="DY367" s="4"/>
      <c r="DZ367" s="4"/>
      <c r="EA367" s="4"/>
      <c r="EB367" s="4"/>
      <c r="EC367" s="4"/>
      <c r="ED367" s="4"/>
      <c r="EE367" s="4"/>
      <c r="EF367" s="4"/>
      <c r="EG367" s="4"/>
      <c r="EH367" s="4"/>
      <c r="EI367" s="4"/>
      <c r="EJ367" s="4"/>
      <c r="EK367" s="4"/>
      <c r="EL367" s="4"/>
      <c r="EM367" s="4"/>
      <c r="EN367" s="4"/>
      <c r="EO367" s="4"/>
      <c r="EP367" s="4"/>
      <c r="EQ367" s="4"/>
      <c r="ER367" s="4"/>
      <c r="ES367" s="4"/>
      <c r="ET367" s="4"/>
      <c r="EU367" s="4"/>
      <c r="EV367" s="4"/>
      <c r="EW367" s="4"/>
      <c r="EX367" s="4"/>
      <c r="EY367" s="4"/>
      <c r="EZ367" s="4"/>
      <c r="FA367" s="4"/>
      <c r="FB367" s="4"/>
      <c r="FC367" s="4"/>
      <c r="FD367" s="4"/>
      <c r="FE367" s="4"/>
      <c r="FF367" s="4"/>
    </row>
    <row r="368" spans="1:162" x14ac:dyDescent="0.2">
      <c r="A368" s="2"/>
      <c r="B368" s="2"/>
      <c r="C368" s="2"/>
      <c r="D368" s="4"/>
      <c r="E368" s="4"/>
      <c r="F368" s="4"/>
      <c r="G368" s="4"/>
      <c r="H368" s="4"/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  <c r="AA368" s="4"/>
      <c r="AB368" s="4"/>
      <c r="AC368" s="4"/>
      <c r="AD368" s="4"/>
      <c r="AE368" s="4"/>
      <c r="AF368" s="4"/>
      <c r="AG368" s="4"/>
      <c r="AH368" s="4"/>
      <c r="AI368" s="4"/>
      <c r="AJ368" s="4"/>
      <c r="AK368" s="4"/>
      <c r="AL368" s="4"/>
      <c r="AM368" s="4"/>
      <c r="AN368" s="4"/>
      <c r="AO368" s="4"/>
      <c r="AP368" s="4"/>
      <c r="AQ368" s="4"/>
      <c r="AR368" s="4"/>
      <c r="AS368" s="4"/>
      <c r="AT368" s="4"/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  <c r="BG368" s="4"/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4"/>
      <c r="BV368" s="4"/>
      <c r="BW368" s="4"/>
      <c r="BX368" s="4"/>
      <c r="BY368" s="4"/>
      <c r="BZ368" s="4"/>
      <c r="CA368" s="4"/>
      <c r="CB368" s="4"/>
      <c r="CC368" s="4"/>
      <c r="CD368" s="4"/>
      <c r="CE368" s="4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/>
      <c r="CU368" s="4"/>
      <c r="CV368" s="4"/>
      <c r="CW368" s="4"/>
      <c r="CX368" s="4"/>
      <c r="CY368" s="4"/>
      <c r="CZ368" s="4"/>
      <c r="DA368" s="4"/>
      <c r="DB368" s="4"/>
      <c r="DC368" s="4"/>
      <c r="DD368" s="4"/>
      <c r="DE368" s="4"/>
      <c r="DF368" s="4"/>
      <c r="DG368" s="4"/>
      <c r="DH368" s="4"/>
      <c r="DI368" s="4"/>
      <c r="DJ368" s="4"/>
      <c r="DK368" s="4"/>
      <c r="DL368" s="4"/>
      <c r="DM368" s="4"/>
      <c r="DN368" s="4"/>
      <c r="DO368" s="4"/>
      <c r="DP368" s="4"/>
      <c r="DQ368" s="4"/>
      <c r="DR368" s="4"/>
      <c r="DS368" s="4"/>
      <c r="DT368" s="4"/>
      <c r="DU368" s="4"/>
      <c r="DV368" s="4"/>
      <c r="DW368" s="4"/>
      <c r="DX368" s="4"/>
      <c r="DY368" s="4"/>
      <c r="DZ368" s="4"/>
      <c r="EA368" s="4"/>
      <c r="EB368" s="4"/>
      <c r="EC368" s="4"/>
      <c r="ED368" s="4"/>
      <c r="EE368" s="4"/>
      <c r="EF368" s="4"/>
      <c r="EG368" s="4"/>
      <c r="EH368" s="4"/>
      <c r="EI368" s="4"/>
      <c r="EJ368" s="4"/>
      <c r="EK368" s="4"/>
      <c r="EL368" s="4"/>
      <c r="EM368" s="4"/>
      <c r="EN368" s="4"/>
      <c r="EO368" s="4"/>
      <c r="EP368" s="4"/>
      <c r="EQ368" s="4"/>
      <c r="ER368" s="4"/>
      <c r="ES368" s="4"/>
      <c r="ET368" s="4"/>
      <c r="EU368" s="4"/>
      <c r="EV368" s="4"/>
      <c r="EW368" s="4"/>
      <c r="EX368" s="4"/>
      <c r="EY368" s="4"/>
      <c r="EZ368" s="4"/>
      <c r="FA368" s="4"/>
      <c r="FB368" s="4"/>
      <c r="FC368" s="4"/>
      <c r="FD368" s="4"/>
      <c r="FE368" s="4"/>
      <c r="FF368" s="4"/>
    </row>
    <row r="369" spans="1:162" x14ac:dyDescent="0.2">
      <c r="A369" s="2"/>
      <c r="B369" s="2"/>
      <c r="C369" s="2"/>
      <c r="D369" s="4"/>
      <c r="E369" s="4"/>
      <c r="F369" s="4"/>
      <c r="G369" s="4"/>
      <c r="H369" s="4"/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  <c r="AA369" s="4"/>
      <c r="AB369" s="4"/>
      <c r="AC369" s="4"/>
      <c r="AD369" s="4"/>
      <c r="AE369" s="4"/>
      <c r="AF369" s="4"/>
      <c r="AG369" s="4"/>
      <c r="AH369" s="4"/>
      <c r="AI369" s="4"/>
      <c r="AJ369" s="4"/>
      <c r="AK369" s="4"/>
      <c r="AL369" s="4"/>
      <c r="AM369" s="4"/>
      <c r="AN369" s="4"/>
      <c r="AO369" s="4"/>
      <c r="AP369" s="4"/>
      <c r="AQ369" s="4"/>
      <c r="AR369" s="4"/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/>
      <c r="BE369" s="4"/>
      <c r="BF369" s="4"/>
      <c r="BG369" s="4"/>
      <c r="BH369" s="4"/>
      <c r="BI369" s="4"/>
      <c r="BJ369" s="4"/>
      <c r="BK369" s="4"/>
      <c r="BL369" s="4"/>
      <c r="BM369" s="4"/>
      <c r="BN369" s="4"/>
      <c r="BO369" s="4"/>
      <c r="BP369" s="4"/>
      <c r="BQ369" s="4"/>
      <c r="BR369" s="4"/>
      <c r="BS369" s="4"/>
      <c r="BT369" s="4"/>
      <c r="BU369" s="4"/>
      <c r="BV369" s="4"/>
      <c r="BW369" s="4"/>
      <c r="BX369" s="4"/>
      <c r="BY369" s="4"/>
      <c r="BZ369" s="4"/>
      <c r="CA369" s="4"/>
      <c r="CB369" s="4"/>
      <c r="CC369" s="4"/>
      <c r="CD369" s="4"/>
      <c r="CE369" s="4"/>
      <c r="CF369" s="4"/>
      <c r="CG369" s="4"/>
      <c r="CH369" s="4"/>
      <c r="CI369" s="4"/>
      <c r="CJ369" s="4"/>
      <c r="CK369" s="4"/>
      <c r="CL369" s="4"/>
      <c r="CM369" s="4"/>
      <c r="CN369" s="4"/>
      <c r="CO369" s="4"/>
      <c r="CP369" s="4"/>
      <c r="CQ369" s="4"/>
      <c r="CR369" s="4"/>
      <c r="CS369" s="4"/>
      <c r="CT369" s="4"/>
      <c r="CU369" s="4"/>
      <c r="CV369" s="4"/>
      <c r="CW369" s="4"/>
      <c r="CX369" s="4"/>
      <c r="CY369" s="4"/>
      <c r="CZ369" s="4"/>
      <c r="DA369" s="4"/>
      <c r="DB369" s="4"/>
      <c r="DC369" s="4"/>
      <c r="DD369" s="4"/>
      <c r="DE369" s="4"/>
      <c r="DF369" s="4"/>
      <c r="DG369" s="4"/>
      <c r="DH369" s="4"/>
      <c r="DI369" s="4"/>
      <c r="DJ369" s="4"/>
      <c r="DK369" s="4"/>
      <c r="DL369" s="4"/>
      <c r="DM369" s="4"/>
      <c r="DN369" s="4"/>
      <c r="DO369" s="4"/>
      <c r="DP369" s="4"/>
      <c r="DQ369" s="4"/>
      <c r="DR369" s="4"/>
      <c r="DS369" s="4"/>
      <c r="DT369" s="4"/>
      <c r="DU369" s="4"/>
      <c r="DV369" s="4"/>
      <c r="DW369" s="4"/>
      <c r="DX369" s="4"/>
      <c r="DY369" s="4"/>
      <c r="DZ369" s="4"/>
      <c r="EA369" s="4"/>
      <c r="EB369" s="4"/>
      <c r="EC369" s="4"/>
      <c r="ED369" s="4"/>
      <c r="EE369" s="4"/>
      <c r="EF369" s="4"/>
      <c r="EG369" s="4"/>
      <c r="EH369" s="4"/>
      <c r="EI369" s="4"/>
      <c r="EJ369" s="4"/>
      <c r="EK369" s="4"/>
      <c r="EL369" s="4"/>
      <c r="EM369" s="4"/>
      <c r="EN369" s="4"/>
      <c r="EO369" s="4"/>
      <c r="EP369" s="4"/>
      <c r="EQ369" s="4"/>
      <c r="ER369" s="4"/>
      <c r="ES369" s="4"/>
      <c r="ET369" s="4"/>
      <c r="EU369" s="4"/>
      <c r="EV369" s="4"/>
      <c r="EW369" s="4"/>
      <c r="EX369" s="4"/>
      <c r="EY369" s="4"/>
      <c r="EZ369" s="4"/>
      <c r="FA369" s="4"/>
      <c r="FB369" s="4"/>
      <c r="FC369" s="4"/>
      <c r="FD369" s="4"/>
      <c r="FE369" s="4"/>
      <c r="FF369" s="4"/>
    </row>
    <row r="370" spans="1:162" x14ac:dyDescent="0.2">
      <c r="A370" s="2"/>
      <c r="B370" s="2"/>
      <c r="C370" s="2"/>
      <c r="D370" s="4"/>
      <c r="E370" s="4"/>
      <c r="F370" s="4"/>
      <c r="G370" s="4"/>
      <c r="H370" s="4"/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  <c r="AA370" s="4"/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4"/>
      <c r="AM370" s="4"/>
      <c r="AN370" s="4"/>
      <c r="AO370" s="4"/>
      <c r="AP370" s="4"/>
      <c r="AQ370" s="4"/>
      <c r="AR370" s="4"/>
      <c r="AS370" s="4"/>
      <c r="AT370" s="4"/>
      <c r="AU370" s="4"/>
      <c r="AV370" s="4"/>
      <c r="AW370" s="4"/>
      <c r="AX370" s="4"/>
      <c r="AY370" s="4"/>
      <c r="AZ370" s="4"/>
      <c r="BA370" s="4"/>
      <c r="BB370" s="4"/>
      <c r="BC370" s="4"/>
      <c r="BD370" s="4"/>
      <c r="BE370" s="4"/>
      <c r="BF370" s="4"/>
      <c r="BG370" s="4"/>
      <c r="BH370" s="4"/>
      <c r="BI370" s="4"/>
      <c r="BJ370" s="4"/>
      <c r="BK370" s="4"/>
      <c r="BL370" s="4"/>
      <c r="BM370" s="4"/>
      <c r="BN370" s="4"/>
      <c r="BO370" s="4"/>
      <c r="BP370" s="4"/>
      <c r="BQ370" s="4"/>
      <c r="BR370" s="4"/>
      <c r="BS370" s="4"/>
      <c r="BT370" s="4"/>
      <c r="BU370" s="4"/>
      <c r="BV370" s="4"/>
      <c r="BW370" s="4"/>
      <c r="BX370" s="4"/>
      <c r="BY370" s="4"/>
      <c r="BZ370" s="4"/>
      <c r="CA370" s="4"/>
      <c r="CB370" s="4"/>
      <c r="CC370" s="4"/>
      <c r="CD370" s="4"/>
      <c r="CE370" s="4"/>
      <c r="CF370" s="4"/>
      <c r="CG370" s="4"/>
      <c r="CH370" s="4"/>
      <c r="CI370" s="4"/>
      <c r="CJ370" s="4"/>
      <c r="CK370" s="4"/>
      <c r="CL370" s="4"/>
      <c r="CM370" s="4"/>
      <c r="CN370" s="4"/>
      <c r="CO370" s="4"/>
      <c r="CP370" s="4"/>
      <c r="CQ370" s="4"/>
      <c r="CR370" s="4"/>
      <c r="CS370" s="4"/>
      <c r="CT370" s="4"/>
      <c r="CU370" s="4"/>
      <c r="CV370" s="4"/>
      <c r="CW370" s="4"/>
      <c r="CX370" s="4"/>
      <c r="CY370" s="4"/>
      <c r="CZ370" s="4"/>
      <c r="DA370" s="4"/>
      <c r="DB370" s="4"/>
      <c r="DC370" s="4"/>
      <c r="DD370" s="4"/>
      <c r="DE370" s="4"/>
      <c r="DF370" s="4"/>
      <c r="DG370" s="4"/>
      <c r="DH370" s="4"/>
      <c r="DI370" s="4"/>
      <c r="DJ370" s="4"/>
      <c r="DK370" s="4"/>
      <c r="DL370" s="4"/>
      <c r="DM370" s="4"/>
      <c r="DN370" s="4"/>
      <c r="DO370" s="4"/>
      <c r="DP370" s="4"/>
      <c r="DQ370" s="4"/>
      <c r="DR370" s="4"/>
      <c r="DS370" s="4"/>
      <c r="DT370" s="4"/>
      <c r="DU370" s="4"/>
      <c r="DV370" s="4"/>
      <c r="DW370" s="4"/>
      <c r="DX370" s="4"/>
      <c r="DY370" s="4"/>
      <c r="DZ370" s="4"/>
      <c r="EA370" s="4"/>
      <c r="EB370" s="4"/>
      <c r="EC370" s="4"/>
      <c r="ED370" s="4"/>
      <c r="EE370" s="4"/>
      <c r="EF370" s="4"/>
      <c r="EG370" s="4"/>
      <c r="EH370" s="4"/>
      <c r="EI370" s="4"/>
      <c r="EJ370" s="4"/>
      <c r="EK370" s="4"/>
      <c r="EL370" s="4"/>
      <c r="EM370" s="4"/>
      <c r="EN370" s="4"/>
      <c r="EO370" s="4"/>
      <c r="EP370" s="4"/>
      <c r="EQ370" s="4"/>
      <c r="ER370" s="4"/>
      <c r="ES370" s="4"/>
      <c r="ET370" s="4"/>
      <c r="EU370" s="4"/>
      <c r="EV370" s="4"/>
      <c r="EW370" s="4"/>
      <c r="EX370" s="4"/>
      <c r="EY370" s="4"/>
      <c r="EZ370" s="4"/>
      <c r="FA370" s="4"/>
      <c r="FB370" s="4"/>
      <c r="FC370" s="4"/>
      <c r="FD370" s="4"/>
      <c r="FE370" s="4"/>
      <c r="FF370" s="4"/>
    </row>
    <row r="371" spans="1:162" x14ac:dyDescent="0.2">
      <c r="A371" s="2"/>
      <c r="B371" s="2"/>
      <c r="C371" s="2"/>
      <c r="D371" s="4"/>
      <c r="E371" s="4"/>
      <c r="F371" s="4"/>
      <c r="G371" s="4"/>
      <c r="H371" s="4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  <c r="AA371" s="4"/>
      <c r="AB371" s="4"/>
      <c r="AC371" s="4"/>
      <c r="AD371" s="4"/>
      <c r="AE371" s="4"/>
      <c r="AF371" s="4"/>
      <c r="AG371" s="4"/>
      <c r="AH371" s="4"/>
      <c r="AI371" s="4"/>
      <c r="AJ371" s="4"/>
      <c r="AK371" s="4"/>
      <c r="AL371" s="4"/>
      <c r="AM371" s="4"/>
      <c r="AN371" s="4"/>
      <c r="AO371" s="4"/>
      <c r="AP371" s="4"/>
      <c r="AQ371" s="4"/>
      <c r="AR371" s="4"/>
      <c r="AS371" s="4"/>
      <c r="AT371" s="4"/>
      <c r="AU371" s="4"/>
      <c r="AV371" s="4"/>
      <c r="AW371" s="4"/>
      <c r="AX371" s="4"/>
      <c r="AY371" s="4"/>
      <c r="AZ371" s="4"/>
      <c r="BA371" s="4"/>
      <c r="BB371" s="4"/>
      <c r="BC371" s="4"/>
      <c r="BD371" s="4"/>
      <c r="BE371" s="4"/>
      <c r="BF371" s="4"/>
      <c r="BG371" s="4"/>
      <c r="BH371" s="4"/>
      <c r="BI371" s="4"/>
      <c r="BJ371" s="4"/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4"/>
      <c r="BX371" s="4"/>
      <c r="BY371" s="4"/>
      <c r="BZ371" s="4"/>
      <c r="CA371" s="4"/>
      <c r="CB371" s="4"/>
      <c r="CC371" s="4"/>
      <c r="CD371" s="4"/>
      <c r="CE371" s="4"/>
      <c r="CF371" s="4"/>
      <c r="CG371" s="4"/>
      <c r="CH371" s="4"/>
      <c r="CI371" s="4"/>
      <c r="CJ371" s="4"/>
      <c r="CK371" s="4"/>
      <c r="CL371" s="4"/>
      <c r="CM371" s="4"/>
      <c r="CN371" s="4"/>
      <c r="CO371" s="4"/>
      <c r="CP371" s="4"/>
      <c r="CQ371" s="4"/>
      <c r="CR371" s="4"/>
      <c r="CS371" s="4"/>
      <c r="CT371" s="4"/>
      <c r="CU371" s="4"/>
      <c r="CV371" s="4"/>
      <c r="CW371" s="4"/>
      <c r="CX371" s="4"/>
      <c r="CY371" s="4"/>
      <c r="CZ371" s="4"/>
      <c r="DA371" s="4"/>
      <c r="DB371" s="4"/>
      <c r="DC371" s="4"/>
      <c r="DD371" s="4"/>
      <c r="DE371" s="4"/>
      <c r="DF371" s="4"/>
      <c r="DG371" s="4"/>
      <c r="DH371" s="4"/>
      <c r="DI371" s="4"/>
      <c r="DJ371" s="4"/>
      <c r="DK371" s="4"/>
      <c r="DL371" s="4"/>
      <c r="DM371" s="4"/>
      <c r="DN371" s="4"/>
      <c r="DO371" s="4"/>
      <c r="DP371" s="4"/>
      <c r="DQ371" s="4"/>
      <c r="DR371" s="4"/>
      <c r="DS371" s="4"/>
      <c r="DT371" s="4"/>
      <c r="DU371" s="4"/>
      <c r="DV371" s="4"/>
      <c r="DW371" s="4"/>
      <c r="DX371" s="4"/>
      <c r="DY371" s="4"/>
      <c r="DZ371" s="4"/>
      <c r="EA371" s="4"/>
      <c r="EB371" s="4"/>
      <c r="EC371" s="4"/>
      <c r="ED371" s="4"/>
      <c r="EE371" s="4"/>
      <c r="EF371" s="4"/>
      <c r="EG371" s="4"/>
      <c r="EH371" s="4"/>
      <c r="EI371" s="4"/>
      <c r="EJ371" s="4"/>
      <c r="EK371" s="4"/>
      <c r="EL371" s="4"/>
      <c r="EM371" s="4"/>
      <c r="EN371" s="4"/>
      <c r="EO371" s="4"/>
      <c r="EP371" s="4"/>
      <c r="EQ371" s="4"/>
      <c r="ER371" s="4"/>
      <c r="ES371" s="4"/>
      <c r="ET371" s="4"/>
      <c r="EU371" s="4"/>
      <c r="EV371" s="4"/>
      <c r="EW371" s="4"/>
      <c r="EX371" s="4"/>
      <c r="EY371" s="4"/>
      <c r="EZ371" s="4"/>
      <c r="FA371" s="4"/>
      <c r="FB371" s="4"/>
      <c r="FC371" s="4"/>
      <c r="FD371" s="4"/>
      <c r="FE371" s="4"/>
      <c r="FF371" s="4"/>
    </row>
    <row r="372" spans="1:162" x14ac:dyDescent="0.2">
      <c r="A372" s="2"/>
      <c r="B372" s="2"/>
      <c r="C372" s="2"/>
      <c r="D372" s="4"/>
      <c r="E372" s="4"/>
      <c r="F372" s="4"/>
      <c r="G372" s="4"/>
      <c r="H372" s="4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  <c r="AA372" s="4"/>
      <c r="AB372" s="4"/>
      <c r="AC372" s="4"/>
      <c r="AD372" s="4"/>
      <c r="AE372" s="4"/>
      <c r="AF372" s="4"/>
      <c r="AG372" s="4"/>
      <c r="AH372" s="4"/>
      <c r="AI372" s="4"/>
      <c r="AJ372" s="4"/>
      <c r="AK372" s="4"/>
      <c r="AL372" s="4"/>
      <c r="AM372" s="4"/>
      <c r="AN372" s="4"/>
      <c r="AO372" s="4"/>
      <c r="AP372" s="4"/>
      <c r="AQ372" s="4"/>
      <c r="AR372" s="4"/>
      <c r="AS372" s="4"/>
      <c r="AT372" s="4"/>
      <c r="AU372" s="4"/>
      <c r="AV372" s="4"/>
      <c r="AW372" s="4"/>
      <c r="AX372" s="4"/>
      <c r="AY372" s="4"/>
      <c r="AZ372" s="4"/>
      <c r="BA372" s="4"/>
      <c r="BB372" s="4"/>
      <c r="BC372" s="4"/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4"/>
      <c r="BQ372" s="4"/>
      <c r="BR372" s="4"/>
      <c r="BS372" s="4"/>
      <c r="BT372" s="4"/>
      <c r="BU372" s="4"/>
      <c r="BV372" s="4"/>
      <c r="BW372" s="4"/>
      <c r="BX372" s="4"/>
      <c r="BY372" s="4"/>
      <c r="BZ372" s="4"/>
      <c r="CA372" s="4"/>
      <c r="CB372" s="4"/>
      <c r="CC372" s="4"/>
      <c r="CD372" s="4"/>
      <c r="CE372" s="4"/>
      <c r="CF372" s="4"/>
      <c r="CG372" s="4"/>
      <c r="CH372" s="4"/>
      <c r="CI372" s="4"/>
      <c r="CJ372" s="4"/>
      <c r="CK372" s="4"/>
      <c r="CL372" s="4"/>
      <c r="CM372" s="4"/>
      <c r="CN372" s="4"/>
      <c r="CO372" s="4"/>
      <c r="CP372" s="4"/>
      <c r="CQ372" s="4"/>
      <c r="CR372" s="4"/>
      <c r="CS372" s="4"/>
      <c r="CT372" s="4"/>
      <c r="CU372" s="4"/>
      <c r="CV372" s="4"/>
      <c r="CW372" s="4"/>
      <c r="CX372" s="4"/>
      <c r="CY372" s="4"/>
      <c r="CZ372" s="4"/>
      <c r="DA372" s="4"/>
      <c r="DB372" s="4"/>
      <c r="DC372" s="4"/>
      <c r="DD372" s="4"/>
      <c r="DE372" s="4"/>
      <c r="DF372" s="4"/>
      <c r="DG372" s="4"/>
      <c r="DH372" s="4"/>
      <c r="DI372" s="4"/>
      <c r="DJ372" s="4"/>
      <c r="DK372" s="4"/>
      <c r="DL372" s="4"/>
      <c r="DM372" s="4"/>
      <c r="DN372" s="4"/>
      <c r="DO372" s="4"/>
      <c r="DP372" s="4"/>
      <c r="DQ372" s="4"/>
      <c r="DR372" s="4"/>
      <c r="DS372" s="4"/>
      <c r="DT372" s="4"/>
      <c r="DU372" s="4"/>
      <c r="DV372" s="4"/>
      <c r="DW372" s="4"/>
      <c r="DX372" s="4"/>
      <c r="DY372" s="4"/>
      <c r="DZ372" s="4"/>
      <c r="EA372" s="4"/>
      <c r="EB372" s="4"/>
      <c r="EC372" s="4"/>
      <c r="ED372" s="4"/>
      <c r="EE372" s="4"/>
      <c r="EF372" s="4"/>
      <c r="EG372" s="4"/>
      <c r="EH372" s="4"/>
      <c r="EI372" s="4"/>
      <c r="EJ372" s="4"/>
      <c r="EK372" s="4"/>
      <c r="EL372" s="4"/>
      <c r="EM372" s="4"/>
      <c r="EN372" s="4"/>
      <c r="EO372" s="4"/>
      <c r="EP372" s="4"/>
      <c r="EQ372" s="4"/>
      <c r="ER372" s="4"/>
      <c r="ES372" s="4"/>
      <c r="ET372" s="4"/>
      <c r="EU372" s="4"/>
      <c r="EV372" s="4"/>
      <c r="EW372" s="4"/>
      <c r="EX372" s="4"/>
      <c r="EY372" s="4"/>
      <c r="EZ372" s="4"/>
      <c r="FA372" s="4"/>
      <c r="FB372" s="4"/>
      <c r="FC372" s="4"/>
      <c r="FD372" s="4"/>
      <c r="FE372" s="4"/>
      <c r="FF372" s="4"/>
    </row>
    <row r="373" spans="1:162" x14ac:dyDescent="0.2">
      <c r="A373" s="2"/>
      <c r="B373" s="2"/>
      <c r="C373" s="2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  <c r="AA373" s="4"/>
      <c r="AB373" s="4"/>
      <c r="AC373" s="4"/>
      <c r="AD373" s="4"/>
      <c r="AE373" s="4"/>
      <c r="AF373" s="4"/>
      <c r="AG373" s="4"/>
      <c r="AH373" s="4"/>
      <c r="AI373" s="4"/>
      <c r="AJ373" s="4"/>
      <c r="AK373" s="4"/>
      <c r="AL373" s="4"/>
      <c r="AM373" s="4"/>
      <c r="AN373" s="4"/>
      <c r="AO373" s="4"/>
      <c r="AP373" s="4"/>
      <c r="AQ373" s="4"/>
      <c r="AR373" s="4"/>
      <c r="AS373" s="4"/>
      <c r="AT373" s="4"/>
      <c r="AU373" s="4"/>
      <c r="AV373" s="4"/>
      <c r="AW373" s="4"/>
      <c r="AX373" s="4"/>
      <c r="AY373" s="4"/>
      <c r="AZ373" s="4"/>
      <c r="BA373" s="4"/>
      <c r="BB373" s="4"/>
      <c r="BC373" s="4"/>
      <c r="BD373" s="4"/>
      <c r="BE373" s="4"/>
      <c r="BF373" s="4"/>
      <c r="BG373" s="4"/>
      <c r="BH373" s="4"/>
      <c r="BI373" s="4"/>
      <c r="BJ373" s="4"/>
      <c r="BK373" s="4"/>
      <c r="BL373" s="4"/>
      <c r="BM373" s="4"/>
      <c r="BN373" s="4"/>
      <c r="BO373" s="4"/>
      <c r="BP373" s="4"/>
      <c r="BQ373" s="4"/>
      <c r="BR373" s="4"/>
      <c r="BS373" s="4"/>
      <c r="BT373" s="4"/>
      <c r="BU373" s="4"/>
      <c r="BV373" s="4"/>
      <c r="BW373" s="4"/>
      <c r="BX373" s="4"/>
      <c r="BY373" s="4"/>
      <c r="BZ373" s="4"/>
      <c r="CA373" s="4"/>
      <c r="CB373" s="4"/>
      <c r="CC373" s="4"/>
      <c r="CD373" s="4"/>
      <c r="CE373" s="4"/>
      <c r="CF373" s="4"/>
      <c r="CG373" s="4"/>
      <c r="CH373" s="4"/>
      <c r="CI373" s="4"/>
      <c r="CJ373" s="4"/>
      <c r="CK373" s="4"/>
      <c r="CL373" s="4"/>
      <c r="CM373" s="4"/>
      <c r="CN373" s="4"/>
      <c r="CO373" s="4"/>
      <c r="CP373" s="4"/>
      <c r="CQ373" s="4"/>
      <c r="CR373" s="4"/>
      <c r="CS373" s="4"/>
      <c r="CT373" s="4"/>
      <c r="CU373" s="4"/>
      <c r="CV373" s="4"/>
      <c r="CW373" s="4"/>
      <c r="CX373" s="4"/>
      <c r="CY373" s="4"/>
      <c r="CZ373" s="4"/>
      <c r="DA373" s="4"/>
      <c r="DB373" s="4"/>
      <c r="DC373" s="4"/>
      <c r="DD373" s="4"/>
      <c r="DE373" s="4"/>
      <c r="DF373" s="4"/>
      <c r="DG373" s="4"/>
      <c r="DH373" s="4"/>
      <c r="DI373" s="4"/>
      <c r="DJ373" s="4"/>
      <c r="DK373" s="4"/>
      <c r="DL373" s="4"/>
      <c r="DM373" s="4"/>
      <c r="DN373" s="4"/>
      <c r="DO373" s="4"/>
      <c r="DP373" s="4"/>
      <c r="DQ373" s="4"/>
      <c r="DR373" s="4"/>
      <c r="DS373" s="4"/>
      <c r="DT373" s="4"/>
      <c r="DU373" s="4"/>
      <c r="DV373" s="4"/>
      <c r="DW373" s="4"/>
      <c r="DX373" s="4"/>
      <c r="DY373" s="4"/>
      <c r="DZ373" s="4"/>
      <c r="EA373" s="4"/>
      <c r="EB373" s="4"/>
      <c r="EC373" s="4"/>
      <c r="ED373" s="4"/>
      <c r="EE373" s="4"/>
      <c r="EF373" s="4"/>
      <c r="EG373" s="4"/>
      <c r="EH373" s="4"/>
      <c r="EI373" s="4"/>
      <c r="EJ373" s="4"/>
      <c r="EK373" s="4"/>
      <c r="EL373" s="4"/>
      <c r="EM373" s="4"/>
      <c r="EN373" s="4"/>
      <c r="EO373" s="4"/>
      <c r="EP373" s="4"/>
      <c r="EQ373" s="4"/>
      <c r="ER373" s="4"/>
      <c r="ES373" s="4"/>
      <c r="ET373" s="4"/>
      <c r="EU373" s="4"/>
      <c r="EV373" s="4"/>
      <c r="EW373" s="4"/>
      <c r="EX373" s="4"/>
      <c r="EY373" s="4"/>
      <c r="EZ373" s="4"/>
      <c r="FA373" s="4"/>
      <c r="FB373" s="4"/>
      <c r="FC373" s="4"/>
      <c r="FD373" s="4"/>
      <c r="FE373" s="4"/>
      <c r="FF373" s="4"/>
    </row>
    <row r="374" spans="1:162" x14ac:dyDescent="0.2">
      <c r="A374" s="2"/>
      <c r="B374" s="2"/>
      <c r="C374" s="2"/>
      <c r="D374" s="4"/>
      <c r="E374" s="4"/>
      <c r="F374" s="4"/>
      <c r="G374" s="4"/>
      <c r="H374" s="4"/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  <c r="AA374" s="4"/>
      <c r="AB374" s="4"/>
      <c r="AC374" s="4"/>
      <c r="AD374" s="4"/>
      <c r="AE374" s="4"/>
      <c r="AF374" s="4"/>
      <c r="AG374" s="4"/>
      <c r="AH374" s="4"/>
      <c r="AI374" s="4"/>
      <c r="AJ374" s="4"/>
      <c r="AK374" s="4"/>
      <c r="AL374" s="4"/>
      <c r="AM374" s="4"/>
      <c r="AN374" s="4"/>
      <c r="AO374" s="4"/>
      <c r="AP374" s="4"/>
      <c r="AQ374" s="4"/>
      <c r="AR374" s="4"/>
      <c r="AS374" s="4"/>
      <c r="AT374" s="4"/>
      <c r="AU374" s="4"/>
      <c r="AV374" s="4"/>
      <c r="AW374" s="4"/>
      <c r="AX374" s="4"/>
      <c r="AY374" s="4"/>
      <c r="AZ374" s="4"/>
      <c r="BA374" s="4"/>
      <c r="BB374" s="4"/>
      <c r="BC374" s="4"/>
      <c r="BD374" s="4"/>
      <c r="BE374" s="4"/>
      <c r="BF374" s="4"/>
      <c r="BG374" s="4"/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4"/>
      <c r="BX374" s="4"/>
      <c r="BY374" s="4"/>
      <c r="BZ374" s="4"/>
      <c r="CA374" s="4"/>
      <c r="CB374" s="4"/>
      <c r="CC374" s="4"/>
      <c r="CD374" s="4"/>
      <c r="CE374" s="4"/>
      <c r="CF374" s="4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  <c r="DC374" s="4"/>
      <c r="DD374" s="4"/>
      <c r="DE374" s="4"/>
      <c r="DF374" s="4"/>
      <c r="DG374" s="4"/>
      <c r="DH374" s="4"/>
      <c r="DI374" s="4"/>
      <c r="DJ374" s="4"/>
      <c r="DK374" s="4"/>
      <c r="DL374" s="4"/>
      <c r="DM374" s="4"/>
      <c r="DN374" s="4"/>
      <c r="DO374" s="4"/>
      <c r="DP374" s="4"/>
      <c r="DQ374" s="4"/>
      <c r="DR374" s="4"/>
      <c r="DS374" s="4"/>
      <c r="DT374" s="4"/>
      <c r="DU374" s="4"/>
      <c r="DV374" s="4"/>
      <c r="DW374" s="4"/>
      <c r="DX374" s="4"/>
      <c r="DY374" s="4"/>
      <c r="DZ374" s="4"/>
      <c r="EA374" s="4"/>
      <c r="EB374" s="4"/>
      <c r="EC374" s="4"/>
      <c r="ED374" s="4"/>
      <c r="EE374" s="4"/>
      <c r="EF374" s="4"/>
      <c r="EG374" s="4"/>
      <c r="EH374" s="4"/>
      <c r="EI374" s="4"/>
      <c r="EJ374" s="4"/>
      <c r="EK374" s="4"/>
      <c r="EL374" s="4"/>
      <c r="EM374" s="4"/>
      <c r="EN374" s="4"/>
      <c r="EO374" s="4"/>
      <c r="EP374" s="4"/>
      <c r="EQ374" s="4"/>
      <c r="ER374" s="4"/>
      <c r="ES374" s="4"/>
      <c r="ET374" s="4"/>
      <c r="EU374" s="4"/>
      <c r="EV374" s="4"/>
      <c r="EW374" s="4"/>
      <c r="EX374" s="4"/>
      <c r="EY374" s="4"/>
      <c r="EZ374" s="4"/>
      <c r="FA374" s="4"/>
      <c r="FB374" s="4"/>
      <c r="FC374" s="4"/>
      <c r="FD374" s="4"/>
      <c r="FE374" s="4"/>
      <c r="FF374" s="4"/>
    </row>
    <row r="375" spans="1:162" x14ac:dyDescent="0.2">
      <c r="A375" s="2"/>
      <c r="B375" s="2"/>
      <c r="C375" s="2"/>
      <c r="D375" s="4"/>
      <c r="E375" s="4"/>
      <c r="F375" s="4"/>
      <c r="G375" s="4"/>
      <c r="H375" s="4"/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  <c r="AA375" s="4"/>
      <c r="AB375" s="4"/>
      <c r="AC375" s="4"/>
      <c r="AD375" s="4"/>
      <c r="AE375" s="4"/>
      <c r="AF375" s="4"/>
      <c r="AG375" s="4"/>
      <c r="AH375" s="4"/>
      <c r="AI375" s="4"/>
      <c r="AJ375" s="4"/>
      <c r="AK375" s="4"/>
      <c r="AL375" s="4"/>
      <c r="AM375" s="4"/>
      <c r="AN375" s="4"/>
      <c r="AO375" s="4"/>
      <c r="AP375" s="4"/>
      <c r="AQ375" s="4"/>
      <c r="AR375" s="4"/>
      <c r="AS375" s="4"/>
      <c r="AT375" s="4"/>
      <c r="AU375" s="4"/>
      <c r="AV375" s="4"/>
      <c r="AW375" s="4"/>
      <c r="AX375" s="4"/>
      <c r="AY375" s="4"/>
      <c r="AZ375" s="4"/>
      <c r="BA375" s="4"/>
      <c r="BB375" s="4"/>
      <c r="BC375" s="4"/>
      <c r="BD375" s="4"/>
      <c r="BE375" s="4"/>
      <c r="BF375" s="4"/>
      <c r="BG375" s="4"/>
      <c r="BH375" s="4"/>
      <c r="BI375" s="4"/>
      <c r="BJ375" s="4"/>
      <c r="BK375" s="4"/>
      <c r="BL375" s="4"/>
      <c r="BM375" s="4"/>
      <c r="BN375" s="4"/>
      <c r="BO375" s="4"/>
      <c r="BP375" s="4"/>
      <c r="BQ375" s="4"/>
      <c r="BR375" s="4"/>
      <c r="BS375" s="4"/>
      <c r="BT375" s="4"/>
      <c r="BU375" s="4"/>
      <c r="BV375" s="4"/>
      <c r="BW375" s="4"/>
      <c r="BX375" s="4"/>
      <c r="BY375" s="4"/>
      <c r="BZ375" s="4"/>
      <c r="CA375" s="4"/>
      <c r="CB375" s="4"/>
      <c r="CC375" s="4"/>
      <c r="CD375" s="4"/>
      <c r="CE375" s="4"/>
      <c r="CF375" s="4"/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/>
      <c r="CU375" s="4"/>
      <c r="CV375" s="4"/>
      <c r="CW375" s="4"/>
      <c r="CX375" s="4"/>
      <c r="CY375" s="4"/>
      <c r="CZ375" s="4"/>
      <c r="DA375" s="4"/>
      <c r="DB375" s="4"/>
      <c r="DC375" s="4"/>
      <c r="DD375" s="4"/>
      <c r="DE375" s="4"/>
      <c r="DF375" s="4"/>
      <c r="DG375" s="4"/>
      <c r="DH375" s="4"/>
      <c r="DI375" s="4"/>
      <c r="DJ375" s="4"/>
      <c r="DK375" s="4"/>
      <c r="DL375" s="4"/>
      <c r="DM375" s="4"/>
      <c r="DN375" s="4"/>
      <c r="DO375" s="4"/>
      <c r="DP375" s="4"/>
      <c r="DQ375" s="4"/>
      <c r="DR375" s="4"/>
      <c r="DS375" s="4"/>
      <c r="DT375" s="4"/>
      <c r="DU375" s="4"/>
      <c r="DV375" s="4"/>
      <c r="DW375" s="4"/>
      <c r="DX375" s="4"/>
      <c r="DY375" s="4"/>
      <c r="DZ375" s="4"/>
      <c r="EA375" s="4"/>
      <c r="EB375" s="4"/>
      <c r="EC375" s="4"/>
      <c r="ED375" s="4"/>
      <c r="EE375" s="4"/>
      <c r="EF375" s="4"/>
      <c r="EG375" s="4"/>
      <c r="EH375" s="4"/>
      <c r="EI375" s="4"/>
      <c r="EJ375" s="4"/>
      <c r="EK375" s="4"/>
      <c r="EL375" s="4"/>
      <c r="EM375" s="4"/>
      <c r="EN375" s="4"/>
      <c r="EO375" s="4"/>
      <c r="EP375" s="4"/>
      <c r="EQ375" s="4"/>
      <c r="ER375" s="4"/>
      <c r="ES375" s="4"/>
      <c r="ET375" s="4"/>
      <c r="EU375" s="4"/>
      <c r="EV375" s="4"/>
      <c r="EW375" s="4"/>
      <c r="EX375" s="4"/>
      <c r="EY375" s="4"/>
      <c r="EZ375" s="4"/>
      <c r="FA375" s="4"/>
      <c r="FB375" s="4"/>
      <c r="FC375" s="4"/>
      <c r="FD375" s="4"/>
      <c r="FE375" s="4"/>
      <c r="FF375" s="4"/>
    </row>
    <row r="376" spans="1:162" x14ac:dyDescent="0.2">
      <c r="A376" s="2"/>
      <c r="B376" s="2"/>
      <c r="C376" s="2"/>
      <c r="D376" s="4"/>
      <c r="E376" s="4"/>
      <c r="F376" s="4"/>
      <c r="G376" s="4"/>
      <c r="H376" s="4"/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  <c r="AA376" s="4"/>
      <c r="AB376" s="4"/>
      <c r="AC376" s="4"/>
      <c r="AD376" s="4"/>
      <c r="AE376" s="4"/>
      <c r="AF376" s="4"/>
      <c r="AG376" s="4"/>
      <c r="AH376" s="4"/>
      <c r="AI376" s="4"/>
      <c r="AJ376" s="4"/>
      <c r="AK376" s="4"/>
      <c r="AL376" s="4"/>
      <c r="AM376" s="4"/>
      <c r="AN376" s="4"/>
      <c r="AO376" s="4"/>
      <c r="AP376" s="4"/>
      <c r="AQ376" s="4"/>
      <c r="AR376" s="4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/>
      <c r="BE376" s="4"/>
      <c r="BF376" s="4"/>
      <c r="BG376" s="4"/>
      <c r="BH376" s="4"/>
      <c r="BI376" s="4"/>
      <c r="BJ376" s="4"/>
      <c r="BK376" s="4"/>
      <c r="BL376" s="4"/>
      <c r="BM376" s="4"/>
      <c r="BN376" s="4"/>
      <c r="BO376" s="4"/>
      <c r="BP376" s="4"/>
      <c r="BQ376" s="4"/>
      <c r="BR376" s="4"/>
      <c r="BS376" s="4"/>
      <c r="BT376" s="4"/>
      <c r="BU376" s="4"/>
      <c r="BV376" s="4"/>
      <c r="BW376" s="4"/>
      <c r="BX376" s="4"/>
      <c r="BY376" s="4"/>
      <c r="BZ376" s="4"/>
      <c r="CA376" s="4"/>
      <c r="CB376" s="4"/>
      <c r="CC376" s="4"/>
      <c r="CD376" s="4"/>
      <c r="CE376" s="4"/>
      <c r="CF376" s="4"/>
      <c r="CG376" s="4"/>
      <c r="CH376" s="4"/>
      <c r="CI376" s="4"/>
      <c r="CJ376" s="4"/>
      <c r="CK376" s="4"/>
      <c r="CL376" s="4"/>
      <c r="CM376" s="4"/>
      <c r="CN376" s="4"/>
      <c r="CO376" s="4"/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  <c r="DC376" s="4"/>
      <c r="DD376" s="4"/>
      <c r="DE376" s="4"/>
      <c r="DF376" s="4"/>
      <c r="DG376" s="4"/>
      <c r="DH376" s="4"/>
      <c r="DI376" s="4"/>
      <c r="DJ376" s="4"/>
      <c r="DK376" s="4"/>
      <c r="DL376" s="4"/>
      <c r="DM376" s="4"/>
      <c r="DN376" s="4"/>
      <c r="DO376" s="4"/>
      <c r="DP376" s="4"/>
      <c r="DQ376" s="4"/>
      <c r="DR376" s="4"/>
      <c r="DS376" s="4"/>
      <c r="DT376" s="4"/>
      <c r="DU376" s="4"/>
      <c r="DV376" s="4"/>
      <c r="DW376" s="4"/>
      <c r="DX376" s="4"/>
      <c r="DY376" s="4"/>
      <c r="DZ376" s="4"/>
      <c r="EA376" s="4"/>
      <c r="EB376" s="4"/>
      <c r="EC376" s="4"/>
      <c r="ED376" s="4"/>
      <c r="EE376" s="4"/>
      <c r="EF376" s="4"/>
      <c r="EG376" s="4"/>
      <c r="EH376" s="4"/>
      <c r="EI376" s="4"/>
      <c r="EJ376" s="4"/>
      <c r="EK376" s="4"/>
      <c r="EL376" s="4"/>
      <c r="EM376" s="4"/>
      <c r="EN376" s="4"/>
      <c r="EO376" s="4"/>
      <c r="EP376" s="4"/>
      <c r="EQ376" s="4"/>
      <c r="ER376" s="4"/>
      <c r="ES376" s="4"/>
      <c r="ET376" s="4"/>
      <c r="EU376" s="4"/>
      <c r="EV376" s="4"/>
      <c r="EW376" s="4"/>
      <c r="EX376" s="4"/>
      <c r="EY376" s="4"/>
      <c r="EZ376" s="4"/>
      <c r="FA376" s="4"/>
      <c r="FB376" s="4"/>
      <c r="FC376" s="4"/>
      <c r="FD376" s="4"/>
      <c r="FE376" s="4"/>
      <c r="FF376" s="4"/>
    </row>
    <row r="377" spans="1:162" x14ac:dyDescent="0.2">
      <c r="A377" s="2"/>
      <c r="B377" s="2"/>
      <c r="C377" s="2"/>
      <c r="D377" s="4"/>
      <c r="E377" s="4"/>
      <c r="F377" s="4"/>
      <c r="G377" s="4"/>
      <c r="H377" s="4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4"/>
      <c r="AM377" s="4"/>
      <c r="AN377" s="4"/>
      <c r="AO377" s="4"/>
      <c r="AP377" s="4"/>
      <c r="AQ377" s="4"/>
      <c r="AR377" s="4"/>
      <c r="AS377" s="4"/>
      <c r="AT377" s="4"/>
      <c r="AU377" s="4"/>
      <c r="AV377" s="4"/>
      <c r="AW377" s="4"/>
      <c r="AX377" s="4"/>
      <c r="AY377" s="4"/>
      <c r="AZ377" s="4"/>
      <c r="BA377" s="4"/>
      <c r="BB377" s="4"/>
      <c r="BC377" s="4"/>
      <c r="BD377" s="4"/>
      <c r="BE377" s="4"/>
      <c r="BF377" s="4"/>
      <c r="BG377" s="4"/>
      <c r="BH377" s="4"/>
      <c r="BI377" s="4"/>
      <c r="BJ377" s="4"/>
      <c r="BK377" s="4"/>
      <c r="BL377" s="4"/>
      <c r="BM377" s="4"/>
      <c r="BN377" s="4"/>
      <c r="BO377" s="4"/>
      <c r="BP377" s="4"/>
      <c r="BQ377" s="4"/>
      <c r="BR377" s="4"/>
      <c r="BS377" s="4"/>
      <c r="BT377" s="4"/>
      <c r="BU377" s="4"/>
      <c r="BV377" s="4"/>
      <c r="BW377" s="4"/>
      <c r="BX377" s="4"/>
      <c r="BY377" s="4"/>
      <c r="BZ377" s="4"/>
      <c r="CA377" s="4"/>
      <c r="CB377" s="4"/>
      <c r="CC377" s="4"/>
      <c r="CD377" s="4"/>
      <c r="CE377" s="4"/>
      <c r="CF377" s="4"/>
      <c r="CG377" s="4"/>
      <c r="CH377" s="4"/>
      <c r="CI377" s="4"/>
      <c r="CJ377" s="4"/>
      <c r="CK377" s="4"/>
      <c r="CL377" s="4"/>
      <c r="CM377" s="4"/>
      <c r="CN377" s="4"/>
      <c r="CO377" s="4"/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  <c r="DC377" s="4"/>
      <c r="DD377" s="4"/>
      <c r="DE377" s="4"/>
      <c r="DF377" s="4"/>
      <c r="DG377" s="4"/>
      <c r="DH377" s="4"/>
      <c r="DI377" s="4"/>
      <c r="DJ377" s="4"/>
      <c r="DK377" s="4"/>
      <c r="DL377" s="4"/>
      <c r="DM377" s="4"/>
      <c r="DN377" s="4"/>
      <c r="DO377" s="4"/>
      <c r="DP377" s="4"/>
      <c r="DQ377" s="4"/>
      <c r="DR377" s="4"/>
      <c r="DS377" s="4"/>
      <c r="DT377" s="4"/>
      <c r="DU377" s="4"/>
      <c r="DV377" s="4"/>
      <c r="DW377" s="4"/>
      <c r="DX377" s="4"/>
      <c r="DY377" s="4"/>
      <c r="DZ377" s="4"/>
      <c r="EA377" s="4"/>
      <c r="EB377" s="4"/>
      <c r="EC377" s="4"/>
      <c r="ED377" s="4"/>
      <c r="EE377" s="4"/>
      <c r="EF377" s="4"/>
      <c r="EG377" s="4"/>
      <c r="EH377" s="4"/>
      <c r="EI377" s="4"/>
      <c r="EJ377" s="4"/>
      <c r="EK377" s="4"/>
      <c r="EL377" s="4"/>
      <c r="EM377" s="4"/>
      <c r="EN377" s="4"/>
      <c r="EO377" s="4"/>
      <c r="EP377" s="4"/>
      <c r="EQ377" s="4"/>
      <c r="ER377" s="4"/>
      <c r="ES377" s="4"/>
      <c r="ET377" s="4"/>
      <c r="EU377" s="4"/>
      <c r="EV377" s="4"/>
      <c r="EW377" s="4"/>
      <c r="EX377" s="4"/>
      <c r="EY377" s="4"/>
      <c r="EZ377" s="4"/>
      <c r="FA377" s="4"/>
      <c r="FB377" s="4"/>
      <c r="FC377" s="4"/>
      <c r="FD377" s="4"/>
      <c r="FE377" s="4"/>
      <c r="FF377" s="4"/>
    </row>
    <row r="378" spans="1:162" x14ac:dyDescent="0.2">
      <c r="A378" s="2"/>
      <c r="B378" s="2"/>
      <c r="C378" s="2"/>
      <c r="D378" s="4"/>
      <c r="E378" s="4"/>
      <c r="F378" s="4"/>
      <c r="G378" s="4"/>
      <c r="H378" s="4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4"/>
      <c r="AJ378" s="4"/>
      <c r="AK378" s="4"/>
      <c r="AL378" s="4"/>
      <c r="AM378" s="4"/>
      <c r="AN378" s="4"/>
      <c r="AO378" s="4"/>
      <c r="AP378" s="4"/>
      <c r="AQ378" s="4"/>
      <c r="AR378" s="4"/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/>
      <c r="BE378" s="4"/>
      <c r="BF378" s="4"/>
      <c r="BG378" s="4"/>
      <c r="BH378" s="4"/>
      <c r="BI378" s="4"/>
      <c r="BJ378" s="4"/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4"/>
      <c r="BX378" s="4"/>
      <c r="BY378" s="4"/>
      <c r="BZ378" s="4"/>
      <c r="CA378" s="4"/>
      <c r="CB378" s="4"/>
      <c r="CC378" s="4"/>
      <c r="CD378" s="4"/>
      <c r="CE378" s="4"/>
      <c r="CF378" s="4"/>
      <c r="CG378" s="4"/>
      <c r="CH378" s="4"/>
      <c r="CI378" s="4"/>
      <c r="CJ378" s="4"/>
      <c r="CK378" s="4"/>
      <c r="CL378" s="4"/>
      <c r="CM378" s="4"/>
      <c r="CN378" s="4"/>
      <c r="CO378" s="4"/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  <c r="DC378" s="4"/>
      <c r="DD378" s="4"/>
      <c r="DE378" s="4"/>
      <c r="DF378" s="4"/>
      <c r="DG378" s="4"/>
      <c r="DH378" s="4"/>
      <c r="DI378" s="4"/>
      <c r="DJ378" s="4"/>
      <c r="DK378" s="4"/>
      <c r="DL378" s="4"/>
      <c r="DM378" s="4"/>
      <c r="DN378" s="4"/>
      <c r="DO378" s="4"/>
      <c r="DP378" s="4"/>
      <c r="DQ378" s="4"/>
      <c r="DR378" s="4"/>
      <c r="DS378" s="4"/>
      <c r="DT378" s="4"/>
      <c r="DU378" s="4"/>
      <c r="DV378" s="4"/>
      <c r="DW378" s="4"/>
      <c r="DX378" s="4"/>
      <c r="DY378" s="4"/>
      <c r="DZ378" s="4"/>
      <c r="EA378" s="4"/>
      <c r="EB378" s="4"/>
      <c r="EC378" s="4"/>
      <c r="ED378" s="4"/>
      <c r="EE378" s="4"/>
      <c r="EF378" s="4"/>
      <c r="EG378" s="4"/>
      <c r="EH378" s="4"/>
      <c r="EI378" s="4"/>
      <c r="EJ378" s="4"/>
      <c r="EK378" s="4"/>
      <c r="EL378" s="4"/>
      <c r="EM378" s="4"/>
      <c r="EN378" s="4"/>
      <c r="EO378" s="4"/>
      <c r="EP378" s="4"/>
      <c r="EQ378" s="4"/>
      <c r="ER378" s="4"/>
      <c r="ES378" s="4"/>
      <c r="ET378" s="4"/>
      <c r="EU378" s="4"/>
      <c r="EV378" s="4"/>
      <c r="EW378" s="4"/>
      <c r="EX378" s="4"/>
      <c r="EY378" s="4"/>
      <c r="EZ378" s="4"/>
      <c r="FA378" s="4"/>
      <c r="FB378" s="4"/>
      <c r="FC378" s="4"/>
      <c r="FD378" s="4"/>
      <c r="FE378" s="4"/>
      <c r="FF378" s="4"/>
    </row>
    <row r="379" spans="1:162" x14ac:dyDescent="0.2">
      <c r="A379" s="2"/>
      <c r="B379" s="2"/>
      <c r="C379" s="2"/>
      <c r="D379" s="4"/>
      <c r="E379" s="4"/>
      <c r="F379" s="4"/>
      <c r="G379" s="4"/>
      <c r="H379" s="4"/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/>
      <c r="AJ379" s="4"/>
      <c r="AK379" s="4"/>
      <c r="AL379" s="4"/>
      <c r="AM379" s="4"/>
      <c r="AN379" s="4"/>
      <c r="AO379" s="4"/>
      <c r="AP379" s="4"/>
      <c r="AQ379" s="4"/>
      <c r="AR379" s="4"/>
      <c r="AS379" s="4"/>
      <c r="AT379" s="4"/>
      <c r="AU379" s="4"/>
      <c r="AV379" s="4"/>
      <c r="AW379" s="4"/>
      <c r="AX379" s="4"/>
      <c r="AY379" s="4"/>
      <c r="AZ379" s="4"/>
      <c r="BA379" s="4"/>
      <c r="BB379" s="4"/>
      <c r="BC379" s="4"/>
      <c r="BD379" s="4"/>
      <c r="BE379" s="4"/>
      <c r="BF379" s="4"/>
      <c r="BG379" s="4"/>
      <c r="BH379" s="4"/>
      <c r="BI379" s="4"/>
      <c r="BJ379" s="4"/>
      <c r="BK379" s="4"/>
      <c r="BL379" s="4"/>
      <c r="BM379" s="4"/>
      <c r="BN379" s="4"/>
      <c r="BO379" s="4"/>
      <c r="BP379" s="4"/>
      <c r="BQ379" s="4"/>
      <c r="BR379" s="4"/>
      <c r="BS379" s="4"/>
      <c r="BT379" s="4"/>
      <c r="BU379" s="4"/>
      <c r="BV379" s="4"/>
      <c r="BW379" s="4"/>
      <c r="BX379" s="4"/>
      <c r="BY379" s="4"/>
      <c r="BZ379" s="4"/>
      <c r="CA379" s="4"/>
      <c r="CB379" s="4"/>
      <c r="CC379" s="4"/>
      <c r="CD379" s="4"/>
      <c r="CE379" s="4"/>
      <c r="CF379" s="4"/>
      <c r="CG379" s="4"/>
      <c r="CH379" s="4"/>
      <c r="CI379" s="4"/>
      <c r="CJ379" s="4"/>
      <c r="CK379" s="4"/>
      <c r="CL379" s="4"/>
      <c r="CM379" s="4"/>
      <c r="CN379" s="4"/>
      <c r="CO379" s="4"/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  <c r="DC379" s="4"/>
      <c r="DD379" s="4"/>
      <c r="DE379" s="4"/>
      <c r="DF379" s="4"/>
      <c r="DG379" s="4"/>
      <c r="DH379" s="4"/>
      <c r="DI379" s="4"/>
      <c r="DJ379" s="4"/>
      <c r="DK379" s="4"/>
      <c r="DL379" s="4"/>
      <c r="DM379" s="4"/>
      <c r="DN379" s="4"/>
      <c r="DO379" s="4"/>
      <c r="DP379" s="4"/>
      <c r="DQ379" s="4"/>
      <c r="DR379" s="4"/>
      <c r="DS379" s="4"/>
      <c r="DT379" s="4"/>
      <c r="DU379" s="4"/>
      <c r="DV379" s="4"/>
      <c r="DW379" s="4"/>
      <c r="DX379" s="4"/>
      <c r="DY379" s="4"/>
      <c r="DZ379" s="4"/>
      <c r="EA379" s="4"/>
      <c r="EB379" s="4"/>
      <c r="EC379" s="4"/>
      <c r="ED379" s="4"/>
      <c r="EE379" s="4"/>
      <c r="EF379" s="4"/>
      <c r="EG379" s="4"/>
      <c r="EH379" s="4"/>
      <c r="EI379" s="4"/>
      <c r="EJ379" s="4"/>
      <c r="EK379" s="4"/>
      <c r="EL379" s="4"/>
      <c r="EM379" s="4"/>
      <c r="EN379" s="4"/>
      <c r="EO379" s="4"/>
      <c r="EP379" s="4"/>
      <c r="EQ379" s="4"/>
      <c r="ER379" s="4"/>
      <c r="ES379" s="4"/>
      <c r="ET379" s="4"/>
      <c r="EU379" s="4"/>
      <c r="EV379" s="4"/>
      <c r="EW379" s="4"/>
      <c r="EX379" s="4"/>
      <c r="EY379" s="4"/>
      <c r="EZ379" s="4"/>
      <c r="FA379" s="4"/>
      <c r="FB379" s="4"/>
      <c r="FC379" s="4"/>
      <c r="FD379" s="4"/>
      <c r="FE379" s="4"/>
      <c r="FF379" s="4"/>
    </row>
    <row r="380" spans="1:162" x14ac:dyDescent="0.2">
      <c r="A380" s="2"/>
      <c r="B380" s="2"/>
      <c r="C380" s="2"/>
      <c r="D380" s="4"/>
      <c r="E380" s="4"/>
      <c r="F380" s="4"/>
      <c r="G380" s="4"/>
      <c r="H380" s="4"/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  <c r="AA380" s="4"/>
      <c r="AB380" s="4"/>
      <c r="AC380" s="4"/>
      <c r="AD380" s="4"/>
      <c r="AE380" s="4"/>
      <c r="AF380" s="4"/>
      <c r="AG380" s="4"/>
      <c r="AH380" s="4"/>
      <c r="AI380" s="4"/>
      <c r="AJ380" s="4"/>
      <c r="AK380" s="4"/>
      <c r="AL380" s="4"/>
      <c r="AM380" s="4"/>
      <c r="AN380" s="4"/>
      <c r="AO380" s="4"/>
      <c r="AP380" s="4"/>
      <c r="AQ380" s="4"/>
      <c r="AR380" s="4"/>
      <c r="AS380" s="4"/>
      <c r="AT380" s="4"/>
      <c r="AU380" s="4"/>
      <c r="AV380" s="4"/>
      <c r="AW380" s="4"/>
      <c r="AX380" s="4"/>
      <c r="AY380" s="4"/>
      <c r="AZ380" s="4"/>
      <c r="BA380" s="4"/>
      <c r="BB380" s="4"/>
      <c r="BC380" s="4"/>
      <c r="BD380" s="4"/>
      <c r="BE380" s="4"/>
      <c r="BF380" s="4"/>
      <c r="BG380" s="4"/>
      <c r="BH380" s="4"/>
      <c r="BI380" s="4"/>
      <c r="BJ380" s="4"/>
      <c r="BK380" s="4"/>
      <c r="BL380" s="4"/>
      <c r="BM380" s="4"/>
      <c r="BN380" s="4"/>
      <c r="BO380" s="4"/>
      <c r="BP380" s="4"/>
      <c r="BQ380" s="4"/>
      <c r="BR380" s="4"/>
      <c r="BS380" s="4"/>
      <c r="BT380" s="4"/>
      <c r="BU380" s="4"/>
      <c r="BV380" s="4"/>
      <c r="BW380" s="4"/>
      <c r="BX380" s="4"/>
      <c r="BY380" s="4"/>
      <c r="BZ380" s="4"/>
      <c r="CA380" s="4"/>
      <c r="CB380" s="4"/>
      <c r="CC380" s="4"/>
      <c r="CD380" s="4"/>
      <c r="CE380" s="4"/>
      <c r="CF380" s="4"/>
      <c r="CG380" s="4"/>
      <c r="CH380" s="4"/>
      <c r="CI380" s="4"/>
      <c r="CJ380" s="4"/>
      <c r="CK380" s="4"/>
      <c r="CL380" s="4"/>
      <c r="CM380" s="4"/>
      <c r="CN380" s="4"/>
      <c r="CO380" s="4"/>
      <c r="CP380" s="4"/>
      <c r="CQ380" s="4"/>
      <c r="CR380" s="4"/>
      <c r="CS380" s="4"/>
      <c r="CT380" s="4"/>
      <c r="CU380" s="4"/>
      <c r="CV380" s="4"/>
      <c r="CW380" s="4"/>
      <c r="CX380" s="4"/>
      <c r="CY380" s="4"/>
      <c r="CZ380" s="4"/>
      <c r="DA380" s="4"/>
      <c r="DB380" s="4"/>
      <c r="DC380" s="4"/>
      <c r="DD380" s="4"/>
      <c r="DE380" s="4"/>
      <c r="DF380" s="4"/>
      <c r="DG380" s="4"/>
      <c r="DH380" s="4"/>
      <c r="DI380" s="4"/>
      <c r="DJ380" s="4"/>
      <c r="DK380" s="4"/>
      <c r="DL380" s="4"/>
      <c r="DM380" s="4"/>
      <c r="DN380" s="4"/>
      <c r="DO380" s="4"/>
      <c r="DP380" s="4"/>
      <c r="DQ380" s="4"/>
      <c r="DR380" s="4"/>
      <c r="DS380" s="4"/>
      <c r="DT380" s="4"/>
      <c r="DU380" s="4"/>
      <c r="DV380" s="4"/>
      <c r="DW380" s="4"/>
      <c r="DX380" s="4"/>
      <c r="DY380" s="4"/>
      <c r="DZ380" s="4"/>
      <c r="EA380" s="4"/>
      <c r="EB380" s="4"/>
      <c r="EC380" s="4"/>
      <c r="ED380" s="4"/>
      <c r="EE380" s="4"/>
      <c r="EF380" s="4"/>
      <c r="EG380" s="4"/>
      <c r="EH380" s="4"/>
      <c r="EI380" s="4"/>
      <c r="EJ380" s="4"/>
      <c r="EK380" s="4"/>
      <c r="EL380" s="4"/>
      <c r="EM380" s="4"/>
      <c r="EN380" s="4"/>
      <c r="EO380" s="4"/>
      <c r="EP380" s="4"/>
      <c r="EQ380" s="4"/>
      <c r="ER380" s="4"/>
      <c r="ES380" s="4"/>
      <c r="ET380" s="4"/>
      <c r="EU380" s="4"/>
      <c r="EV380" s="4"/>
      <c r="EW380" s="4"/>
      <c r="EX380" s="4"/>
      <c r="EY380" s="4"/>
      <c r="EZ380" s="4"/>
      <c r="FA380" s="4"/>
      <c r="FB380" s="4"/>
      <c r="FC380" s="4"/>
      <c r="FD380" s="4"/>
      <c r="FE380" s="4"/>
      <c r="FF380" s="4"/>
    </row>
    <row r="381" spans="1:162" x14ac:dyDescent="0.2">
      <c r="A381" s="2"/>
      <c r="B381" s="2"/>
      <c r="C381" s="2"/>
      <c r="D381" s="4"/>
      <c r="E381" s="4"/>
      <c r="F381" s="4"/>
      <c r="G381" s="4"/>
      <c r="H381" s="4"/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4"/>
      <c r="AM381" s="4"/>
      <c r="AN381" s="4"/>
      <c r="AO381" s="4"/>
      <c r="AP381" s="4"/>
      <c r="AQ381" s="4"/>
      <c r="AR381" s="4"/>
      <c r="AS381" s="4"/>
      <c r="AT381" s="4"/>
      <c r="AU381" s="4"/>
      <c r="AV381" s="4"/>
      <c r="AW381" s="4"/>
      <c r="AX381" s="4"/>
      <c r="AY381" s="4"/>
      <c r="AZ381" s="4"/>
      <c r="BA381" s="4"/>
      <c r="BB381" s="4"/>
      <c r="BC381" s="4"/>
      <c r="BD381" s="4"/>
      <c r="BE381" s="4"/>
      <c r="BF381" s="4"/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4"/>
      <c r="BX381" s="4"/>
      <c r="BY381" s="4"/>
      <c r="BZ381" s="4"/>
      <c r="CA381" s="4"/>
      <c r="CB381" s="4"/>
      <c r="CC381" s="4"/>
      <c r="CD381" s="4"/>
      <c r="CE381" s="4"/>
      <c r="CF381" s="4"/>
      <c r="CG381" s="4"/>
      <c r="CH381" s="4"/>
      <c r="CI381" s="4"/>
      <c r="CJ381" s="4"/>
      <c r="CK381" s="4"/>
      <c r="CL381" s="4"/>
      <c r="CM381" s="4"/>
      <c r="CN381" s="4"/>
      <c r="CO381" s="4"/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  <c r="DB381" s="4"/>
      <c r="DC381" s="4"/>
      <c r="DD381" s="4"/>
      <c r="DE381" s="4"/>
      <c r="DF381" s="4"/>
      <c r="DG381" s="4"/>
      <c r="DH381" s="4"/>
      <c r="DI381" s="4"/>
      <c r="DJ381" s="4"/>
      <c r="DK381" s="4"/>
      <c r="DL381" s="4"/>
      <c r="DM381" s="4"/>
      <c r="DN381" s="4"/>
      <c r="DO381" s="4"/>
      <c r="DP381" s="4"/>
      <c r="DQ381" s="4"/>
      <c r="DR381" s="4"/>
      <c r="DS381" s="4"/>
      <c r="DT381" s="4"/>
      <c r="DU381" s="4"/>
      <c r="DV381" s="4"/>
      <c r="DW381" s="4"/>
      <c r="DX381" s="4"/>
      <c r="DY381" s="4"/>
      <c r="DZ381" s="4"/>
      <c r="EA381" s="4"/>
      <c r="EB381" s="4"/>
      <c r="EC381" s="4"/>
      <c r="ED381" s="4"/>
      <c r="EE381" s="4"/>
      <c r="EF381" s="4"/>
      <c r="EG381" s="4"/>
      <c r="EH381" s="4"/>
      <c r="EI381" s="4"/>
      <c r="EJ381" s="4"/>
      <c r="EK381" s="4"/>
      <c r="EL381" s="4"/>
      <c r="EM381" s="4"/>
      <c r="EN381" s="4"/>
      <c r="EO381" s="4"/>
      <c r="EP381" s="4"/>
      <c r="EQ381" s="4"/>
      <c r="ER381" s="4"/>
      <c r="ES381" s="4"/>
      <c r="ET381" s="4"/>
      <c r="EU381" s="4"/>
      <c r="EV381" s="4"/>
      <c r="EW381" s="4"/>
      <c r="EX381" s="4"/>
      <c r="EY381" s="4"/>
      <c r="EZ381" s="4"/>
      <c r="FA381" s="4"/>
      <c r="FB381" s="4"/>
      <c r="FC381" s="4"/>
      <c r="FD381" s="4"/>
      <c r="FE381" s="4"/>
      <c r="FF381" s="4"/>
    </row>
    <row r="382" spans="1:162" x14ac:dyDescent="0.2">
      <c r="A382" s="2"/>
      <c r="B382" s="2"/>
      <c r="C382" s="2"/>
      <c r="D382" s="4"/>
      <c r="E382" s="4"/>
      <c r="F382" s="4"/>
      <c r="G382" s="4"/>
      <c r="H382" s="4"/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  <c r="AA382" s="4"/>
      <c r="AB382" s="4"/>
      <c r="AC382" s="4"/>
      <c r="AD382" s="4"/>
      <c r="AE382" s="4"/>
      <c r="AF382" s="4"/>
      <c r="AG382" s="4"/>
      <c r="AH382" s="4"/>
      <c r="AI382" s="4"/>
      <c r="AJ382" s="4"/>
      <c r="AK382" s="4"/>
      <c r="AL382" s="4"/>
      <c r="AM382" s="4"/>
      <c r="AN382" s="4"/>
      <c r="AO382" s="4"/>
      <c r="AP382" s="4"/>
      <c r="AQ382" s="4"/>
      <c r="AR382" s="4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4"/>
      <c r="BE382" s="4"/>
      <c r="BF382" s="4"/>
      <c r="BG382" s="4"/>
      <c r="BH382" s="4"/>
      <c r="BI382" s="4"/>
      <c r="BJ382" s="4"/>
      <c r="BK382" s="4"/>
      <c r="BL382" s="4"/>
      <c r="BM382" s="4"/>
      <c r="BN382" s="4"/>
      <c r="BO382" s="4"/>
      <c r="BP382" s="4"/>
      <c r="BQ382" s="4"/>
      <c r="BR382" s="4"/>
      <c r="BS382" s="4"/>
      <c r="BT382" s="4"/>
      <c r="BU382" s="4"/>
      <c r="BV382" s="4"/>
      <c r="BW382" s="4"/>
      <c r="BX382" s="4"/>
      <c r="BY382" s="4"/>
      <c r="BZ382" s="4"/>
      <c r="CA382" s="4"/>
      <c r="CB382" s="4"/>
      <c r="CC382" s="4"/>
      <c r="CD382" s="4"/>
      <c r="CE382" s="4"/>
      <c r="CF382" s="4"/>
      <c r="CG382" s="4"/>
      <c r="CH382" s="4"/>
      <c r="CI382" s="4"/>
      <c r="CJ382" s="4"/>
      <c r="CK382" s="4"/>
      <c r="CL382" s="4"/>
      <c r="CM382" s="4"/>
      <c r="CN382" s="4"/>
      <c r="CO382" s="4"/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  <c r="DB382" s="4"/>
      <c r="DC382" s="4"/>
      <c r="DD382" s="4"/>
      <c r="DE382" s="4"/>
      <c r="DF382" s="4"/>
      <c r="DG382" s="4"/>
      <c r="DH382" s="4"/>
      <c r="DI382" s="4"/>
      <c r="DJ382" s="4"/>
      <c r="DK382" s="4"/>
      <c r="DL382" s="4"/>
      <c r="DM382" s="4"/>
      <c r="DN382" s="4"/>
      <c r="DO382" s="4"/>
      <c r="DP382" s="4"/>
      <c r="DQ382" s="4"/>
      <c r="DR382" s="4"/>
      <c r="DS382" s="4"/>
      <c r="DT382" s="4"/>
      <c r="DU382" s="4"/>
      <c r="DV382" s="4"/>
      <c r="DW382" s="4"/>
      <c r="DX382" s="4"/>
      <c r="DY382" s="4"/>
      <c r="DZ382" s="4"/>
      <c r="EA382" s="4"/>
      <c r="EB382" s="4"/>
      <c r="EC382" s="4"/>
      <c r="ED382" s="4"/>
      <c r="EE382" s="4"/>
      <c r="EF382" s="4"/>
      <c r="EG382" s="4"/>
      <c r="EH382" s="4"/>
      <c r="EI382" s="4"/>
      <c r="EJ382" s="4"/>
      <c r="EK382" s="4"/>
      <c r="EL382" s="4"/>
      <c r="EM382" s="4"/>
      <c r="EN382" s="4"/>
      <c r="EO382" s="4"/>
      <c r="EP382" s="4"/>
      <c r="EQ382" s="4"/>
      <c r="ER382" s="4"/>
      <c r="ES382" s="4"/>
      <c r="ET382" s="4"/>
      <c r="EU382" s="4"/>
      <c r="EV382" s="4"/>
      <c r="EW382" s="4"/>
      <c r="EX382" s="4"/>
      <c r="EY382" s="4"/>
      <c r="EZ382" s="4"/>
      <c r="FA382" s="4"/>
      <c r="FB382" s="4"/>
      <c r="FC382" s="4"/>
      <c r="FD382" s="4"/>
      <c r="FE382" s="4"/>
      <c r="FF382" s="4"/>
    </row>
    <row r="383" spans="1:162" x14ac:dyDescent="0.2">
      <c r="A383" s="2"/>
      <c r="B383" s="2"/>
      <c r="C383" s="2"/>
      <c r="D383" s="4"/>
      <c r="E383" s="4"/>
      <c r="F383" s="4"/>
      <c r="G383" s="4"/>
      <c r="H383" s="4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  <c r="AA383" s="4"/>
      <c r="AB383" s="4"/>
      <c r="AC383" s="4"/>
      <c r="AD383" s="4"/>
      <c r="AE383" s="4"/>
      <c r="AF383" s="4"/>
      <c r="AG383" s="4"/>
      <c r="AH383" s="4"/>
      <c r="AI383" s="4"/>
      <c r="AJ383" s="4"/>
      <c r="AK383" s="4"/>
      <c r="AL383" s="4"/>
      <c r="AM383" s="4"/>
      <c r="AN383" s="4"/>
      <c r="AO383" s="4"/>
      <c r="AP383" s="4"/>
      <c r="AQ383" s="4"/>
      <c r="AR383" s="4"/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/>
      <c r="BE383" s="4"/>
      <c r="BF383" s="4"/>
      <c r="BG383" s="4"/>
      <c r="BH383" s="4"/>
      <c r="BI383" s="4"/>
      <c r="BJ383" s="4"/>
      <c r="BK383" s="4"/>
      <c r="BL383" s="4"/>
      <c r="BM383" s="4"/>
      <c r="BN383" s="4"/>
      <c r="BO383" s="4"/>
      <c r="BP383" s="4"/>
      <c r="BQ383" s="4"/>
      <c r="BR383" s="4"/>
      <c r="BS383" s="4"/>
      <c r="BT383" s="4"/>
      <c r="BU383" s="4"/>
      <c r="BV383" s="4"/>
      <c r="BW383" s="4"/>
      <c r="BX383" s="4"/>
      <c r="BY383" s="4"/>
      <c r="BZ383" s="4"/>
      <c r="CA383" s="4"/>
      <c r="CB383" s="4"/>
      <c r="CC383" s="4"/>
      <c r="CD383" s="4"/>
      <c r="CE383" s="4"/>
      <c r="CF383" s="4"/>
      <c r="CG383" s="4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/>
      <c r="CU383" s="4"/>
      <c r="CV383" s="4"/>
      <c r="CW383" s="4"/>
      <c r="CX383" s="4"/>
      <c r="CY383" s="4"/>
      <c r="CZ383" s="4"/>
      <c r="DA383" s="4"/>
      <c r="DB383" s="4"/>
      <c r="DC383" s="4"/>
      <c r="DD383" s="4"/>
      <c r="DE383" s="4"/>
      <c r="DF383" s="4"/>
      <c r="DG383" s="4"/>
      <c r="DH383" s="4"/>
      <c r="DI383" s="4"/>
      <c r="DJ383" s="4"/>
      <c r="DK383" s="4"/>
      <c r="DL383" s="4"/>
      <c r="DM383" s="4"/>
      <c r="DN383" s="4"/>
      <c r="DO383" s="4"/>
      <c r="DP383" s="4"/>
      <c r="DQ383" s="4"/>
      <c r="DR383" s="4"/>
      <c r="DS383" s="4"/>
      <c r="DT383" s="4"/>
      <c r="DU383" s="4"/>
      <c r="DV383" s="4"/>
      <c r="DW383" s="4"/>
      <c r="DX383" s="4"/>
      <c r="DY383" s="4"/>
      <c r="DZ383" s="4"/>
      <c r="EA383" s="4"/>
      <c r="EB383" s="4"/>
      <c r="EC383" s="4"/>
      <c r="ED383" s="4"/>
      <c r="EE383" s="4"/>
      <c r="EF383" s="4"/>
      <c r="EG383" s="4"/>
      <c r="EH383" s="4"/>
      <c r="EI383" s="4"/>
      <c r="EJ383" s="4"/>
      <c r="EK383" s="4"/>
      <c r="EL383" s="4"/>
      <c r="EM383" s="4"/>
      <c r="EN383" s="4"/>
      <c r="EO383" s="4"/>
      <c r="EP383" s="4"/>
      <c r="EQ383" s="4"/>
      <c r="ER383" s="4"/>
      <c r="ES383" s="4"/>
      <c r="ET383" s="4"/>
      <c r="EU383" s="4"/>
      <c r="EV383" s="4"/>
      <c r="EW383" s="4"/>
      <c r="EX383" s="4"/>
      <c r="EY383" s="4"/>
      <c r="EZ383" s="4"/>
      <c r="FA383" s="4"/>
      <c r="FB383" s="4"/>
      <c r="FC383" s="4"/>
      <c r="FD383" s="4"/>
      <c r="FE383" s="4"/>
      <c r="FF383" s="4"/>
    </row>
    <row r="384" spans="1:162" x14ac:dyDescent="0.2">
      <c r="A384" s="2"/>
      <c r="B384" s="2"/>
      <c r="C384" s="2"/>
      <c r="D384" s="4"/>
      <c r="E384" s="4"/>
      <c r="F384" s="4"/>
      <c r="G384" s="4"/>
      <c r="H384" s="4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4"/>
      <c r="AM384" s="4"/>
      <c r="AN384" s="4"/>
      <c r="AO384" s="4"/>
      <c r="AP384" s="4"/>
      <c r="AQ384" s="4"/>
      <c r="AR384" s="4"/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  <c r="BD384" s="4"/>
      <c r="BE384" s="4"/>
      <c r="BF384" s="4"/>
      <c r="BG384" s="4"/>
      <c r="BH384" s="4"/>
      <c r="BI384" s="4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4"/>
      <c r="BX384" s="4"/>
      <c r="BY384" s="4"/>
      <c r="BZ384" s="4"/>
      <c r="CA384" s="4"/>
      <c r="CB384" s="4"/>
      <c r="CC384" s="4"/>
      <c r="CD384" s="4"/>
      <c r="CE384" s="4"/>
      <c r="CF384" s="4"/>
      <c r="CG384" s="4"/>
      <c r="CH384" s="4"/>
      <c r="CI384" s="4"/>
      <c r="CJ384" s="4"/>
      <c r="CK384" s="4"/>
      <c r="CL384" s="4"/>
      <c r="CM384" s="4"/>
      <c r="CN384" s="4"/>
      <c r="CO384" s="4"/>
      <c r="CP384" s="4"/>
      <c r="CQ384" s="4"/>
      <c r="CR384" s="4"/>
      <c r="CS384" s="4"/>
      <c r="CT384" s="4"/>
      <c r="CU384" s="4"/>
      <c r="CV384" s="4"/>
      <c r="CW384" s="4"/>
      <c r="CX384" s="4"/>
      <c r="CY384" s="4"/>
      <c r="CZ384" s="4"/>
      <c r="DA384" s="4"/>
      <c r="DB384" s="4"/>
      <c r="DC384" s="4"/>
      <c r="DD384" s="4"/>
      <c r="DE384" s="4"/>
      <c r="DF384" s="4"/>
      <c r="DG384" s="4"/>
      <c r="DH384" s="4"/>
      <c r="DI384" s="4"/>
      <c r="DJ384" s="4"/>
      <c r="DK384" s="4"/>
      <c r="DL384" s="4"/>
      <c r="DM384" s="4"/>
      <c r="DN384" s="4"/>
      <c r="DO384" s="4"/>
      <c r="DP384" s="4"/>
      <c r="DQ384" s="4"/>
      <c r="DR384" s="4"/>
      <c r="DS384" s="4"/>
      <c r="DT384" s="4"/>
      <c r="DU384" s="4"/>
      <c r="DV384" s="4"/>
      <c r="DW384" s="4"/>
      <c r="DX384" s="4"/>
      <c r="DY384" s="4"/>
      <c r="DZ384" s="4"/>
      <c r="EA384" s="4"/>
      <c r="EB384" s="4"/>
      <c r="EC384" s="4"/>
      <c r="ED384" s="4"/>
      <c r="EE384" s="4"/>
      <c r="EF384" s="4"/>
      <c r="EG384" s="4"/>
      <c r="EH384" s="4"/>
      <c r="EI384" s="4"/>
      <c r="EJ384" s="4"/>
      <c r="EK384" s="4"/>
      <c r="EL384" s="4"/>
      <c r="EM384" s="4"/>
      <c r="EN384" s="4"/>
      <c r="EO384" s="4"/>
      <c r="EP384" s="4"/>
      <c r="EQ384" s="4"/>
      <c r="ER384" s="4"/>
      <c r="ES384" s="4"/>
      <c r="ET384" s="4"/>
      <c r="EU384" s="4"/>
      <c r="EV384" s="4"/>
      <c r="EW384" s="4"/>
      <c r="EX384" s="4"/>
      <c r="EY384" s="4"/>
      <c r="EZ384" s="4"/>
      <c r="FA384" s="4"/>
      <c r="FB384" s="4"/>
      <c r="FC384" s="4"/>
      <c r="FD384" s="4"/>
      <c r="FE384" s="4"/>
      <c r="FF384" s="4"/>
    </row>
    <row r="385" spans="1:162" x14ac:dyDescent="0.2">
      <c r="A385" s="2"/>
      <c r="B385" s="2"/>
      <c r="C385" s="2"/>
      <c r="D385" s="4"/>
      <c r="E385" s="4"/>
      <c r="F385" s="4"/>
      <c r="G385" s="4"/>
      <c r="H385" s="4"/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4"/>
      <c r="AJ385" s="4"/>
      <c r="AK385" s="4"/>
      <c r="AL385" s="4"/>
      <c r="AM385" s="4"/>
      <c r="AN385" s="4"/>
      <c r="AO385" s="4"/>
      <c r="AP385" s="4"/>
      <c r="AQ385" s="4"/>
      <c r="AR385" s="4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  <c r="BD385" s="4"/>
      <c r="BE385" s="4"/>
      <c r="BF385" s="4"/>
      <c r="BG385" s="4"/>
      <c r="BH385" s="4"/>
      <c r="BI385" s="4"/>
      <c r="BJ385" s="4"/>
      <c r="BK385" s="4"/>
      <c r="BL385" s="4"/>
      <c r="BM385" s="4"/>
      <c r="BN385" s="4"/>
      <c r="BO385" s="4"/>
      <c r="BP385" s="4"/>
      <c r="BQ385" s="4"/>
      <c r="BR385" s="4"/>
      <c r="BS385" s="4"/>
      <c r="BT385" s="4"/>
      <c r="BU385" s="4"/>
      <c r="BV385" s="4"/>
      <c r="BW385" s="4"/>
      <c r="BX385" s="4"/>
      <c r="BY385" s="4"/>
      <c r="BZ385" s="4"/>
      <c r="CA385" s="4"/>
      <c r="CB385" s="4"/>
      <c r="CC385" s="4"/>
      <c r="CD385" s="4"/>
      <c r="CE385" s="4"/>
      <c r="CF385" s="4"/>
      <c r="CG385" s="4"/>
      <c r="CH385" s="4"/>
      <c r="CI385" s="4"/>
      <c r="CJ385" s="4"/>
      <c r="CK385" s="4"/>
      <c r="CL385" s="4"/>
      <c r="CM385" s="4"/>
      <c r="CN385" s="4"/>
      <c r="CO385" s="4"/>
      <c r="CP385" s="4"/>
      <c r="CQ385" s="4"/>
      <c r="CR385" s="4"/>
      <c r="CS385" s="4"/>
      <c r="CT385" s="4"/>
      <c r="CU385" s="4"/>
      <c r="CV385" s="4"/>
      <c r="CW385" s="4"/>
      <c r="CX385" s="4"/>
      <c r="CY385" s="4"/>
      <c r="CZ385" s="4"/>
      <c r="DA385" s="4"/>
      <c r="DB385" s="4"/>
      <c r="DC385" s="4"/>
      <c r="DD385" s="4"/>
      <c r="DE385" s="4"/>
      <c r="DF385" s="4"/>
      <c r="DG385" s="4"/>
      <c r="DH385" s="4"/>
      <c r="DI385" s="4"/>
      <c r="DJ385" s="4"/>
      <c r="DK385" s="4"/>
      <c r="DL385" s="4"/>
      <c r="DM385" s="4"/>
      <c r="DN385" s="4"/>
      <c r="DO385" s="4"/>
      <c r="DP385" s="4"/>
      <c r="DQ385" s="4"/>
      <c r="DR385" s="4"/>
      <c r="DS385" s="4"/>
      <c r="DT385" s="4"/>
      <c r="DU385" s="4"/>
      <c r="DV385" s="4"/>
      <c r="DW385" s="4"/>
      <c r="DX385" s="4"/>
      <c r="DY385" s="4"/>
      <c r="DZ385" s="4"/>
      <c r="EA385" s="4"/>
      <c r="EB385" s="4"/>
      <c r="EC385" s="4"/>
      <c r="ED385" s="4"/>
      <c r="EE385" s="4"/>
      <c r="EF385" s="4"/>
      <c r="EG385" s="4"/>
      <c r="EH385" s="4"/>
      <c r="EI385" s="4"/>
      <c r="EJ385" s="4"/>
      <c r="EK385" s="4"/>
      <c r="EL385" s="4"/>
      <c r="EM385" s="4"/>
      <c r="EN385" s="4"/>
      <c r="EO385" s="4"/>
      <c r="EP385" s="4"/>
      <c r="EQ385" s="4"/>
      <c r="ER385" s="4"/>
      <c r="ES385" s="4"/>
      <c r="ET385" s="4"/>
      <c r="EU385" s="4"/>
      <c r="EV385" s="4"/>
      <c r="EW385" s="4"/>
      <c r="EX385" s="4"/>
      <c r="EY385" s="4"/>
      <c r="EZ385" s="4"/>
      <c r="FA385" s="4"/>
      <c r="FB385" s="4"/>
      <c r="FC385" s="4"/>
      <c r="FD385" s="4"/>
      <c r="FE385" s="4"/>
      <c r="FF385" s="4"/>
    </row>
    <row r="386" spans="1:162" x14ac:dyDescent="0.2">
      <c r="A386" s="2"/>
      <c r="B386" s="2"/>
      <c r="C386" s="2"/>
      <c r="D386" s="4"/>
      <c r="E386" s="4"/>
      <c r="F386" s="4"/>
      <c r="G386" s="4"/>
      <c r="H386" s="4"/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4"/>
      <c r="AM386" s="4"/>
      <c r="AN386" s="4"/>
      <c r="AO386" s="4"/>
      <c r="AP386" s="4"/>
      <c r="AQ386" s="4"/>
      <c r="AR386" s="4"/>
      <c r="AS386" s="4"/>
      <c r="AT386" s="4"/>
      <c r="AU386" s="4"/>
      <c r="AV386" s="4"/>
      <c r="AW386" s="4"/>
      <c r="AX386" s="4"/>
      <c r="AY386" s="4"/>
      <c r="AZ386" s="4"/>
      <c r="BA386" s="4"/>
      <c r="BB386" s="4"/>
      <c r="BC386" s="4"/>
      <c r="BD386" s="4"/>
      <c r="BE386" s="4"/>
      <c r="BF386" s="4"/>
      <c r="BG386" s="4"/>
      <c r="BH386" s="4"/>
      <c r="BI386" s="4"/>
      <c r="BJ386" s="4"/>
      <c r="BK386" s="4"/>
      <c r="BL386" s="4"/>
      <c r="BM386" s="4"/>
      <c r="BN386" s="4"/>
      <c r="BO386" s="4"/>
      <c r="BP386" s="4"/>
      <c r="BQ386" s="4"/>
      <c r="BR386" s="4"/>
      <c r="BS386" s="4"/>
      <c r="BT386" s="4"/>
      <c r="BU386" s="4"/>
      <c r="BV386" s="4"/>
      <c r="BW386" s="4"/>
      <c r="BX386" s="4"/>
      <c r="BY386" s="4"/>
      <c r="BZ386" s="4"/>
      <c r="CA386" s="4"/>
      <c r="CB386" s="4"/>
      <c r="CC386" s="4"/>
      <c r="CD386" s="4"/>
      <c r="CE386" s="4"/>
      <c r="CF386" s="4"/>
      <c r="CG386" s="4"/>
      <c r="CH386" s="4"/>
      <c r="CI386" s="4"/>
      <c r="CJ386" s="4"/>
      <c r="CK386" s="4"/>
      <c r="CL386" s="4"/>
      <c r="CM386" s="4"/>
      <c r="CN386" s="4"/>
      <c r="CO386" s="4"/>
      <c r="CP386" s="4"/>
      <c r="CQ386" s="4"/>
      <c r="CR386" s="4"/>
      <c r="CS386" s="4"/>
      <c r="CT386" s="4"/>
      <c r="CU386" s="4"/>
      <c r="CV386" s="4"/>
      <c r="CW386" s="4"/>
      <c r="CX386" s="4"/>
      <c r="CY386" s="4"/>
      <c r="CZ386" s="4"/>
      <c r="DA386" s="4"/>
      <c r="DB386" s="4"/>
      <c r="DC386" s="4"/>
      <c r="DD386" s="4"/>
      <c r="DE386" s="4"/>
      <c r="DF386" s="4"/>
      <c r="DG386" s="4"/>
      <c r="DH386" s="4"/>
      <c r="DI386" s="4"/>
      <c r="DJ386" s="4"/>
      <c r="DK386" s="4"/>
      <c r="DL386" s="4"/>
      <c r="DM386" s="4"/>
      <c r="DN386" s="4"/>
      <c r="DO386" s="4"/>
      <c r="DP386" s="4"/>
      <c r="DQ386" s="4"/>
      <c r="DR386" s="4"/>
      <c r="DS386" s="4"/>
      <c r="DT386" s="4"/>
      <c r="DU386" s="4"/>
      <c r="DV386" s="4"/>
      <c r="DW386" s="4"/>
      <c r="DX386" s="4"/>
      <c r="DY386" s="4"/>
      <c r="DZ386" s="4"/>
      <c r="EA386" s="4"/>
      <c r="EB386" s="4"/>
      <c r="EC386" s="4"/>
      <c r="ED386" s="4"/>
      <c r="EE386" s="4"/>
      <c r="EF386" s="4"/>
      <c r="EG386" s="4"/>
      <c r="EH386" s="4"/>
      <c r="EI386" s="4"/>
      <c r="EJ386" s="4"/>
      <c r="EK386" s="4"/>
      <c r="EL386" s="4"/>
      <c r="EM386" s="4"/>
      <c r="EN386" s="4"/>
      <c r="EO386" s="4"/>
      <c r="EP386" s="4"/>
      <c r="EQ386" s="4"/>
      <c r="ER386" s="4"/>
      <c r="ES386" s="4"/>
      <c r="ET386" s="4"/>
      <c r="EU386" s="4"/>
      <c r="EV386" s="4"/>
      <c r="EW386" s="4"/>
      <c r="EX386" s="4"/>
      <c r="EY386" s="4"/>
      <c r="EZ386" s="4"/>
      <c r="FA386" s="4"/>
      <c r="FB386" s="4"/>
      <c r="FC386" s="4"/>
      <c r="FD386" s="4"/>
      <c r="FE386" s="4"/>
      <c r="FF386" s="4"/>
    </row>
    <row r="387" spans="1:162" x14ac:dyDescent="0.2">
      <c r="A387" s="2"/>
      <c r="B387" s="2"/>
      <c r="C387" s="2"/>
      <c r="D387" s="4"/>
      <c r="E387" s="4"/>
      <c r="F387" s="4"/>
      <c r="G387" s="4"/>
      <c r="H387" s="4"/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  <c r="AA387" s="4"/>
      <c r="AB387" s="4"/>
      <c r="AC387" s="4"/>
      <c r="AD387" s="4"/>
      <c r="AE387" s="4"/>
      <c r="AF387" s="4"/>
      <c r="AG387" s="4"/>
      <c r="AH387" s="4"/>
      <c r="AI387" s="4"/>
      <c r="AJ387" s="4"/>
      <c r="AK387" s="4"/>
      <c r="AL387" s="4"/>
      <c r="AM387" s="4"/>
      <c r="AN387" s="4"/>
      <c r="AO387" s="4"/>
      <c r="AP387" s="4"/>
      <c r="AQ387" s="4"/>
      <c r="AR387" s="4"/>
      <c r="AS387" s="4"/>
      <c r="AT387" s="4"/>
      <c r="AU387" s="4"/>
      <c r="AV387" s="4"/>
      <c r="AW387" s="4"/>
      <c r="AX387" s="4"/>
      <c r="AY387" s="4"/>
      <c r="AZ387" s="4"/>
      <c r="BA387" s="4"/>
      <c r="BB387" s="4"/>
      <c r="BC387" s="4"/>
      <c r="BD387" s="4"/>
      <c r="BE387" s="4"/>
      <c r="BF387" s="4"/>
      <c r="BG387" s="4"/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4"/>
      <c r="BX387" s="4"/>
      <c r="BY387" s="4"/>
      <c r="BZ387" s="4"/>
      <c r="CA387" s="4"/>
      <c r="CB387" s="4"/>
      <c r="CC387" s="4"/>
      <c r="CD387" s="4"/>
      <c r="CE387" s="4"/>
      <c r="CF387" s="4"/>
      <c r="CG387" s="4"/>
      <c r="CH387" s="4"/>
      <c r="CI387" s="4"/>
      <c r="CJ387" s="4"/>
      <c r="CK387" s="4"/>
      <c r="CL387" s="4"/>
      <c r="CM387" s="4"/>
      <c r="CN387" s="4"/>
      <c r="CO387" s="4"/>
      <c r="CP387" s="4"/>
      <c r="CQ387" s="4"/>
      <c r="CR387" s="4"/>
      <c r="CS387" s="4"/>
      <c r="CT387" s="4"/>
      <c r="CU387" s="4"/>
      <c r="CV387" s="4"/>
      <c r="CW387" s="4"/>
      <c r="CX387" s="4"/>
      <c r="CY387" s="4"/>
      <c r="CZ387" s="4"/>
      <c r="DA387" s="4"/>
      <c r="DB387" s="4"/>
      <c r="DC387" s="4"/>
      <c r="DD387" s="4"/>
      <c r="DE387" s="4"/>
      <c r="DF387" s="4"/>
      <c r="DG387" s="4"/>
      <c r="DH387" s="4"/>
      <c r="DI387" s="4"/>
      <c r="DJ387" s="4"/>
      <c r="DK387" s="4"/>
      <c r="DL387" s="4"/>
      <c r="DM387" s="4"/>
      <c r="DN387" s="4"/>
      <c r="DO387" s="4"/>
      <c r="DP387" s="4"/>
      <c r="DQ387" s="4"/>
      <c r="DR387" s="4"/>
      <c r="DS387" s="4"/>
      <c r="DT387" s="4"/>
      <c r="DU387" s="4"/>
      <c r="DV387" s="4"/>
      <c r="DW387" s="4"/>
      <c r="DX387" s="4"/>
      <c r="DY387" s="4"/>
      <c r="DZ387" s="4"/>
      <c r="EA387" s="4"/>
      <c r="EB387" s="4"/>
      <c r="EC387" s="4"/>
      <c r="ED387" s="4"/>
      <c r="EE387" s="4"/>
      <c r="EF387" s="4"/>
      <c r="EG387" s="4"/>
      <c r="EH387" s="4"/>
      <c r="EI387" s="4"/>
      <c r="EJ387" s="4"/>
      <c r="EK387" s="4"/>
      <c r="EL387" s="4"/>
      <c r="EM387" s="4"/>
      <c r="EN387" s="4"/>
      <c r="EO387" s="4"/>
      <c r="EP387" s="4"/>
      <c r="EQ387" s="4"/>
      <c r="ER387" s="4"/>
      <c r="ES387" s="4"/>
      <c r="ET387" s="4"/>
      <c r="EU387" s="4"/>
      <c r="EV387" s="4"/>
      <c r="EW387" s="4"/>
      <c r="EX387" s="4"/>
      <c r="EY387" s="4"/>
      <c r="EZ387" s="4"/>
      <c r="FA387" s="4"/>
      <c r="FB387" s="4"/>
      <c r="FC387" s="4"/>
      <c r="FD387" s="4"/>
      <c r="FE387" s="4"/>
      <c r="FF387" s="4"/>
    </row>
    <row r="388" spans="1:162" x14ac:dyDescent="0.2">
      <c r="A388" s="2"/>
      <c r="B388" s="2"/>
      <c r="C388" s="2"/>
      <c r="D388" s="4"/>
      <c r="E388" s="4"/>
      <c r="F388" s="4"/>
      <c r="G388" s="4"/>
      <c r="H388" s="4"/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  <c r="AA388" s="4"/>
      <c r="AB388" s="4"/>
      <c r="AC388" s="4"/>
      <c r="AD388" s="4"/>
      <c r="AE388" s="4"/>
      <c r="AF388" s="4"/>
      <c r="AG388" s="4"/>
      <c r="AH388" s="4"/>
      <c r="AI388" s="4"/>
      <c r="AJ388" s="4"/>
      <c r="AK388" s="4"/>
      <c r="AL388" s="4"/>
      <c r="AM388" s="4"/>
      <c r="AN388" s="4"/>
      <c r="AO388" s="4"/>
      <c r="AP388" s="4"/>
      <c r="AQ388" s="4"/>
      <c r="AR388" s="4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  <c r="BD388" s="4"/>
      <c r="BE388" s="4"/>
      <c r="BF388" s="4"/>
      <c r="BG388" s="4"/>
      <c r="BH388" s="4"/>
      <c r="BI388" s="4"/>
      <c r="BJ388" s="4"/>
      <c r="BK388" s="4"/>
      <c r="BL388" s="4"/>
      <c r="BM388" s="4"/>
      <c r="BN388" s="4"/>
      <c r="BO388" s="4"/>
      <c r="BP388" s="4"/>
      <c r="BQ388" s="4"/>
      <c r="BR388" s="4"/>
      <c r="BS388" s="4"/>
      <c r="BT388" s="4"/>
      <c r="BU388" s="4"/>
      <c r="BV388" s="4"/>
      <c r="BW388" s="4"/>
      <c r="BX388" s="4"/>
      <c r="BY388" s="4"/>
      <c r="BZ388" s="4"/>
      <c r="CA388" s="4"/>
      <c r="CB388" s="4"/>
      <c r="CC388" s="4"/>
      <c r="CD388" s="4"/>
      <c r="CE388" s="4"/>
      <c r="CF388" s="4"/>
      <c r="CG388" s="4"/>
      <c r="CH388" s="4"/>
      <c r="CI388" s="4"/>
      <c r="CJ388" s="4"/>
      <c r="CK388" s="4"/>
      <c r="CL388" s="4"/>
      <c r="CM388" s="4"/>
      <c r="CN388" s="4"/>
      <c r="CO388" s="4"/>
      <c r="CP388" s="4"/>
      <c r="CQ388" s="4"/>
      <c r="CR388" s="4"/>
      <c r="CS388" s="4"/>
      <c r="CT388" s="4"/>
      <c r="CU388" s="4"/>
      <c r="CV388" s="4"/>
      <c r="CW388" s="4"/>
      <c r="CX388" s="4"/>
      <c r="CY388" s="4"/>
      <c r="CZ388" s="4"/>
      <c r="DA388" s="4"/>
      <c r="DB388" s="4"/>
      <c r="DC388" s="4"/>
      <c r="DD388" s="4"/>
      <c r="DE388" s="4"/>
      <c r="DF388" s="4"/>
      <c r="DG388" s="4"/>
      <c r="DH388" s="4"/>
      <c r="DI388" s="4"/>
      <c r="DJ388" s="4"/>
      <c r="DK388" s="4"/>
      <c r="DL388" s="4"/>
      <c r="DM388" s="4"/>
      <c r="DN388" s="4"/>
      <c r="DO388" s="4"/>
      <c r="DP388" s="4"/>
      <c r="DQ388" s="4"/>
      <c r="DR388" s="4"/>
      <c r="DS388" s="4"/>
      <c r="DT388" s="4"/>
      <c r="DU388" s="4"/>
      <c r="DV388" s="4"/>
      <c r="DW388" s="4"/>
      <c r="DX388" s="4"/>
      <c r="DY388" s="4"/>
      <c r="DZ388" s="4"/>
      <c r="EA388" s="4"/>
      <c r="EB388" s="4"/>
      <c r="EC388" s="4"/>
      <c r="ED388" s="4"/>
      <c r="EE388" s="4"/>
      <c r="EF388" s="4"/>
      <c r="EG388" s="4"/>
      <c r="EH388" s="4"/>
      <c r="EI388" s="4"/>
      <c r="EJ388" s="4"/>
      <c r="EK388" s="4"/>
      <c r="EL388" s="4"/>
      <c r="EM388" s="4"/>
      <c r="EN388" s="4"/>
      <c r="EO388" s="4"/>
      <c r="EP388" s="4"/>
      <c r="EQ388" s="4"/>
      <c r="ER388" s="4"/>
      <c r="ES388" s="4"/>
      <c r="ET388" s="4"/>
      <c r="EU388" s="4"/>
      <c r="EV388" s="4"/>
      <c r="EW388" s="4"/>
      <c r="EX388" s="4"/>
      <c r="EY388" s="4"/>
      <c r="EZ388" s="4"/>
      <c r="FA388" s="4"/>
      <c r="FB388" s="4"/>
      <c r="FC388" s="4"/>
      <c r="FD388" s="4"/>
      <c r="FE388" s="4"/>
      <c r="FF388" s="4"/>
    </row>
    <row r="389" spans="1:162" x14ac:dyDescent="0.2">
      <c r="A389" s="2"/>
      <c r="B389" s="2"/>
      <c r="C389" s="2"/>
      <c r="D389" s="4"/>
      <c r="E389" s="4"/>
      <c r="F389" s="4"/>
      <c r="G389" s="4"/>
      <c r="H389" s="4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  <c r="AA389" s="4"/>
      <c r="AB389" s="4"/>
      <c r="AC389" s="4"/>
      <c r="AD389" s="4"/>
      <c r="AE389" s="4"/>
      <c r="AF389" s="4"/>
      <c r="AG389" s="4"/>
      <c r="AH389" s="4"/>
      <c r="AI389" s="4"/>
      <c r="AJ389" s="4"/>
      <c r="AK389" s="4"/>
      <c r="AL389" s="4"/>
      <c r="AM389" s="4"/>
      <c r="AN389" s="4"/>
      <c r="AO389" s="4"/>
      <c r="AP389" s="4"/>
      <c r="AQ389" s="4"/>
      <c r="AR389" s="4"/>
      <c r="AS389" s="4"/>
      <c r="AT389" s="4"/>
      <c r="AU389" s="4"/>
      <c r="AV389" s="4"/>
      <c r="AW389" s="4"/>
      <c r="AX389" s="4"/>
      <c r="AY389" s="4"/>
      <c r="AZ389" s="4"/>
      <c r="BA389" s="4"/>
      <c r="BB389" s="4"/>
      <c r="BC389" s="4"/>
      <c r="BD389" s="4"/>
      <c r="BE389" s="4"/>
      <c r="BF389" s="4"/>
      <c r="BG389" s="4"/>
      <c r="BH389" s="4"/>
      <c r="BI389" s="4"/>
      <c r="BJ389" s="4"/>
      <c r="BK389" s="4"/>
      <c r="BL389" s="4"/>
      <c r="BM389" s="4"/>
      <c r="BN389" s="4"/>
      <c r="BO389" s="4"/>
      <c r="BP389" s="4"/>
      <c r="BQ389" s="4"/>
      <c r="BR389" s="4"/>
      <c r="BS389" s="4"/>
      <c r="BT389" s="4"/>
      <c r="BU389" s="4"/>
      <c r="BV389" s="4"/>
      <c r="BW389" s="4"/>
      <c r="BX389" s="4"/>
      <c r="BY389" s="4"/>
      <c r="BZ389" s="4"/>
      <c r="CA389" s="4"/>
      <c r="CB389" s="4"/>
      <c r="CC389" s="4"/>
      <c r="CD389" s="4"/>
      <c r="CE389" s="4"/>
      <c r="CF389" s="4"/>
      <c r="CG389" s="4"/>
      <c r="CH389" s="4"/>
      <c r="CI389" s="4"/>
      <c r="CJ389" s="4"/>
      <c r="CK389" s="4"/>
      <c r="CL389" s="4"/>
      <c r="CM389" s="4"/>
      <c r="CN389" s="4"/>
      <c r="CO389" s="4"/>
      <c r="CP389" s="4"/>
      <c r="CQ389" s="4"/>
      <c r="CR389" s="4"/>
      <c r="CS389" s="4"/>
      <c r="CT389" s="4"/>
      <c r="CU389" s="4"/>
      <c r="CV389" s="4"/>
      <c r="CW389" s="4"/>
      <c r="CX389" s="4"/>
      <c r="CY389" s="4"/>
      <c r="CZ389" s="4"/>
      <c r="DA389" s="4"/>
      <c r="DB389" s="4"/>
      <c r="DC389" s="4"/>
      <c r="DD389" s="4"/>
      <c r="DE389" s="4"/>
      <c r="DF389" s="4"/>
      <c r="DG389" s="4"/>
      <c r="DH389" s="4"/>
      <c r="DI389" s="4"/>
      <c r="DJ389" s="4"/>
      <c r="DK389" s="4"/>
      <c r="DL389" s="4"/>
      <c r="DM389" s="4"/>
      <c r="DN389" s="4"/>
      <c r="DO389" s="4"/>
      <c r="DP389" s="4"/>
      <c r="DQ389" s="4"/>
      <c r="DR389" s="4"/>
      <c r="DS389" s="4"/>
      <c r="DT389" s="4"/>
      <c r="DU389" s="4"/>
      <c r="DV389" s="4"/>
      <c r="DW389" s="4"/>
      <c r="DX389" s="4"/>
      <c r="DY389" s="4"/>
      <c r="DZ389" s="4"/>
      <c r="EA389" s="4"/>
      <c r="EB389" s="4"/>
      <c r="EC389" s="4"/>
      <c r="ED389" s="4"/>
      <c r="EE389" s="4"/>
      <c r="EF389" s="4"/>
      <c r="EG389" s="4"/>
      <c r="EH389" s="4"/>
      <c r="EI389" s="4"/>
      <c r="EJ389" s="4"/>
      <c r="EK389" s="4"/>
      <c r="EL389" s="4"/>
      <c r="EM389" s="4"/>
      <c r="EN389" s="4"/>
      <c r="EO389" s="4"/>
      <c r="EP389" s="4"/>
      <c r="EQ389" s="4"/>
      <c r="ER389" s="4"/>
      <c r="ES389" s="4"/>
      <c r="ET389" s="4"/>
      <c r="EU389" s="4"/>
      <c r="EV389" s="4"/>
      <c r="EW389" s="4"/>
      <c r="EX389" s="4"/>
      <c r="EY389" s="4"/>
      <c r="EZ389" s="4"/>
      <c r="FA389" s="4"/>
      <c r="FB389" s="4"/>
      <c r="FC389" s="4"/>
      <c r="FD389" s="4"/>
      <c r="FE389" s="4"/>
      <c r="FF389" s="4"/>
    </row>
    <row r="390" spans="1:162" x14ac:dyDescent="0.2">
      <c r="A390" s="2"/>
      <c r="B390" s="2"/>
      <c r="C390" s="2"/>
      <c r="D390" s="4"/>
      <c r="E390" s="4"/>
      <c r="F390" s="4"/>
      <c r="G390" s="4"/>
      <c r="H390" s="4"/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  <c r="AA390" s="4"/>
      <c r="AB390" s="4"/>
      <c r="AC390" s="4"/>
      <c r="AD390" s="4"/>
      <c r="AE390" s="4"/>
      <c r="AF390" s="4"/>
      <c r="AG390" s="4"/>
      <c r="AH390" s="4"/>
      <c r="AI390" s="4"/>
      <c r="AJ390" s="4"/>
      <c r="AK390" s="4"/>
      <c r="AL390" s="4"/>
      <c r="AM390" s="4"/>
      <c r="AN390" s="4"/>
      <c r="AO390" s="4"/>
      <c r="AP390" s="4"/>
      <c r="AQ390" s="4"/>
      <c r="AR390" s="4"/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/>
      <c r="BE390" s="4"/>
      <c r="BF390" s="4"/>
      <c r="BG390" s="4"/>
      <c r="BH390" s="4"/>
      <c r="BI390" s="4"/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4"/>
      <c r="BX390" s="4"/>
      <c r="BY390" s="4"/>
      <c r="BZ390" s="4"/>
      <c r="CA390" s="4"/>
      <c r="CB390" s="4"/>
      <c r="CC390" s="4"/>
      <c r="CD390" s="4"/>
      <c r="CE390" s="4"/>
      <c r="CF390" s="4"/>
      <c r="CG390" s="4"/>
      <c r="CH390" s="4"/>
      <c r="CI390" s="4"/>
      <c r="CJ390" s="4"/>
      <c r="CK390" s="4"/>
      <c r="CL390" s="4"/>
      <c r="CM390" s="4"/>
      <c r="CN390" s="4"/>
      <c r="CO390" s="4"/>
      <c r="CP390" s="4"/>
      <c r="CQ390" s="4"/>
      <c r="CR390" s="4"/>
      <c r="CS390" s="4"/>
      <c r="CT390" s="4"/>
      <c r="CU390" s="4"/>
      <c r="CV390" s="4"/>
      <c r="CW390" s="4"/>
      <c r="CX390" s="4"/>
      <c r="CY390" s="4"/>
      <c r="CZ390" s="4"/>
      <c r="DA390" s="4"/>
      <c r="DB390" s="4"/>
      <c r="DC390" s="4"/>
      <c r="DD390" s="4"/>
      <c r="DE390" s="4"/>
      <c r="DF390" s="4"/>
      <c r="DG390" s="4"/>
      <c r="DH390" s="4"/>
      <c r="DI390" s="4"/>
      <c r="DJ390" s="4"/>
      <c r="DK390" s="4"/>
      <c r="DL390" s="4"/>
      <c r="DM390" s="4"/>
      <c r="DN390" s="4"/>
      <c r="DO390" s="4"/>
      <c r="DP390" s="4"/>
      <c r="DQ390" s="4"/>
      <c r="DR390" s="4"/>
      <c r="DS390" s="4"/>
      <c r="DT390" s="4"/>
      <c r="DU390" s="4"/>
      <c r="DV390" s="4"/>
      <c r="DW390" s="4"/>
      <c r="DX390" s="4"/>
      <c r="DY390" s="4"/>
      <c r="DZ390" s="4"/>
      <c r="EA390" s="4"/>
      <c r="EB390" s="4"/>
      <c r="EC390" s="4"/>
      <c r="ED390" s="4"/>
      <c r="EE390" s="4"/>
      <c r="EF390" s="4"/>
      <c r="EG390" s="4"/>
      <c r="EH390" s="4"/>
      <c r="EI390" s="4"/>
      <c r="EJ390" s="4"/>
      <c r="EK390" s="4"/>
      <c r="EL390" s="4"/>
      <c r="EM390" s="4"/>
      <c r="EN390" s="4"/>
      <c r="EO390" s="4"/>
      <c r="EP390" s="4"/>
      <c r="EQ390" s="4"/>
      <c r="ER390" s="4"/>
      <c r="ES390" s="4"/>
      <c r="ET390" s="4"/>
      <c r="EU390" s="4"/>
      <c r="EV390" s="4"/>
      <c r="EW390" s="4"/>
      <c r="EX390" s="4"/>
      <c r="EY390" s="4"/>
      <c r="EZ390" s="4"/>
      <c r="FA390" s="4"/>
      <c r="FB390" s="4"/>
      <c r="FC390" s="4"/>
      <c r="FD390" s="4"/>
      <c r="FE390" s="4"/>
      <c r="FF390" s="4"/>
    </row>
    <row r="391" spans="1:162" x14ac:dyDescent="0.2">
      <c r="A391" s="2"/>
      <c r="B391" s="2"/>
      <c r="C391" s="2"/>
      <c r="D391" s="4"/>
      <c r="E391" s="4"/>
      <c r="F391" s="4"/>
      <c r="G391" s="4"/>
      <c r="H391" s="4"/>
      <c r="I391" s="4"/>
      <c r="J391" s="4"/>
      <c r="K391" s="4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  <c r="AA391" s="4"/>
      <c r="AB391" s="4"/>
      <c r="AC391" s="4"/>
      <c r="AD391" s="4"/>
      <c r="AE391" s="4"/>
      <c r="AF391" s="4"/>
      <c r="AG391" s="4"/>
      <c r="AH391" s="4"/>
      <c r="AI391" s="4"/>
      <c r="AJ391" s="4"/>
      <c r="AK391" s="4"/>
      <c r="AL391" s="4"/>
      <c r="AM391" s="4"/>
      <c r="AN391" s="4"/>
      <c r="AO391" s="4"/>
      <c r="AP391" s="4"/>
      <c r="AQ391" s="4"/>
      <c r="AR391" s="4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/>
      <c r="BE391" s="4"/>
      <c r="BF391" s="4"/>
      <c r="BG391" s="4"/>
      <c r="BH391" s="4"/>
      <c r="BI391" s="4"/>
      <c r="BJ391" s="4"/>
      <c r="BK391" s="4"/>
      <c r="BL391" s="4"/>
      <c r="BM391" s="4"/>
      <c r="BN391" s="4"/>
      <c r="BO391" s="4"/>
      <c r="BP391" s="4"/>
      <c r="BQ391" s="4"/>
      <c r="BR391" s="4"/>
      <c r="BS391" s="4"/>
      <c r="BT391" s="4"/>
      <c r="BU391" s="4"/>
      <c r="BV391" s="4"/>
      <c r="BW391" s="4"/>
      <c r="BX391" s="4"/>
      <c r="BY391" s="4"/>
      <c r="BZ391" s="4"/>
      <c r="CA391" s="4"/>
      <c r="CB391" s="4"/>
      <c r="CC391" s="4"/>
      <c r="CD391" s="4"/>
      <c r="CE391" s="4"/>
      <c r="CF391" s="4"/>
      <c r="CG391" s="4"/>
      <c r="CH391" s="4"/>
      <c r="CI391" s="4"/>
      <c r="CJ391" s="4"/>
      <c r="CK391" s="4"/>
      <c r="CL391" s="4"/>
      <c r="CM391" s="4"/>
      <c r="CN391" s="4"/>
      <c r="CO391" s="4"/>
      <c r="CP391" s="4"/>
      <c r="CQ391" s="4"/>
      <c r="CR391" s="4"/>
      <c r="CS391" s="4"/>
      <c r="CT391" s="4"/>
      <c r="CU391" s="4"/>
      <c r="CV391" s="4"/>
      <c r="CW391" s="4"/>
      <c r="CX391" s="4"/>
      <c r="CY391" s="4"/>
      <c r="CZ391" s="4"/>
      <c r="DA391" s="4"/>
      <c r="DB391" s="4"/>
      <c r="DC391" s="4"/>
      <c r="DD391" s="4"/>
      <c r="DE391" s="4"/>
      <c r="DF391" s="4"/>
      <c r="DG391" s="4"/>
      <c r="DH391" s="4"/>
      <c r="DI391" s="4"/>
      <c r="DJ391" s="4"/>
      <c r="DK391" s="4"/>
      <c r="DL391" s="4"/>
      <c r="DM391" s="4"/>
      <c r="DN391" s="4"/>
      <c r="DO391" s="4"/>
      <c r="DP391" s="4"/>
      <c r="DQ391" s="4"/>
      <c r="DR391" s="4"/>
      <c r="DS391" s="4"/>
      <c r="DT391" s="4"/>
      <c r="DU391" s="4"/>
      <c r="DV391" s="4"/>
      <c r="DW391" s="4"/>
      <c r="DX391" s="4"/>
      <c r="DY391" s="4"/>
      <c r="DZ391" s="4"/>
      <c r="EA391" s="4"/>
      <c r="EB391" s="4"/>
      <c r="EC391" s="4"/>
      <c r="ED391" s="4"/>
      <c r="EE391" s="4"/>
      <c r="EF391" s="4"/>
      <c r="EG391" s="4"/>
      <c r="EH391" s="4"/>
      <c r="EI391" s="4"/>
      <c r="EJ391" s="4"/>
      <c r="EK391" s="4"/>
      <c r="EL391" s="4"/>
      <c r="EM391" s="4"/>
      <c r="EN391" s="4"/>
      <c r="EO391" s="4"/>
      <c r="EP391" s="4"/>
      <c r="EQ391" s="4"/>
      <c r="ER391" s="4"/>
      <c r="ES391" s="4"/>
      <c r="ET391" s="4"/>
      <c r="EU391" s="4"/>
      <c r="EV391" s="4"/>
      <c r="EW391" s="4"/>
      <c r="EX391" s="4"/>
      <c r="EY391" s="4"/>
      <c r="EZ391" s="4"/>
      <c r="FA391" s="4"/>
      <c r="FB391" s="4"/>
      <c r="FC391" s="4"/>
      <c r="FD391" s="4"/>
      <c r="FE391" s="4"/>
      <c r="FF391" s="4"/>
    </row>
    <row r="392" spans="1:162" x14ac:dyDescent="0.2">
      <c r="A392" s="2"/>
      <c r="B392" s="2"/>
      <c r="C392" s="2"/>
      <c r="D392" s="4"/>
      <c r="E392" s="4"/>
      <c r="F392" s="4"/>
      <c r="G392" s="4"/>
      <c r="H392" s="4"/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  <c r="AA392" s="4"/>
      <c r="AB392" s="4"/>
      <c r="AC392" s="4"/>
      <c r="AD392" s="4"/>
      <c r="AE392" s="4"/>
      <c r="AF392" s="4"/>
      <c r="AG392" s="4"/>
      <c r="AH392" s="4"/>
      <c r="AI392" s="4"/>
      <c r="AJ392" s="4"/>
      <c r="AK392" s="4"/>
      <c r="AL392" s="4"/>
      <c r="AM392" s="4"/>
      <c r="AN392" s="4"/>
      <c r="AO392" s="4"/>
      <c r="AP392" s="4"/>
      <c r="AQ392" s="4"/>
      <c r="AR392" s="4"/>
      <c r="AS392" s="4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/>
      <c r="BE392" s="4"/>
      <c r="BF392" s="4"/>
      <c r="BG392" s="4"/>
      <c r="BH392" s="4"/>
      <c r="BI392" s="4"/>
      <c r="BJ392" s="4"/>
      <c r="BK392" s="4"/>
      <c r="BL392" s="4"/>
      <c r="BM392" s="4"/>
      <c r="BN392" s="4"/>
      <c r="BO392" s="4"/>
      <c r="BP392" s="4"/>
      <c r="BQ392" s="4"/>
      <c r="BR392" s="4"/>
      <c r="BS392" s="4"/>
      <c r="BT392" s="4"/>
      <c r="BU392" s="4"/>
      <c r="BV392" s="4"/>
      <c r="BW392" s="4"/>
      <c r="BX392" s="4"/>
      <c r="BY392" s="4"/>
      <c r="BZ392" s="4"/>
      <c r="CA392" s="4"/>
      <c r="CB392" s="4"/>
      <c r="CC392" s="4"/>
      <c r="CD392" s="4"/>
      <c r="CE392" s="4"/>
      <c r="CF392" s="4"/>
      <c r="CG392" s="4"/>
      <c r="CH392" s="4"/>
      <c r="CI392" s="4"/>
      <c r="CJ392" s="4"/>
      <c r="CK392" s="4"/>
      <c r="CL392" s="4"/>
      <c r="CM392" s="4"/>
      <c r="CN392" s="4"/>
      <c r="CO392" s="4"/>
      <c r="CP392" s="4"/>
      <c r="CQ392" s="4"/>
      <c r="CR392" s="4"/>
      <c r="CS392" s="4"/>
      <c r="CT392" s="4"/>
      <c r="CU392" s="4"/>
      <c r="CV392" s="4"/>
      <c r="CW392" s="4"/>
      <c r="CX392" s="4"/>
      <c r="CY392" s="4"/>
      <c r="CZ392" s="4"/>
      <c r="DA392" s="4"/>
      <c r="DB392" s="4"/>
      <c r="DC392" s="4"/>
      <c r="DD392" s="4"/>
      <c r="DE392" s="4"/>
      <c r="DF392" s="4"/>
      <c r="DG392" s="4"/>
      <c r="DH392" s="4"/>
      <c r="DI392" s="4"/>
      <c r="DJ392" s="4"/>
      <c r="DK392" s="4"/>
      <c r="DL392" s="4"/>
      <c r="DM392" s="4"/>
      <c r="DN392" s="4"/>
      <c r="DO392" s="4"/>
      <c r="DP392" s="4"/>
      <c r="DQ392" s="4"/>
      <c r="DR392" s="4"/>
      <c r="DS392" s="4"/>
      <c r="DT392" s="4"/>
      <c r="DU392" s="4"/>
      <c r="DV392" s="4"/>
      <c r="DW392" s="4"/>
      <c r="DX392" s="4"/>
      <c r="DY392" s="4"/>
      <c r="DZ392" s="4"/>
      <c r="EA392" s="4"/>
      <c r="EB392" s="4"/>
      <c r="EC392" s="4"/>
      <c r="ED392" s="4"/>
      <c r="EE392" s="4"/>
      <c r="EF392" s="4"/>
      <c r="EG392" s="4"/>
      <c r="EH392" s="4"/>
      <c r="EI392" s="4"/>
      <c r="EJ392" s="4"/>
      <c r="EK392" s="4"/>
      <c r="EL392" s="4"/>
      <c r="EM392" s="4"/>
      <c r="EN392" s="4"/>
      <c r="EO392" s="4"/>
      <c r="EP392" s="4"/>
      <c r="EQ392" s="4"/>
      <c r="ER392" s="4"/>
      <c r="ES392" s="4"/>
      <c r="ET392" s="4"/>
      <c r="EU392" s="4"/>
      <c r="EV392" s="4"/>
      <c r="EW392" s="4"/>
      <c r="EX392" s="4"/>
      <c r="EY392" s="4"/>
      <c r="EZ392" s="4"/>
      <c r="FA392" s="4"/>
      <c r="FB392" s="4"/>
      <c r="FC392" s="4"/>
      <c r="FD392" s="4"/>
      <c r="FE392" s="4"/>
      <c r="FF392" s="4"/>
    </row>
    <row r="393" spans="1:162" x14ac:dyDescent="0.2">
      <c r="A393" s="2"/>
      <c r="B393" s="2"/>
      <c r="C393" s="2"/>
      <c r="D393" s="4"/>
      <c r="E393" s="4"/>
      <c r="F393" s="4"/>
      <c r="G393" s="4"/>
      <c r="H393" s="4"/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  <c r="AA393" s="4"/>
      <c r="AB393" s="4"/>
      <c r="AC393" s="4"/>
      <c r="AD393" s="4"/>
      <c r="AE393" s="4"/>
      <c r="AF393" s="4"/>
      <c r="AG393" s="4"/>
      <c r="AH393" s="4"/>
      <c r="AI393" s="4"/>
      <c r="AJ393" s="4"/>
      <c r="AK393" s="4"/>
      <c r="AL393" s="4"/>
      <c r="AM393" s="4"/>
      <c r="AN393" s="4"/>
      <c r="AO393" s="4"/>
      <c r="AP393" s="4"/>
      <c r="AQ393" s="4"/>
      <c r="AR393" s="4"/>
      <c r="AS393" s="4"/>
      <c r="AT393" s="4"/>
      <c r="AU393" s="4"/>
      <c r="AV393" s="4"/>
      <c r="AW393" s="4"/>
      <c r="AX393" s="4"/>
      <c r="AY393" s="4"/>
      <c r="AZ393" s="4"/>
      <c r="BA393" s="4"/>
      <c r="BB393" s="4"/>
      <c r="BC393" s="4"/>
      <c r="BD393" s="4"/>
      <c r="BE393" s="4"/>
      <c r="BF393" s="4"/>
      <c r="BG393" s="4"/>
      <c r="BH393" s="4"/>
      <c r="BI393" s="4"/>
      <c r="BJ393" s="4"/>
      <c r="BK393" s="4"/>
      <c r="BL393" s="4"/>
      <c r="BM393" s="4"/>
      <c r="BN393" s="4"/>
      <c r="BO393" s="4"/>
      <c r="BP393" s="4"/>
      <c r="BQ393" s="4"/>
      <c r="BR393" s="4"/>
      <c r="BS393" s="4"/>
      <c r="BT393" s="4"/>
      <c r="BU393" s="4"/>
      <c r="BV393" s="4"/>
      <c r="BW393" s="4"/>
      <c r="BX393" s="4"/>
      <c r="BY393" s="4"/>
      <c r="BZ393" s="4"/>
      <c r="CA393" s="4"/>
      <c r="CB393" s="4"/>
      <c r="CC393" s="4"/>
      <c r="CD393" s="4"/>
      <c r="CE393" s="4"/>
      <c r="CF393" s="4"/>
      <c r="CG393" s="4"/>
      <c r="CH393" s="4"/>
      <c r="CI393" s="4"/>
      <c r="CJ393" s="4"/>
      <c r="CK393" s="4"/>
      <c r="CL393" s="4"/>
      <c r="CM393" s="4"/>
      <c r="CN393" s="4"/>
      <c r="CO393" s="4"/>
      <c r="CP393" s="4"/>
      <c r="CQ393" s="4"/>
      <c r="CR393" s="4"/>
      <c r="CS393" s="4"/>
      <c r="CT393" s="4"/>
      <c r="CU393" s="4"/>
      <c r="CV393" s="4"/>
      <c r="CW393" s="4"/>
      <c r="CX393" s="4"/>
      <c r="CY393" s="4"/>
      <c r="CZ393" s="4"/>
      <c r="DA393" s="4"/>
      <c r="DB393" s="4"/>
      <c r="DC393" s="4"/>
      <c r="DD393" s="4"/>
      <c r="DE393" s="4"/>
      <c r="DF393" s="4"/>
      <c r="DG393" s="4"/>
      <c r="DH393" s="4"/>
      <c r="DI393" s="4"/>
      <c r="DJ393" s="4"/>
      <c r="DK393" s="4"/>
      <c r="DL393" s="4"/>
      <c r="DM393" s="4"/>
      <c r="DN393" s="4"/>
      <c r="DO393" s="4"/>
      <c r="DP393" s="4"/>
      <c r="DQ393" s="4"/>
      <c r="DR393" s="4"/>
      <c r="DS393" s="4"/>
      <c r="DT393" s="4"/>
      <c r="DU393" s="4"/>
      <c r="DV393" s="4"/>
      <c r="DW393" s="4"/>
      <c r="DX393" s="4"/>
      <c r="DY393" s="4"/>
      <c r="DZ393" s="4"/>
      <c r="EA393" s="4"/>
      <c r="EB393" s="4"/>
      <c r="EC393" s="4"/>
      <c r="ED393" s="4"/>
      <c r="EE393" s="4"/>
      <c r="EF393" s="4"/>
      <c r="EG393" s="4"/>
      <c r="EH393" s="4"/>
      <c r="EI393" s="4"/>
      <c r="EJ393" s="4"/>
      <c r="EK393" s="4"/>
      <c r="EL393" s="4"/>
      <c r="EM393" s="4"/>
      <c r="EN393" s="4"/>
      <c r="EO393" s="4"/>
      <c r="EP393" s="4"/>
      <c r="EQ393" s="4"/>
      <c r="ER393" s="4"/>
      <c r="ES393" s="4"/>
      <c r="ET393" s="4"/>
      <c r="EU393" s="4"/>
      <c r="EV393" s="4"/>
      <c r="EW393" s="4"/>
      <c r="EX393" s="4"/>
      <c r="EY393" s="4"/>
      <c r="EZ393" s="4"/>
      <c r="FA393" s="4"/>
      <c r="FB393" s="4"/>
      <c r="FC393" s="4"/>
      <c r="FD393" s="4"/>
      <c r="FE393" s="4"/>
      <c r="FF393" s="4"/>
    </row>
    <row r="394" spans="1:162" x14ac:dyDescent="0.2">
      <c r="A394" s="2"/>
      <c r="B394" s="2"/>
      <c r="C394" s="2"/>
      <c r="D394" s="4"/>
      <c r="E394" s="4"/>
      <c r="F394" s="4"/>
      <c r="G394" s="4"/>
      <c r="H394" s="4"/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  <c r="AA394" s="4"/>
      <c r="AB394" s="4"/>
      <c r="AC394" s="4"/>
      <c r="AD394" s="4"/>
      <c r="AE394" s="4"/>
      <c r="AF394" s="4"/>
      <c r="AG394" s="4"/>
      <c r="AH394" s="4"/>
      <c r="AI394" s="4"/>
      <c r="AJ394" s="4"/>
      <c r="AK394" s="4"/>
      <c r="AL394" s="4"/>
      <c r="AM394" s="4"/>
      <c r="AN394" s="4"/>
      <c r="AO394" s="4"/>
      <c r="AP394" s="4"/>
      <c r="AQ394" s="4"/>
      <c r="AR394" s="4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4"/>
      <c r="BE394" s="4"/>
      <c r="BF394" s="4"/>
      <c r="BG394" s="4"/>
      <c r="BH394" s="4"/>
      <c r="BI394" s="4"/>
      <c r="BJ394" s="4"/>
      <c r="BK394" s="4"/>
      <c r="BL394" s="4"/>
      <c r="BM394" s="4"/>
      <c r="BN394" s="4"/>
      <c r="BO394" s="4"/>
      <c r="BP394" s="4"/>
      <c r="BQ394" s="4"/>
      <c r="BR394" s="4"/>
      <c r="BS394" s="4"/>
      <c r="BT394" s="4"/>
      <c r="BU394" s="4"/>
      <c r="BV394" s="4"/>
      <c r="BW394" s="4"/>
      <c r="BX394" s="4"/>
      <c r="BY394" s="4"/>
      <c r="BZ394" s="4"/>
      <c r="CA394" s="4"/>
      <c r="CB394" s="4"/>
      <c r="CC394" s="4"/>
      <c r="CD394" s="4"/>
      <c r="CE394" s="4"/>
      <c r="CF394" s="4"/>
      <c r="CG394" s="4"/>
      <c r="CH394" s="4"/>
      <c r="CI394" s="4"/>
      <c r="CJ394" s="4"/>
      <c r="CK394" s="4"/>
      <c r="CL394" s="4"/>
      <c r="CM394" s="4"/>
      <c r="CN394" s="4"/>
      <c r="CO394" s="4"/>
      <c r="CP394" s="4"/>
      <c r="CQ394" s="4"/>
      <c r="CR394" s="4"/>
      <c r="CS394" s="4"/>
      <c r="CT394" s="4"/>
      <c r="CU394" s="4"/>
      <c r="CV394" s="4"/>
      <c r="CW394" s="4"/>
      <c r="CX394" s="4"/>
      <c r="CY394" s="4"/>
      <c r="CZ394" s="4"/>
      <c r="DA394" s="4"/>
      <c r="DB394" s="4"/>
      <c r="DC394" s="4"/>
      <c r="DD394" s="4"/>
      <c r="DE394" s="4"/>
      <c r="DF394" s="4"/>
      <c r="DG394" s="4"/>
      <c r="DH394" s="4"/>
      <c r="DI394" s="4"/>
      <c r="DJ394" s="4"/>
      <c r="DK394" s="4"/>
      <c r="DL394" s="4"/>
      <c r="DM394" s="4"/>
      <c r="DN394" s="4"/>
      <c r="DO394" s="4"/>
      <c r="DP394" s="4"/>
      <c r="DQ394" s="4"/>
      <c r="DR394" s="4"/>
      <c r="DS394" s="4"/>
      <c r="DT394" s="4"/>
      <c r="DU394" s="4"/>
      <c r="DV394" s="4"/>
      <c r="DW394" s="4"/>
      <c r="DX394" s="4"/>
      <c r="DY394" s="4"/>
      <c r="DZ394" s="4"/>
      <c r="EA394" s="4"/>
      <c r="EB394" s="4"/>
      <c r="EC394" s="4"/>
      <c r="ED394" s="4"/>
      <c r="EE394" s="4"/>
      <c r="EF394" s="4"/>
      <c r="EG394" s="4"/>
      <c r="EH394" s="4"/>
      <c r="EI394" s="4"/>
      <c r="EJ394" s="4"/>
      <c r="EK394" s="4"/>
      <c r="EL394" s="4"/>
      <c r="EM394" s="4"/>
      <c r="EN394" s="4"/>
      <c r="EO394" s="4"/>
      <c r="EP394" s="4"/>
      <c r="EQ394" s="4"/>
      <c r="ER394" s="4"/>
      <c r="ES394" s="4"/>
      <c r="ET394" s="4"/>
      <c r="EU394" s="4"/>
      <c r="EV394" s="4"/>
      <c r="EW394" s="4"/>
      <c r="EX394" s="4"/>
      <c r="EY394" s="4"/>
      <c r="EZ394" s="4"/>
      <c r="FA394" s="4"/>
      <c r="FB394" s="4"/>
      <c r="FC394" s="4"/>
      <c r="FD394" s="4"/>
      <c r="FE394" s="4"/>
      <c r="FF394" s="4"/>
    </row>
    <row r="395" spans="1:162" x14ac:dyDescent="0.2">
      <c r="A395" s="2"/>
      <c r="B395" s="2"/>
      <c r="C395" s="2"/>
      <c r="D395" s="4"/>
      <c r="E395" s="4"/>
      <c r="F395" s="4"/>
      <c r="G395" s="4"/>
      <c r="H395" s="4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  <c r="AA395" s="4"/>
      <c r="AB395" s="4"/>
      <c r="AC395" s="4"/>
      <c r="AD395" s="4"/>
      <c r="AE395" s="4"/>
      <c r="AF395" s="4"/>
      <c r="AG395" s="4"/>
      <c r="AH395" s="4"/>
      <c r="AI395" s="4"/>
      <c r="AJ395" s="4"/>
      <c r="AK395" s="4"/>
      <c r="AL395" s="4"/>
      <c r="AM395" s="4"/>
      <c r="AN395" s="4"/>
      <c r="AO395" s="4"/>
      <c r="AP395" s="4"/>
      <c r="AQ395" s="4"/>
      <c r="AR395" s="4"/>
      <c r="AS395" s="4"/>
      <c r="AT395" s="4"/>
      <c r="AU395" s="4"/>
      <c r="AV395" s="4"/>
      <c r="AW395" s="4"/>
      <c r="AX395" s="4"/>
      <c r="AY395" s="4"/>
      <c r="AZ395" s="4"/>
      <c r="BA395" s="4"/>
      <c r="BB395" s="4"/>
      <c r="BC395" s="4"/>
      <c r="BD395" s="4"/>
      <c r="BE395" s="4"/>
      <c r="BF395" s="4"/>
      <c r="BG395" s="4"/>
      <c r="BH395" s="4"/>
      <c r="BI395" s="4"/>
      <c r="BJ395" s="4"/>
      <c r="BK395" s="4"/>
      <c r="BL395" s="4"/>
      <c r="BM395" s="4"/>
      <c r="BN395" s="4"/>
      <c r="BO395" s="4"/>
      <c r="BP395" s="4"/>
      <c r="BQ395" s="4"/>
      <c r="BR395" s="4"/>
      <c r="BS395" s="4"/>
      <c r="BT395" s="4"/>
      <c r="BU395" s="4"/>
      <c r="BV395" s="4"/>
      <c r="BW395" s="4"/>
      <c r="BX395" s="4"/>
      <c r="BY395" s="4"/>
      <c r="BZ395" s="4"/>
      <c r="CA395" s="4"/>
      <c r="CB395" s="4"/>
      <c r="CC395" s="4"/>
      <c r="CD395" s="4"/>
      <c r="CE395" s="4"/>
      <c r="CF395" s="4"/>
      <c r="CG395" s="4"/>
      <c r="CH395" s="4"/>
      <c r="CI395" s="4"/>
      <c r="CJ395" s="4"/>
      <c r="CK395" s="4"/>
      <c r="CL395" s="4"/>
      <c r="CM395" s="4"/>
      <c r="CN395" s="4"/>
      <c r="CO395" s="4"/>
      <c r="CP395" s="4"/>
      <c r="CQ395" s="4"/>
      <c r="CR395" s="4"/>
      <c r="CS395" s="4"/>
      <c r="CT395" s="4"/>
      <c r="CU395" s="4"/>
      <c r="CV395" s="4"/>
      <c r="CW395" s="4"/>
      <c r="CX395" s="4"/>
      <c r="CY395" s="4"/>
      <c r="CZ395" s="4"/>
      <c r="DA395" s="4"/>
      <c r="DB395" s="4"/>
      <c r="DC395" s="4"/>
      <c r="DD395" s="4"/>
      <c r="DE395" s="4"/>
      <c r="DF395" s="4"/>
      <c r="DG395" s="4"/>
      <c r="DH395" s="4"/>
      <c r="DI395" s="4"/>
      <c r="DJ395" s="4"/>
      <c r="DK395" s="4"/>
      <c r="DL395" s="4"/>
      <c r="DM395" s="4"/>
      <c r="DN395" s="4"/>
      <c r="DO395" s="4"/>
      <c r="DP395" s="4"/>
      <c r="DQ395" s="4"/>
      <c r="DR395" s="4"/>
      <c r="DS395" s="4"/>
      <c r="DT395" s="4"/>
      <c r="DU395" s="4"/>
      <c r="DV395" s="4"/>
      <c r="DW395" s="4"/>
      <c r="DX395" s="4"/>
      <c r="DY395" s="4"/>
      <c r="DZ395" s="4"/>
      <c r="EA395" s="4"/>
      <c r="EB395" s="4"/>
      <c r="EC395" s="4"/>
      <c r="ED395" s="4"/>
      <c r="EE395" s="4"/>
      <c r="EF395" s="4"/>
      <c r="EG395" s="4"/>
      <c r="EH395" s="4"/>
      <c r="EI395" s="4"/>
      <c r="EJ395" s="4"/>
      <c r="EK395" s="4"/>
      <c r="EL395" s="4"/>
      <c r="EM395" s="4"/>
      <c r="EN395" s="4"/>
      <c r="EO395" s="4"/>
      <c r="EP395" s="4"/>
      <c r="EQ395" s="4"/>
      <c r="ER395" s="4"/>
      <c r="ES395" s="4"/>
      <c r="ET395" s="4"/>
      <c r="EU395" s="4"/>
      <c r="EV395" s="4"/>
      <c r="EW395" s="4"/>
      <c r="EX395" s="4"/>
      <c r="EY395" s="4"/>
      <c r="EZ395" s="4"/>
      <c r="FA395" s="4"/>
      <c r="FB395" s="4"/>
      <c r="FC395" s="4"/>
      <c r="FD395" s="4"/>
      <c r="FE395" s="4"/>
      <c r="FF395" s="4"/>
    </row>
    <row r="396" spans="1:162" x14ac:dyDescent="0.2">
      <c r="A396" s="2"/>
      <c r="B396" s="2"/>
      <c r="C396" s="2"/>
      <c r="D396" s="4"/>
      <c r="E396" s="4"/>
      <c r="F396" s="4"/>
      <c r="G396" s="4"/>
      <c r="H396" s="4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  <c r="AA396" s="4"/>
      <c r="AB396" s="4"/>
      <c r="AC396" s="4"/>
      <c r="AD396" s="4"/>
      <c r="AE396" s="4"/>
      <c r="AF396" s="4"/>
      <c r="AG396" s="4"/>
      <c r="AH396" s="4"/>
      <c r="AI396" s="4"/>
      <c r="AJ396" s="4"/>
      <c r="AK396" s="4"/>
      <c r="AL396" s="4"/>
      <c r="AM396" s="4"/>
      <c r="AN396" s="4"/>
      <c r="AO396" s="4"/>
      <c r="AP396" s="4"/>
      <c r="AQ396" s="4"/>
      <c r="AR396" s="4"/>
      <c r="AS396" s="4"/>
      <c r="AT396" s="4"/>
      <c r="AU396" s="4"/>
      <c r="AV396" s="4"/>
      <c r="AW396" s="4"/>
      <c r="AX396" s="4"/>
      <c r="AY396" s="4"/>
      <c r="AZ396" s="4"/>
      <c r="BA396" s="4"/>
      <c r="BB396" s="4"/>
      <c r="BC396" s="4"/>
      <c r="BD396" s="4"/>
      <c r="BE396" s="4"/>
      <c r="BF396" s="4"/>
      <c r="BG396" s="4"/>
      <c r="BH396" s="4"/>
      <c r="BI396" s="4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4"/>
      <c r="BX396" s="4"/>
      <c r="BY396" s="4"/>
      <c r="BZ396" s="4"/>
      <c r="CA396" s="4"/>
      <c r="CB396" s="4"/>
      <c r="CC396" s="4"/>
      <c r="CD396" s="4"/>
      <c r="CE396" s="4"/>
      <c r="CF396" s="4"/>
      <c r="CG396" s="4"/>
      <c r="CH396" s="4"/>
      <c r="CI396" s="4"/>
      <c r="CJ396" s="4"/>
      <c r="CK396" s="4"/>
      <c r="CL396" s="4"/>
      <c r="CM396" s="4"/>
      <c r="CN396" s="4"/>
      <c r="CO396" s="4"/>
      <c r="CP396" s="4"/>
      <c r="CQ396" s="4"/>
      <c r="CR396" s="4"/>
      <c r="CS396" s="4"/>
      <c r="CT396" s="4"/>
      <c r="CU396" s="4"/>
      <c r="CV396" s="4"/>
      <c r="CW396" s="4"/>
      <c r="CX396" s="4"/>
      <c r="CY396" s="4"/>
      <c r="CZ396" s="4"/>
      <c r="DA396" s="4"/>
      <c r="DB396" s="4"/>
      <c r="DC396" s="4"/>
      <c r="DD396" s="4"/>
      <c r="DE396" s="4"/>
      <c r="DF396" s="4"/>
      <c r="DG396" s="4"/>
      <c r="DH396" s="4"/>
      <c r="DI396" s="4"/>
      <c r="DJ396" s="4"/>
      <c r="DK396" s="4"/>
      <c r="DL396" s="4"/>
      <c r="DM396" s="4"/>
      <c r="DN396" s="4"/>
      <c r="DO396" s="4"/>
      <c r="DP396" s="4"/>
      <c r="DQ396" s="4"/>
      <c r="DR396" s="4"/>
      <c r="DS396" s="4"/>
      <c r="DT396" s="4"/>
      <c r="DU396" s="4"/>
      <c r="DV396" s="4"/>
      <c r="DW396" s="4"/>
      <c r="DX396" s="4"/>
      <c r="DY396" s="4"/>
      <c r="DZ396" s="4"/>
      <c r="EA396" s="4"/>
      <c r="EB396" s="4"/>
      <c r="EC396" s="4"/>
      <c r="ED396" s="4"/>
      <c r="EE396" s="4"/>
      <c r="EF396" s="4"/>
      <c r="EG396" s="4"/>
      <c r="EH396" s="4"/>
      <c r="EI396" s="4"/>
      <c r="EJ396" s="4"/>
      <c r="EK396" s="4"/>
      <c r="EL396" s="4"/>
      <c r="EM396" s="4"/>
      <c r="EN396" s="4"/>
      <c r="EO396" s="4"/>
      <c r="EP396" s="4"/>
      <c r="EQ396" s="4"/>
      <c r="ER396" s="4"/>
      <c r="ES396" s="4"/>
      <c r="ET396" s="4"/>
      <c r="EU396" s="4"/>
      <c r="EV396" s="4"/>
      <c r="EW396" s="4"/>
      <c r="EX396" s="4"/>
      <c r="EY396" s="4"/>
      <c r="EZ396" s="4"/>
      <c r="FA396" s="4"/>
      <c r="FB396" s="4"/>
      <c r="FC396" s="4"/>
      <c r="FD396" s="4"/>
      <c r="FE396" s="4"/>
      <c r="FF396" s="4"/>
    </row>
    <row r="397" spans="1:162" x14ac:dyDescent="0.2">
      <c r="A397" s="2"/>
      <c r="B397" s="2"/>
      <c r="C397" s="2"/>
      <c r="D397" s="4"/>
      <c r="E397" s="4"/>
      <c r="F397" s="4"/>
      <c r="G397" s="4"/>
      <c r="H397" s="4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  <c r="AA397" s="4"/>
      <c r="AB397" s="4"/>
      <c r="AC397" s="4"/>
      <c r="AD397" s="4"/>
      <c r="AE397" s="4"/>
      <c r="AF397" s="4"/>
      <c r="AG397" s="4"/>
      <c r="AH397" s="4"/>
      <c r="AI397" s="4"/>
      <c r="AJ397" s="4"/>
      <c r="AK397" s="4"/>
      <c r="AL397" s="4"/>
      <c r="AM397" s="4"/>
      <c r="AN397" s="4"/>
      <c r="AO397" s="4"/>
      <c r="AP397" s="4"/>
      <c r="AQ397" s="4"/>
      <c r="AR397" s="4"/>
      <c r="AS397" s="4"/>
      <c r="AT397" s="4"/>
      <c r="AU397" s="4"/>
      <c r="AV397" s="4"/>
      <c r="AW397" s="4"/>
      <c r="AX397" s="4"/>
      <c r="AY397" s="4"/>
      <c r="AZ397" s="4"/>
      <c r="BA397" s="4"/>
      <c r="BB397" s="4"/>
      <c r="BC397" s="4"/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4"/>
      <c r="BQ397" s="4"/>
      <c r="BR397" s="4"/>
      <c r="BS397" s="4"/>
      <c r="BT397" s="4"/>
      <c r="BU397" s="4"/>
      <c r="BV397" s="4"/>
      <c r="BW397" s="4"/>
      <c r="BX397" s="4"/>
      <c r="BY397" s="4"/>
      <c r="BZ397" s="4"/>
      <c r="CA397" s="4"/>
      <c r="CB397" s="4"/>
      <c r="CC397" s="4"/>
      <c r="CD397" s="4"/>
      <c r="CE397" s="4"/>
      <c r="CF397" s="4"/>
      <c r="CG397" s="4"/>
      <c r="CH397" s="4"/>
      <c r="CI397" s="4"/>
      <c r="CJ397" s="4"/>
      <c r="CK397" s="4"/>
      <c r="CL397" s="4"/>
      <c r="CM397" s="4"/>
      <c r="CN397" s="4"/>
      <c r="CO397" s="4"/>
      <c r="CP397" s="4"/>
      <c r="CQ397" s="4"/>
      <c r="CR397" s="4"/>
      <c r="CS397" s="4"/>
      <c r="CT397" s="4"/>
      <c r="CU397" s="4"/>
      <c r="CV397" s="4"/>
      <c r="CW397" s="4"/>
      <c r="CX397" s="4"/>
      <c r="CY397" s="4"/>
      <c r="CZ397" s="4"/>
      <c r="DA397" s="4"/>
      <c r="DB397" s="4"/>
      <c r="DC397" s="4"/>
      <c r="DD397" s="4"/>
      <c r="DE397" s="4"/>
      <c r="DF397" s="4"/>
      <c r="DG397" s="4"/>
      <c r="DH397" s="4"/>
      <c r="DI397" s="4"/>
      <c r="DJ397" s="4"/>
      <c r="DK397" s="4"/>
      <c r="DL397" s="4"/>
      <c r="DM397" s="4"/>
      <c r="DN397" s="4"/>
      <c r="DO397" s="4"/>
      <c r="DP397" s="4"/>
      <c r="DQ397" s="4"/>
      <c r="DR397" s="4"/>
      <c r="DS397" s="4"/>
      <c r="DT397" s="4"/>
      <c r="DU397" s="4"/>
      <c r="DV397" s="4"/>
      <c r="DW397" s="4"/>
      <c r="DX397" s="4"/>
      <c r="DY397" s="4"/>
      <c r="DZ397" s="4"/>
      <c r="EA397" s="4"/>
      <c r="EB397" s="4"/>
      <c r="EC397" s="4"/>
      <c r="ED397" s="4"/>
      <c r="EE397" s="4"/>
      <c r="EF397" s="4"/>
      <c r="EG397" s="4"/>
      <c r="EH397" s="4"/>
      <c r="EI397" s="4"/>
      <c r="EJ397" s="4"/>
      <c r="EK397" s="4"/>
      <c r="EL397" s="4"/>
      <c r="EM397" s="4"/>
      <c r="EN397" s="4"/>
      <c r="EO397" s="4"/>
      <c r="EP397" s="4"/>
      <c r="EQ397" s="4"/>
      <c r="ER397" s="4"/>
      <c r="ES397" s="4"/>
      <c r="ET397" s="4"/>
      <c r="EU397" s="4"/>
      <c r="EV397" s="4"/>
      <c r="EW397" s="4"/>
      <c r="EX397" s="4"/>
      <c r="EY397" s="4"/>
      <c r="EZ397" s="4"/>
      <c r="FA397" s="4"/>
      <c r="FB397" s="4"/>
      <c r="FC397" s="4"/>
      <c r="FD397" s="4"/>
      <c r="FE397" s="4"/>
      <c r="FF397" s="4"/>
    </row>
    <row r="398" spans="1:162" x14ac:dyDescent="0.2">
      <c r="A398" s="2"/>
      <c r="B398" s="2"/>
      <c r="C398" s="2"/>
      <c r="D398" s="4"/>
      <c r="E398" s="4"/>
      <c r="F398" s="4"/>
      <c r="G398" s="4"/>
      <c r="H398" s="4"/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  <c r="AA398" s="4"/>
      <c r="AB398" s="4"/>
      <c r="AC398" s="4"/>
      <c r="AD398" s="4"/>
      <c r="AE398" s="4"/>
      <c r="AF398" s="4"/>
      <c r="AG398" s="4"/>
      <c r="AH398" s="4"/>
      <c r="AI398" s="4"/>
      <c r="AJ398" s="4"/>
      <c r="AK398" s="4"/>
      <c r="AL398" s="4"/>
      <c r="AM398" s="4"/>
      <c r="AN398" s="4"/>
      <c r="AO398" s="4"/>
      <c r="AP398" s="4"/>
      <c r="AQ398" s="4"/>
      <c r="AR398" s="4"/>
      <c r="AS398" s="4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/>
      <c r="BE398" s="4"/>
      <c r="BF398" s="4"/>
      <c r="BG398" s="4"/>
      <c r="BH398" s="4"/>
      <c r="BI398" s="4"/>
      <c r="BJ398" s="4"/>
      <c r="BK398" s="4"/>
      <c r="BL398" s="4"/>
      <c r="BM398" s="4"/>
      <c r="BN398" s="4"/>
      <c r="BO398" s="4"/>
      <c r="BP398" s="4"/>
      <c r="BQ398" s="4"/>
      <c r="BR398" s="4"/>
      <c r="BS398" s="4"/>
      <c r="BT398" s="4"/>
      <c r="BU398" s="4"/>
      <c r="BV398" s="4"/>
      <c r="BW398" s="4"/>
      <c r="BX398" s="4"/>
      <c r="BY398" s="4"/>
      <c r="BZ398" s="4"/>
      <c r="CA398" s="4"/>
      <c r="CB398" s="4"/>
      <c r="CC398" s="4"/>
      <c r="CD398" s="4"/>
      <c r="CE398" s="4"/>
      <c r="CF398" s="4"/>
      <c r="CG398" s="4"/>
      <c r="CH398" s="4"/>
      <c r="CI398" s="4"/>
      <c r="CJ398" s="4"/>
      <c r="CK398" s="4"/>
      <c r="CL398" s="4"/>
      <c r="CM398" s="4"/>
      <c r="CN398" s="4"/>
      <c r="CO398" s="4"/>
      <c r="CP398" s="4"/>
      <c r="CQ398" s="4"/>
      <c r="CR398" s="4"/>
      <c r="CS398" s="4"/>
      <c r="CT398" s="4"/>
      <c r="CU398" s="4"/>
      <c r="CV398" s="4"/>
      <c r="CW398" s="4"/>
      <c r="CX398" s="4"/>
      <c r="CY398" s="4"/>
      <c r="CZ398" s="4"/>
      <c r="DA398" s="4"/>
      <c r="DB398" s="4"/>
      <c r="DC398" s="4"/>
      <c r="DD398" s="4"/>
      <c r="DE398" s="4"/>
      <c r="DF398" s="4"/>
      <c r="DG398" s="4"/>
      <c r="DH398" s="4"/>
      <c r="DI398" s="4"/>
      <c r="DJ398" s="4"/>
      <c r="DK398" s="4"/>
      <c r="DL398" s="4"/>
      <c r="DM398" s="4"/>
      <c r="DN398" s="4"/>
      <c r="DO398" s="4"/>
      <c r="DP398" s="4"/>
      <c r="DQ398" s="4"/>
      <c r="DR398" s="4"/>
      <c r="DS398" s="4"/>
      <c r="DT398" s="4"/>
      <c r="DU398" s="4"/>
      <c r="DV398" s="4"/>
      <c r="DW398" s="4"/>
      <c r="DX398" s="4"/>
      <c r="DY398" s="4"/>
      <c r="DZ398" s="4"/>
      <c r="EA398" s="4"/>
      <c r="EB398" s="4"/>
      <c r="EC398" s="4"/>
      <c r="ED398" s="4"/>
      <c r="EE398" s="4"/>
      <c r="EF398" s="4"/>
      <c r="EG398" s="4"/>
      <c r="EH398" s="4"/>
      <c r="EI398" s="4"/>
      <c r="EJ398" s="4"/>
      <c r="EK398" s="4"/>
      <c r="EL398" s="4"/>
      <c r="EM398" s="4"/>
      <c r="EN398" s="4"/>
      <c r="EO398" s="4"/>
      <c r="EP398" s="4"/>
      <c r="EQ398" s="4"/>
      <c r="ER398" s="4"/>
      <c r="ES398" s="4"/>
      <c r="ET398" s="4"/>
      <c r="EU398" s="4"/>
      <c r="EV398" s="4"/>
      <c r="EW398" s="4"/>
      <c r="EX398" s="4"/>
      <c r="EY398" s="4"/>
      <c r="EZ398" s="4"/>
      <c r="FA398" s="4"/>
      <c r="FB398" s="4"/>
      <c r="FC398" s="4"/>
      <c r="FD398" s="4"/>
      <c r="FE398" s="4"/>
      <c r="FF398" s="4"/>
    </row>
    <row r="399" spans="1:162" x14ac:dyDescent="0.2">
      <c r="A399" s="2"/>
      <c r="B399" s="2"/>
      <c r="C399" s="2"/>
      <c r="D399" s="4"/>
      <c r="E399" s="4"/>
      <c r="F399" s="4"/>
      <c r="G399" s="4"/>
      <c r="H399" s="4"/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  <c r="AA399" s="4"/>
      <c r="AB399" s="4"/>
      <c r="AC399" s="4"/>
      <c r="AD399" s="4"/>
      <c r="AE399" s="4"/>
      <c r="AF399" s="4"/>
      <c r="AG399" s="4"/>
      <c r="AH399" s="4"/>
      <c r="AI399" s="4"/>
      <c r="AJ399" s="4"/>
      <c r="AK399" s="4"/>
      <c r="AL399" s="4"/>
      <c r="AM399" s="4"/>
      <c r="AN399" s="4"/>
      <c r="AO399" s="4"/>
      <c r="AP399" s="4"/>
      <c r="AQ399" s="4"/>
      <c r="AR399" s="4"/>
      <c r="AS399" s="4"/>
      <c r="AT399" s="4"/>
      <c r="AU399" s="4"/>
      <c r="AV399" s="4"/>
      <c r="AW399" s="4"/>
      <c r="AX399" s="4"/>
      <c r="AY399" s="4"/>
      <c r="AZ399" s="4"/>
      <c r="BA399" s="4"/>
      <c r="BB399" s="4"/>
      <c r="BC399" s="4"/>
      <c r="BD399" s="4"/>
      <c r="BE399" s="4"/>
      <c r="BF399" s="4"/>
      <c r="BG399" s="4"/>
      <c r="BH399" s="4"/>
      <c r="BI399" s="4"/>
      <c r="BJ399" s="4"/>
      <c r="BK399" s="4"/>
      <c r="BL399" s="4"/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4"/>
      <c r="BX399" s="4"/>
      <c r="BY399" s="4"/>
      <c r="BZ399" s="4"/>
      <c r="CA399" s="4"/>
      <c r="CB399" s="4"/>
      <c r="CC399" s="4"/>
      <c r="CD399" s="4"/>
      <c r="CE399" s="4"/>
      <c r="CF399" s="4"/>
      <c r="CG399" s="4"/>
      <c r="CH399" s="4"/>
      <c r="CI399" s="4"/>
      <c r="CJ399" s="4"/>
      <c r="CK399" s="4"/>
      <c r="CL399" s="4"/>
      <c r="CM399" s="4"/>
      <c r="CN399" s="4"/>
      <c r="CO399" s="4"/>
      <c r="CP399" s="4"/>
      <c r="CQ399" s="4"/>
      <c r="CR399" s="4"/>
      <c r="CS399" s="4"/>
      <c r="CT399" s="4"/>
      <c r="CU399" s="4"/>
      <c r="CV399" s="4"/>
      <c r="CW399" s="4"/>
      <c r="CX399" s="4"/>
      <c r="CY399" s="4"/>
      <c r="CZ399" s="4"/>
      <c r="DA399" s="4"/>
      <c r="DB399" s="4"/>
      <c r="DC399" s="4"/>
      <c r="DD399" s="4"/>
      <c r="DE399" s="4"/>
      <c r="DF399" s="4"/>
      <c r="DG399" s="4"/>
      <c r="DH399" s="4"/>
      <c r="DI399" s="4"/>
      <c r="DJ399" s="4"/>
      <c r="DK399" s="4"/>
      <c r="DL399" s="4"/>
      <c r="DM399" s="4"/>
      <c r="DN399" s="4"/>
      <c r="DO399" s="4"/>
      <c r="DP399" s="4"/>
      <c r="DQ399" s="4"/>
      <c r="DR399" s="4"/>
      <c r="DS399" s="4"/>
      <c r="DT399" s="4"/>
      <c r="DU399" s="4"/>
      <c r="DV399" s="4"/>
      <c r="DW399" s="4"/>
      <c r="DX399" s="4"/>
      <c r="DY399" s="4"/>
      <c r="DZ399" s="4"/>
      <c r="EA399" s="4"/>
      <c r="EB399" s="4"/>
      <c r="EC399" s="4"/>
      <c r="ED399" s="4"/>
      <c r="EE399" s="4"/>
      <c r="EF399" s="4"/>
      <c r="EG399" s="4"/>
      <c r="EH399" s="4"/>
      <c r="EI399" s="4"/>
      <c r="EJ399" s="4"/>
      <c r="EK399" s="4"/>
      <c r="EL399" s="4"/>
      <c r="EM399" s="4"/>
      <c r="EN399" s="4"/>
      <c r="EO399" s="4"/>
      <c r="EP399" s="4"/>
      <c r="EQ399" s="4"/>
      <c r="ER399" s="4"/>
      <c r="ES399" s="4"/>
      <c r="ET399" s="4"/>
      <c r="EU399" s="4"/>
      <c r="EV399" s="4"/>
      <c r="EW399" s="4"/>
      <c r="EX399" s="4"/>
      <c r="EY399" s="4"/>
      <c r="EZ399" s="4"/>
      <c r="FA399" s="4"/>
      <c r="FB399" s="4"/>
      <c r="FC399" s="4"/>
      <c r="FD399" s="4"/>
      <c r="FE399" s="4"/>
      <c r="FF399" s="4"/>
    </row>
    <row r="400" spans="1:162" x14ac:dyDescent="0.2">
      <c r="A400" s="2"/>
      <c r="B400" s="2"/>
      <c r="C400" s="2"/>
      <c r="D400" s="4"/>
      <c r="E400" s="4"/>
      <c r="F400" s="4"/>
      <c r="G400" s="4"/>
      <c r="H400" s="4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  <c r="AA400" s="4"/>
      <c r="AB400" s="4"/>
      <c r="AC400" s="4"/>
      <c r="AD400" s="4"/>
      <c r="AE400" s="4"/>
      <c r="AF400" s="4"/>
      <c r="AG400" s="4"/>
      <c r="AH400" s="4"/>
      <c r="AI400" s="4"/>
      <c r="AJ400" s="4"/>
      <c r="AK400" s="4"/>
      <c r="AL400" s="4"/>
      <c r="AM400" s="4"/>
      <c r="AN400" s="4"/>
      <c r="AO400" s="4"/>
      <c r="AP400" s="4"/>
      <c r="AQ400" s="4"/>
      <c r="AR400" s="4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4"/>
      <c r="BE400" s="4"/>
      <c r="BF400" s="4"/>
      <c r="BG400" s="4"/>
      <c r="BH400" s="4"/>
      <c r="BI400" s="4"/>
      <c r="BJ400" s="4"/>
      <c r="BK400" s="4"/>
      <c r="BL400" s="4"/>
      <c r="BM400" s="4"/>
      <c r="BN400" s="4"/>
      <c r="BO400" s="4"/>
      <c r="BP400" s="4"/>
      <c r="BQ400" s="4"/>
      <c r="BR400" s="4"/>
      <c r="BS400" s="4"/>
      <c r="BT400" s="4"/>
      <c r="BU400" s="4"/>
      <c r="BV400" s="4"/>
      <c r="BW400" s="4"/>
      <c r="BX400" s="4"/>
      <c r="BY400" s="4"/>
      <c r="BZ400" s="4"/>
      <c r="CA400" s="4"/>
      <c r="CB400" s="4"/>
      <c r="CC400" s="4"/>
      <c r="CD400" s="4"/>
      <c r="CE400" s="4"/>
      <c r="CF400" s="4"/>
      <c r="CG400" s="4"/>
      <c r="CH400" s="4"/>
      <c r="CI400" s="4"/>
      <c r="CJ400" s="4"/>
      <c r="CK400" s="4"/>
      <c r="CL400" s="4"/>
      <c r="CM400" s="4"/>
      <c r="CN400" s="4"/>
      <c r="CO400" s="4"/>
      <c r="CP400" s="4"/>
      <c r="CQ400" s="4"/>
      <c r="CR400" s="4"/>
      <c r="CS400" s="4"/>
      <c r="CT400" s="4"/>
      <c r="CU400" s="4"/>
      <c r="CV400" s="4"/>
      <c r="CW400" s="4"/>
      <c r="CX400" s="4"/>
      <c r="CY400" s="4"/>
      <c r="CZ400" s="4"/>
      <c r="DA400" s="4"/>
      <c r="DB400" s="4"/>
      <c r="DC400" s="4"/>
      <c r="DD400" s="4"/>
      <c r="DE400" s="4"/>
      <c r="DF400" s="4"/>
      <c r="DG400" s="4"/>
      <c r="DH400" s="4"/>
      <c r="DI400" s="4"/>
      <c r="DJ400" s="4"/>
      <c r="DK400" s="4"/>
      <c r="DL400" s="4"/>
      <c r="DM400" s="4"/>
      <c r="DN400" s="4"/>
      <c r="DO400" s="4"/>
      <c r="DP400" s="4"/>
      <c r="DQ400" s="4"/>
      <c r="DR400" s="4"/>
      <c r="DS400" s="4"/>
      <c r="DT400" s="4"/>
      <c r="DU400" s="4"/>
      <c r="DV400" s="4"/>
      <c r="DW400" s="4"/>
      <c r="DX400" s="4"/>
      <c r="DY400" s="4"/>
      <c r="DZ400" s="4"/>
      <c r="EA400" s="4"/>
      <c r="EB400" s="4"/>
      <c r="EC400" s="4"/>
      <c r="ED400" s="4"/>
      <c r="EE400" s="4"/>
      <c r="EF400" s="4"/>
      <c r="EG400" s="4"/>
      <c r="EH400" s="4"/>
      <c r="EI400" s="4"/>
      <c r="EJ400" s="4"/>
      <c r="EK400" s="4"/>
      <c r="EL400" s="4"/>
      <c r="EM400" s="4"/>
      <c r="EN400" s="4"/>
      <c r="EO400" s="4"/>
      <c r="EP400" s="4"/>
      <c r="EQ400" s="4"/>
      <c r="ER400" s="4"/>
      <c r="ES400" s="4"/>
      <c r="ET400" s="4"/>
      <c r="EU400" s="4"/>
      <c r="EV400" s="4"/>
      <c r="EW400" s="4"/>
      <c r="EX400" s="4"/>
      <c r="EY400" s="4"/>
      <c r="EZ400" s="4"/>
      <c r="FA400" s="4"/>
      <c r="FB400" s="4"/>
      <c r="FC400" s="4"/>
      <c r="FD400" s="4"/>
      <c r="FE400" s="4"/>
      <c r="FF400" s="4"/>
    </row>
    <row r="401" spans="1:162" x14ac:dyDescent="0.2">
      <c r="A401" s="2"/>
      <c r="B401" s="2"/>
      <c r="C401" s="2"/>
      <c r="D401" s="4"/>
      <c r="E401" s="4"/>
      <c r="F401" s="4"/>
      <c r="G401" s="4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  <c r="AA401" s="4"/>
      <c r="AB401" s="4"/>
      <c r="AC401" s="4"/>
      <c r="AD401" s="4"/>
      <c r="AE401" s="4"/>
      <c r="AF401" s="4"/>
      <c r="AG401" s="4"/>
      <c r="AH401" s="4"/>
      <c r="AI401" s="4"/>
      <c r="AJ401" s="4"/>
      <c r="AK401" s="4"/>
      <c r="AL401" s="4"/>
      <c r="AM401" s="4"/>
      <c r="AN401" s="4"/>
      <c r="AO401" s="4"/>
      <c r="AP401" s="4"/>
      <c r="AQ401" s="4"/>
      <c r="AR401" s="4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/>
      <c r="BE401" s="4"/>
      <c r="BF401" s="4"/>
      <c r="BG401" s="4"/>
      <c r="BH401" s="4"/>
      <c r="BI401" s="4"/>
      <c r="BJ401" s="4"/>
      <c r="BK401" s="4"/>
      <c r="BL401" s="4"/>
      <c r="BM401" s="4"/>
      <c r="BN401" s="4"/>
      <c r="BO401" s="4"/>
      <c r="BP401" s="4"/>
      <c r="BQ401" s="4"/>
      <c r="BR401" s="4"/>
      <c r="BS401" s="4"/>
      <c r="BT401" s="4"/>
      <c r="BU401" s="4"/>
      <c r="BV401" s="4"/>
      <c r="BW401" s="4"/>
      <c r="BX401" s="4"/>
      <c r="BY401" s="4"/>
      <c r="BZ401" s="4"/>
      <c r="CA401" s="4"/>
      <c r="CB401" s="4"/>
      <c r="CC401" s="4"/>
      <c r="CD401" s="4"/>
      <c r="CE401" s="4"/>
      <c r="CF401" s="4"/>
      <c r="CG401" s="4"/>
      <c r="CH401" s="4"/>
      <c r="CI401" s="4"/>
      <c r="CJ401" s="4"/>
      <c r="CK401" s="4"/>
      <c r="CL401" s="4"/>
      <c r="CM401" s="4"/>
      <c r="CN401" s="4"/>
      <c r="CO401" s="4"/>
      <c r="CP401" s="4"/>
      <c r="CQ401" s="4"/>
      <c r="CR401" s="4"/>
      <c r="CS401" s="4"/>
      <c r="CT401" s="4"/>
      <c r="CU401" s="4"/>
      <c r="CV401" s="4"/>
      <c r="CW401" s="4"/>
      <c r="CX401" s="4"/>
      <c r="CY401" s="4"/>
      <c r="CZ401" s="4"/>
      <c r="DA401" s="4"/>
      <c r="DB401" s="4"/>
      <c r="DC401" s="4"/>
      <c r="DD401" s="4"/>
      <c r="DE401" s="4"/>
      <c r="DF401" s="4"/>
      <c r="DG401" s="4"/>
      <c r="DH401" s="4"/>
      <c r="DI401" s="4"/>
      <c r="DJ401" s="4"/>
      <c r="DK401" s="4"/>
      <c r="DL401" s="4"/>
      <c r="DM401" s="4"/>
      <c r="DN401" s="4"/>
      <c r="DO401" s="4"/>
      <c r="DP401" s="4"/>
      <c r="DQ401" s="4"/>
      <c r="DR401" s="4"/>
      <c r="DS401" s="4"/>
      <c r="DT401" s="4"/>
      <c r="DU401" s="4"/>
      <c r="DV401" s="4"/>
      <c r="DW401" s="4"/>
      <c r="DX401" s="4"/>
      <c r="DY401" s="4"/>
      <c r="DZ401" s="4"/>
      <c r="EA401" s="4"/>
      <c r="EB401" s="4"/>
      <c r="EC401" s="4"/>
      <c r="ED401" s="4"/>
      <c r="EE401" s="4"/>
      <c r="EF401" s="4"/>
      <c r="EG401" s="4"/>
      <c r="EH401" s="4"/>
      <c r="EI401" s="4"/>
      <c r="EJ401" s="4"/>
      <c r="EK401" s="4"/>
      <c r="EL401" s="4"/>
      <c r="EM401" s="4"/>
      <c r="EN401" s="4"/>
      <c r="EO401" s="4"/>
      <c r="EP401" s="4"/>
      <c r="EQ401" s="4"/>
      <c r="ER401" s="4"/>
      <c r="ES401" s="4"/>
      <c r="ET401" s="4"/>
      <c r="EU401" s="4"/>
      <c r="EV401" s="4"/>
      <c r="EW401" s="4"/>
      <c r="EX401" s="4"/>
      <c r="EY401" s="4"/>
      <c r="EZ401" s="4"/>
      <c r="FA401" s="4"/>
      <c r="FB401" s="4"/>
      <c r="FC401" s="4"/>
      <c r="FD401" s="4"/>
      <c r="FE401" s="4"/>
      <c r="FF401" s="4"/>
    </row>
    <row r="402" spans="1:162" x14ac:dyDescent="0.2">
      <c r="A402" s="2"/>
      <c r="B402" s="2"/>
      <c r="C402" s="2"/>
      <c r="D402" s="4"/>
      <c r="E402" s="4"/>
      <c r="F402" s="4"/>
      <c r="G402" s="4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  <c r="AA402" s="4"/>
      <c r="AB402" s="4"/>
      <c r="AC402" s="4"/>
      <c r="AD402" s="4"/>
      <c r="AE402" s="4"/>
      <c r="AF402" s="4"/>
      <c r="AG402" s="4"/>
      <c r="AH402" s="4"/>
      <c r="AI402" s="4"/>
      <c r="AJ402" s="4"/>
      <c r="AK402" s="4"/>
      <c r="AL402" s="4"/>
      <c r="AM402" s="4"/>
      <c r="AN402" s="4"/>
      <c r="AO402" s="4"/>
      <c r="AP402" s="4"/>
      <c r="AQ402" s="4"/>
      <c r="AR402" s="4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/>
      <c r="BE402" s="4"/>
      <c r="BF402" s="4"/>
      <c r="BG402" s="4"/>
      <c r="BH402" s="4"/>
      <c r="BI402" s="4"/>
      <c r="BJ402" s="4"/>
      <c r="BK402" s="4"/>
      <c r="BL402" s="4"/>
      <c r="BM402" s="4"/>
      <c r="BN402" s="4"/>
      <c r="BO402" s="4"/>
      <c r="BP402" s="4"/>
      <c r="BQ402" s="4"/>
      <c r="BR402" s="4"/>
      <c r="BS402" s="4"/>
      <c r="BT402" s="4"/>
      <c r="BU402" s="4"/>
      <c r="BV402" s="4"/>
      <c r="BW402" s="4"/>
      <c r="BX402" s="4"/>
      <c r="BY402" s="4"/>
      <c r="BZ402" s="4"/>
      <c r="CA402" s="4"/>
      <c r="CB402" s="4"/>
      <c r="CC402" s="4"/>
      <c r="CD402" s="4"/>
      <c r="CE402" s="4"/>
      <c r="CF402" s="4"/>
      <c r="CG402" s="4"/>
      <c r="CH402" s="4"/>
      <c r="CI402" s="4"/>
      <c r="CJ402" s="4"/>
      <c r="CK402" s="4"/>
      <c r="CL402" s="4"/>
      <c r="CM402" s="4"/>
      <c r="CN402" s="4"/>
      <c r="CO402" s="4"/>
      <c r="CP402" s="4"/>
      <c r="CQ402" s="4"/>
      <c r="CR402" s="4"/>
      <c r="CS402" s="4"/>
      <c r="CT402" s="4"/>
      <c r="CU402" s="4"/>
      <c r="CV402" s="4"/>
      <c r="CW402" s="4"/>
      <c r="CX402" s="4"/>
      <c r="CY402" s="4"/>
      <c r="CZ402" s="4"/>
      <c r="DA402" s="4"/>
      <c r="DB402" s="4"/>
      <c r="DC402" s="4"/>
      <c r="DD402" s="4"/>
      <c r="DE402" s="4"/>
      <c r="DF402" s="4"/>
      <c r="DG402" s="4"/>
      <c r="DH402" s="4"/>
      <c r="DI402" s="4"/>
      <c r="DJ402" s="4"/>
      <c r="DK402" s="4"/>
      <c r="DL402" s="4"/>
      <c r="DM402" s="4"/>
      <c r="DN402" s="4"/>
      <c r="DO402" s="4"/>
      <c r="DP402" s="4"/>
      <c r="DQ402" s="4"/>
      <c r="DR402" s="4"/>
      <c r="DS402" s="4"/>
      <c r="DT402" s="4"/>
      <c r="DU402" s="4"/>
      <c r="DV402" s="4"/>
      <c r="DW402" s="4"/>
      <c r="DX402" s="4"/>
      <c r="DY402" s="4"/>
      <c r="DZ402" s="4"/>
      <c r="EA402" s="4"/>
      <c r="EB402" s="4"/>
      <c r="EC402" s="4"/>
      <c r="ED402" s="4"/>
      <c r="EE402" s="4"/>
      <c r="EF402" s="4"/>
      <c r="EG402" s="4"/>
      <c r="EH402" s="4"/>
      <c r="EI402" s="4"/>
      <c r="EJ402" s="4"/>
      <c r="EK402" s="4"/>
      <c r="EL402" s="4"/>
      <c r="EM402" s="4"/>
      <c r="EN402" s="4"/>
      <c r="EO402" s="4"/>
      <c r="EP402" s="4"/>
      <c r="EQ402" s="4"/>
      <c r="ER402" s="4"/>
      <c r="ES402" s="4"/>
      <c r="ET402" s="4"/>
      <c r="EU402" s="4"/>
      <c r="EV402" s="4"/>
      <c r="EW402" s="4"/>
      <c r="EX402" s="4"/>
      <c r="EY402" s="4"/>
      <c r="EZ402" s="4"/>
      <c r="FA402" s="4"/>
      <c r="FB402" s="4"/>
      <c r="FC402" s="4"/>
      <c r="FD402" s="4"/>
      <c r="FE402" s="4"/>
      <c r="FF402" s="4"/>
    </row>
    <row r="403" spans="1:162" x14ac:dyDescent="0.2">
      <c r="A403" s="2"/>
      <c r="B403" s="2"/>
      <c r="C403" s="2"/>
      <c r="D403" s="4"/>
      <c r="E403" s="4"/>
      <c r="F403" s="4"/>
      <c r="G403" s="4"/>
      <c r="H403" s="4"/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  <c r="AA403" s="4"/>
      <c r="AB403" s="4"/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"/>
      <c r="AN403" s="4"/>
      <c r="AO403" s="4"/>
      <c r="AP403" s="4"/>
      <c r="AQ403" s="4"/>
      <c r="AR403" s="4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/>
      <c r="BE403" s="4"/>
      <c r="BF403" s="4"/>
      <c r="BG403" s="4"/>
      <c r="BH403" s="4"/>
      <c r="BI403" s="4"/>
      <c r="BJ403" s="4"/>
      <c r="BK403" s="4"/>
      <c r="BL403" s="4"/>
      <c r="BM403" s="4"/>
      <c r="BN403" s="4"/>
      <c r="BO403" s="4"/>
      <c r="BP403" s="4"/>
      <c r="BQ403" s="4"/>
      <c r="BR403" s="4"/>
      <c r="BS403" s="4"/>
      <c r="BT403" s="4"/>
      <c r="BU403" s="4"/>
      <c r="BV403" s="4"/>
      <c r="BW403" s="4"/>
      <c r="BX403" s="4"/>
      <c r="BY403" s="4"/>
      <c r="BZ403" s="4"/>
      <c r="CA403" s="4"/>
      <c r="CB403" s="4"/>
      <c r="CC403" s="4"/>
      <c r="CD403" s="4"/>
      <c r="CE403" s="4"/>
      <c r="CF403" s="4"/>
      <c r="CG403" s="4"/>
      <c r="CH403" s="4"/>
      <c r="CI403" s="4"/>
      <c r="CJ403" s="4"/>
      <c r="CK403" s="4"/>
      <c r="CL403" s="4"/>
      <c r="CM403" s="4"/>
      <c r="CN403" s="4"/>
      <c r="CO403" s="4"/>
      <c r="CP403" s="4"/>
      <c r="CQ403" s="4"/>
      <c r="CR403" s="4"/>
      <c r="CS403" s="4"/>
      <c r="CT403" s="4"/>
      <c r="CU403" s="4"/>
      <c r="CV403" s="4"/>
      <c r="CW403" s="4"/>
      <c r="CX403" s="4"/>
      <c r="CY403" s="4"/>
      <c r="CZ403" s="4"/>
      <c r="DA403" s="4"/>
      <c r="DB403" s="4"/>
      <c r="DC403" s="4"/>
      <c r="DD403" s="4"/>
      <c r="DE403" s="4"/>
      <c r="DF403" s="4"/>
      <c r="DG403" s="4"/>
      <c r="DH403" s="4"/>
      <c r="DI403" s="4"/>
      <c r="DJ403" s="4"/>
      <c r="DK403" s="4"/>
      <c r="DL403" s="4"/>
      <c r="DM403" s="4"/>
      <c r="DN403" s="4"/>
      <c r="DO403" s="4"/>
      <c r="DP403" s="4"/>
      <c r="DQ403" s="4"/>
      <c r="DR403" s="4"/>
      <c r="DS403" s="4"/>
      <c r="DT403" s="4"/>
      <c r="DU403" s="4"/>
      <c r="DV403" s="4"/>
      <c r="DW403" s="4"/>
      <c r="DX403" s="4"/>
      <c r="DY403" s="4"/>
      <c r="DZ403" s="4"/>
      <c r="EA403" s="4"/>
      <c r="EB403" s="4"/>
      <c r="EC403" s="4"/>
      <c r="ED403" s="4"/>
      <c r="EE403" s="4"/>
      <c r="EF403" s="4"/>
      <c r="EG403" s="4"/>
      <c r="EH403" s="4"/>
      <c r="EI403" s="4"/>
      <c r="EJ403" s="4"/>
      <c r="EK403" s="4"/>
      <c r="EL403" s="4"/>
      <c r="EM403" s="4"/>
      <c r="EN403" s="4"/>
      <c r="EO403" s="4"/>
      <c r="EP403" s="4"/>
      <c r="EQ403" s="4"/>
      <c r="ER403" s="4"/>
      <c r="ES403" s="4"/>
      <c r="ET403" s="4"/>
      <c r="EU403" s="4"/>
      <c r="EV403" s="4"/>
      <c r="EW403" s="4"/>
      <c r="EX403" s="4"/>
      <c r="EY403" s="4"/>
      <c r="EZ403" s="4"/>
      <c r="FA403" s="4"/>
      <c r="FB403" s="4"/>
      <c r="FC403" s="4"/>
      <c r="FD403" s="4"/>
      <c r="FE403" s="4"/>
      <c r="FF403" s="4"/>
    </row>
    <row r="404" spans="1:162" x14ac:dyDescent="0.2">
      <c r="A404" s="2"/>
      <c r="B404" s="2"/>
      <c r="C404" s="2"/>
      <c r="D404" s="4"/>
      <c r="E404" s="4"/>
      <c r="F404" s="4"/>
      <c r="G404" s="4"/>
      <c r="H404" s="4"/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  <c r="AA404" s="4"/>
      <c r="AB404" s="4"/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"/>
      <c r="AN404" s="4"/>
      <c r="AO404" s="4"/>
      <c r="AP404" s="4"/>
      <c r="AQ404" s="4"/>
      <c r="AR404" s="4"/>
      <c r="AS404" s="4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/>
      <c r="BE404" s="4"/>
      <c r="BF404" s="4"/>
      <c r="BG404" s="4"/>
      <c r="BH404" s="4"/>
      <c r="BI404" s="4"/>
      <c r="BJ404" s="4"/>
      <c r="BK404" s="4"/>
      <c r="BL404" s="4"/>
      <c r="BM404" s="4"/>
      <c r="BN404" s="4"/>
      <c r="BO404" s="4"/>
      <c r="BP404" s="4"/>
      <c r="BQ404" s="4"/>
      <c r="BR404" s="4"/>
      <c r="BS404" s="4"/>
      <c r="BT404" s="4"/>
      <c r="BU404" s="4"/>
      <c r="BV404" s="4"/>
      <c r="BW404" s="4"/>
      <c r="BX404" s="4"/>
      <c r="BY404" s="4"/>
      <c r="BZ404" s="4"/>
      <c r="CA404" s="4"/>
      <c r="CB404" s="4"/>
      <c r="CC404" s="4"/>
      <c r="CD404" s="4"/>
      <c r="CE404" s="4"/>
      <c r="CF404" s="4"/>
      <c r="CG404" s="4"/>
      <c r="CH404" s="4"/>
      <c r="CI404" s="4"/>
      <c r="CJ404" s="4"/>
      <c r="CK404" s="4"/>
      <c r="CL404" s="4"/>
      <c r="CM404" s="4"/>
      <c r="CN404" s="4"/>
      <c r="CO404" s="4"/>
      <c r="CP404" s="4"/>
      <c r="CQ404" s="4"/>
      <c r="CR404" s="4"/>
      <c r="CS404" s="4"/>
      <c r="CT404" s="4"/>
      <c r="CU404" s="4"/>
      <c r="CV404" s="4"/>
      <c r="CW404" s="4"/>
      <c r="CX404" s="4"/>
      <c r="CY404" s="4"/>
      <c r="CZ404" s="4"/>
      <c r="DA404" s="4"/>
      <c r="DB404" s="4"/>
      <c r="DC404" s="4"/>
      <c r="DD404" s="4"/>
      <c r="DE404" s="4"/>
      <c r="DF404" s="4"/>
      <c r="DG404" s="4"/>
      <c r="DH404" s="4"/>
      <c r="DI404" s="4"/>
      <c r="DJ404" s="4"/>
      <c r="DK404" s="4"/>
      <c r="DL404" s="4"/>
      <c r="DM404" s="4"/>
      <c r="DN404" s="4"/>
      <c r="DO404" s="4"/>
      <c r="DP404" s="4"/>
      <c r="DQ404" s="4"/>
      <c r="DR404" s="4"/>
      <c r="DS404" s="4"/>
      <c r="DT404" s="4"/>
      <c r="DU404" s="4"/>
      <c r="DV404" s="4"/>
      <c r="DW404" s="4"/>
      <c r="DX404" s="4"/>
      <c r="DY404" s="4"/>
      <c r="DZ404" s="4"/>
      <c r="EA404" s="4"/>
      <c r="EB404" s="4"/>
      <c r="EC404" s="4"/>
      <c r="ED404" s="4"/>
      <c r="EE404" s="4"/>
      <c r="EF404" s="4"/>
      <c r="EG404" s="4"/>
      <c r="EH404" s="4"/>
      <c r="EI404" s="4"/>
      <c r="EJ404" s="4"/>
      <c r="EK404" s="4"/>
      <c r="EL404" s="4"/>
      <c r="EM404" s="4"/>
      <c r="EN404" s="4"/>
      <c r="EO404" s="4"/>
      <c r="EP404" s="4"/>
      <c r="EQ404" s="4"/>
      <c r="ER404" s="4"/>
      <c r="ES404" s="4"/>
      <c r="ET404" s="4"/>
      <c r="EU404" s="4"/>
      <c r="EV404" s="4"/>
      <c r="EW404" s="4"/>
      <c r="EX404" s="4"/>
      <c r="EY404" s="4"/>
      <c r="EZ404" s="4"/>
      <c r="FA404" s="4"/>
      <c r="FB404" s="4"/>
      <c r="FC404" s="4"/>
      <c r="FD404" s="4"/>
      <c r="FE404" s="4"/>
      <c r="FF404" s="4"/>
    </row>
    <row r="405" spans="1:162" x14ac:dyDescent="0.2">
      <c r="A405" s="2"/>
      <c r="B405" s="2"/>
      <c r="C405" s="2"/>
      <c r="D405" s="4"/>
      <c r="E405" s="4"/>
      <c r="F405" s="4"/>
      <c r="G405" s="4"/>
      <c r="H405" s="4"/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  <c r="AA405" s="4"/>
      <c r="AB405" s="4"/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"/>
      <c r="AN405" s="4"/>
      <c r="AO405" s="4"/>
      <c r="AP405" s="4"/>
      <c r="AQ405" s="4"/>
      <c r="AR405" s="4"/>
      <c r="AS405" s="4"/>
      <c r="AT405" s="4"/>
      <c r="AU405" s="4"/>
      <c r="AV405" s="4"/>
      <c r="AW405" s="4"/>
      <c r="AX405" s="4"/>
      <c r="AY405" s="4"/>
      <c r="AZ405" s="4"/>
      <c r="BA405" s="4"/>
      <c r="BB405" s="4"/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4"/>
      <c r="BX405" s="4"/>
      <c r="BY405" s="4"/>
      <c r="BZ405" s="4"/>
      <c r="CA405" s="4"/>
      <c r="CB405" s="4"/>
      <c r="CC405" s="4"/>
      <c r="CD405" s="4"/>
      <c r="CE405" s="4"/>
      <c r="CF405" s="4"/>
      <c r="CG405" s="4"/>
      <c r="CH405" s="4"/>
      <c r="CI405" s="4"/>
      <c r="CJ405" s="4"/>
      <c r="CK405" s="4"/>
      <c r="CL405" s="4"/>
      <c r="CM405" s="4"/>
      <c r="CN405" s="4"/>
      <c r="CO405" s="4"/>
      <c r="CP405" s="4"/>
      <c r="CQ405" s="4"/>
      <c r="CR405" s="4"/>
      <c r="CS405" s="4"/>
      <c r="CT405" s="4"/>
      <c r="CU405" s="4"/>
      <c r="CV405" s="4"/>
      <c r="CW405" s="4"/>
      <c r="CX405" s="4"/>
      <c r="CY405" s="4"/>
      <c r="CZ405" s="4"/>
      <c r="DA405" s="4"/>
      <c r="DB405" s="4"/>
      <c r="DC405" s="4"/>
      <c r="DD405" s="4"/>
      <c r="DE405" s="4"/>
      <c r="DF405" s="4"/>
      <c r="DG405" s="4"/>
      <c r="DH405" s="4"/>
      <c r="DI405" s="4"/>
      <c r="DJ405" s="4"/>
      <c r="DK405" s="4"/>
      <c r="DL405" s="4"/>
      <c r="DM405" s="4"/>
      <c r="DN405" s="4"/>
      <c r="DO405" s="4"/>
      <c r="DP405" s="4"/>
      <c r="DQ405" s="4"/>
      <c r="DR405" s="4"/>
      <c r="DS405" s="4"/>
      <c r="DT405" s="4"/>
      <c r="DU405" s="4"/>
      <c r="DV405" s="4"/>
      <c r="DW405" s="4"/>
      <c r="DX405" s="4"/>
      <c r="DY405" s="4"/>
      <c r="DZ405" s="4"/>
      <c r="EA405" s="4"/>
      <c r="EB405" s="4"/>
      <c r="EC405" s="4"/>
      <c r="ED405" s="4"/>
      <c r="EE405" s="4"/>
      <c r="EF405" s="4"/>
      <c r="EG405" s="4"/>
      <c r="EH405" s="4"/>
      <c r="EI405" s="4"/>
      <c r="EJ405" s="4"/>
      <c r="EK405" s="4"/>
      <c r="EL405" s="4"/>
      <c r="EM405" s="4"/>
      <c r="EN405" s="4"/>
      <c r="EO405" s="4"/>
      <c r="EP405" s="4"/>
      <c r="EQ405" s="4"/>
      <c r="ER405" s="4"/>
      <c r="ES405" s="4"/>
      <c r="ET405" s="4"/>
      <c r="EU405" s="4"/>
      <c r="EV405" s="4"/>
      <c r="EW405" s="4"/>
      <c r="EX405" s="4"/>
      <c r="EY405" s="4"/>
      <c r="EZ405" s="4"/>
      <c r="FA405" s="4"/>
      <c r="FB405" s="4"/>
      <c r="FC405" s="4"/>
      <c r="FD405" s="4"/>
      <c r="FE405" s="4"/>
      <c r="FF405" s="4"/>
    </row>
    <row r="406" spans="1:162" x14ac:dyDescent="0.2">
      <c r="A406" s="2"/>
      <c r="B406" s="2"/>
      <c r="C406" s="2"/>
      <c r="D406" s="4"/>
      <c r="E406" s="4"/>
      <c r="F406" s="4"/>
      <c r="G406" s="4"/>
      <c r="H406" s="4"/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  <c r="AA406" s="4"/>
      <c r="AB406" s="4"/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"/>
      <c r="AN406" s="4"/>
      <c r="AO406" s="4"/>
      <c r="AP406" s="4"/>
      <c r="AQ406" s="4"/>
      <c r="AR406" s="4"/>
      <c r="AS406" s="4"/>
      <c r="AT406" s="4"/>
      <c r="AU406" s="4"/>
      <c r="AV406" s="4"/>
      <c r="AW406" s="4"/>
      <c r="AX406" s="4"/>
      <c r="AY406" s="4"/>
      <c r="AZ406" s="4"/>
      <c r="BA406" s="4"/>
      <c r="BB406" s="4"/>
      <c r="BC406" s="4"/>
      <c r="BD406" s="4"/>
      <c r="BE406" s="4"/>
      <c r="BF406" s="4"/>
      <c r="BG406" s="4"/>
      <c r="BH406" s="4"/>
      <c r="BI406" s="4"/>
      <c r="BJ406" s="4"/>
      <c r="BK406" s="4"/>
      <c r="BL406" s="4"/>
      <c r="BM406" s="4"/>
      <c r="BN406" s="4"/>
      <c r="BO406" s="4"/>
      <c r="BP406" s="4"/>
      <c r="BQ406" s="4"/>
      <c r="BR406" s="4"/>
      <c r="BS406" s="4"/>
      <c r="BT406" s="4"/>
      <c r="BU406" s="4"/>
      <c r="BV406" s="4"/>
      <c r="BW406" s="4"/>
      <c r="BX406" s="4"/>
      <c r="BY406" s="4"/>
      <c r="BZ406" s="4"/>
      <c r="CA406" s="4"/>
      <c r="CB406" s="4"/>
      <c r="CC406" s="4"/>
      <c r="CD406" s="4"/>
      <c r="CE406" s="4"/>
      <c r="CF406" s="4"/>
      <c r="CG406" s="4"/>
      <c r="CH406" s="4"/>
      <c r="CI406" s="4"/>
      <c r="CJ406" s="4"/>
      <c r="CK406" s="4"/>
      <c r="CL406" s="4"/>
      <c r="CM406" s="4"/>
      <c r="CN406" s="4"/>
      <c r="CO406" s="4"/>
      <c r="CP406" s="4"/>
      <c r="CQ406" s="4"/>
      <c r="CR406" s="4"/>
      <c r="CS406" s="4"/>
      <c r="CT406" s="4"/>
      <c r="CU406" s="4"/>
      <c r="CV406" s="4"/>
      <c r="CW406" s="4"/>
      <c r="CX406" s="4"/>
      <c r="CY406" s="4"/>
      <c r="CZ406" s="4"/>
      <c r="DA406" s="4"/>
      <c r="DB406" s="4"/>
      <c r="DC406" s="4"/>
      <c r="DD406" s="4"/>
      <c r="DE406" s="4"/>
      <c r="DF406" s="4"/>
      <c r="DG406" s="4"/>
      <c r="DH406" s="4"/>
      <c r="DI406" s="4"/>
      <c r="DJ406" s="4"/>
      <c r="DK406" s="4"/>
      <c r="DL406" s="4"/>
      <c r="DM406" s="4"/>
      <c r="DN406" s="4"/>
      <c r="DO406" s="4"/>
      <c r="DP406" s="4"/>
      <c r="DQ406" s="4"/>
      <c r="DR406" s="4"/>
      <c r="DS406" s="4"/>
      <c r="DT406" s="4"/>
      <c r="DU406" s="4"/>
      <c r="DV406" s="4"/>
      <c r="DW406" s="4"/>
      <c r="DX406" s="4"/>
      <c r="DY406" s="4"/>
      <c r="DZ406" s="4"/>
      <c r="EA406" s="4"/>
      <c r="EB406" s="4"/>
      <c r="EC406" s="4"/>
      <c r="ED406" s="4"/>
      <c r="EE406" s="4"/>
      <c r="EF406" s="4"/>
      <c r="EG406" s="4"/>
      <c r="EH406" s="4"/>
      <c r="EI406" s="4"/>
      <c r="EJ406" s="4"/>
      <c r="EK406" s="4"/>
      <c r="EL406" s="4"/>
      <c r="EM406" s="4"/>
      <c r="EN406" s="4"/>
      <c r="EO406" s="4"/>
      <c r="EP406" s="4"/>
      <c r="EQ406" s="4"/>
      <c r="ER406" s="4"/>
      <c r="ES406" s="4"/>
      <c r="ET406" s="4"/>
      <c r="EU406" s="4"/>
      <c r="EV406" s="4"/>
      <c r="EW406" s="4"/>
      <c r="EX406" s="4"/>
      <c r="EY406" s="4"/>
      <c r="EZ406" s="4"/>
      <c r="FA406" s="4"/>
      <c r="FB406" s="4"/>
      <c r="FC406" s="4"/>
      <c r="FD406" s="4"/>
      <c r="FE406" s="4"/>
      <c r="FF406" s="4"/>
    </row>
    <row r="407" spans="1:162" x14ac:dyDescent="0.2">
      <c r="A407" s="2"/>
      <c r="B407" s="2"/>
      <c r="C407" s="2"/>
      <c r="D407" s="4"/>
      <c r="E407" s="4"/>
      <c r="F407" s="4"/>
      <c r="G407" s="4"/>
      <c r="H407" s="4"/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  <c r="AA407" s="4"/>
      <c r="AB407" s="4"/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"/>
      <c r="AN407" s="4"/>
      <c r="AO407" s="4"/>
      <c r="AP407" s="4"/>
      <c r="AQ407" s="4"/>
      <c r="AR407" s="4"/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/>
      <c r="BE407" s="4"/>
      <c r="BF407" s="4"/>
      <c r="BG407" s="4"/>
      <c r="BH407" s="4"/>
      <c r="BI407" s="4"/>
      <c r="BJ407" s="4"/>
      <c r="BK407" s="4"/>
      <c r="BL407" s="4"/>
      <c r="BM407" s="4"/>
      <c r="BN407" s="4"/>
      <c r="BO407" s="4"/>
      <c r="BP407" s="4"/>
      <c r="BQ407" s="4"/>
      <c r="BR407" s="4"/>
      <c r="BS407" s="4"/>
      <c r="BT407" s="4"/>
      <c r="BU407" s="4"/>
      <c r="BV407" s="4"/>
      <c r="BW407" s="4"/>
      <c r="BX407" s="4"/>
      <c r="BY407" s="4"/>
      <c r="BZ407" s="4"/>
      <c r="CA407" s="4"/>
      <c r="CB407" s="4"/>
      <c r="CC407" s="4"/>
      <c r="CD407" s="4"/>
      <c r="CE407" s="4"/>
      <c r="CF407" s="4"/>
      <c r="CG407" s="4"/>
      <c r="CH407" s="4"/>
      <c r="CI407" s="4"/>
      <c r="CJ407" s="4"/>
      <c r="CK407" s="4"/>
      <c r="CL407" s="4"/>
      <c r="CM407" s="4"/>
      <c r="CN407" s="4"/>
      <c r="CO407" s="4"/>
      <c r="CP407" s="4"/>
      <c r="CQ407" s="4"/>
      <c r="CR407" s="4"/>
      <c r="CS407" s="4"/>
      <c r="CT407" s="4"/>
      <c r="CU407" s="4"/>
      <c r="CV407" s="4"/>
      <c r="CW407" s="4"/>
      <c r="CX407" s="4"/>
      <c r="CY407" s="4"/>
      <c r="CZ407" s="4"/>
      <c r="DA407" s="4"/>
      <c r="DB407" s="4"/>
      <c r="DC407" s="4"/>
      <c r="DD407" s="4"/>
      <c r="DE407" s="4"/>
      <c r="DF407" s="4"/>
      <c r="DG407" s="4"/>
      <c r="DH407" s="4"/>
      <c r="DI407" s="4"/>
      <c r="DJ407" s="4"/>
      <c r="DK407" s="4"/>
      <c r="DL407" s="4"/>
      <c r="DM407" s="4"/>
      <c r="DN407" s="4"/>
      <c r="DO407" s="4"/>
      <c r="DP407" s="4"/>
      <c r="DQ407" s="4"/>
      <c r="DR407" s="4"/>
      <c r="DS407" s="4"/>
      <c r="DT407" s="4"/>
      <c r="DU407" s="4"/>
      <c r="DV407" s="4"/>
      <c r="DW407" s="4"/>
      <c r="DX407" s="4"/>
      <c r="DY407" s="4"/>
      <c r="DZ407" s="4"/>
      <c r="EA407" s="4"/>
      <c r="EB407" s="4"/>
      <c r="EC407" s="4"/>
      <c r="ED407" s="4"/>
      <c r="EE407" s="4"/>
      <c r="EF407" s="4"/>
      <c r="EG407" s="4"/>
      <c r="EH407" s="4"/>
      <c r="EI407" s="4"/>
      <c r="EJ407" s="4"/>
      <c r="EK407" s="4"/>
      <c r="EL407" s="4"/>
      <c r="EM407" s="4"/>
      <c r="EN407" s="4"/>
      <c r="EO407" s="4"/>
      <c r="EP407" s="4"/>
      <c r="EQ407" s="4"/>
      <c r="ER407" s="4"/>
      <c r="ES407" s="4"/>
      <c r="ET407" s="4"/>
      <c r="EU407" s="4"/>
      <c r="EV407" s="4"/>
      <c r="EW407" s="4"/>
      <c r="EX407" s="4"/>
      <c r="EY407" s="4"/>
      <c r="EZ407" s="4"/>
      <c r="FA407" s="4"/>
      <c r="FB407" s="4"/>
      <c r="FC407" s="4"/>
      <c r="FD407" s="4"/>
      <c r="FE407" s="4"/>
      <c r="FF407" s="4"/>
    </row>
    <row r="408" spans="1:162" x14ac:dyDescent="0.2">
      <c r="A408" s="2"/>
      <c r="B408" s="2"/>
      <c r="C408" s="2"/>
      <c r="D408" s="4"/>
      <c r="E408" s="4"/>
      <c r="F408" s="4"/>
      <c r="G408" s="4"/>
      <c r="H408" s="4"/>
      <c r="I408" s="4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  <c r="AA408" s="4"/>
      <c r="AB408" s="4"/>
      <c r="AC408" s="4"/>
      <c r="AD408" s="4"/>
      <c r="AE408" s="4"/>
      <c r="AF408" s="4"/>
      <c r="AG408" s="4"/>
      <c r="AH408" s="4"/>
      <c r="AI408" s="4"/>
      <c r="AJ408" s="4"/>
      <c r="AK408" s="4"/>
      <c r="AL408" s="4"/>
      <c r="AM408" s="4"/>
      <c r="AN408" s="4"/>
      <c r="AO408" s="4"/>
      <c r="AP408" s="4"/>
      <c r="AQ408" s="4"/>
      <c r="AR408" s="4"/>
      <c r="AS408" s="4"/>
      <c r="AT408" s="4"/>
      <c r="AU408" s="4"/>
      <c r="AV408" s="4"/>
      <c r="AW408" s="4"/>
      <c r="AX408" s="4"/>
      <c r="AY408" s="4"/>
      <c r="AZ408" s="4"/>
      <c r="BA408" s="4"/>
      <c r="BB408" s="4"/>
      <c r="BC408" s="4"/>
      <c r="BD408" s="4"/>
      <c r="BE408" s="4"/>
      <c r="BF408" s="4"/>
      <c r="BG408" s="4"/>
      <c r="BH408" s="4"/>
      <c r="BI408" s="4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4"/>
      <c r="BX408" s="4"/>
      <c r="BY408" s="4"/>
      <c r="BZ408" s="4"/>
      <c r="CA408" s="4"/>
      <c r="CB408" s="4"/>
      <c r="CC408" s="4"/>
      <c r="CD408" s="4"/>
      <c r="CE408" s="4"/>
      <c r="CF408" s="4"/>
      <c r="CG408" s="4"/>
      <c r="CH408" s="4"/>
      <c r="CI408" s="4"/>
      <c r="CJ408" s="4"/>
      <c r="CK408" s="4"/>
      <c r="CL408" s="4"/>
      <c r="CM408" s="4"/>
      <c r="CN408" s="4"/>
      <c r="CO408" s="4"/>
      <c r="CP408" s="4"/>
      <c r="CQ408" s="4"/>
      <c r="CR408" s="4"/>
      <c r="CS408" s="4"/>
      <c r="CT408" s="4"/>
      <c r="CU408" s="4"/>
      <c r="CV408" s="4"/>
      <c r="CW408" s="4"/>
      <c r="CX408" s="4"/>
      <c r="CY408" s="4"/>
      <c r="CZ408" s="4"/>
      <c r="DA408" s="4"/>
      <c r="DB408" s="4"/>
      <c r="DC408" s="4"/>
      <c r="DD408" s="4"/>
      <c r="DE408" s="4"/>
      <c r="DF408" s="4"/>
      <c r="DG408" s="4"/>
      <c r="DH408" s="4"/>
      <c r="DI408" s="4"/>
      <c r="DJ408" s="4"/>
      <c r="DK408" s="4"/>
      <c r="DL408" s="4"/>
      <c r="DM408" s="4"/>
      <c r="DN408" s="4"/>
      <c r="DO408" s="4"/>
      <c r="DP408" s="4"/>
      <c r="DQ408" s="4"/>
      <c r="DR408" s="4"/>
      <c r="DS408" s="4"/>
      <c r="DT408" s="4"/>
      <c r="DU408" s="4"/>
      <c r="DV408" s="4"/>
      <c r="DW408" s="4"/>
      <c r="DX408" s="4"/>
      <c r="DY408" s="4"/>
      <c r="DZ408" s="4"/>
      <c r="EA408" s="4"/>
      <c r="EB408" s="4"/>
      <c r="EC408" s="4"/>
      <c r="ED408" s="4"/>
      <c r="EE408" s="4"/>
      <c r="EF408" s="4"/>
      <c r="EG408" s="4"/>
      <c r="EH408" s="4"/>
      <c r="EI408" s="4"/>
      <c r="EJ408" s="4"/>
      <c r="EK408" s="4"/>
      <c r="EL408" s="4"/>
      <c r="EM408" s="4"/>
      <c r="EN408" s="4"/>
      <c r="EO408" s="4"/>
      <c r="EP408" s="4"/>
      <c r="EQ408" s="4"/>
      <c r="ER408" s="4"/>
      <c r="ES408" s="4"/>
      <c r="ET408" s="4"/>
      <c r="EU408" s="4"/>
      <c r="EV408" s="4"/>
      <c r="EW408" s="4"/>
      <c r="EX408" s="4"/>
      <c r="EY408" s="4"/>
      <c r="EZ408" s="4"/>
      <c r="FA408" s="4"/>
      <c r="FB408" s="4"/>
      <c r="FC408" s="4"/>
      <c r="FD408" s="4"/>
      <c r="FE408" s="4"/>
      <c r="FF408" s="4"/>
    </row>
    <row r="409" spans="1:162" x14ac:dyDescent="0.2">
      <c r="A409" s="2"/>
      <c r="B409" s="2"/>
      <c r="C409" s="2"/>
      <c r="D409" s="4"/>
      <c r="E409" s="4"/>
      <c r="F409" s="4"/>
      <c r="G409" s="4"/>
      <c r="H409" s="4"/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  <c r="AA409" s="4"/>
      <c r="AB409" s="4"/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"/>
      <c r="AN409" s="4"/>
      <c r="AO409" s="4"/>
      <c r="AP409" s="4"/>
      <c r="AQ409" s="4"/>
      <c r="AR409" s="4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/>
      <c r="BE409" s="4"/>
      <c r="BF409" s="4"/>
      <c r="BG409" s="4"/>
      <c r="BH409" s="4"/>
      <c r="BI409" s="4"/>
      <c r="BJ409" s="4"/>
      <c r="BK409" s="4"/>
      <c r="BL409" s="4"/>
      <c r="BM409" s="4"/>
      <c r="BN409" s="4"/>
      <c r="BO409" s="4"/>
      <c r="BP409" s="4"/>
      <c r="BQ409" s="4"/>
      <c r="BR409" s="4"/>
      <c r="BS409" s="4"/>
      <c r="BT409" s="4"/>
      <c r="BU409" s="4"/>
      <c r="BV409" s="4"/>
      <c r="BW409" s="4"/>
      <c r="BX409" s="4"/>
      <c r="BY409" s="4"/>
      <c r="BZ409" s="4"/>
      <c r="CA409" s="4"/>
      <c r="CB409" s="4"/>
      <c r="CC409" s="4"/>
      <c r="CD409" s="4"/>
      <c r="CE409" s="4"/>
      <c r="CF409" s="4"/>
      <c r="CG409" s="4"/>
      <c r="CH409" s="4"/>
      <c r="CI409" s="4"/>
      <c r="CJ409" s="4"/>
      <c r="CK409" s="4"/>
      <c r="CL409" s="4"/>
      <c r="CM409" s="4"/>
      <c r="CN409" s="4"/>
      <c r="CO409" s="4"/>
      <c r="CP409" s="4"/>
      <c r="CQ409" s="4"/>
      <c r="CR409" s="4"/>
      <c r="CS409" s="4"/>
      <c r="CT409" s="4"/>
      <c r="CU409" s="4"/>
      <c r="CV409" s="4"/>
      <c r="CW409" s="4"/>
      <c r="CX409" s="4"/>
      <c r="CY409" s="4"/>
      <c r="CZ409" s="4"/>
      <c r="DA409" s="4"/>
      <c r="DB409" s="4"/>
      <c r="DC409" s="4"/>
      <c r="DD409" s="4"/>
      <c r="DE409" s="4"/>
      <c r="DF409" s="4"/>
      <c r="DG409" s="4"/>
      <c r="DH409" s="4"/>
      <c r="DI409" s="4"/>
      <c r="DJ409" s="4"/>
      <c r="DK409" s="4"/>
      <c r="DL409" s="4"/>
      <c r="DM409" s="4"/>
      <c r="DN409" s="4"/>
      <c r="DO409" s="4"/>
      <c r="DP409" s="4"/>
      <c r="DQ409" s="4"/>
      <c r="DR409" s="4"/>
      <c r="DS409" s="4"/>
      <c r="DT409" s="4"/>
      <c r="DU409" s="4"/>
      <c r="DV409" s="4"/>
      <c r="DW409" s="4"/>
      <c r="DX409" s="4"/>
      <c r="DY409" s="4"/>
      <c r="DZ409" s="4"/>
      <c r="EA409" s="4"/>
      <c r="EB409" s="4"/>
      <c r="EC409" s="4"/>
      <c r="ED409" s="4"/>
      <c r="EE409" s="4"/>
      <c r="EF409" s="4"/>
      <c r="EG409" s="4"/>
      <c r="EH409" s="4"/>
      <c r="EI409" s="4"/>
      <c r="EJ409" s="4"/>
      <c r="EK409" s="4"/>
      <c r="EL409" s="4"/>
      <c r="EM409" s="4"/>
      <c r="EN409" s="4"/>
      <c r="EO409" s="4"/>
      <c r="EP409" s="4"/>
      <c r="EQ409" s="4"/>
      <c r="ER409" s="4"/>
      <c r="ES409" s="4"/>
      <c r="ET409" s="4"/>
      <c r="EU409" s="4"/>
      <c r="EV409" s="4"/>
      <c r="EW409" s="4"/>
      <c r="EX409" s="4"/>
      <c r="EY409" s="4"/>
      <c r="EZ409" s="4"/>
      <c r="FA409" s="4"/>
      <c r="FB409" s="4"/>
      <c r="FC409" s="4"/>
      <c r="FD409" s="4"/>
      <c r="FE409" s="4"/>
      <c r="FF409" s="4"/>
    </row>
    <row r="410" spans="1:162" x14ac:dyDescent="0.2">
      <c r="A410" s="2"/>
      <c r="B410" s="2"/>
      <c r="C410" s="2"/>
      <c r="D410" s="4"/>
      <c r="E410" s="4"/>
      <c r="F410" s="4"/>
      <c r="G410" s="4"/>
      <c r="H410" s="4"/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  <c r="AA410" s="4"/>
      <c r="AB410" s="4"/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"/>
      <c r="AN410" s="4"/>
      <c r="AO410" s="4"/>
      <c r="AP410" s="4"/>
      <c r="AQ410" s="4"/>
      <c r="AR410" s="4"/>
      <c r="AS410" s="4"/>
      <c r="AT410" s="4"/>
      <c r="AU410" s="4"/>
      <c r="AV410" s="4"/>
      <c r="AW410" s="4"/>
      <c r="AX410" s="4"/>
      <c r="AY410" s="4"/>
      <c r="AZ410" s="4"/>
      <c r="BA410" s="4"/>
      <c r="BB410" s="4"/>
      <c r="BC410" s="4"/>
      <c r="BD410" s="4"/>
      <c r="BE410" s="4"/>
      <c r="BF410" s="4"/>
      <c r="BG410" s="4"/>
      <c r="BH410" s="4"/>
      <c r="BI410" s="4"/>
      <c r="BJ410" s="4"/>
      <c r="BK410" s="4"/>
      <c r="BL410" s="4"/>
      <c r="BM410" s="4"/>
      <c r="BN410" s="4"/>
      <c r="BO410" s="4"/>
      <c r="BP410" s="4"/>
      <c r="BQ410" s="4"/>
      <c r="BR410" s="4"/>
      <c r="BS410" s="4"/>
      <c r="BT410" s="4"/>
      <c r="BU410" s="4"/>
      <c r="BV410" s="4"/>
      <c r="BW410" s="4"/>
      <c r="BX410" s="4"/>
      <c r="BY410" s="4"/>
      <c r="BZ410" s="4"/>
      <c r="CA410" s="4"/>
      <c r="CB410" s="4"/>
      <c r="CC410" s="4"/>
      <c r="CD410" s="4"/>
      <c r="CE410" s="4"/>
      <c r="CF410" s="4"/>
      <c r="CG410" s="4"/>
      <c r="CH410" s="4"/>
      <c r="CI410" s="4"/>
      <c r="CJ410" s="4"/>
      <c r="CK410" s="4"/>
      <c r="CL410" s="4"/>
      <c r="CM410" s="4"/>
      <c r="CN410" s="4"/>
      <c r="CO410" s="4"/>
      <c r="CP410" s="4"/>
      <c r="CQ410" s="4"/>
      <c r="CR410" s="4"/>
      <c r="CS410" s="4"/>
      <c r="CT410" s="4"/>
      <c r="CU410" s="4"/>
      <c r="CV410" s="4"/>
      <c r="CW410" s="4"/>
      <c r="CX410" s="4"/>
      <c r="CY410" s="4"/>
      <c r="CZ410" s="4"/>
      <c r="DA410" s="4"/>
      <c r="DB410" s="4"/>
      <c r="DC410" s="4"/>
      <c r="DD410" s="4"/>
      <c r="DE410" s="4"/>
      <c r="DF410" s="4"/>
      <c r="DG410" s="4"/>
      <c r="DH410" s="4"/>
      <c r="DI410" s="4"/>
      <c r="DJ410" s="4"/>
      <c r="DK410" s="4"/>
      <c r="DL410" s="4"/>
      <c r="DM410" s="4"/>
      <c r="DN410" s="4"/>
      <c r="DO410" s="4"/>
      <c r="DP410" s="4"/>
      <c r="DQ410" s="4"/>
      <c r="DR410" s="4"/>
      <c r="DS410" s="4"/>
      <c r="DT410" s="4"/>
      <c r="DU410" s="4"/>
      <c r="DV410" s="4"/>
      <c r="DW410" s="4"/>
      <c r="DX410" s="4"/>
      <c r="DY410" s="4"/>
      <c r="DZ410" s="4"/>
      <c r="EA410" s="4"/>
      <c r="EB410" s="4"/>
      <c r="EC410" s="4"/>
      <c r="ED410" s="4"/>
      <c r="EE410" s="4"/>
      <c r="EF410" s="4"/>
      <c r="EG410" s="4"/>
      <c r="EH410" s="4"/>
      <c r="EI410" s="4"/>
      <c r="EJ410" s="4"/>
      <c r="EK410" s="4"/>
      <c r="EL410" s="4"/>
      <c r="EM410" s="4"/>
      <c r="EN410" s="4"/>
      <c r="EO410" s="4"/>
      <c r="EP410" s="4"/>
      <c r="EQ410" s="4"/>
      <c r="ER410" s="4"/>
      <c r="ES410" s="4"/>
      <c r="ET410" s="4"/>
      <c r="EU410" s="4"/>
      <c r="EV410" s="4"/>
      <c r="EW410" s="4"/>
      <c r="EX410" s="4"/>
      <c r="EY410" s="4"/>
      <c r="EZ410" s="4"/>
      <c r="FA410" s="4"/>
      <c r="FB410" s="4"/>
      <c r="FC410" s="4"/>
      <c r="FD410" s="4"/>
      <c r="FE410" s="4"/>
      <c r="FF410" s="4"/>
    </row>
    <row r="411" spans="1:162" x14ac:dyDescent="0.2">
      <c r="A411" s="2"/>
      <c r="B411" s="2"/>
      <c r="C411" s="2"/>
      <c r="D411" s="4"/>
      <c r="E411" s="4"/>
      <c r="F411" s="4"/>
      <c r="G411" s="4"/>
      <c r="H411" s="4"/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  <c r="AA411" s="4"/>
      <c r="AB411" s="4"/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"/>
      <c r="AN411" s="4"/>
      <c r="AO411" s="4"/>
      <c r="AP411" s="4"/>
      <c r="AQ411" s="4"/>
      <c r="AR411" s="4"/>
      <c r="AS411" s="4"/>
      <c r="AT411" s="4"/>
      <c r="AU411" s="4"/>
      <c r="AV411" s="4"/>
      <c r="AW411" s="4"/>
      <c r="AX411" s="4"/>
      <c r="AY411" s="4"/>
      <c r="AZ411" s="4"/>
      <c r="BA411" s="4"/>
      <c r="BB411" s="4"/>
      <c r="BC411" s="4"/>
      <c r="BD411" s="4"/>
      <c r="BE411" s="4"/>
      <c r="BF411" s="4"/>
      <c r="BG411" s="4"/>
      <c r="BH411" s="4"/>
      <c r="BI411" s="4"/>
      <c r="BJ411" s="4"/>
      <c r="BK411" s="4"/>
      <c r="BL411" s="4"/>
      <c r="BM411" s="4"/>
      <c r="BN411" s="4"/>
      <c r="BO411" s="4"/>
      <c r="BP411" s="4"/>
      <c r="BQ411" s="4"/>
      <c r="BR411" s="4"/>
      <c r="BS411" s="4"/>
      <c r="BT411" s="4"/>
      <c r="BU411" s="4"/>
      <c r="BV411" s="4"/>
      <c r="BW411" s="4"/>
      <c r="BX411" s="4"/>
      <c r="BY411" s="4"/>
      <c r="BZ411" s="4"/>
      <c r="CA411" s="4"/>
      <c r="CB411" s="4"/>
      <c r="CC411" s="4"/>
      <c r="CD411" s="4"/>
      <c r="CE411" s="4"/>
      <c r="CF411" s="4"/>
      <c r="CG411" s="4"/>
      <c r="CH411" s="4"/>
      <c r="CI411" s="4"/>
      <c r="CJ411" s="4"/>
      <c r="CK411" s="4"/>
      <c r="CL411" s="4"/>
      <c r="CM411" s="4"/>
      <c r="CN411" s="4"/>
      <c r="CO411" s="4"/>
      <c r="CP411" s="4"/>
      <c r="CQ411" s="4"/>
      <c r="CR411" s="4"/>
      <c r="CS411" s="4"/>
      <c r="CT411" s="4"/>
      <c r="CU411" s="4"/>
      <c r="CV411" s="4"/>
      <c r="CW411" s="4"/>
      <c r="CX411" s="4"/>
      <c r="CY411" s="4"/>
      <c r="CZ411" s="4"/>
      <c r="DA411" s="4"/>
      <c r="DB411" s="4"/>
      <c r="DC411" s="4"/>
      <c r="DD411" s="4"/>
      <c r="DE411" s="4"/>
      <c r="DF411" s="4"/>
      <c r="DG411" s="4"/>
      <c r="DH411" s="4"/>
      <c r="DI411" s="4"/>
      <c r="DJ411" s="4"/>
      <c r="DK411" s="4"/>
      <c r="DL411" s="4"/>
      <c r="DM411" s="4"/>
      <c r="DN411" s="4"/>
      <c r="DO411" s="4"/>
      <c r="DP411" s="4"/>
      <c r="DQ411" s="4"/>
      <c r="DR411" s="4"/>
      <c r="DS411" s="4"/>
      <c r="DT411" s="4"/>
      <c r="DU411" s="4"/>
      <c r="DV411" s="4"/>
      <c r="DW411" s="4"/>
      <c r="DX411" s="4"/>
      <c r="DY411" s="4"/>
      <c r="DZ411" s="4"/>
      <c r="EA411" s="4"/>
      <c r="EB411" s="4"/>
      <c r="EC411" s="4"/>
      <c r="ED411" s="4"/>
      <c r="EE411" s="4"/>
      <c r="EF411" s="4"/>
      <c r="EG411" s="4"/>
      <c r="EH411" s="4"/>
      <c r="EI411" s="4"/>
      <c r="EJ411" s="4"/>
      <c r="EK411" s="4"/>
      <c r="EL411" s="4"/>
      <c r="EM411" s="4"/>
      <c r="EN411" s="4"/>
      <c r="EO411" s="4"/>
      <c r="EP411" s="4"/>
      <c r="EQ411" s="4"/>
      <c r="ER411" s="4"/>
      <c r="ES411" s="4"/>
      <c r="ET411" s="4"/>
      <c r="EU411" s="4"/>
      <c r="EV411" s="4"/>
      <c r="EW411" s="4"/>
      <c r="EX411" s="4"/>
      <c r="EY411" s="4"/>
      <c r="EZ411" s="4"/>
      <c r="FA411" s="4"/>
      <c r="FB411" s="4"/>
      <c r="FC411" s="4"/>
      <c r="FD411" s="4"/>
      <c r="FE411" s="4"/>
      <c r="FF411" s="4"/>
    </row>
    <row r="412" spans="1:162" x14ac:dyDescent="0.2">
      <c r="A412" s="2"/>
      <c r="B412" s="2"/>
      <c r="C412" s="2"/>
      <c r="D412" s="4"/>
      <c r="E412" s="4"/>
      <c r="F412" s="4"/>
      <c r="G412" s="4"/>
      <c r="H412" s="4"/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  <c r="AA412" s="4"/>
      <c r="AB412" s="4"/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"/>
      <c r="AN412" s="4"/>
      <c r="AO412" s="4"/>
      <c r="AP412" s="4"/>
      <c r="AQ412" s="4"/>
      <c r="AR412" s="4"/>
      <c r="AS412" s="4"/>
      <c r="AT412" s="4"/>
      <c r="AU412" s="4"/>
      <c r="AV412" s="4"/>
      <c r="AW412" s="4"/>
      <c r="AX412" s="4"/>
      <c r="AY412" s="4"/>
      <c r="AZ412" s="4"/>
      <c r="BA412" s="4"/>
      <c r="BB412" s="4"/>
      <c r="BC412" s="4"/>
      <c r="BD412" s="4"/>
      <c r="BE412" s="4"/>
      <c r="BF412" s="4"/>
      <c r="BG412" s="4"/>
      <c r="BH412" s="4"/>
      <c r="BI412" s="4"/>
      <c r="BJ412" s="4"/>
      <c r="BK412" s="4"/>
      <c r="BL412" s="4"/>
      <c r="BM412" s="4"/>
      <c r="BN412" s="4"/>
      <c r="BO412" s="4"/>
      <c r="BP412" s="4"/>
      <c r="BQ412" s="4"/>
      <c r="BR412" s="4"/>
      <c r="BS412" s="4"/>
      <c r="BT412" s="4"/>
      <c r="BU412" s="4"/>
      <c r="BV412" s="4"/>
      <c r="BW412" s="4"/>
      <c r="BX412" s="4"/>
      <c r="BY412" s="4"/>
      <c r="BZ412" s="4"/>
      <c r="CA412" s="4"/>
      <c r="CB412" s="4"/>
      <c r="CC412" s="4"/>
      <c r="CD412" s="4"/>
      <c r="CE412" s="4"/>
      <c r="CF412" s="4"/>
      <c r="CG412" s="4"/>
      <c r="CH412" s="4"/>
      <c r="CI412" s="4"/>
      <c r="CJ412" s="4"/>
      <c r="CK412" s="4"/>
      <c r="CL412" s="4"/>
      <c r="CM412" s="4"/>
      <c r="CN412" s="4"/>
      <c r="CO412" s="4"/>
      <c r="CP412" s="4"/>
      <c r="CQ412" s="4"/>
      <c r="CR412" s="4"/>
      <c r="CS412" s="4"/>
      <c r="CT412" s="4"/>
      <c r="CU412" s="4"/>
      <c r="CV412" s="4"/>
      <c r="CW412" s="4"/>
      <c r="CX412" s="4"/>
      <c r="CY412" s="4"/>
      <c r="CZ412" s="4"/>
      <c r="DA412" s="4"/>
      <c r="DB412" s="4"/>
      <c r="DC412" s="4"/>
      <c r="DD412" s="4"/>
      <c r="DE412" s="4"/>
      <c r="DF412" s="4"/>
      <c r="DG412" s="4"/>
      <c r="DH412" s="4"/>
      <c r="DI412" s="4"/>
      <c r="DJ412" s="4"/>
      <c r="DK412" s="4"/>
      <c r="DL412" s="4"/>
      <c r="DM412" s="4"/>
      <c r="DN412" s="4"/>
      <c r="DO412" s="4"/>
      <c r="DP412" s="4"/>
      <c r="DQ412" s="4"/>
      <c r="DR412" s="4"/>
      <c r="DS412" s="4"/>
      <c r="DT412" s="4"/>
      <c r="DU412" s="4"/>
      <c r="DV412" s="4"/>
      <c r="DW412" s="4"/>
      <c r="DX412" s="4"/>
      <c r="DY412" s="4"/>
      <c r="DZ412" s="4"/>
      <c r="EA412" s="4"/>
      <c r="EB412" s="4"/>
      <c r="EC412" s="4"/>
      <c r="ED412" s="4"/>
      <c r="EE412" s="4"/>
      <c r="EF412" s="4"/>
      <c r="EG412" s="4"/>
      <c r="EH412" s="4"/>
      <c r="EI412" s="4"/>
      <c r="EJ412" s="4"/>
      <c r="EK412" s="4"/>
      <c r="EL412" s="4"/>
      <c r="EM412" s="4"/>
      <c r="EN412" s="4"/>
      <c r="EO412" s="4"/>
      <c r="EP412" s="4"/>
      <c r="EQ412" s="4"/>
      <c r="ER412" s="4"/>
      <c r="ES412" s="4"/>
      <c r="ET412" s="4"/>
      <c r="EU412" s="4"/>
      <c r="EV412" s="4"/>
      <c r="EW412" s="4"/>
      <c r="EX412" s="4"/>
      <c r="EY412" s="4"/>
      <c r="EZ412" s="4"/>
      <c r="FA412" s="4"/>
      <c r="FB412" s="4"/>
      <c r="FC412" s="4"/>
      <c r="FD412" s="4"/>
      <c r="FE412" s="4"/>
      <c r="FF412" s="4"/>
    </row>
    <row r="413" spans="1:162" x14ac:dyDescent="0.2">
      <c r="A413" s="2"/>
      <c r="B413" s="2"/>
      <c r="C413" s="2"/>
      <c r="D413" s="4"/>
      <c r="E413" s="4"/>
      <c r="F413" s="4"/>
      <c r="G413" s="4"/>
      <c r="H413" s="4"/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  <c r="AA413" s="4"/>
      <c r="AB413" s="4"/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"/>
      <c r="AN413" s="4"/>
      <c r="AO413" s="4"/>
      <c r="AP413" s="4"/>
      <c r="AQ413" s="4"/>
      <c r="AR413" s="4"/>
      <c r="AS413" s="4"/>
      <c r="AT413" s="4"/>
      <c r="AU413" s="4"/>
      <c r="AV413" s="4"/>
      <c r="AW413" s="4"/>
      <c r="AX413" s="4"/>
      <c r="AY413" s="4"/>
      <c r="AZ413" s="4"/>
      <c r="BA413" s="4"/>
      <c r="BB413" s="4"/>
      <c r="BC413" s="4"/>
      <c r="BD413" s="4"/>
      <c r="BE413" s="4"/>
      <c r="BF413" s="4"/>
      <c r="BG413" s="4"/>
      <c r="BH413" s="4"/>
      <c r="BI413" s="4"/>
      <c r="BJ413" s="4"/>
      <c r="BK413" s="4"/>
      <c r="BL413" s="4"/>
      <c r="BM413" s="4"/>
      <c r="BN413" s="4"/>
      <c r="BO413" s="4"/>
      <c r="BP413" s="4"/>
      <c r="BQ413" s="4"/>
      <c r="BR413" s="4"/>
      <c r="BS413" s="4"/>
      <c r="BT413" s="4"/>
      <c r="BU413" s="4"/>
      <c r="BV413" s="4"/>
      <c r="BW413" s="4"/>
      <c r="BX413" s="4"/>
      <c r="BY413" s="4"/>
      <c r="BZ413" s="4"/>
      <c r="CA413" s="4"/>
      <c r="CB413" s="4"/>
      <c r="CC413" s="4"/>
      <c r="CD413" s="4"/>
      <c r="CE413" s="4"/>
      <c r="CF413" s="4"/>
      <c r="CG413" s="4"/>
      <c r="CH413" s="4"/>
      <c r="CI413" s="4"/>
      <c r="CJ413" s="4"/>
      <c r="CK413" s="4"/>
      <c r="CL413" s="4"/>
      <c r="CM413" s="4"/>
      <c r="CN413" s="4"/>
      <c r="CO413" s="4"/>
      <c r="CP413" s="4"/>
      <c r="CQ413" s="4"/>
      <c r="CR413" s="4"/>
      <c r="CS413" s="4"/>
      <c r="CT413" s="4"/>
      <c r="CU413" s="4"/>
      <c r="CV413" s="4"/>
      <c r="CW413" s="4"/>
      <c r="CX413" s="4"/>
      <c r="CY413" s="4"/>
      <c r="CZ413" s="4"/>
      <c r="DA413" s="4"/>
      <c r="DB413" s="4"/>
      <c r="DC413" s="4"/>
      <c r="DD413" s="4"/>
      <c r="DE413" s="4"/>
      <c r="DF413" s="4"/>
      <c r="DG413" s="4"/>
      <c r="DH413" s="4"/>
      <c r="DI413" s="4"/>
      <c r="DJ413" s="4"/>
      <c r="DK413" s="4"/>
      <c r="DL413" s="4"/>
      <c r="DM413" s="4"/>
      <c r="DN413" s="4"/>
      <c r="DO413" s="4"/>
      <c r="DP413" s="4"/>
      <c r="DQ413" s="4"/>
      <c r="DR413" s="4"/>
      <c r="DS413" s="4"/>
      <c r="DT413" s="4"/>
      <c r="DU413" s="4"/>
      <c r="DV413" s="4"/>
      <c r="DW413" s="4"/>
      <c r="DX413" s="4"/>
      <c r="DY413" s="4"/>
      <c r="DZ413" s="4"/>
      <c r="EA413" s="4"/>
      <c r="EB413" s="4"/>
      <c r="EC413" s="4"/>
      <c r="ED413" s="4"/>
      <c r="EE413" s="4"/>
      <c r="EF413" s="4"/>
      <c r="EG413" s="4"/>
      <c r="EH413" s="4"/>
      <c r="EI413" s="4"/>
      <c r="EJ413" s="4"/>
      <c r="EK413" s="4"/>
      <c r="EL413" s="4"/>
      <c r="EM413" s="4"/>
      <c r="EN413" s="4"/>
      <c r="EO413" s="4"/>
      <c r="EP413" s="4"/>
      <c r="EQ413" s="4"/>
      <c r="ER413" s="4"/>
      <c r="ES413" s="4"/>
      <c r="ET413" s="4"/>
      <c r="EU413" s="4"/>
      <c r="EV413" s="4"/>
      <c r="EW413" s="4"/>
      <c r="EX413" s="4"/>
      <c r="EY413" s="4"/>
      <c r="EZ413" s="4"/>
      <c r="FA413" s="4"/>
      <c r="FB413" s="4"/>
      <c r="FC413" s="4"/>
      <c r="FD413" s="4"/>
      <c r="FE413" s="4"/>
      <c r="FF413" s="4"/>
    </row>
    <row r="414" spans="1:162" x14ac:dyDescent="0.2">
      <c r="A414" s="2"/>
      <c r="B414" s="2"/>
      <c r="C414" s="2"/>
      <c r="D414" s="4"/>
      <c r="E414" s="4"/>
      <c r="F414" s="4"/>
      <c r="G414" s="4"/>
      <c r="H414" s="4"/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  <c r="AA414" s="4"/>
      <c r="AB414" s="4"/>
      <c r="AC414" s="4"/>
      <c r="AD414" s="4"/>
      <c r="AE414" s="4"/>
      <c r="AF414" s="4"/>
      <c r="AG414" s="4"/>
      <c r="AH414" s="4"/>
      <c r="AI414" s="4"/>
      <c r="AJ414" s="4"/>
      <c r="AK414" s="4"/>
      <c r="AL414" s="4"/>
      <c r="AM414" s="4"/>
      <c r="AN414" s="4"/>
      <c r="AO414" s="4"/>
      <c r="AP414" s="4"/>
      <c r="AQ414" s="4"/>
      <c r="AR414" s="4"/>
      <c r="AS414" s="4"/>
      <c r="AT414" s="4"/>
      <c r="AU414" s="4"/>
      <c r="AV414" s="4"/>
      <c r="AW414" s="4"/>
      <c r="AX414" s="4"/>
      <c r="AY414" s="4"/>
      <c r="AZ414" s="4"/>
      <c r="BA414" s="4"/>
      <c r="BB414" s="4"/>
      <c r="BC414" s="4"/>
      <c r="BD414" s="4"/>
      <c r="BE414" s="4"/>
      <c r="BF414" s="4"/>
      <c r="BG414" s="4"/>
      <c r="BH414" s="4"/>
      <c r="BI414" s="4"/>
      <c r="BJ414" s="4"/>
      <c r="BK414" s="4"/>
      <c r="BL414" s="4"/>
      <c r="BM414" s="4"/>
      <c r="BN414" s="4"/>
      <c r="BO414" s="4"/>
      <c r="BP414" s="4"/>
      <c r="BQ414" s="4"/>
      <c r="BR414" s="4"/>
      <c r="BS414" s="4"/>
      <c r="BT414" s="4"/>
      <c r="BU414" s="4"/>
      <c r="BV414" s="4"/>
      <c r="BW414" s="4"/>
      <c r="BX414" s="4"/>
      <c r="BY414" s="4"/>
      <c r="BZ414" s="4"/>
      <c r="CA414" s="4"/>
      <c r="CB414" s="4"/>
      <c r="CC414" s="4"/>
      <c r="CD414" s="4"/>
      <c r="CE414" s="4"/>
      <c r="CF414" s="4"/>
      <c r="CG414" s="4"/>
      <c r="CH414" s="4"/>
      <c r="CI414" s="4"/>
      <c r="CJ414" s="4"/>
      <c r="CK414" s="4"/>
      <c r="CL414" s="4"/>
      <c r="CM414" s="4"/>
      <c r="CN414" s="4"/>
      <c r="CO414" s="4"/>
      <c r="CP414" s="4"/>
      <c r="CQ414" s="4"/>
      <c r="CR414" s="4"/>
      <c r="CS414" s="4"/>
      <c r="CT414" s="4"/>
      <c r="CU414" s="4"/>
      <c r="CV414" s="4"/>
      <c r="CW414" s="4"/>
      <c r="CX414" s="4"/>
      <c r="CY414" s="4"/>
      <c r="CZ414" s="4"/>
      <c r="DA414" s="4"/>
      <c r="DB414" s="4"/>
      <c r="DC414" s="4"/>
      <c r="DD414" s="4"/>
      <c r="DE414" s="4"/>
      <c r="DF414" s="4"/>
      <c r="DG414" s="4"/>
      <c r="DH414" s="4"/>
      <c r="DI414" s="4"/>
      <c r="DJ414" s="4"/>
      <c r="DK414" s="4"/>
      <c r="DL414" s="4"/>
      <c r="DM414" s="4"/>
      <c r="DN414" s="4"/>
      <c r="DO414" s="4"/>
      <c r="DP414" s="4"/>
      <c r="DQ414" s="4"/>
      <c r="DR414" s="4"/>
      <c r="DS414" s="4"/>
      <c r="DT414" s="4"/>
      <c r="DU414" s="4"/>
      <c r="DV414" s="4"/>
      <c r="DW414" s="4"/>
      <c r="DX414" s="4"/>
      <c r="DY414" s="4"/>
      <c r="DZ414" s="4"/>
      <c r="EA414" s="4"/>
      <c r="EB414" s="4"/>
      <c r="EC414" s="4"/>
      <c r="ED414" s="4"/>
      <c r="EE414" s="4"/>
      <c r="EF414" s="4"/>
      <c r="EG414" s="4"/>
      <c r="EH414" s="4"/>
      <c r="EI414" s="4"/>
      <c r="EJ414" s="4"/>
      <c r="EK414" s="4"/>
      <c r="EL414" s="4"/>
      <c r="EM414" s="4"/>
      <c r="EN414" s="4"/>
      <c r="EO414" s="4"/>
      <c r="EP414" s="4"/>
      <c r="EQ414" s="4"/>
      <c r="ER414" s="4"/>
      <c r="ES414" s="4"/>
      <c r="ET414" s="4"/>
      <c r="EU414" s="4"/>
      <c r="EV414" s="4"/>
      <c r="EW414" s="4"/>
      <c r="EX414" s="4"/>
      <c r="EY414" s="4"/>
      <c r="EZ414" s="4"/>
      <c r="FA414" s="4"/>
      <c r="FB414" s="4"/>
      <c r="FC414" s="4"/>
      <c r="FD414" s="4"/>
      <c r="FE414" s="4"/>
      <c r="FF414" s="4"/>
    </row>
    <row r="415" spans="1:162" x14ac:dyDescent="0.2">
      <c r="A415" s="2"/>
      <c r="B415" s="2"/>
      <c r="C415" s="2"/>
      <c r="D415" s="4"/>
      <c r="E415" s="4"/>
      <c r="F415" s="4"/>
      <c r="G415" s="4"/>
      <c r="H415" s="4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  <c r="AA415" s="4"/>
      <c r="AB415" s="4"/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"/>
      <c r="AN415" s="4"/>
      <c r="AO415" s="4"/>
      <c r="AP415" s="4"/>
      <c r="AQ415" s="4"/>
      <c r="AR415" s="4"/>
      <c r="AS415" s="4"/>
      <c r="AT415" s="4"/>
      <c r="AU415" s="4"/>
      <c r="AV415" s="4"/>
      <c r="AW415" s="4"/>
      <c r="AX415" s="4"/>
      <c r="AY415" s="4"/>
      <c r="AZ415" s="4"/>
      <c r="BA415" s="4"/>
      <c r="BB415" s="4"/>
      <c r="BC415" s="4"/>
      <c r="BD415" s="4"/>
      <c r="BE415" s="4"/>
      <c r="BF415" s="4"/>
      <c r="BG415" s="4"/>
      <c r="BH415" s="4"/>
      <c r="BI415" s="4"/>
      <c r="BJ415" s="4"/>
      <c r="BK415" s="4"/>
      <c r="BL415" s="4"/>
      <c r="BM415" s="4"/>
      <c r="BN415" s="4"/>
      <c r="BO415" s="4"/>
      <c r="BP415" s="4"/>
      <c r="BQ415" s="4"/>
      <c r="BR415" s="4"/>
      <c r="BS415" s="4"/>
      <c r="BT415" s="4"/>
      <c r="BU415" s="4"/>
      <c r="BV415" s="4"/>
      <c r="BW415" s="4"/>
      <c r="BX415" s="4"/>
      <c r="BY415" s="4"/>
      <c r="BZ415" s="4"/>
      <c r="CA415" s="4"/>
      <c r="CB415" s="4"/>
      <c r="CC415" s="4"/>
      <c r="CD415" s="4"/>
      <c r="CE415" s="4"/>
      <c r="CF415" s="4"/>
      <c r="CG415" s="4"/>
      <c r="CH415" s="4"/>
      <c r="CI415" s="4"/>
      <c r="CJ415" s="4"/>
      <c r="CK415" s="4"/>
      <c r="CL415" s="4"/>
      <c r="CM415" s="4"/>
      <c r="CN415" s="4"/>
      <c r="CO415" s="4"/>
      <c r="CP415" s="4"/>
      <c r="CQ415" s="4"/>
      <c r="CR415" s="4"/>
      <c r="CS415" s="4"/>
      <c r="CT415" s="4"/>
      <c r="CU415" s="4"/>
      <c r="CV415" s="4"/>
      <c r="CW415" s="4"/>
      <c r="CX415" s="4"/>
      <c r="CY415" s="4"/>
      <c r="CZ415" s="4"/>
      <c r="DA415" s="4"/>
      <c r="DB415" s="4"/>
      <c r="DC415" s="4"/>
      <c r="DD415" s="4"/>
      <c r="DE415" s="4"/>
      <c r="DF415" s="4"/>
      <c r="DG415" s="4"/>
      <c r="DH415" s="4"/>
      <c r="DI415" s="4"/>
      <c r="DJ415" s="4"/>
      <c r="DK415" s="4"/>
      <c r="DL415" s="4"/>
      <c r="DM415" s="4"/>
      <c r="DN415" s="4"/>
      <c r="DO415" s="4"/>
      <c r="DP415" s="4"/>
      <c r="DQ415" s="4"/>
      <c r="DR415" s="4"/>
      <c r="DS415" s="4"/>
      <c r="DT415" s="4"/>
      <c r="DU415" s="4"/>
      <c r="DV415" s="4"/>
      <c r="DW415" s="4"/>
      <c r="DX415" s="4"/>
      <c r="DY415" s="4"/>
      <c r="DZ415" s="4"/>
      <c r="EA415" s="4"/>
      <c r="EB415" s="4"/>
      <c r="EC415" s="4"/>
      <c r="ED415" s="4"/>
      <c r="EE415" s="4"/>
      <c r="EF415" s="4"/>
      <c r="EG415" s="4"/>
      <c r="EH415" s="4"/>
      <c r="EI415" s="4"/>
      <c r="EJ415" s="4"/>
      <c r="EK415" s="4"/>
      <c r="EL415" s="4"/>
      <c r="EM415" s="4"/>
      <c r="EN415" s="4"/>
      <c r="EO415" s="4"/>
      <c r="EP415" s="4"/>
      <c r="EQ415" s="4"/>
      <c r="ER415" s="4"/>
      <c r="ES415" s="4"/>
      <c r="ET415" s="4"/>
      <c r="EU415" s="4"/>
      <c r="EV415" s="4"/>
      <c r="EW415" s="4"/>
      <c r="EX415" s="4"/>
      <c r="EY415" s="4"/>
      <c r="EZ415" s="4"/>
      <c r="FA415" s="4"/>
      <c r="FB415" s="4"/>
      <c r="FC415" s="4"/>
      <c r="FD415" s="4"/>
      <c r="FE415" s="4"/>
      <c r="FF415" s="4"/>
    </row>
    <row r="416" spans="1:162" x14ac:dyDescent="0.2">
      <c r="A416" s="2"/>
      <c r="B416" s="2"/>
      <c r="C416" s="2"/>
      <c r="D416" s="4"/>
      <c r="E416" s="4"/>
      <c r="F416" s="4"/>
      <c r="G416" s="4"/>
      <c r="H416" s="4"/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  <c r="AA416" s="4"/>
      <c r="AB416" s="4"/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"/>
      <c r="AN416" s="4"/>
      <c r="AO416" s="4"/>
      <c r="AP416" s="4"/>
      <c r="AQ416" s="4"/>
      <c r="AR416" s="4"/>
      <c r="AS416" s="4"/>
      <c r="AT416" s="4"/>
      <c r="AU416" s="4"/>
      <c r="AV416" s="4"/>
      <c r="AW416" s="4"/>
      <c r="AX416" s="4"/>
      <c r="AY416" s="4"/>
      <c r="AZ416" s="4"/>
      <c r="BA416" s="4"/>
      <c r="BB416" s="4"/>
      <c r="BC416" s="4"/>
      <c r="BD416" s="4"/>
      <c r="BE416" s="4"/>
      <c r="BF416" s="4"/>
      <c r="BG416" s="4"/>
      <c r="BH416" s="4"/>
      <c r="BI416" s="4"/>
      <c r="BJ416" s="4"/>
      <c r="BK416" s="4"/>
      <c r="BL416" s="4"/>
      <c r="BM416" s="4"/>
      <c r="BN416" s="4"/>
      <c r="BO416" s="4"/>
      <c r="BP416" s="4"/>
      <c r="BQ416" s="4"/>
      <c r="BR416" s="4"/>
      <c r="BS416" s="4"/>
      <c r="BT416" s="4"/>
      <c r="BU416" s="4"/>
      <c r="BV416" s="4"/>
      <c r="BW416" s="4"/>
      <c r="BX416" s="4"/>
      <c r="BY416" s="4"/>
      <c r="BZ416" s="4"/>
      <c r="CA416" s="4"/>
      <c r="CB416" s="4"/>
      <c r="CC416" s="4"/>
      <c r="CD416" s="4"/>
      <c r="CE416" s="4"/>
      <c r="CF416" s="4"/>
      <c r="CG416" s="4"/>
      <c r="CH416" s="4"/>
      <c r="CI416" s="4"/>
      <c r="CJ416" s="4"/>
      <c r="CK416" s="4"/>
      <c r="CL416" s="4"/>
      <c r="CM416" s="4"/>
      <c r="CN416" s="4"/>
      <c r="CO416" s="4"/>
      <c r="CP416" s="4"/>
      <c r="CQ416" s="4"/>
      <c r="CR416" s="4"/>
      <c r="CS416" s="4"/>
      <c r="CT416" s="4"/>
      <c r="CU416" s="4"/>
      <c r="CV416" s="4"/>
      <c r="CW416" s="4"/>
      <c r="CX416" s="4"/>
      <c r="CY416" s="4"/>
      <c r="CZ416" s="4"/>
      <c r="DA416" s="4"/>
      <c r="DB416" s="4"/>
      <c r="DC416" s="4"/>
      <c r="DD416" s="4"/>
      <c r="DE416" s="4"/>
      <c r="DF416" s="4"/>
      <c r="DG416" s="4"/>
      <c r="DH416" s="4"/>
      <c r="DI416" s="4"/>
      <c r="DJ416" s="4"/>
      <c r="DK416" s="4"/>
      <c r="DL416" s="4"/>
      <c r="DM416" s="4"/>
      <c r="DN416" s="4"/>
      <c r="DO416" s="4"/>
      <c r="DP416" s="4"/>
      <c r="DQ416" s="4"/>
      <c r="DR416" s="4"/>
      <c r="DS416" s="4"/>
      <c r="DT416" s="4"/>
      <c r="DU416" s="4"/>
      <c r="DV416" s="4"/>
      <c r="DW416" s="4"/>
      <c r="DX416" s="4"/>
      <c r="DY416" s="4"/>
      <c r="DZ416" s="4"/>
      <c r="EA416" s="4"/>
      <c r="EB416" s="4"/>
      <c r="EC416" s="4"/>
      <c r="ED416" s="4"/>
      <c r="EE416" s="4"/>
      <c r="EF416" s="4"/>
      <c r="EG416" s="4"/>
      <c r="EH416" s="4"/>
      <c r="EI416" s="4"/>
      <c r="EJ416" s="4"/>
      <c r="EK416" s="4"/>
      <c r="EL416" s="4"/>
      <c r="EM416" s="4"/>
      <c r="EN416" s="4"/>
      <c r="EO416" s="4"/>
      <c r="EP416" s="4"/>
      <c r="EQ416" s="4"/>
      <c r="ER416" s="4"/>
      <c r="ES416" s="4"/>
      <c r="ET416" s="4"/>
      <c r="EU416" s="4"/>
      <c r="EV416" s="4"/>
      <c r="EW416" s="4"/>
      <c r="EX416" s="4"/>
      <c r="EY416" s="4"/>
      <c r="EZ416" s="4"/>
      <c r="FA416" s="4"/>
      <c r="FB416" s="4"/>
      <c r="FC416" s="4"/>
      <c r="FD416" s="4"/>
      <c r="FE416" s="4"/>
      <c r="FF416" s="4"/>
    </row>
    <row r="417" spans="1:162" x14ac:dyDescent="0.2">
      <c r="A417" s="2"/>
      <c r="B417" s="2"/>
      <c r="C417" s="2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  <c r="AA417" s="4"/>
      <c r="AB417" s="4"/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"/>
      <c r="AN417" s="4"/>
      <c r="AO417" s="4"/>
      <c r="AP417" s="4"/>
      <c r="AQ417" s="4"/>
      <c r="AR417" s="4"/>
      <c r="AS417" s="4"/>
      <c r="AT417" s="4"/>
      <c r="AU417" s="4"/>
      <c r="AV417" s="4"/>
      <c r="AW417" s="4"/>
      <c r="AX417" s="4"/>
      <c r="AY417" s="4"/>
      <c r="AZ417" s="4"/>
      <c r="BA417" s="4"/>
      <c r="BB417" s="4"/>
      <c r="BC417" s="4"/>
      <c r="BD417" s="4"/>
      <c r="BE417" s="4"/>
      <c r="BF417" s="4"/>
      <c r="BG417" s="4"/>
      <c r="BH417" s="4"/>
      <c r="BI417" s="4"/>
      <c r="BJ417" s="4"/>
      <c r="BK417" s="4"/>
      <c r="BL417" s="4"/>
      <c r="BM417" s="4"/>
      <c r="BN417" s="4"/>
      <c r="BO417" s="4"/>
      <c r="BP417" s="4"/>
      <c r="BQ417" s="4"/>
      <c r="BR417" s="4"/>
      <c r="BS417" s="4"/>
      <c r="BT417" s="4"/>
      <c r="BU417" s="4"/>
      <c r="BV417" s="4"/>
      <c r="BW417" s="4"/>
      <c r="BX417" s="4"/>
      <c r="BY417" s="4"/>
      <c r="BZ417" s="4"/>
      <c r="CA417" s="4"/>
      <c r="CB417" s="4"/>
      <c r="CC417" s="4"/>
      <c r="CD417" s="4"/>
      <c r="CE417" s="4"/>
      <c r="CF417" s="4"/>
      <c r="CG417" s="4"/>
      <c r="CH417" s="4"/>
      <c r="CI417" s="4"/>
      <c r="CJ417" s="4"/>
      <c r="CK417" s="4"/>
      <c r="CL417" s="4"/>
      <c r="CM417" s="4"/>
      <c r="CN417" s="4"/>
      <c r="CO417" s="4"/>
      <c r="CP417" s="4"/>
      <c r="CQ417" s="4"/>
      <c r="CR417" s="4"/>
      <c r="CS417" s="4"/>
      <c r="CT417" s="4"/>
      <c r="CU417" s="4"/>
      <c r="CV417" s="4"/>
      <c r="CW417" s="4"/>
      <c r="CX417" s="4"/>
      <c r="CY417" s="4"/>
      <c r="CZ417" s="4"/>
      <c r="DA417" s="4"/>
      <c r="DB417" s="4"/>
      <c r="DC417" s="4"/>
      <c r="DD417" s="4"/>
      <c r="DE417" s="4"/>
      <c r="DF417" s="4"/>
      <c r="DG417" s="4"/>
      <c r="DH417" s="4"/>
      <c r="DI417" s="4"/>
      <c r="DJ417" s="4"/>
      <c r="DK417" s="4"/>
      <c r="DL417" s="4"/>
      <c r="DM417" s="4"/>
      <c r="DN417" s="4"/>
      <c r="DO417" s="4"/>
      <c r="DP417" s="4"/>
      <c r="DQ417" s="4"/>
      <c r="DR417" s="4"/>
      <c r="DS417" s="4"/>
      <c r="DT417" s="4"/>
      <c r="DU417" s="4"/>
      <c r="DV417" s="4"/>
      <c r="DW417" s="4"/>
      <c r="DX417" s="4"/>
      <c r="DY417" s="4"/>
      <c r="DZ417" s="4"/>
      <c r="EA417" s="4"/>
      <c r="EB417" s="4"/>
      <c r="EC417" s="4"/>
      <c r="ED417" s="4"/>
      <c r="EE417" s="4"/>
      <c r="EF417" s="4"/>
      <c r="EG417" s="4"/>
      <c r="EH417" s="4"/>
      <c r="EI417" s="4"/>
      <c r="EJ417" s="4"/>
      <c r="EK417" s="4"/>
      <c r="EL417" s="4"/>
      <c r="EM417" s="4"/>
      <c r="EN417" s="4"/>
      <c r="EO417" s="4"/>
      <c r="EP417" s="4"/>
      <c r="EQ417" s="4"/>
      <c r="ER417" s="4"/>
      <c r="ES417" s="4"/>
      <c r="ET417" s="4"/>
      <c r="EU417" s="4"/>
      <c r="EV417" s="4"/>
      <c r="EW417" s="4"/>
      <c r="EX417" s="4"/>
      <c r="EY417" s="4"/>
      <c r="EZ417" s="4"/>
      <c r="FA417" s="4"/>
      <c r="FB417" s="4"/>
      <c r="FC417" s="4"/>
      <c r="FD417" s="4"/>
      <c r="FE417" s="4"/>
      <c r="FF417" s="4"/>
    </row>
    <row r="418" spans="1:162" x14ac:dyDescent="0.2">
      <c r="A418" s="2"/>
      <c r="B418" s="2"/>
      <c r="C418" s="2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"/>
      <c r="AN418" s="4"/>
      <c r="AO418" s="4"/>
      <c r="AP418" s="4"/>
      <c r="AQ418" s="4"/>
      <c r="AR418" s="4"/>
      <c r="AS418" s="4"/>
      <c r="AT418" s="4"/>
      <c r="AU418" s="4"/>
      <c r="AV418" s="4"/>
      <c r="AW418" s="4"/>
      <c r="AX418" s="4"/>
      <c r="AY418" s="4"/>
      <c r="AZ418" s="4"/>
      <c r="BA418" s="4"/>
      <c r="BB418" s="4"/>
      <c r="BC418" s="4"/>
      <c r="BD418" s="4"/>
      <c r="BE418" s="4"/>
      <c r="BF418" s="4"/>
      <c r="BG418" s="4"/>
      <c r="BH418" s="4"/>
      <c r="BI418" s="4"/>
      <c r="BJ418" s="4"/>
      <c r="BK418" s="4"/>
      <c r="BL418" s="4"/>
      <c r="BM418" s="4"/>
      <c r="BN418" s="4"/>
      <c r="BO418" s="4"/>
      <c r="BP418" s="4"/>
      <c r="BQ418" s="4"/>
      <c r="BR418" s="4"/>
      <c r="BS418" s="4"/>
      <c r="BT418" s="4"/>
      <c r="BU418" s="4"/>
      <c r="BV418" s="4"/>
      <c r="BW418" s="4"/>
      <c r="BX418" s="4"/>
      <c r="BY418" s="4"/>
      <c r="BZ418" s="4"/>
      <c r="CA418" s="4"/>
      <c r="CB418" s="4"/>
      <c r="CC418" s="4"/>
      <c r="CD418" s="4"/>
      <c r="CE418" s="4"/>
      <c r="CF418" s="4"/>
      <c r="CG418" s="4"/>
      <c r="CH418" s="4"/>
      <c r="CI418" s="4"/>
      <c r="CJ418" s="4"/>
      <c r="CK418" s="4"/>
      <c r="CL418" s="4"/>
      <c r="CM418" s="4"/>
      <c r="CN418" s="4"/>
      <c r="CO418" s="4"/>
      <c r="CP418" s="4"/>
      <c r="CQ418" s="4"/>
      <c r="CR418" s="4"/>
      <c r="CS418" s="4"/>
      <c r="CT418" s="4"/>
      <c r="CU418" s="4"/>
      <c r="CV418" s="4"/>
      <c r="CW418" s="4"/>
      <c r="CX418" s="4"/>
      <c r="CY418" s="4"/>
      <c r="CZ418" s="4"/>
      <c r="DA418" s="4"/>
      <c r="DB418" s="4"/>
      <c r="DC418" s="4"/>
      <c r="DD418" s="4"/>
      <c r="DE418" s="4"/>
      <c r="DF418" s="4"/>
      <c r="DG418" s="4"/>
      <c r="DH418" s="4"/>
      <c r="DI418" s="4"/>
      <c r="DJ418" s="4"/>
      <c r="DK418" s="4"/>
      <c r="DL418" s="4"/>
      <c r="DM418" s="4"/>
      <c r="DN418" s="4"/>
      <c r="DO418" s="4"/>
      <c r="DP418" s="4"/>
      <c r="DQ418" s="4"/>
      <c r="DR418" s="4"/>
      <c r="DS418" s="4"/>
      <c r="DT418" s="4"/>
      <c r="DU418" s="4"/>
      <c r="DV418" s="4"/>
      <c r="DW418" s="4"/>
      <c r="DX418" s="4"/>
      <c r="DY418" s="4"/>
      <c r="DZ418" s="4"/>
      <c r="EA418" s="4"/>
      <c r="EB418" s="4"/>
      <c r="EC418" s="4"/>
      <c r="ED418" s="4"/>
      <c r="EE418" s="4"/>
      <c r="EF418" s="4"/>
      <c r="EG418" s="4"/>
      <c r="EH418" s="4"/>
      <c r="EI418" s="4"/>
      <c r="EJ418" s="4"/>
      <c r="EK418" s="4"/>
      <c r="EL418" s="4"/>
      <c r="EM418" s="4"/>
      <c r="EN418" s="4"/>
      <c r="EO418" s="4"/>
      <c r="EP418" s="4"/>
      <c r="EQ418" s="4"/>
      <c r="ER418" s="4"/>
      <c r="ES418" s="4"/>
      <c r="ET418" s="4"/>
      <c r="EU418" s="4"/>
      <c r="EV418" s="4"/>
      <c r="EW418" s="4"/>
      <c r="EX418" s="4"/>
      <c r="EY418" s="4"/>
      <c r="EZ418" s="4"/>
      <c r="FA418" s="4"/>
      <c r="FB418" s="4"/>
      <c r="FC418" s="4"/>
      <c r="FD418" s="4"/>
      <c r="FE418" s="4"/>
      <c r="FF418" s="4"/>
    </row>
    <row r="419" spans="1:162" x14ac:dyDescent="0.2">
      <c r="A419" s="2"/>
      <c r="B419" s="2"/>
      <c r="C419" s="2"/>
      <c r="D419" s="4"/>
      <c r="E419" s="4"/>
      <c r="F419" s="4"/>
      <c r="G419" s="4"/>
      <c r="H419" s="4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4"/>
      <c r="AM419" s="4"/>
      <c r="AN419" s="4"/>
      <c r="AO419" s="4"/>
      <c r="AP419" s="4"/>
      <c r="AQ419" s="4"/>
      <c r="AR419" s="4"/>
      <c r="AS419" s="4"/>
      <c r="AT419" s="4"/>
      <c r="AU419" s="4"/>
      <c r="AV419" s="4"/>
      <c r="AW419" s="4"/>
      <c r="AX419" s="4"/>
      <c r="AY419" s="4"/>
      <c r="AZ419" s="4"/>
      <c r="BA419" s="4"/>
      <c r="BB419" s="4"/>
      <c r="BC419" s="4"/>
      <c r="BD419" s="4"/>
      <c r="BE419" s="4"/>
      <c r="BF419" s="4"/>
      <c r="BG419" s="4"/>
      <c r="BH419" s="4"/>
      <c r="BI419" s="4"/>
      <c r="BJ419" s="4"/>
      <c r="BK419" s="4"/>
      <c r="BL419" s="4"/>
      <c r="BM419" s="4"/>
      <c r="BN419" s="4"/>
      <c r="BO419" s="4"/>
      <c r="BP419" s="4"/>
      <c r="BQ419" s="4"/>
      <c r="BR419" s="4"/>
      <c r="BS419" s="4"/>
      <c r="BT419" s="4"/>
      <c r="BU419" s="4"/>
      <c r="BV419" s="4"/>
      <c r="BW419" s="4"/>
      <c r="BX419" s="4"/>
      <c r="BY419" s="4"/>
      <c r="BZ419" s="4"/>
      <c r="CA419" s="4"/>
      <c r="CB419" s="4"/>
      <c r="CC419" s="4"/>
      <c r="CD419" s="4"/>
      <c r="CE419" s="4"/>
      <c r="CF419" s="4"/>
      <c r="CG419" s="4"/>
      <c r="CH419" s="4"/>
      <c r="CI419" s="4"/>
      <c r="CJ419" s="4"/>
      <c r="CK419" s="4"/>
      <c r="CL419" s="4"/>
      <c r="CM419" s="4"/>
      <c r="CN419" s="4"/>
      <c r="CO419" s="4"/>
      <c r="CP419" s="4"/>
      <c r="CQ419" s="4"/>
      <c r="CR419" s="4"/>
      <c r="CS419" s="4"/>
      <c r="CT419" s="4"/>
      <c r="CU419" s="4"/>
      <c r="CV419" s="4"/>
      <c r="CW419" s="4"/>
      <c r="CX419" s="4"/>
      <c r="CY419" s="4"/>
      <c r="CZ419" s="4"/>
      <c r="DA419" s="4"/>
      <c r="DB419" s="4"/>
      <c r="DC419" s="4"/>
      <c r="DD419" s="4"/>
      <c r="DE419" s="4"/>
      <c r="DF419" s="4"/>
      <c r="DG419" s="4"/>
      <c r="DH419" s="4"/>
      <c r="DI419" s="4"/>
      <c r="DJ419" s="4"/>
      <c r="DK419" s="4"/>
      <c r="DL419" s="4"/>
      <c r="DM419" s="4"/>
      <c r="DN419" s="4"/>
      <c r="DO419" s="4"/>
      <c r="DP419" s="4"/>
      <c r="DQ419" s="4"/>
      <c r="DR419" s="4"/>
      <c r="DS419" s="4"/>
      <c r="DT419" s="4"/>
      <c r="DU419" s="4"/>
      <c r="DV419" s="4"/>
      <c r="DW419" s="4"/>
      <c r="DX419" s="4"/>
      <c r="DY419" s="4"/>
      <c r="DZ419" s="4"/>
      <c r="EA419" s="4"/>
      <c r="EB419" s="4"/>
      <c r="EC419" s="4"/>
      <c r="ED419" s="4"/>
      <c r="EE419" s="4"/>
      <c r="EF419" s="4"/>
      <c r="EG419" s="4"/>
      <c r="EH419" s="4"/>
      <c r="EI419" s="4"/>
      <c r="EJ419" s="4"/>
      <c r="EK419" s="4"/>
      <c r="EL419" s="4"/>
      <c r="EM419" s="4"/>
      <c r="EN419" s="4"/>
      <c r="EO419" s="4"/>
      <c r="EP419" s="4"/>
      <c r="EQ419" s="4"/>
      <c r="ER419" s="4"/>
      <c r="ES419" s="4"/>
      <c r="ET419" s="4"/>
      <c r="EU419" s="4"/>
      <c r="EV419" s="4"/>
      <c r="EW419" s="4"/>
      <c r="EX419" s="4"/>
      <c r="EY419" s="4"/>
      <c r="EZ419" s="4"/>
      <c r="FA419" s="4"/>
      <c r="FB419" s="4"/>
      <c r="FC419" s="4"/>
      <c r="FD419" s="4"/>
      <c r="FE419" s="4"/>
      <c r="FF419" s="4"/>
    </row>
    <row r="420" spans="1:162" x14ac:dyDescent="0.2">
      <c r="A420" s="2"/>
      <c r="B420" s="2"/>
      <c r="C420" s="2"/>
      <c r="D420" s="4"/>
      <c r="E420" s="4"/>
      <c r="F420" s="4"/>
      <c r="G420" s="4"/>
      <c r="H420" s="4"/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  <c r="AA420" s="4"/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4"/>
      <c r="AM420" s="4"/>
      <c r="AN420" s="4"/>
      <c r="AO420" s="4"/>
      <c r="AP420" s="4"/>
      <c r="AQ420" s="4"/>
      <c r="AR420" s="4"/>
      <c r="AS420" s="4"/>
      <c r="AT420" s="4"/>
      <c r="AU420" s="4"/>
      <c r="AV420" s="4"/>
      <c r="AW420" s="4"/>
      <c r="AX420" s="4"/>
      <c r="AY420" s="4"/>
      <c r="AZ420" s="4"/>
      <c r="BA420" s="4"/>
      <c r="BB420" s="4"/>
      <c r="BC420" s="4"/>
      <c r="BD420" s="4"/>
      <c r="BE420" s="4"/>
      <c r="BF420" s="4"/>
      <c r="BG420" s="4"/>
      <c r="BH420" s="4"/>
      <c r="BI420" s="4"/>
      <c r="BJ420" s="4"/>
      <c r="BK420" s="4"/>
      <c r="BL420" s="4"/>
      <c r="BM420" s="4"/>
      <c r="BN420" s="4"/>
      <c r="BO420" s="4"/>
      <c r="BP420" s="4"/>
      <c r="BQ420" s="4"/>
      <c r="BR420" s="4"/>
      <c r="BS420" s="4"/>
      <c r="BT420" s="4"/>
      <c r="BU420" s="4"/>
      <c r="BV420" s="4"/>
      <c r="BW420" s="4"/>
      <c r="BX420" s="4"/>
      <c r="BY420" s="4"/>
      <c r="BZ420" s="4"/>
      <c r="CA420" s="4"/>
      <c r="CB420" s="4"/>
      <c r="CC420" s="4"/>
      <c r="CD420" s="4"/>
      <c r="CE420" s="4"/>
      <c r="CF420" s="4"/>
      <c r="CG420" s="4"/>
      <c r="CH420" s="4"/>
      <c r="CI420" s="4"/>
      <c r="CJ420" s="4"/>
      <c r="CK420" s="4"/>
      <c r="CL420" s="4"/>
      <c r="CM420" s="4"/>
      <c r="CN420" s="4"/>
      <c r="CO420" s="4"/>
      <c r="CP420" s="4"/>
      <c r="CQ420" s="4"/>
      <c r="CR420" s="4"/>
      <c r="CS420" s="4"/>
      <c r="CT420" s="4"/>
      <c r="CU420" s="4"/>
      <c r="CV420" s="4"/>
      <c r="CW420" s="4"/>
      <c r="CX420" s="4"/>
      <c r="CY420" s="4"/>
      <c r="CZ420" s="4"/>
      <c r="DA420" s="4"/>
      <c r="DB420" s="4"/>
      <c r="DC420" s="4"/>
      <c r="DD420" s="4"/>
      <c r="DE420" s="4"/>
      <c r="DF420" s="4"/>
      <c r="DG420" s="4"/>
      <c r="DH420" s="4"/>
      <c r="DI420" s="4"/>
      <c r="DJ420" s="4"/>
      <c r="DK420" s="4"/>
      <c r="DL420" s="4"/>
      <c r="DM420" s="4"/>
      <c r="DN420" s="4"/>
      <c r="DO420" s="4"/>
      <c r="DP420" s="4"/>
      <c r="DQ420" s="4"/>
      <c r="DR420" s="4"/>
      <c r="DS420" s="4"/>
      <c r="DT420" s="4"/>
      <c r="DU420" s="4"/>
      <c r="DV420" s="4"/>
      <c r="DW420" s="4"/>
      <c r="DX420" s="4"/>
      <c r="DY420" s="4"/>
      <c r="DZ420" s="4"/>
      <c r="EA420" s="4"/>
      <c r="EB420" s="4"/>
      <c r="EC420" s="4"/>
      <c r="ED420" s="4"/>
      <c r="EE420" s="4"/>
      <c r="EF420" s="4"/>
      <c r="EG420" s="4"/>
      <c r="EH420" s="4"/>
      <c r="EI420" s="4"/>
      <c r="EJ420" s="4"/>
      <c r="EK420" s="4"/>
      <c r="EL420" s="4"/>
      <c r="EM420" s="4"/>
      <c r="EN420" s="4"/>
      <c r="EO420" s="4"/>
      <c r="EP420" s="4"/>
      <c r="EQ420" s="4"/>
      <c r="ER420" s="4"/>
      <c r="ES420" s="4"/>
      <c r="ET420" s="4"/>
      <c r="EU420" s="4"/>
      <c r="EV420" s="4"/>
      <c r="EW420" s="4"/>
      <c r="EX420" s="4"/>
      <c r="EY420" s="4"/>
      <c r="EZ420" s="4"/>
      <c r="FA420" s="4"/>
      <c r="FB420" s="4"/>
      <c r="FC420" s="4"/>
      <c r="FD420" s="4"/>
      <c r="FE420" s="4"/>
      <c r="FF420" s="4"/>
    </row>
    <row r="421" spans="1:162" x14ac:dyDescent="0.2">
      <c r="A421" s="2"/>
      <c r="B421" s="2"/>
      <c r="C421" s="2"/>
      <c r="D421" s="4"/>
      <c r="E421" s="4"/>
      <c r="F421" s="4"/>
      <c r="G421" s="4"/>
      <c r="H421" s="4"/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/>
      <c r="AM421" s="4"/>
      <c r="AN421" s="4"/>
      <c r="AO421" s="4"/>
      <c r="AP421" s="4"/>
      <c r="AQ421" s="4"/>
      <c r="AR421" s="4"/>
      <c r="AS421" s="4"/>
      <c r="AT421" s="4"/>
      <c r="AU421" s="4"/>
      <c r="AV421" s="4"/>
      <c r="AW421" s="4"/>
      <c r="AX421" s="4"/>
      <c r="AY421" s="4"/>
      <c r="AZ421" s="4"/>
      <c r="BA421" s="4"/>
      <c r="BB421" s="4"/>
      <c r="BC421" s="4"/>
      <c r="BD421" s="4"/>
      <c r="BE421" s="4"/>
      <c r="BF421" s="4"/>
      <c r="BG421" s="4"/>
      <c r="BH421" s="4"/>
      <c r="BI421" s="4"/>
      <c r="BJ421" s="4"/>
      <c r="BK421" s="4"/>
      <c r="BL421" s="4"/>
      <c r="BM421" s="4"/>
      <c r="BN421" s="4"/>
      <c r="BO421" s="4"/>
      <c r="BP421" s="4"/>
      <c r="BQ421" s="4"/>
      <c r="BR421" s="4"/>
      <c r="BS421" s="4"/>
      <c r="BT421" s="4"/>
      <c r="BU421" s="4"/>
      <c r="BV421" s="4"/>
      <c r="BW421" s="4"/>
      <c r="BX421" s="4"/>
      <c r="BY421" s="4"/>
      <c r="BZ421" s="4"/>
      <c r="CA421" s="4"/>
      <c r="CB421" s="4"/>
      <c r="CC421" s="4"/>
      <c r="CD421" s="4"/>
      <c r="CE421" s="4"/>
      <c r="CF421" s="4"/>
      <c r="CG421" s="4"/>
      <c r="CH421" s="4"/>
      <c r="CI421" s="4"/>
      <c r="CJ421" s="4"/>
      <c r="CK421" s="4"/>
      <c r="CL421" s="4"/>
      <c r="CM421" s="4"/>
      <c r="CN421" s="4"/>
      <c r="CO421" s="4"/>
      <c r="CP421" s="4"/>
      <c r="CQ421" s="4"/>
      <c r="CR421" s="4"/>
      <c r="CS421" s="4"/>
      <c r="CT421" s="4"/>
      <c r="CU421" s="4"/>
      <c r="CV421" s="4"/>
      <c r="CW421" s="4"/>
      <c r="CX421" s="4"/>
      <c r="CY421" s="4"/>
      <c r="CZ421" s="4"/>
      <c r="DA421" s="4"/>
      <c r="DB421" s="4"/>
      <c r="DC421" s="4"/>
      <c r="DD421" s="4"/>
      <c r="DE421" s="4"/>
      <c r="DF421" s="4"/>
      <c r="DG421" s="4"/>
      <c r="DH421" s="4"/>
      <c r="DI421" s="4"/>
      <c r="DJ421" s="4"/>
      <c r="DK421" s="4"/>
      <c r="DL421" s="4"/>
      <c r="DM421" s="4"/>
      <c r="DN421" s="4"/>
      <c r="DO421" s="4"/>
      <c r="DP421" s="4"/>
      <c r="DQ421" s="4"/>
      <c r="DR421" s="4"/>
      <c r="DS421" s="4"/>
      <c r="DT421" s="4"/>
      <c r="DU421" s="4"/>
      <c r="DV421" s="4"/>
      <c r="DW421" s="4"/>
      <c r="DX421" s="4"/>
      <c r="DY421" s="4"/>
      <c r="DZ421" s="4"/>
      <c r="EA421" s="4"/>
      <c r="EB421" s="4"/>
      <c r="EC421" s="4"/>
      <c r="ED421" s="4"/>
      <c r="EE421" s="4"/>
      <c r="EF421" s="4"/>
      <c r="EG421" s="4"/>
      <c r="EH421" s="4"/>
      <c r="EI421" s="4"/>
      <c r="EJ421" s="4"/>
      <c r="EK421" s="4"/>
      <c r="EL421" s="4"/>
      <c r="EM421" s="4"/>
      <c r="EN421" s="4"/>
      <c r="EO421" s="4"/>
      <c r="EP421" s="4"/>
      <c r="EQ421" s="4"/>
      <c r="ER421" s="4"/>
      <c r="ES421" s="4"/>
      <c r="ET421" s="4"/>
      <c r="EU421" s="4"/>
      <c r="EV421" s="4"/>
      <c r="EW421" s="4"/>
      <c r="EX421" s="4"/>
      <c r="EY421" s="4"/>
      <c r="EZ421" s="4"/>
      <c r="FA421" s="4"/>
      <c r="FB421" s="4"/>
      <c r="FC421" s="4"/>
      <c r="FD421" s="4"/>
      <c r="FE421" s="4"/>
      <c r="FF421" s="4"/>
    </row>
    <row r="422" spans="1:162" x14ac:dyDescent="0.2">
      <c r="A422" s="2"/>
      <c r="B422" s="2"/>
      <c r="C422" s="2"/>
      <c r="D422" s="4"/>
      <c r="E422" s="4"/>
      <c r="F422" s="4"/>
      <c r="G422" s="4"/>
      <c r="H422" s="4"/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  <c r="AA422" s="4"/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4"/>
      <c r="AM422" s="4"/>
      <c r="AN422" s="4"/>
      <c r="AO422" s="4"/>
      <c r="AP422" s="4"/>
      <c r="AQ422" s="4"/>
      <c r="AR422" s="4"/>
      <c r="AS422" s="4"/>
      <c r="AT422" s="4"/>
      <c r="AU422" s="4"/>
      <c r="AV422" s="4"/>
      <c r="AW422" s="4"/>
      <c r="AX422" s="4"/>
      <c r="AY422" s="4"/>
      <c r="AZ422" s="4"/>
      <c r="BA422" s="4"/>
      <c r="BB422" s="4"/>
      <c r="BC422" s="4"/>
      <c r="BD422" s="4"/>
      <c r="BE422" s="4"/>
      <c r="BF422" s="4"/>
      <c r="BG422" s="4"/>
      <c r="BH422" s="4"/>
      <c r="BI422" s="4"/>
      <c r="BJ422" s="4"/>
      <c r="BK422" s="4"/>
      <c r="BL422" s="4"/>
      <c r="BM422" s="4"/>
      <c r="BN422" s="4"/>
      <c r="BO422" s="4"/>
      <c r="BP422" s="4"/>
      <c r="BQ422" s="4"/>
      <c r="BR422" s="4"/>
      <c r="BS422" s="4"/>
      <c r="BT422" s="4"/>
      <c r="BU422" s="4"/>
      <c r="BV422" s="4"/>
      <c r="BW422" s="4"/>
      <c r="BX422" s="4"/>
      <c r="BY422" s="4"/>
      <c r="BZ422" s="4"/>
      <c r="CA422" s="4"/>
      <c r="CB422" s="4"/>
      <c r="CC422" s="4"/>
      <c r="CD422" s="4"/>
      <c r="CE422" s="4"/>
      <c r="CF422" s="4"/>
      <c r="CG422" s="4"/>
      <c r="CH422" s="4"/>
      <c r="CI422" s="4"/>
      <c r="CJ422" s="4"/>
      <c r="CK422" s="4"/>
      <c r="CL422" s="4"/>
      <c r="CM422" s="4"/>
      <c r="CN422" s="4"/>
      <c r="CO422" s="4"/>
      <c r="CP422" s="4"/>
      <c r="CQ422" s="4"/>
      <c r="CR422" s="4"/>
      <c r="CS422" s="4"/>
      <c r="CT422" s="4"/>
      <c r="CU422" s="4"/>
      <c r="CV422" s="4"/>
      <c r="CW422" s="4"/>
      <c r="CX422" s="4"/>
      <c r="CY422" s="4"/>
      <c r="CZ422" s="4"/>
      <c r="DA422" s="4"/>
      <c r="DB422" s="4"/>
      <c r="DC422" s="4"/>
      <c r="DD422" s="4"/>
      <c r="DE422" s="4"/>
      <c r="DF422" s="4"/>
      <c r="DG422" s="4"/>
      <c r="DH422" s="4"/>
      <c r="DI422" s="4"/>
      <c r="DJ422" s="4"/>
      <c r="DK422" s="4"/>
      <c r="DL422" s="4"/>
      <c r="DM422" s="4"/>
      <c r="DN422" s="4"/>
      <c r="DO422" s="4"/>
      <c r="DP422" s="4"/>
      <c r="DQ422" s="4"/>
      <c r="DR422" s="4"/>
      <c r="DS422" s="4"/>
      <c r="DT422" s="4"/>
      <c r="DU422" s="4"/>
      <c r="DV422" s="4"/>
      <c r="DW422" s="4"/>
      <c r="DX422" s="4"/>
      <c r="DY422" s="4"/>
      <c r="DZ422" s="4"/>
      <c r="EA422" s="4"/>
      <c r="EB422" s="4"/>
      <c r="EC422" s="4"/>
      <c r="ED422" s="4"/>
      <c r="EE422" s="4"/>
      <c r="EF422" s="4"/>
      <c r="EG422" s="4"/>
      <c r="EH422" s="4"/>
      <c r="EI422" s="4"/>
      <c r="EJ422" s="4"/>
      <c r="EK422" s="4"/>
      <c r="EL422" s="4"/>
      <c r="EM422" s="4"/>
      <c r="EN422" s="4"/>
      <c r="EO422" s="4"/>
      <c r="EP422" s="4"/>
      <c r="EQ422" s="4"/>
      <c r="ER422" s="4"/>
      <c r="ES422" s="4"/>
      <c r="ET422" s="4"/>
      <c r="EU422" s="4"/>
      <c r="EV422" s="4"/>
      <c r="EW422" s="4"/>
      <c r="EX422" s="4"/>
      <c r="EY422" s="4"/>
      <c r="EZ422" s="4"/>
      <c r="FA422" s="4"/>
      <c r="FB422" s="4"/>
      <c r="FC422" s="4"/>
      <c r="FD422" s="4"/>
      <c r="FE422" s="4"/>
      <c r="FF422" s="4"/>
    </row>
    <row r="423" spans="1:162" x14ac:dyDescent="0.2">
      <c r="A423" s="2"/>
      <c r="B423" s="2"/>
      <c r="C423" s="2"/>
      <c r="D423" s="4"/>
      <c r="E423" s="4"/>
      <c r="F423" s="4"/>
      <c r="G423" s="4"/>
      <c r="H423" s="4"/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  <c r="AA423" s="4"/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4"/>
      <c r="AM423" s="4"/>
      <c r="AN423" s="4"/>
      <c r="AO423" s="4"/>
      <c r="AP423" s="4"/>
      <c r="AQ423" s="4"/>
      <c r="AR423" s="4"/>
      <c r="AS423" s="4"/>
      <c r="AT423" s="4"/>
      <c r="AU423" s="4"/>
      <c r="AV423" s="4"/>
      <c r="AW423" s="4"/>
      <c r="AX423" s="4"/>
      <c r="AY423" s="4"/>
      <c r="AZ423" s="4"/>
      <c r="BA423" s="4"/>
      <c r="BB423" s="4"/>
      <c r="BC423" s="4"/>
      <c r="BD423" s="4"/>
      <c r="BE423" s="4"/>
      <c r="BF423" s="4"/>
      <c r="BG423" s="4"/>
      <c r="BH423" s="4"/>
      <c r="BI423" s="4"/>
      <c r="BJ423" s="4"/>
      <c r="BK423" s="4"/>
      <c r="BL423" s="4"/>
      <c r="BM423" s="4"/>
      <c r="BN423" s="4"/>
      <c r="BO423" s="4"/>
      <c r="BP423" s="4"/>
      <c r="BQ423" s="4"/>
      <c r="BR423" s="4"/>
      <c r="BS423" s="4"/>
      <c r="BT423" s="4"/>
      <c r="BU423" s="4"/>
      <c r="BV423" s="4"/>
      <c r="BW423" s="4"/>
      <c r="BX423" s="4"/>
      <c r="BY423" s="4"/>
      <c r="BZ423" s="4"/>
      <c r="CA423" s="4"/>
      <c r="CB423" s="4"/>
      <c r="CC423" s="4"/>
      <c r="CD423" s="4"/>
      <c r="CE423" s="4"/>
      <c r="CF423" s="4"/>
      <c r="CG423" s="4"/>
      <c r="CH423" s="4"/>
      <c r="CI423" s="4"/>
      <c r="CJ423" s="4"/>
      <c r="CK423" s="4"/>
      <c r="CL423" s="4"/>
      <c r="CM423" s="4"/>
      <c r="CN423" s="4"/>
      <c r="CO423" s="4"/>
      <c r="CP423" s="4"/>
      <c r="CQ423" s="4"/>
      <c r="CR423" s="4"/>
      <c r="CS423" s="4"/>
      <c r="CT423" s="4"/>
      <c r="CU423" s="4"/>
      <c r="CV423" s="4"/>
      <c r="CW423" s="4"/>
      <c r="CX423" s="4"/>
      <c r="CY423" s="4"/>
      <c r="CZ423" s="4"/>
      <c r="DA423" s="4"/>
      <c r="DB423" s="4"/>
      <c r="DC423" s="4"/>
      <c r="DD423" s="4"/>
      <c r="DE423" s="4"/>
      <c r="DF423" s="4"/>
      <c r="DG423" s="4"/>
      <c r="DH423" s="4"/>
      <c r="DI423" s="4"/>
      <c r="DJ423" s="4"/>
      <c r="DK423" s="4"/>
      <c r="DL423" s="4"/>
      <c r="DM423" s="4"/>
      <c r="DN423" s="4"/>
      <c r="DO423" s="4"/>
      <c r="DP423" s="4"/>
      <c r="DQ423" s="4"/>
      <c r="DR423" s="4"/>
      <c r="DS423" s="4"/>
      <c r="DT423" s="4"/>
      <c r="DU423" s="4"/>
      <c r="DV423" s="4"/>
      <c r="DW423" s="4"/>
      <c r="DX423" s="4"/>
      <c r="DY423" s="4"/>
      <c r="DZ423" s="4"/>
      <c r="EA423" s="4"/>
      <c r="EB423" s="4"/>
      <c r="EC423" s="4"/>
      <c r="ED423" s="4"/>
      <c r="EE423" s="4"/>
      <c r="EF423" s="4"/>
      <c r="EG423" s="4"/>
      <c r="EH423" s="4"/>
      <c r="EI423" s="4"/>
      <c r="EJ423" s="4"/>
      <c r="EK423" s="4"/>
      <c r="EL423" s="4"/>
      <c r="EM423" s="4"/>
      <c r="EN423" s="4"/>
      <c r="EO423" s="4"/>
      <c r="EP423" s="4"/>
      <c r="EQ423" s="4"/>
      <c r="ER423" s="4"/>
      <c r="ES423" s="4"/>
      <c r="ET423" s="4"/>
      <c r="EU423" s="4"/>
      <c r="EV423" s="4"/>
      <c r="EW423" s="4"/>
      <c r="EX423" s="4"/>
      <c r="EY423" s="4"/>
      <c r="EZ423" s="4"/>
      <c r="FA423" s="4"/>
      <c r="FB423" s="4"/>
      <c r="FC423" s="4"/>
      <c r="FD423" s="4"/>
      <c r="FE423" s="4"/>
      <c r="FF423" s="4"/>
    </row>
    <row r="424" spans="1:162" x14ac:dyDescent="0.2">
      <c r="A424" s="2"/>
      <c r="B424" s="2"/>
      <c r="C424" s="2"/>
      <c r="D424" s="4"/>
      <c r="E424" s="4"/>
      <c r="F424" s="4"/>
      <c r="G424" s="4"/>
      <c r="H424" s="4"/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  <c r="AA424" s="4"/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/>
      <c r="AM424" s="4"/>
      <c r="AN424" s="4"/>
      <c r="AO424" s="4"/>
      <c r="AP424" s="4"/>
      <c r="AQ424" s="4"/>
      <c r="AR424" s="4"/>
      <c r="AS424" s="4"/>
      <c r="AT424" s="4"/>
      <c r="AU424" s="4"/>
      <c r="AV424" s="4"/>
      <c r="AW424" s="4"/>
      <c r="AX424" s="4"/>
      <c r="AY424" s="4"/>
      <c r="AZ424" s="4"/>
      <c r="BA424" s="4"/>
      <c r="BB424" s="4"/>
      <c r="BC424" s="4"/>
      <c r="BD424" s="4"/>
      <c r="BE424" s="4"/>
      <c r="BF424" s="4"/>
      <c r="BG424" s="4"/>
      <c r="BH424" s="4"/>
      <c r="BI424" s="4"/>
      <c r="BJ424" s="4"/>
      <c r="BK424" s="4"/>
      <c r="BL424" s="4"/>
      <c r="BM424" s="4"/>
      <c r="BN424" s="4"/>
      <c r="BO424" s="4"/>
      <c r="BP424" s="4"/>
      <c r="BQ424" s="4"/>
      <c r="BR424" s="4"/>
      <c r="BS424" s="4"/>
      <c r="BT424" s="4"/>
      <c r="BU424" s="4"/>
      <c r="BV424" s="4"/>
      <c r="BW424" s="4"/>
      <c r="BX424" s="4"/>
      <c r="BY424" s="4"/>
      <c r="BZ424" s="4"/>
      <c r="CA424" s="4"/>
      <c r="CB424" s="4"/>
      <c r="CC424" s="4"/>
      <c r="CD424" s="4"/>
      <c r="CE424" s="4"/>
      <c r="CF424" s="4"/>
      <c r="CG424" s="4"/>
      <c r="CH424" s="4"/>
      <c r="CI424" s="4"/>
      <c r="CJ424" s="4"/>
      <c r="CK424" s="4"/>
      <c r="CL424" s="4"/>
      <c r="CM424" s="4"/>
      <c r="CN424" s="4"/>
      <c r="CO424" s="4"/>
      <c r="CP424" s="4"/>
      <c r="CQ424" s="4"/>
      <c r="CR424" s="4"/>
      <c r="CS424" s="4"/>
      <c r="CT424" s="4"/>
      <c r="CU424" s="4"/>
      <c r="CV424" s="4"/>
      <c r="CW424" s="4"/>
      <c r="CX424" s="4"/>
      <c r="CY424" s="4"/>
      <c r="CZ424" s="4"/>
      <c r="DA424" s="4"/>
      <c r="DB424" s="4"/>
      <c r="DC424" s="4"/>
      <c r="DD424" s="4"/>
      <c r="DE424" s="4"/>
      <c r="DF424" s="4"/>
      <c r="DG424" s="4"/>
      <c r="DH424" s="4"/>
      <c r="DI424" s="4"/>
      <c r="DJ424" s="4"/>
      <c r="DK424" s="4"/>
      <c r="DL424" s="4"/>
      <c r="DM424" s="4"/>
      <c r="DN424" s="4"/>
      <c r="DO424" s="4"/>
      <c r="DP424" s="4"/>
      <c r="DQ424" s="4"/>
      <c r="DR424" s="4"/>
      <c r="DS424" s="4"/>
      <c r="DT424" s="4"/>
      <c r="DU424" s="4"/>
      <c r="DV424" s="4"/>
      <c r="DW424" s="4"/>
      <c r="DX424" s="4"/>
      <c r="DY424" s="4"/>
      <c r="DZ424" s="4"/>
      <c r="EA424" s="4"/>
      <c r="EB424" s="4"/>
      <c r="EC424" s="4"/>
      <c r="ED424" s="4"/>
      <c r="EE424" s="4"/>
      <c r="EF424" s="4"/>
      <c r="EG424" s="4"/>
      <c r="EH424" s="4"/>
      <c r="EI424" s="4"/>
      <c r="EJ424" s="4"/>
      <c r="EK424" s="4"/>
      <c r="EL424" s="4"/>
      <c r="EM424" s="4"/>
      <c r="EN424" s="4"/>
      <c r="EO424" s="4"/>
      <c r="EP424" s="4"/>
      <c r="EQ424" s="4"/>
      <c r="ER424" s="4"/>
      <c r="ES424" s="4"/>
      <c r="ET424" s="4"/>
      <c r="EU424" s="4"/>
      <c r="EV424" s="4"/>
      <c r="EW424" s="4"/>
      <c r="EX424" s="4"/>
      <c r="EY424" s="4"/>
      <c r="EZ424" s="4"/>
      <c r="FA424" s="4"/>
      <c r="FB424" s="4"/>
      <c r="FC424" s="4"/>
      <c r="FD424" s="4"/>
      <c r="FE424" s="4"/>
      <c r="FF424" s="4"/>
    </row>
    <row r="425" spans="1:162" x14ac:dyDescent="0.2">
      <c r="A425" s="2"/>
      <c r="B425" s="2"/>
      <c r="C425" s="2"/>
      <c r="D425" s="4"/>
      <c r="E425" s="4"/>
      <c r="F425" s="4"/>
      <c r="G425" s="4"/>
      <c r="H425" s="4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  <c r="AA425" s="4"/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/>
      <c r="AM425" s="4"/>
      <c r="AN425" s="4"/>
      <c r="AO425" s="4"/>
      <c r="AP425" s="4"/>
      <c r="AQ425" s="4"/>
      <c r="AR425" s="4"/>
      <c r="AS425" s="4"/>
      <c r="AT425" s="4"/>
      <c r="AU425" s="4"/>
      <c r="AV425" s="4"/>
      <c r="AW425" s="4"/>
      <c r="AX425" s="4"/>
      <c r="AY425" s="4"/>
      <c r="AZ425" s="4"/>
      <c r="BA425" s="4"/>
      <c r="BB425" s="4"/>
      <c r="BC425" s="4"/>
      <c r="BD425" s="4"/>
      <c r="BE425" s="4"/>
      <c r="BF425" s="4"/>
      <c r="BG425" s="4"/>
      <c r="BH425" s="4"/>
      <c r="BI425" s="4"/>
      <c r="BJ425" s="4"/>
      <c r="BK425" s="4"/>
      <c r="BL425" s="4"/>
      <c r="BM425" s="4"/>
      <c r="BN425" s="4"/>
      <c r="BO425" s="4"/>
      <c r="BP425" s="4"/>
      <c r="BQ425" s="4"/>
      <c r="BR425" s="4"/>
      <c r="BS425" s="4"/>
      <c r="BT425" s="4"/>
      <c r="BU425" s="4"/>
      <c r="BV425" s="4"/>
      <c r="BW425" s="4"/>
      <c r="BX425" s="4"/>
      <c r="BY425" s="4"/>
      <c r="BZ425" s="4"/>
      <c r="CA425" s="4"/>
      <c r="CB425" s="4"/>
      <c r="CC425" s="4"/>
      <c r="CD425" s="4"/>
      <c r="CE425" s="4"/>
      <c r="CF425" s="4"/>
      <c r="CG425" s="4"/>
      <c r="CH425" s="4"/>
      <c r="CI425" s="4"/>
      <c r="CJ425" s="4"/>
      <c r="CK425" s="4"/>
      <c r="CL425" s="4"/>
      <c r="CM425" s="4"/>
      <c r="CN425" s="4"/>
      <c r="CO425" s="4"/>
      <c r="CP425" s="4"/>
      <c r="CQ425" s="4"/>
      <c r="CR425" s="4"/>
      <c r="CS425" s="4"/>
      <c r="CT425" s="4"/>
      <c r="CU425" s="4"/>
      <c r="CV425" s="4"/>
      <c r="CW425" s="4"/>
      <c r="CX425" s="4"/>
      <c r="CY425" s="4"/>
      <c r="CZ425" s="4"/>
      <c r="DA425" s="4"/>
      <c r="DB425" s="4"/>
      <c r="DC425" s="4"/>
      <c r="DD425" s="4"/>
      <c r="DE425" s="4"/>
      <c r="DF425" s="4"/>
      <c r="DG425" s="4"/>
      <c r="DH425" s="4"/>
      <c r="DI425" s="4"/>
      <c r="DJ425" s="4"/>
      <c r="DK425" s="4"/>
      <c r="DL425" s="4"/>
      <c r="DM425" s="4"/>
      <c r="DN425" s="4"/>
      <c r="DO425" s="4"/>
      <c r="DP425" s="4"/>
      <c r="DQ425" s="4"/>
      <c r="DR425" s="4"/>
      <c r="DS425" s="4"/>
      <c r="DT425" s="4"/>
      <c r="DU425" s="4"/>
      <c r="DV425" s="4"/>
      <c r="DW425" s="4"/>
      <c r="DX425" s="4"/>
      <c r="DY425" s="4"/>
      <c r="DZ425" s="4"/>
      <c r="EA425" s="4"/>
      <c r="EB425" s="4"/>
      <c r="EC425" s="4"/>
      <c r="ED425" s="4"/>
      <c r="EE425" s="4"/>
      <c r="EF425" s="4"/>
      <c r="EG425" s="4"/>
      <c r="EH425" s="4"/>
      <c r="EI425" s="4"/>
      <c r="EJ425" s="4"/>
      <c r="EK425" s="4"/>
      <c r="EL425" s="4"/>
      <c r="EM425" s="4"/>
      <c r="EN425" s="4"/>
      <c r="EO425" s="4"/>
      <c r="EP425" s="4"/>
      <c r="EQ425" s="4"/>
      <c r="ER425" s="4"/>
      <c r="ES425" s="4"/>
      <c r="ET425" s="4"/>
      <c r="EU425" s="4"/>
      <c r="EV425" s="4"/>
      <c r="EW425" s="4"/>
      <c r="EX425" s="4"/>
      <c r="EY425" s="4"/>
      <c r="EZ425" s="4"/>
      <c r="FA425" s="4"/>
      <c r="FB425" s="4"/>
      <c r="FC425" s="4"/>
      <c r="FD425" s="4"/>
      <c r="FE425" s="4"/>
      <c r="FF425" s="4"/>
    </row>
    <row r="426" spans="1:162" x14ac:dyDescent="0.2">
      <c r="A426" s="2"/>
      <c r="B426" s="2"/>
      <c r="C426" s="2"/>
      <c r="D426" s="4"/>
      <c r="E426" s="4"/>
      <c r="F426" s="4"/>
      <c r="G426" s="4"/>
      <c r="H426" s="4"/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  <c r="AA426" s="4"/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4"/>
      <c r="AM426" s="4"/>
      <c r="AN426" s="4"/>
      <c r="AO426" s="4"/>
      <c r="AP426" s="4"/>
      <c r="AQ426" s="4"/>
      <c r="AR426" s="4"/>
      <c r="AS426" s="4"/>
      <c r="AT426" s="4"/>
      <c r="AU426" s="4"/>
      <c r="AV426" s="4"/>
      <c r="AW426" s="4"/>
      <c r="AX426" s="4"/>
      <c r="AY426" s="4"/>
      <c r="AZ426" s="4"/>
      <c r="BA426" s="4"/>
      <c r="BB426" s="4"/>
      <c r="BC426" s="4"/>
      <c r="BD426" s="4"/>
      <c r="BE426" s="4"/>
      <c r="BF426" s="4"/>
      <c r="BG426" s="4"/>
      <c r="BH426" s="4"/>
      <c r="BI426" s="4"/>
      <c r="BJ426" s="4"/>
      <c r="BK426" s="4"/>
      <c r="BL426" s="4"/>
      <c r="BM426" s="4"/>
      <c r="BN426" s="4"/>
      <c r="BO426" s="4"/>
      <c r="BP426" s="4"/>
      <c r="BQ426" s="4"/>
      <c r="BR426" s="4"/>
      <c r="BS426" s="4"/>
      <c r="BT426" s="4"/>
      <c r="BU426" s="4"/>
      <c r="BV426" s="4"/>
      <c r="BW426" s="4"/>
      <c r="BX426" s="4"/>
      <c r="BY426" s="4"/>
      <c r="BZ426" s="4"/>
      <c r="CA426" s="4"/>
      <c r="CB426" s="4"/>
      <c r="CC426" s="4"/>
      <c r="CD426" s="4"/>
      <c r="CE426" s="4"/>
      <c r="CF426" s="4"/>
      <c r="CG426" s="4"/>
      <c r="CH426" s="4"/>
      <c r="CI426" s="4"/>
      <c r="CJ426" s="4"/>
      <c r="CK426" s="4"/>
      <c r="CL426" s="4"/>
      <c r="CM426" s="4"/>
      <c r="CN426" s="4"/>
      <c r="CO426" s="4"/>
      <c r="CP426" s="4"/>
      <c r="CQ426" s="4"/>
      <c r="CR426" s="4"/>
      <c r="CS426" s="4"/>
      <c r="CT426" s="4"/>
      <c r="CU426" s="4"/>
      <c r="CV426" s="4"/>
      <c r="CW426" s="4"/>
      <c r="CX426" s="4"/>
      <c r="CY426" s="4"/>
      <c r="CZ426" s="4"/>
      <c r="DA426" s="4"/>
      <c r="DB426" s="4"/>
      <c r="DC426" s="4"/>
      <c r="DD426" s="4"/>
      <c r="DE426" s="4"/>
      <c r="DF426" s="4"/>
      <c r="DG426" s="4"/>
      <c r="DH426" s="4"/>
      <c r="DI426" s="4"/>
      <c r="DJ426" s="4"/>
      <c r="DK426" s="4"/>
      <c r="DL426" s="4"/>
      <c r="DM426" s="4"/>
      <c r="DN426" s="4"/>
      <c r="DO426" s="4"/>
      <c r="DP426" s="4"/>
      <c r="DQ426" s="4"/>
      <c r="DR426" s="4"/>
      <c r="DS426" s="4"/>
      <c r="DT426" s="4"/>
      <c r="DU426" s="4"/>
      <c r="DV426" s="4"/>
      <c r="DW426" s="4"/>
      <c r="DX426" s="4"/>
      <c r="DY426" s="4"/>
      <c r="DZ426" s="4"/>
      <c r="EA426" s="4"/>
      <c r="EB426" s="4"/>
      <c r="EC426" s="4"/>
      <c r="ED426" s="4"/>
      <c r="EE426" s="4"/>
      <c r="EF426" s="4"/>
      <c r="EG426" s="4"/>
      <c r="EH426" s="4"/>
      <c r="EI426" s="4"/>
      <c r="EJ426" s="4"/>
      <c r="EK426" s="4"/>
      <c r="EL426" s="4"/>
      <c r="EM426" s="4"/>
      <c r="EN426" s="4"/>
      <c r="EO426" s="4"/>
      <c r="EP426" s="4"/>
      <c r="EQ426" s="4"/>
      <c r="ER426" s="4"/>
      <c r="ES426" s="4"/>
      <c r="ET426" s="4"/>
      <c r="EU426" s="4"/>
      <c r="EV426" s="4"/>
      <c r="EW426" s="4"/>
      <c r="EX426" s="4"/>
      <c r="EY426" s="4"/>
      <c r="EZ426" s="4"/>
      <c r="FA426" s="4"/>
      <c r="FB426" s="4"/>
      <c r="FC426" s="4"/>
      <c r="FD426" s="4"/>
      <c r="FE426" s="4"/>
      <c r="FF426" s="4"/>
    </row>
    <row r="427" spans="1:162" x14ac:dyDescent="0.2">
      <c r="A427" s="2"/>
      <c r="B427" s="2"/>
      <c r="C427" s="2"/>
      <c r="D427" s="4"/>
      <c r="E427" s="4"/>
      <c r="F427" s="4"/>
      <c r="G427" s="4"/>
      <c r="H427" s="4"/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  <c r="AA427" s="4"/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/>
      <c r="AM427" s="4"/>
      <c r="AN427" s="4"/>
      <c r="AO427" s="4"/>
      <c r="AP427" s="4"/>
      <c r="AQ427" s="4"/>
      <c r="AR427" s="4"/>
      <c r="AS427" s="4"/>
      <c r="AT427" s="4"/>
      <c r="AU427" s="4"/>
      <c r="AV427" s="4"/>
      <c r="AW427" s="4"/>
      <c r="AX427" s="4"/>
      <c r="AY427" s="4"/>
      <c r="AZ427" s="4"/>
      <c r="BA427" s="4"/>
      <c r="BB427" s="4"/>
      <c r="BC427" s="4"/>
      <c r="BD427" s="4"/>
      <c r="BE427" s="4"/>
      <c r="BF427" s="4"/>
      <c r="BG427" s="4"/>
      <c r="BH427" s="4"/>
      <c r="BI427" s="4"/>
      <c r="BJ427" s="4"/>
      <c r="BK427" s="4"/>
      <c r="BL427" s="4"/>
      <c r="BM427" s="4"/>
      <c r="BN427" s="4"/>
      <c r="BO427" s="4"/>
      <c r="BP427" s="4"/>
      <c r="BQ427" s="4"/>
      <c r="BR427" s="4"/>
      <c r="BS427" s="4"/>
      <c r="BT427" s="4"/>
      <c r="BU427" s="4"/>
      <c r="BV427" s="4"/>
      <c r="BW427" s="4"/>
      <c r="BX427" s="4"/>
      <c r="BY427" s="4"/>
      <c r="BZ427" s="4"/>
      <c r="CA427" s="4"/>
      <c r="CB427" s="4"/>
      <c r="CC427" s="4"/>
      <c r="CD427" s="4"/>
      <c r="CE427" s="4"/>
      <c r="CF427" s="4"/>
      <c r="CG427" s="4"/>
      <c r="CH427" s="4"/>
      <c r="CI427" s="4"/>
      <c r="CJ427" s="4"/>
      <c r="CK427" s="4"/>
      <c r="CL427" s="4"/>
      <c r="CM427" s="4"/>
      <c r="CN427" s="4"/>
      <c r="CO427" s="4"/>
      <c r="CP427" s="4"/>
      <c r="CQ427" s="4"/>
      <c r="CR427" s="4"/>
      <c r="CS427" s="4"/>
      <c r="CT427" s="4"/>
      <c r="CU427" s="4"/>
      <c r="CV427" s="4"/>
      <c r="CW427" s="4"/>
      <c r="CX427" s="4"/>
      <c r="CY427" s="4"/>
      <c r="CZ427" s="4"/>
      <c r="DA427" s="4"/>
      <c r="DB427" s="4"/>
      <c r="DC427" s="4"/>
      <c r="DD427" s="4"/>
      <c r="DE427" s="4"/>
      <c r="DF427" s="4"/>
      <c r="DG427" s="4"/>
      <c r="DH427" s="4"/>
      <c r="DI427" s="4"/>
      <c r="DJ427" s="4"/>
      <c r="DK427" s="4"/>
      <c r="DL427" s="4"/>
      <c r="DM427" s="4"/>
      <c r="DN427" s="4"/>
      <c r="DO427" s="4"/>
      <c r="DP427" s="4"/>
      <c r="DQ427" s="4"/>
      <c r="DR427" s="4"/>
      <c r="DS427" s="4"/>
      <c r="DT427" s="4"/>
      <c r="DU427" s="4"/>
      <c r="DV427" s="4"/>
      <c r="DW427" s="4"/>
      <c r="DX427" s="4"/>
      <c r="DY427" s="4"/>
      <c r="DZ427" s="4"/>
      <c r="EA427" s="4"/>
      <c r="EB427" s="4"/>
      <c r="EC427" s="4"/>
      <c r="ED427" s="4"/>
      <c r="EE427" s="4"/>
      <c r="EF427" s="4"/>
      <c r="EG427" s="4"/>
      <c r="EH427" s="4"/>
      <c r="EI427" s="4"/>
      <c r="EJ427" s="4"/>
      <c r="EK427" s="4"/>
      <c r="EL427" s="4"/>
      <c r="EM427" s="4"/>
      <c r="EN427" s="4"/>
      <c r="EO427" s="4"/>
      <c r="EP427" s="4"/>
      <c r="EQ427" s="4"/>
      <c r="ER427" s="4"/>
      <c r="ES427" s="4"/>
      <c r="ET427" s="4"/>
      <c r="EU427" s="4"/>
      <c r="EV427" s="4"/>
      <c r="EW427" s="4"/>
      <c r="EX427" s="4"/>
      <c r="EY427" s="4"/>
      <c r="EZ427" s="4"/>
      <c r="FA427" s="4"/>
      <c r="FB427" s="4"/>
      <c r="FC427" s="4"/>
      <c r="FD427" s="4"/>
      <c r="FE427" s="4"/>
      <c r="FF427" s="4"/>
    </row>
    <row r="428" spans="1:162" x14ac:dyDescent="0.2">
      <c r="A428" s="2"/>
      <c r="B428" s="2"/>
      <c r="C428" s="2"/>
      <c r="D428" s="4"/>
      <c r="E428" s="4"/>
      <c r="F428" s="4"/>
      <c r="G428" s="4"/>
      <c r="H428" s="4"/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/>
      <c r="AM428" s="4"/>
      <c r="AN428" s="4"/>
      <c r="AO428" s="4"/>
      <c r="AP428" s="4"/>
      <c r="AQ428" s="4"/>
      <c r="AR428" s="4"/>
      <c r="AS428" s="4"/>
      <c r="AT428" s="4"/>
      <c r="AU428" s="4"/>
      <c r="AV428" s="4"/>
      <c r="AW428" s="4"/>
      <c r="AX428" s="4"/>
      <c r="AY428" s="4"/>
      <c r="AZ428" s="4"/>
      <c r="BA428" s="4"/>
      <c r="BB428" s="4"/>
      <c r="BC428" s="4"/>
      <c r="BD428" s="4"/>
      <c r="BE428" s="4"/>
      <c r="BF428" s="4"/>
      <c r="BG428" s="4"/>
      <c r="BH428" s="4"/>
      <c r="BI428" s="4"/>
      <c r="BJ428" s="4"/>
      <c r="BK428" s="4"/>
      <c r="BL428" s="4"/>
      <c r="BM428" s="4"/>
      <c r="BN428" s="4"/>
      <c r="BO428" s="4"/>
      <c r="BP428" s="4"/>
      <c r="BQ428" s="4"/>
      <c r="BR428" s="4"/>
      <c r="BS428" s="4"/>
      <c r="BT428" s="4"/>
      <c r="BU428" s="4"/>
      <c r="BV428" s="4"/>
      <c r="BW428" s="4"/>
      <c r="BX428" s="4"/>
      <c r="BY428" s="4"/>
      <c r="BZ428" s="4"/>
      <c r="CA428" s="4"/>
      <c r="CB428" s="4"/>
      <c r="CC428" s="4"/>
      <c r="CD428" s="4"/>
      <c r="CE428" s="4"/>
      <c r="CF428" s="4"/>
      <c r="CG428" s="4"/>
      <c r="CH428" s="4"/>
      <c r="CI428" s="4"/>
      <c r="CJ428" s="4"/>
      <c r="CK428" s="4"/>
      <c r="CL428" s="4"/>
      <c r="CM428" s="4"/>
      <c r="CN428" s="4"/>
      <c r="CO428" s="4"/>
      <c r="CP428" s="4"/>
      <c r="CQ428" s="4"/>
      <c r="CR428" s="4"/>
      <c r="CS428" s="4"/>
      <c r="CT428" s="4"/>
      <c r="CU428" s="4"/>
      <c r="CV428" s="4"/>
      <c r="CW428" s="4"/>
      <c r="CX428" s="4"/>
      <c r="CY428" s="4"/>
      <c r="CZ428" s="4"/>
      <c r="DA428" s="4"/>
      <c r="DB428" s="4"/>
      <c r="DC428" s="4"/>
      <c r="DD428" s="4"/>
      <c r="DE428" s="4"/>
      <c r="DF428" s="4"/>
      <c r="DG428" s="4"/>
      <c r="DH428" s="4"/>
      <c r="DI428" s="4"/>
      <c r="DJ428" s="4"/>
      <c r="DK428" s="4"/>
      <c r="DL428" s="4"/>
      <c r="DM428" s="4"/>
      <c r="DN428" s="4"/>
      <c r="DO428" s="4"/>
      <c r="DP428" s="4"/>
      <c r="DQ428" s="4"/>
      <c r="DR428" s="4"/>
      <c r="DS428" s="4"/>
      <c r="DT428" s="4"/>
      <c r="DU428" s="4"/>
      <c r="DV428" s="4"/>
      <c r="DW428" s="4"/>
      <c r="DX428" s="4"/>
      <c r="DY428" s="4"/>
      <c r="DZ428" s="4"/>
      <c r="EA428" s="4"/>
      <c r="EB428" s="4"/>
      <c r="EC428" s="4"/>
      <c r="ED428" s="4"/>
      <c r="EE428" s="4"/>
      <c r="EF428" s="4"/>
      <c r="EG428" s="4"/>
      <c r="EH428" s="4"/>
      <c r="EI428" s="4"/>
      <c r="EJ428" s="4"/>
      <c r="EK428" s="4"/>
      <c r="EL428" s="4"/>
      <c r="EM428" s="4"/>
      <c r="EN428" s="4"/>
      <c r="EO428" s="4"/>
      <c r="EP428" s="4"/>
      <c r="EQ428" s="4"/>
      <c r="ER428" s="4"/>
      <c r="ES428" s="4"/>
      <c r="ET428" s="4"/>
      <c r="EU428" s="4"/>
      <c r="EV428" s="4"/>
      <c r="EW428" s="4"/>
      <c r="EX428" s="4"/>
      <c r="EY428" s="4"/>
      <c r="EZ428" s="4"/>
      <c r="FA428" s="4"/>
      <c r="FB428" s="4"/>
      <c r="FC428" s="4"/>
      <c r="FD428" s="4"/>
      <c r="FE428" s="4"/>
      <c r="FF428" s="4"/>
    </row>
    <row r="429" spans="1:162" x14ac:dyDescent="0.2">
      <c r="A429" s="2"/>
      <c r="B429" s="2"/>
      <c r="C429" s="2"/>
      <c r="D429" s="4"/>
      <c r="E429" s="4"/>
      <c r="F429" s="4"/>
      <c r="G429" s="4"/>
      <c r="H429" s="4"/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4"/>
      <c r="AM429" s="4"/>
      <c r="AN429" s="4"/>
      <c r="AO429" s="4"/>
      <c r="AP429" s="4"/>
      <c r="AQ429" s="4"/>
      <c r="AR429" s="4"/>
      <c r="AS429" s="4"/>
      <c r="AT429" s="4"/>
      <c r="AU429" s="4"/>
      <c r="AV429" s="4"/>
      <c r="AW429" s="4"/>
      <c r="AX429" s="4"/>
      <c r="AY429" s="4"/>
      <c r="AZ429" s="4"/>
      <c r="BA429" s="4"/>
      <c r="BB429" s="4"/>
      <c r="BC429" s="4"/>
      <c r="BD429" s="4"/>
      <c r="BE429" s="4"/>
      <c r="BF429" s="4"/>
      <c r="BG429" s="4"/>
      <c r="BH429" s="4"/>
      <c r="BI429" s="4"/>
      <c r="BJ429" s="4"/>
      <c r="BK429" s="4"/>
      <c r="BL429" s="4"/>
      <c r="BM429" s="4"/>
      <c r="BN429" s="4"/>
      <c r="BO429" s="4"/>
      <c r="BP429" s="4"/>
      <c r="BQ429" s="4"/>
      <c r="BR429" s="4"/>
      <c r="BS429" s="4"/>
      <c r="BT429" s="4"/>
      <c r="BU429" s="4"/>
      <c r="BV429" s="4"/>
      <c r="BW429" s="4"/>
      <c r="BX429" s="4"/>
      <c r="BY429" s="4"/>
      <c r="BZ429" s="4"/>
      <c r="CA429" s="4"/>
      <c r="CB429" s="4"/>
      <c r="CC429" s="4"/>
      <c r="CD429" s="4"/>
      <c r="CE429" s="4"/>
      <c r="CF429" s="4"/>
      <c r="CG429" s="4"/>
      <c r="CH429" s="4"/>
      <c r="CI429" s="4"/>
      <c r="CJ429" s="4"/>
      <c r="CK429" s="4"/>
      <c r="CL429" s="4"/>
      <c r="CM429" s="4"/>
      <c r="CN429" s="4"/>
      <c r="CO429" s="4"/>
      <c r="CP429" s="4"/>
      <c r="CQ429" s="4"/>
      <c r="CR429" s="4"/>
      <c r="CS429" s="4"/>
      <c r="CT429" s="4"/>
      <c r="CU429" s="4"/>
      <c r="CV429" s="4"/>
      <c r="CW429" s="4"/>
      <c r="CX429" s="4"/>
      <c r="CY429" s="4"/>
      <c r="CZ429" s="4"/>
      <c r="DA429" s="4"/>
      <c r="DB429" s="4"/>
      <c r="DC429" s="4"/>
      <c r="DD429" s="4"/>
      <c r="DE429" s="4"/>
      <c r="DF429" s="4"/>
      <c r="DG429" s="4"/>
      <c r="DH429" s="4"/>
      <c r="DI429" s="4"/>
      <c r="DJ429" s="4"/>
      <c r="DK429" s="4"/>
      <c r="DL429" s="4"/>
      <c r="DM429" s="4"/>
      <c r="DN429" s="4"/>
      <c r="DO429" s="4"/>
      <c r="DP429" s="4"/>
      <c r="DQ429" s="4"/>
      <c r="DR429" s="4"/>
      <c r="DS429" s="4"/>
      <c r="DT429" s="4"/>
      <c r="DU429" s="4"/>
      <c r="DV429" s="4"/>
      <c r="DW429" s="4"/>
      <c r="DX429" s="4"/>
      <c r="DY429" s="4"/>
      <c r="DZ429" s="4"/>
      <c r="EA429" s="4"/>
      <c r="EB429" s="4"/>
      <c r="EC429" s="4"/>
      <c r="ED429" s="4"/>
      <c r="EE429" s="4"/>
      <c r="EF429" s="4"/>
      <c r="EG429" s="4"/>
      <c r="EH429" s="4"/>
      <c r="EI429" s="4"/>
      <c r="EJ429" s="4"/>
      <c r="EK429" s="4"/>
      <c r="EL429" s="4"/>
      <c r="EM429" s="4"/>
      <c r="EN429" s="4"/>
      <c r="EO429" s="4"/>
      <c r="EP429" s="4"/>
      <c r="EQ429" s="4"/>
      <c r="ER429" s="4"/>
      <c r="ES429" s="4"/>
      <c r="ET429" s="4"/>
      <c r="EU429" s="4"/>
      <c r="EV429" s="4"/>
      <c r="EW429" s="4"/>
      <c r="EX429" s="4"/>
      <c r="EY429" s="4"/>
      <c r="EZ429" s="4"/>
      <c r="FA429" s="4"/>
      <c r="FB429" s="4"/>
      <c r="FC429" s="4"/>
      <c r="FD429" s="4"/>
      <c r="FE429" s="4"/>
      <c r="FF429" s="4"/>
    </row>
    <row r="430" spans="1:162" x14ac:dyDescent="0.2">
      <c r="A430" s="2"/>
      <c r="B430" s="2"/>
      <c r="C430" s="2"/>
      <c r="D430" s="4"/>
      <c r="E430" s="4"/>
      <c r="F430" s="4"/>
      <c r="G430" s="4"/>
      <c r="H430" s="4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  <c r="AA430" s="4"/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/>
      <c r="AM430" s="4"/>
      <c r="AN430" s="4"/>
      <c r="AO430" s="4"/>
      <c r="AP430" s="4"/>
      <c r="AQ430" s="4"/>
      <c r="AR430" s="4"/>
      <c r="AS430" s="4"/>
      <c r="AT430" s="4"/>
      <c r="AU430" s="4"/>
      <c r="AV430" s="4"/>
      <c r="AW430" s="4"/>
      <c r="AX430" s="4"/>
      <c r="AY430" s="4"/>
      <c r="AZ430" s="4"/>
      <c r="BA430" s="4"/>
      <c r="BB430" s="4"/>
      <c r="BC430" s="4"/>
      <c r="BD430" s="4"/>
      <c r="BE430" s="4"/>
      <c r="BF430" s="4"/>
      <c r="BG430" s="4"/>
      <c r="BH430" s="4"/>
      <c r="BI430" s="4"/>
      <c r="BJ430" s="4"/>
      <c r="BK430" s="4"/>
      <c r="BL430" s="4"/>
      <c r="BM430" s="4"/>
      <c r="BN430" s="4"/>
      <c r="BO430" s="4"/>
      <c r="BP430" s="4"/>
      <c r="BQ430" s="4"/>
      <c r="BR430" s="4"/>
      <c r="BS430" s="4"/>
      <c r="BT430" s="4"/>
      <c r="BU430" s="4"/>
      <c r="BV430" s="4"/>
      <c r="BW430" s="4"/>
      <c r="BX430" s="4"/>
      <c r="BY430" s="4"/>
      <c r="BZ430" s="4"/>
      <c r="CA430" s="4"/>
      <c r="CB430" s="4"/>
      <c r="CC430" s="4"/>
      <c r="CD430" s="4"/>
      <c r="CE430" s="4"/>
      <c r="CF430" s="4"/>
      <c r="CG430" s="4"/>
      <c r="CH430" s="4"/>
      <c r="CI430" s="4"/>
      <c r="CJ430" s="4"/>
      <c r="CK430" s="4"/>
      <c r="CL430" s="4"/>
      <c r="CM430" s="4"/>
      <c r="CN430" s="4"/>
      <c r="CO430" s="4"/>
      <c r="CP430" s="4"/>
      <c r="CQ430" s="4"/>
      <c r="CR430" s="4"/>
      <c r="CS430" s="4"/>
      <c r="CT430" s="4"/>
      <c r="CU430" s="4"/>
      <c r="CV430" s="4"/>
      <c r="CW430" s="4"/>
      <c r="CX430" s="4"/>
      <c r="CY430" s="4"/>
      <c r="CZ430" s="4"/>
      <c r="DA430" s="4"/>
      <c r="DB430" s="4"/>
      <c r="DC430" s="4"/>
      <c r="DD430" s="4"/>
      <c r="DE430" s="4"/>
      <c r="DF430" s="4"/>
      <c r="DG430" s="4"/>
      <c r="DH430" s="4"/>
      <c r="DI430" s="4"/>
      <c r="DJ430" s="4"/>
      <c r="DK430" s="4"/>
      <c r="DL430" s="4"/>
      <c r="DM430" s="4"/>
      <c r="DN430" s="4"/>
      <c r="DO430" s="4"/>
      <c r="DP430" s="4"/>
      <c r="DQ430" s="4"/>
      <c r="DR430" s="4"/>
      <c r="DS430" s="4"/>
      <c r="DT430" s="4"/>
      <c r="DU430" s="4"/>
      <c r="DV430" s="4"/>
      <c r="DW430" s="4"/>
      <c r="DX430" s="4"/>
      <c r="DY430" s="4"/>
      <c r="DZ430" s="4"/>
      <c r="EA430" s="4"/>
      <c r="EB430" s="4"/>
      <c r="EC430" s="4"/>
      <c r="ED430" s="4"/>
      <c r="EE430" s="4"/>
      <c r="EF430" s="4"/>
      <c r="EG430" s="4"/>
      <c r="EH430" s="4"/>
      <c r="EI430" s="4"/>
      <c r="EJ430" s="4"/>
      <c r="EK430" s="4"/>
      <c r="EL430" s="4"/>
      <c r="EM430" s="4"/>
      <c r="EN430" s="4"/>
      <c r="EO430" s="4"/>
      <c r="EP430" s="4"/>
      <c r="EQ430" s="4"/>
      <c r="ER430" s="4"/>
      <c r="ES430" s="4"/>
      <c r="ET430" s="4"/>
      <c r="EU430" s="4"/>
      <c r="EV430" s="4"/>
      <c r="EW430" s="4"/>
      <c r="EX430" s="4"/>
      <c r="EY430" s="4"/>
      <c r="EZ430" s="4"/>
      <c r="FA430" s="4"/>
      <c r="FB430" s="4"/>
      <c r="FC430" s="4"/>
      <c r="FD430" s="4"/>
      <c r="FE430" s="4"/>
      <c r="FF430" s="4"/>
    </row>
    <row r="431" spans="1:162" x14ac:dyDescent="0.2">
      <c r="A431" s="2"/>
      <c r="B431" s="2"/>
      <c r="C431" s="2"/>
      <c r="D431" s="4"/>
      <c r="E431" s="4"/>
      <c r="F431" s="4"/>
      <c r="G431" s="4"/>
      <c r="H431" s="4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/>
      <c r="AM431" s="4"/>
      <c r="AN431" s="4"/>
      <c r="AO431" s="4"/>
      <c r="AP431" s="4"/>
      <c r="AQ431" s="4"/>
      <c r="AR431" s="4"/>
      <c r="AS431" s="4"/>
      <c r="AT431" s="4"/>
      <c r="AU431" s="4"/>
      <c r="AV431" s="4"/>
      <c r="AW431" s="4"/>
      <c r="AX431" s="4"/>
      <c r="AY431" s="4"/>
      <c r="AZ431" s="4"/>
      <c r="BA431" s="4"/>
      <c r="BB431" s="4"/>
      <c r="BC431" s="4"/>
      <c r="BD431" s="4"/>
      <c r="BE431" s="4"/>
      <c r="BF431" s="4"/>
      <c r="BG431" s="4"/>
      <c r="BH431" s="4"/>
      <c r="BI431" s="4"/>
      <c r="BJ431" s="4"/>
      <c r="BK431" s="4"/>
      <c r="BL431" s="4"/>
      <c r="BM431" s="4"/>
      <c r="BN431" s="4"/>
      <c r="BO431" s="4"/>
      <c r="BP431" s="4"/>
      <c r="BQ431" s="4"/>
      <c r="BR431" s="4"/>
      <c r="BS431" s="4"/>
      <c r="BT431" s="4"/>
      <c r="BU431" s="4"/>
      <c r="BV431" s="4"/>
      <c r="BW431" s="4"/>
      <c r="BX431" s="4"/>
      <c r="BY431" s="4"/>
      <c r="BZ431" s="4"/>
      <c r="CA431" s="4"/>
      <c r="CB431" s="4"/>
      <c r="CC431" s="4"/>
      <c r="CD431" s="4"/>
      <c r="CE431" s="4"/>
      <c r="CF431" s="4"/>
      <c r="CG431" s="4"/>
      <c r="CH431" s="4"/>
      <c r="CI431" s="4"/>
      <c r="CJ431" s="4"/>
      <c r="CK431" s="4"/>
      <c r="CL431" s="4"/>
      <c r="CM431" s="4"/>
      <c r="CN431" s="4"/>
      <c r="CO431" s="4"/>
      <c r="CP431" s="4"/>
      <c r="CQ431" s="4"/>
      <c r="CR431" s="4"/>
      <c r="CS431" s="4"/>
      <c r="CT431" s="4"/>
      <c r="CU431" s="4"/>
      <c r="CV431" s="4"/>
      <c r="CW431" s="4"/>
      <c r="CX431" s="4"/>
      <c r="CY431" s="4"/>
      <c r="CZ431" s="4"/>
      <c r="DA431" s="4"/>
      <c r="DB431" s="4"/>
      <c r="DC431" s="4"/>
      <c r="DD431" s="4"/>
      <c r="DE431" s="4"/>
      <c r="DF431" s="4"/>
      <c r="DG431" s="4"/>
      <c r="DH431" s="4"/>
      <c r="DI431" s="4"/>
      <c r="DJ431" s="4"/>
      <c r="DK431" s="4"/>
      <c r="DL431" s="4"/>
      <c r="DM431" s="4"/>
      <c r="DN431" s="4"/>
      <c r="DO431" s="4"/>
      <c r="DP431" s="4"/>
      <c r="DQ431" s="4"/>
      <c r="DR431" s="4"/>
      <c r="DS431" s="4"/>
      <c r="DT431" s="4"/>
      <c r="DU431" s="4"/>
      <c r="DV431" s="4"/>
      <c r="DW431" s="4"/>
      <c r="DX431" s="4"/>
      <c r="DY431" s="4"/>
      <c r="DZ431" s="4"/>
      <c r="EA431" s="4"/>
      <c r="EB431" s="4"/>
      <c r="EC431" s="4"/>
      <c r="ED431" s="4"/>
      <c r="EE431" s="4"/>
      <c r="EF431" s="4"/>
      <c r="EG431" s="4"/>
      <c r="EH431" s="4"/>
      <c r="EI431" s="4"/>
      <c r="EJ431" s="4"/>
      <c r="EK431" s="4"/>
      <c r="EL431" s="4"/>
      <c r="EM431" s="4"/>
      <c r="EN431" s="4"/>
      <c r="EO431" s="4"/>
      <c r="EP431" s="4"/>
      <c r="EQ431" s="4"/>
      <c r="ER431" s="4"/>
      <c r="ES431" s="4"/>
      <c r="ET431" s="4"/>
      <c r="EU431" s="4"/>
      <c r="EV431" s="4"/>
      <c r="EW431" s="4"/>
      <c r="EX431" s="4"/>
      <c r="EY431" s="4"/>
      <c r="EZ431" s="4"/>
      <c r="FA431" s="4"/>
      <c r="FB431" s="4"/>
      <c r="FC431" s="4"/>
      <c r="FD431" s="4"/>
      <c r="FE431" s="4"/>
      <c r="FF431" s="4"/>
    </row>
    <row r="432" spans="1:162" x14ac:dyDescent="0.2">
      <c r="A432" s="2"/>
      <c r="B432" s="2"/>
      <c r="C432" s="2"/>
      <c r="D432" s="4"/>
      <c r="E432" s="4"/>
      <c r="F432" s="4"/>
      <c r="G432" s="4"/>
      <c r="H432" s="4"/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  <c r="AA432" s="4"/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4"/>
      <c r="AM432" s="4"/>
      <c r="AN432" s="4"/>
      <c r="AO432" s="4"/>
      <c r="AP432" s="4"/>
      <c r="AQ432" s="4"/>
      <c r="AR432" s="4"/>
      <c r="AS432" s="4"/>
      <c r="AT432" s="4"/>
      <c r="AU432" s="4"/>
      <c r="AV432" s="4"/>
      <c r="AW432" s="4"/>
      <c r="AX432" s="4"/>
      <c r="AY432" s="4"/>
      <c r="AZ432" s="4"/>
      <c r="BA432" s="4"/>
      <c r="BB432" s="4"/>
      <c r="BC432" s="4"/>
      <c r="BD432" s="4"/>
      <c r="BE432" s="4"/>
      <c r="BF432" s="4"/>
      <c r="BG432" s="4"/>
      <c r="BH432" s="4"/>
      <c r="BI432" s="4"/>
      <c r="BJ432" s="4"/>
      <c r="BK432" s="4"/>
      <c r="BL432" s="4"/>
      <c r="BM432" s="4"/>
      <c r="BN432" s="4"/>
      <c r="BO432" s="4"/>
      <c r="BP432" s="4"/>
      <c r="BQ432" s="4"/>
      <c r="BR432" s="4"/>
      <c r="BS432" s="4"/>
      <c r="BT432" s="4"/>
      <c r="BU432" s="4"/>
      <c r="BV432" s="4"/>
      <c r="BW432" s="4"/>
      <c r="BX432" s="4"/>
      <c r="BY432" s="4"/>
      <c r="BZ432" s="4"/>
      <c r="CA432" s="4"/>
      <c r="CB432" s="4"/>
      <c r="CC432" s="4"/>
      <c r="CD432" s="4"/>
      <c r="CE432" s="4"/>
      <c r="CF432" s="4"/>
      <c r="CG432" s="4"/>
      <c r="CH432" s="4"/>
      <c r="CI432" s="4"/>
      <c r="CJ432" s="4"/>
      <c r="CK432" s="4"/>
      <c r="CL432" s="4"/>
      <c r="CM432" s="4"/>
      <c r="CN432" s="4"/>
      <c r="CO432" s="4"/>
      <c r="CP432" s="4"/>
      <c r="CQ432" s="4"/>
      <c r="CR432" s="4"/>
      <c r="CS432" s="4"/>
      <c r="CT432" s="4"/>
      <c r="CU432" s="4"/>
      <c r="CV432" s="4"/>
      <c r="CW432" s="4"/>
      <c r="CX432" s="4"/>
      <c r="CY432" s="4"/>
      <c r="CZ432" s="4"/>
      <c r="DA432" s="4"/>
      <c r="DB432" s="4"/>
      <c r="DC432" s="4"/>
      <c r="DD432" s="4"/>
      <c r="DE432" s="4"/>
      <c r="DF432" s="4"/>
      <c r="DG432" s="4"/>
      <c r="DH432" s="4"/>
      <c r="DI432" s="4"/>
      <c r="DJ432" s="4"/>
      <c r="DK432" s="4"/>
      <c r="DL432" s="4"/>
      <c r="DM432" s="4"/>
      <c r="DN432" s="4"/>
      <c r="DO432" s="4"/>
      <c r="DP432" s="4"/>
      <c r="DQ432" s="4"/>
      <c r="DR432" s="4"/>
      <c r="DS432" s="4"/>
      <c r="DT432" s="4"/>
      <c r="DU432" s="4"/>
      <c r="DV432" s="4"/>
      <c r="DW432" s="4"/>
      <c r="DX432" s="4"/>
      <c r="DY432" s="4"/>
      <c r="DZ432" s="4"/>
      <c r="EA432" s="4"/>
      <c r="EB432" s="4"/>
      <c r="EC432" s="4"/>
      <c r="ED432" s="4"/>
      <c r="EE432" s="4"/>
      <c r="EF432" s="4"/>
      <c r="EG432" s="4"/>
      <c r="EH432" s="4"/>
      <c r="EI432" s="4"/>
      <c r="EJ432" s="4"/>
      <c r="EK432" s="4"/>
      <c r="EL432" s="4"/>
      <c r="EM432" s="4"/>
      <c r="EN432" s="4"/>
      <c r="EO432" s="4"/>
      <c r="EP432" s="4"/>
      <c r="EQ432" s="4"/>
      <c r="ER432" s="4"/>
      <c r="ES432" s="4"/>
      <c r="ET432" s="4"/>
      <c r="EU432" s="4"/>
      <c r="EV432" s="4"/>
      <c r="EW432" s="4"/>
      <c r="EX432" s="4"/>
      <c r="EY432" s="4"/>
      <c r="EZ432" s="4"/>
      <c r="FA432" s="4"/>
      <c r="FB432" s="4"/>
      <c r="FC432" s="4"/>
      <c r="FD432" s="4"/>
      <c r="FE432" s="4"/>
      <c r="FF432" s="4"/>
    </row>
    <row r="433" spans="1:162" x14ac:dyDescent="0.2">
      <c r="A433" s="2"/>
      <c r="B433" s="2"/>
      <c r="C433" s="2"/>
      <c r="D433" s="4"/>
      <c r="E433" s="4"/>
      <c r="F433" s="4"/>
      <c r="G433" s="4"/>
      <c r="H433" s="4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  <c r="AA433" s="4"/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/>
      <c r="AM433" s="4"/>
      <c r="AN433" s="4"/>
      <c r="AO433" s="4"/>
      <c r="AP433" s="4"/>
      <c r="AQ433" s="4"/>
      <c r="AR433" s="4"/>
      <c r="AS433" s="4"/>
      <c r="AT433" s="4"/>
      <c r="AU433" s="4"/>
      <c r="AV433" s="4"/>
      <c r="AW433" s="4"/>
      <c r="AX433" s="4"/>
      <c r="AY433" s="4"/>
      <c r="AZ433" s="4"/>
      <c r="BA433" s="4"/>
      <c r="BB433" s="4"/>
      <c r="BC433" s="4"/>
      <c r="BD433" s="4"/>
      <c r="BE433" s="4"/>
      <c r="BF433" s="4"/>
      <c r="BG433" s="4"/>
      <c r="BH433" s="4"/>
      <c r="BI433" s="4"/>
      <c r="BJ433" s="4"/>
      <c r="BK433" s="4"/>
      <c r="BL433" s="4"/>
      <c r="BM433" s="4"/>
      <c r="BN433" s="4"/>
      <c r="BO433" s="4"/>
      <c r="BP433" s="4"/>
      <c r="BQ433" s="4"/>
      <c r="BR433" s="4"/>
      <c r="BS433" s="4"/>
      <c r="BT433" s="4"/>
      <c r="BU433" s="4"/>
      <c r="BV433" s="4"/>
      <c r="BW433" s="4"/>
      <c r="BX433" s="4"/>
      <c r="BY433" s="4"/>
      <c r="BZ433" s="4"/>
      <c r="CA433" s="4"/>
      <c r="CB433" s="4"/>
      <c r="CC433" s="4"/>
      <c r="CD433" s="4"/>
      <c r="CE433" s="4"/>
      <c r="CF433" s="4"/>
      <c r="CG433" s="4"/>
      <c r="CH433" s="4"/>
      <c r="CI433" s="4"/>
      <c r="CJ433" s="4"/>
      <c r="CK433" s="4"/>
      <c r="CL433" s="4"/>
      <c r="CM433" s="4"/>
      <c r="CN433" s="4"/>
      <c r="CO433" s="4"/>
      <c r="CP433" s="4"/>
      <c r="CQ433" s="4"/>
      <c r="CR433" s="4"/>
      <c r="CS433" s="4"/>
      <c r="CT433" s="4"/>
      <c r="CU433" s="4"/>
      <c r="CV433" s="4"/>
      <c r="CW433" s="4"/>
      <c r="CX433" s="4"/>
      <c r="CY433" s="4"/>
      <c r="CZ433" s="4"/>
      <c r="DA433" s="4"/>
      <c r="DB433" s="4"/>
      <c r="DC433" s="4"/>
      <c r="DD433" s="4"/>
      <c r="DE433" s="4"/>
      <c r="DF433" s="4"/>
      <c r="DG433" s="4"/>
      <c r="DH433" s="4"/>
      <c r="DI433" s="4"/>
      <c r="DJ433" s="4"/>
      <c r="DK433" s="4"/>
      <c r="DL433" s="4"/>
      <c r="DM433" s="4"/>
      <c r="DN433" s="4"/>
      <c r="DO433" s="4"/>
      <c r="DP433" s="4"/>
      <c r="DQ433" s="4"/>
      <c r="DR433" s="4"/>
      <c r="DS433" s="4"/>
      <c r="DT433" s="4"/>
      <c r="DU433" s="4"/>
      <c r="DV433" s="4"/>
      <c r="DW433" s="4"/>
      <c r="DX433" s="4"/>
      <c r="DY433" s="4"/>
      <c r="DZ433" s="4"/>
      <c r="EA433" s="4"/>
      <c r="EB433" s="4"/>
      <c r="EC433" s="4"/>
      <c r="ED433" s="4"/>
      <c r="EE433" s="4"/>
      <c r="EF433" s="4"/>
      <c r="EG433" s="4"/>
      <c r="EH433" s="4"/>
      <c r="EI433" s="4"/>
      <c r="EJ433" s="4"/>
      <c r="EK433" s="4"/>
      <c r="EL433" s="4"/>
      <c r="EM433" s="4"/>
      <c r="EN433" s="4"/>
      <c r="EO433" s="4"/>
      <c r="EP433" s="4"/>
      <c r="EQ433" s="4"/>
      <c r="ER433" s="4"/>
      <c r="ES433" s="4"/>
      <c r="ET433" s="4"/>
      <c r="EU433" s="4"/>
      <c r="EV433" s="4"/>
      <c r="EW433" s="4"/>
      <c r="EX433" s="4"/>
      <c r="EY433" s="4"/>
      <c r="EZ433" s="4"/>
      <c r="FA433" s="4"/>
      <c r="FB433" s="4"/>
      <c r="FC433" s="4"/>
      <c r="FD433" s="4"/>
      <c r="FE433" s="4"/>
      <c r="FF433" s="4"/>
    </row>
    <row r="434" spans="1:162" x14ac:dyDescent="0.2">
      <c r="A434" s="2"/>
      <c r="B434" s="2"/>
      <c r="C434" s="2"/>
      <c r="D434" s="4"/>
      <c r="E434" s="4"/>
      <c r="F434" s="4"/>
      <c r="G434" s="4"/>
      <c r="H434" s="4"/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  <c r="AA434" s="4"/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4"/>
      <c r="AM434" s="4"/>
      <c r="AN434" s="4"/>
      <c r="AO434" s="4"/>
      <c r="AP434" s="4"/>
      <c r="AQ434" s="4"/>
      <c r="AR434" s="4"/>
      <c r="AS434" s="4"/>
      <c r="AT434" s="4"/>
      <c r="AU434" s="4"/>
      <c r="AV434" s="4"/>
      <c r="AW434" s="4"/>
      <c r="AX434" s="4"/>
      <c r="AY434" s="4"/>
      <c r="AZ434" s="4"/>
      <c r="BA434" s="4"/>
      <c r="BB434" s="4"/>
      <c r="BC434" s="4"/>
      <c r="BD434" s="4"/>
      <c r="BE434" s="4"/>
      <c r="BF434" s="4"/>
      <c r="BG434" s="4"/>
      <c r="BH434" s="4"/>
      <c r="BI434" s="4"/>
      <c r="BJ434" s="4"/>
      <c r="BK434" s="4"/>
      <c r="BL434" s="4"/>
      <c r="BM434" s="4"/>
      <c r="BN434" s="4"/>
      <c r="BO434" s="4"/>
      <c r="BP434" s="4"/>
      <c r="BQ434" s="4"/>
      <c r="BR434" s="4"/>
      <c r="BS434" s="4"/>
      <c r="BT434" s="4"/>
      <c r="BU434" s="4"/>
      <c r="BV434" s="4"/>
      <c r="BW434" s="4"/>
      <c r="BX434" s="4"/>
      <c r="BY434" s="4"/>
      <c r="BZ434" s="4"/>
      <c r="CA434" s="4"/>
      <c r="CB434" s="4"/>
      <c r="CC434" s="4"/>
      <c r="CD434" s="4"/>
      <c r="CE434" s="4"/>
      <c r="CF434" s="4"/>
      <c r="CG434" s="4"/>
      <c r="CH434" s="4"/>
      <c r="CI434" s="4"/>
      <c r="CJ434" s="4"/>
      <c r="CK434" s="4"/>
      <c r="CL434" s="4"/>
      <c r="CM434" s="4"/>
      <c r="CN434" s="4"/>
      <c r="CO434" s="4"/>
      <c r="CP434" s="4"/>
      <c r="CQ434" s="4"/>
      <c r="CR434" s="4"/>
      <c r="CS434" s="4"/>
      <c r="CT434" s="4"/>
      <c r="CU434" s="4"/>
      <c r="CV434" s="4"/>
      <c r="CW434" s="4"/>
      <c r="CX434" s="4"/>
      <c r="CY434" s="4"/>
      <c r="CZ434" s="4"/>
      <c r="DA434" s="4"/>
      <c r="DB434" s="4"/>
      <c r="DC434" s="4"/>
      <c r="DD434" s="4"/>
      <c r="DE434" s="4"/>
      <c r="DF434" s="4"/>
      <c r="DG434" s="4"/>
      <c r="DH434" s="4"/>
      <c r="DI434" s="4"/>
      <c r="DJ434" s="4"/>
      <c r="DK434" s="4"/>
      <c r="DL434" s="4"/>
      <c r="DM434" s="4"/>
      <c r="DN434" s="4"/>
      <c r="DO434" s="4"/>
      <c r="DP434" s="4"/>
      <c r="DQ434" s="4"/>
      <c r="DR434" s="4"/>
      <c r="DS434" s="4"/>
      <c r="DT434" s="4"/>
      <c r="DU434" s="4"/>
      <c r="DV434" s="4"/>
      <c r="DW434" s="4"/>
      <c r="DX434" s="4"/>
      <c r="DY434" s="4"/>
      <c r="DZ434" s="4"/>
      <c r="EA434" s="4"/>
      <c r="EB434" s="4"/>
      <c r="EC434" s="4"/>
      <c r="ED434" s="4"/>
      <c r="EE434" s="4"/>
      <c r="EF434" s="4"/>
      <c r="EG434" s="4"/>
      <c r="EH434" s="4"/>
      <c r="EI434" s="4"/>
      <c r="EJ434" s="4"/>
      <c r="EK434" s="4"/>
      <c r="EL434" s="4"/>
      <c r="EM434" s="4"/>
      <c r="EN434" s="4"/>
      <c r="EO434" s="4"/>
      <c r="EP434" s="4"/>
      <c r="EQ434" s="4"/>
      <c r="ER434" s="4"/>
      <c r="ES434" s="4"/>
      <c r="ET434" s="4"/>
      <c r="EU434" s="4"/>
      <c r="EV434" s="4"/>
      <c r="EW434" s="4"/>
      <c r="EX434" s="4"/>
      <c r="EY434" s="4"/>
      <c r="EZ434" s="4"/>
      <c r="FA434" s="4"/>
      <c r="FB434" s="4"/>
      <c r="FC434" s="4"/>
      <c r="FD434" s="4"/>
      <c r="FE434" s="4"/>
      <c r="FF434" s="4"/>
    </row>
    <row r="435" spans="1:162" x14ac:dyDescent="0.2">
      <c r="A435" s="2"/>
      <c r="B435" s="2"/>
      <c r="C435" s="2"/>
      <c r="D435" s="4"/>
      <c r="E435" s="4"/>
      <c r="F435" s="4"/>
      <c r="G435" s="4"/>
      <c r="H435" s="4"/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  <c r="AA435" s="4"/>
      <c r="AB435" s="4"/>
      <c r="AC435" s="4"/>
      <c r="AD435" s="4"/>
      <c r="AE435" s="4"/>
      <c r="AF435" s="4"/>
      <c r="AG435" s="4"/>
      <c r="AH435" s="4"/>
      <c r="AI435" s="4"/>
      <c r="AJ435" s="4"/>
      <c r="AK435" s="4"/>
      <c r="AL435" s="4"/>
      <c r="AM435" s="4"/>
      <c r="AN435" s="4"/>
      <c r="AO435" s="4"/>
      <c r="AP435" s="4"/>
      <c r="AQ435" s="4"/>
      <c r="AR435" s="4"/>
      <c r="AS435" s="4"/>
      <c r="AT435" s="4"/>
      <c r="AU435" s="4"/>
      <c r="AV435" s="4"/>
      <c r="AW435" s="4"/>
      <c r="AX435" s="4"/>
      <c r="AY435" s="4"/>
      <c r="AZ435" s="4"/>
      <c r="BA435" s="4"/>
      <c r="BB435" s="4"/>
      <c r="BC435" s="4"/>
      <c r="BD435" s="4"/>
      <c r="BE435" s="4"/>
      <c r="BF435" s="4"/>
      <c r="BG435" s="4"/>
      <c r="BH435" s="4"/>
      <c r="BI435" s="4"/>
      <c r="BJ435" s="4"/>
      <c r="BK435" s="4"/>
      <c r="BL435" s="4"/>
      <c r="BM435" s="4"/>
      <c r="BN435" s="4"/>
      <c r="BO435" s="4"/>
      <c r="BP435" s="4"/>
      <c r="BQ435" s="4"/>
      <c r="BR435" s="4"/>
      <c r="BS435" s="4"/>
      <c r="BT435" s="4"/>
      <c r="BU435" s="4"/>
      <c r="BV435" s="4"/>
      <c r="BW435" s="4"/>
      <c r="BX435" s="4"/>
      <c r="BY435" s="4"/>
      <c r="BZ435" s="4"/>
      <c r="CA435" s="4"/>
      <c r="CB435" s="4"/>
      <c r="CC435" s="4"/>
      <c r="CD435" s="4"/>
      <c r="CE435" s="4"/>
      <c r="CF435" s="4"/>
      <c r="CG435" s="4"/>
      <c r="CH435" s="4"/>
      <c r="CI435" s="4"/>
      <c r="CJ435" s="4"/>
      <c r="CK435" s="4"/>
      <c r="CL435" s="4"/>
      <c r="CM435" s="4"/>
      <c r="CN435" s="4"/>
      <c r="CO435" s="4"/>
      <c r="CP435" s="4"/>
      <c r="CQ435" s="4"/>
      <c r="CR435" s="4"/>
      <c r="CS435" s="4"/>
      <c r="CT435" s="4"/>
      <c r="CU435" s="4"/>
      <c r="CV435" s="4"/>
      <c r="CW435" s="4"/>
      <c r="CX435" s="4"/>
      <c r="CY435" s="4"/>
      <c r="CZ435" s="4"/>
      <c r="DA435" s="4"/>
      <c r="DB435" s="4"/>
      <c r="DC435" s="4"/>
      <c r="DD435" s="4"/>
      <c r="DE435" s="4"/>
      <c r="DF435" s="4"/>
      <c r="DG435" s="4"/>
      <c r="DH435" s="4"/>
      <c r="DI435" s="4"/>
      <c r="DJ435" s="4"/>
      <c r="DK435" s="4"/>
      <c r="DL435" s="4"/>
      <c r="DM435" s="4"/>
      <c r="DN435" s="4"/>
      <c r="DO435" s="4"/>
      <c r="DP435" s="4"/>
      <c r="DQ435" s="4"/>
      <c r="DR435" s="4"/>
      <c r="DS435" s="4"/>
      <c r="DT435" s="4"/>
      <c r="DU435" s="4"/>
      <c r="DV435" s="4"/>
      <c r="DW435" s="4"/>
      <c r="DX435" s="4"/>
      <c r="DY435" s="4"/>
      <c r="DZ435" s="4"/>
      <c r="EA435" s="4"/>
      <c r="EB435" s="4"/>
      <c r="EC435" s="4"/>
      <c r="ED435" s="4"/>
      <c r="EE435" s="4"/>
      <c r="EF435" s="4"/>
      <c r="EG435" s="4"/>
      <c r="EH435" s="4"/>
      <c r="EI435" s="4"/>
      <c r="EJ435" s="4"/>
      <c r="EK435" s="4"/>
      <c r="EL435" s="4"/>
      <c r="EM435" s="4"/>
      <c r="EN435" s="4"/>
      <c r="EO435" s="4"/>
      <c r="EP435" s="4"/>
      <c r="EQ435" s="4"/>
      <c r="ER435" s="4"/>
      <c r="ES435" s="4"/>
      <c r="ET435" s="4"/>
      <c r="EU435" s="4"/>
      <c r="EV435" s="4"/>
      <c r="EW435" s="4"/>
      <c r="EX435" s="4"/>
      <c r="EY435" s="4"/>
      <c r="EZ435" s="4"/>
      <c r="FA435" s="4"/>
      <c r="FB435" s="4"/>
      <c r="FC435" s="4"/>
      <c r="FD435" s="4"/>
      <c r="FE435" s="4"/>
      <c r="FF435" s="4"/>
    </row>
    <row r="436" spans="1:162" x14ac:dyDescent="0.2">
      <c r="A436" s="2"/>
      <c r="B436" s="2"/>
      <c r="C436" s="2"/>
      <c r="D436" s="4"/>
      <c r="E436" s="4"/>
      <c r="F436" s="4"/>
      <c r="G436" s="4"/>
      <c r="H436" s="4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/>
      <c r="AM436" s="4"/>
      <c r="AN436" s="4"/>
      <c r="AO436" s="4"/>
      <c r="AP436" s="4"/>
      <c r="AQ436" s="4"/>
      <c r="AR436" s="4"/>
      <c r="AS436" s="4"/>
      <c r="AT436" s="4"/>
      <c r="AU436" s="4"/>
      <c r="AV436" s="4"/>
      <c r="AW436" s="4"/>
      <c r="AX436" s="4"/>
      <c r="AY436" s="4"/>
      <c r="AZ436" s="4"/>
      <c r="BA436" s="4"/>
      <c r="BB436" s="4"/>
      <c r="BC436" s="4"/>
      <c r="BD436" s="4"/>
      <c r="BE436" s="4"/>
      <c r="BF436" s="4"/>
      <c r="BG436" s="4"/>
      <c r="BH436" s="4"/>
      <c r="BI436" s="4"/>
      <c r="BJ436" s="4"/>
      <c r="BK436" s="4"/>
      <c r="BL436" s="4"/>
      <c r="BM436" s="4"/>
      <c r="BN436" s="4"/>
      <c r="BO436" s="4"/>
      <c r="BP436" s="4"/>
      <c r="BQ436" s="4"/>
      <c r="BR436" s="4"/>
      <c r="BS436" s="4"/>
      <c r="BT436" s="4"/>
      <c r="BU436" s="4"/>
      <c r="BV436" s="4"/>
      <c r="BW436" s="4"/>
      <c r="BX436" s="4"/>
      <c r="BY436" s="4"/>
      <c r="BZ436" s="4"/>
      <c r="CA436" s="4"/>
      <c r="CB436" s="4"/>
      <c r="CC436" s="4"/>
      <c r="CD436" s="4"/>
      <c r="CE436" s="4"/>
      <c r="CF436" s="4"/>
      <c r="CG436" s="4"/>
      <c r="CH436" s="4"/>
      <c r="CI436" s="4"/>
      <c r="CJ436" s="4"/>
      <c r="CK436" s="4"/>
      <c r="CL436" s="4"/>
      <c r="CM436" s="4"/>
      <c r="CN436" s="4"/>
      <c r="CO436" s="4"/>
      <c r="CP436" s="4"/>
      <c r="CQ436" s="4"/>
      <c r="CR436" s="4"/>
      <c r="CS436" s="4"/>
      <c r="CT436" s="4"/>
      <c r="CU436" s="4"/>
      <c r="CV436" s="4"/>
      <c r="CW436" s="4"/>
      <c r="CX436" s="4"/>
      <c r="CY436" s="4"/>
      <c r="CZ436" s="4"/>
      <c r="DA436" s="4"/>
      <c r="DB436" s="4"/>
      <c r="DC436" s="4"/>
      <c r="DD436" s="4"/>
      <c r="DE436" s="4"/>
      <c r="DF436" s="4"/>
      <c r="DG436" s="4"/>
      <c r="DH436" s="4"/>
      <c r="DI436" s="4"/>
      <c r="DJ436" s="4"/>
      <c r="DK436" s="4"/>
      <c r="DL436" s="4"/>
      <c r="DM436" s="4"/>
      <c r="DN436" s="4"/>
      <c r="DO436" s="4"/>
      <c r="DP436" s="4"/>
      <c r="DQ436" s="4"/>
      <c r="DR436" s="4"/>
      <c r="DS436" s="4"/>
      <c r="DT436" s="4"/>
      <c r="DU436" s="4"/>
      <c r="DV436" s="4"/>
      <c r="DW436" s="4"/>
      <c r="DX436" s="4"/>
      <c r="DY436" s="4"/>
      <c r="DZ436" s="4"/>
      <c r="EA436" s="4"/>
      <c r="EB436" s="4"/>
      <c r="EC436" s="4"/>
      <c r="ED436" s="4"/>
      <c r="EE436" s="4"/>
      <c r="EF436" s="4"/>
      <c r="EG436" s="4"/>
      <c r="EH436" s="4"/>
      <c r="EI436" s="4"/>
      <c r="EJ436" s="4"/>
      <c r="EK436" s="4"/>
      <c r="EL436" s="4"/>
      <c r="EM436" s="4"/>
      <c r="EN436" s="4"/>
      <c r="EO436" s="4"/>
      <c r="EP436" s="4"/>
      <c r="EQ436" s="4"/>
      <c r="ER436" s="4"/>
      <c r="ES436" s="4"/>
      <c r="ET436" s="4"/>
      <c r="EU436" s="4"/>
      <c r="EV436" s="4"/>
      <c r="EW436" s="4"/>
      <c r="EX436" s="4"/>
      <c r="EY436" s="4"/>
      <c r="EZ436" s="4"/>
      <c r="FA436" s="4"/>
      <c r="FB436" s="4"/>
      <c r="FC436" s="4"/>
      <c r="FD436" s="4"/>
      <c r="FE436" s="4"/>
      <c r="FF436" s="4"/>
    </row>
    <row r="437" spans="1:162" x14ac:dyDescent="0.2">
      <c r="A437" s="2"/>
      <c r="B437" s="2"/>
      <c r="C437" s="2"/>
      <c r="D437" s="4"/>
      <c r="E437" s="4"/>
      <c r="F437" s="4"/>
      <c r="G437" s="4"/>
      <c r="H437" s="4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/>
      <c r="AM437" s="4"/>
      <c r="AN437" s="4"/>
      <c r="AO437" s="4"/>
      <c r="AP437" s="4"/>
      <c r="AQ437" s="4"/>
      <c r="AR437" s="4"/>
      <c r="AS437" s="4"/>
      <c r="AT437" s="4"/>
      <c r="AU437" s="4"/>
      <c r="AV437" s="4"/>
      <c r="AW437" s="4"/>
      <c r="AX437" s="4"/>
      <c r="AY437" s="4"/>
      <c r="AZ437" s="4"/>
      <c r="BA437" s="4"/>
      <c r="BB437" s="4"/>
      <c r="BC437" s="4"/>
      <c r="BD437" s="4"/>
      <c r="BE437" s="4"/>
      <c r="BF437" s="4"/>
      <c r="BG437" s="4"/>
      <c r="BH437" s="4"/>
      <c r="BI437" s="4"/>
      <c r="BJ437" s="4"/>
      <c r="BK437" s="4"/>
      <c r="BL437" s="4"/>
      <c r="BM437" s="4"/>
      <c r="BN437" s="4"/>
      <c r="BO437" s="4"/>
      <c r="BP437" s="4"/>
      <c r="BQ437" s="4"/>
      <c r="BR437" s="4"/>
      <c r="BS437" s="4"/>
      <c r="BT437" s="4"/>
      <c r="BU437" s="4"/>
      <c r="BV437" s="4"/>
      <c r="BW437" s="4"/>
      <c r="BX437" s="4"/>
      <c r="BY437" s="4"/>
      <c r="BZ437" s="4"/>
      <c r="CA437" s="4"/>
      <c r="CB437" s="4"/>
      <c r="CC437" s="4"/>
      <c r="CD437" s="4"/>
      <c r="CE437" s="4"/>
      <c r="CF437" s="4"/>
      <c r="CG437" s="4"/>
      <c r="CH437" s="4"/>
      <c r="CI437" s="4"/>
      <c r="CJ437" s="4"/>
      <c r="CK437" s="4"/>
      <c r="CL437" s="4"/>
      <c r="CM437" s="4"/>
      <c r="CN437" s="4"/>
      <c r="CO437" s="4"/>
      <c r="CP437" s="4"/>
      <c r="CQ437" s="4"/>
      <c r="CR437" s="4"/>
      <c r="CS437" s="4"/>
      <c r="CT437" s="4"/>
      <c r="CU437" s="4"/>
      <c r="CV437" s="4"/>
      <c r="CW437" s="4"/>
      <c r="CX437" s="4"/>
      <c r="CY437" s="4"/>
      <c r="CZ437" s="4"/>
      <c r="DA437" s="4"/>
      <c r="DB437" s="4"/>
      <c r="DC437" s="4"/>
      <c r="DD437" s="4"/>
      <c r="DE437" s="4"/>
      <c r="DF437" s="4"/>
      <c r="DG437" s="4"/>
      <c r="DH437" s="4"/>
      <c r="DI437" s="4"/>
      <c r="DJ437" s="4"/>
      <c r="DK437" s="4"/>
      <c r="DL437" s="4"/>
      <c r="DM437" s="4"/>
      <c r="DN437" s="4"/>
      <c r="DO437" s="4"/>
      <c r="DP437" s="4"/>
      <c r="DQ437" s="4"/>
      <c r="DR437" s="4"/>
      <c r="DS437" s="4"/>
      <c r="DT437" s="4"/>
      <c r="DU437" s="4"/>
      <c r="DV437" s="4"/>
      <c r="DW437" s="4"/>
      <c r="DX437" s="4"/>
      <c r="DY437" s="4"/>
      <c r="DZ437" s="4"/>
      <c r="EA437" s="4"/>
      <c r="EB437" s="4"/>
      <c r="EC437" s="4"/>
      <c r="ED437" s="4"/>
      <c r="EE437" s="4"/>
      <c r="EF437" s="4"/>
      <c r="EG437" s="4"/>
      <c r="EH437" s="4"/>
      <c r="EI437" s="4"/>
      <c r="EJ437" s="4"/>
      <c r="EK437" s="4"/>
      <c r="EL437" s="4"/>
      <c r="EM437" s="4"/>
      <c r="EN437" s="4"/>
      <c r="EO437" s="4"/>
      <c r="EP437" s="4"/>
      <c r="EQ437" s="4"/>
      <c r="ER437" s="4"/>
      <c r="ES437" s="4"/>
      <c r="ET437" s="4"/>
      <c r="EU437" s="4"/>
      <c r="EV437" s="4"/>
      <c r="EW437" s="4"/>
      <c r="EX437" s="4"/>
      <c r="EY437" s="4"/>
      <c r="EZ437" s="4"/>
      <c r="FA437" s="4"/>
      <c r="FB437" s="4"/>
      <c r="FC437" s="4"/>
      <c r="FD437" s="4"/>
      <c r="FE437" s="4"/>
      <c r="FF437" s="4"/>
    </row>
    <row r="438" spans="1:162" x14ac:dyDescent="0.2">
      <c r="A438" s="2"/>
      <c r="B438" s="2"/>
      <c r="C438" s="2"/>
      <c r="D438" s="4"/>
      <c r="E438" s="4"/>
      <c r="F438" s="4"/>
      <c r="G438" s="4"/>
      <c r="H438" s="4"/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  <c r="AA438" s="4"/>
      <c r="AB438" s="4"/>
      <c r="AC438" s="4"/>
      <c r="AD438" s="4"/>
      <c r="AE438" s="4"/>
      <c r="AF438" s="4"/>
      <c r="AG438" s="4"/>
      <c r="AH438" s="4"/>
      <c r="AI438" s="4"/>
      <c r="AJ438" s="4"/>
      <c r="AK438" s="4"/>
      <c r="AL438" s="4"/>
      <c r="AM438" s="4"/>
      <c r="AN438" s="4"/>
      <c r="AO438" s="4"/>
      <c r="AP438" s="4"/>
      <c r="AQ438" s="4"/>
      <c r="AR438" s="4"/>
      <c r="AS438" s="4"/>
      <c r="AT438" s="4"/>
      <c r="AU438" s="4"/>
      <c r="AV438" s="4"/>
      <c r="AW438" s="4"/>
      <c r="AX438" s="4"/>
      <c r="AY438" s="4"/>
      <c r="AZ438" s="4"/>
      <c r="BA438" s="4"/>
      <c r="BB438" s="4"/>
      <c r="BC438" s="4"/>
      <c r="BD438" s="4"/>
      <c r="BE438" s="4"/>
      <c r="BF438" s="4"/>
      <c r="BG438" s="4"/>
      <c r="BH438" s="4"/>
      <c r="BI438" s="4"/>
      <c r="BJ438" s="4"/>
      <c r="BK438" s="4"/>
      <c r="BL438" s="4"/>
      <c r="BM438" s="4"/>
      <c r="BN438" s="4"/>
      <c r="BO438" s="4"/>
      <c r="BP438" s="4"/>
      <c r="BQ438" s="4"/>
      <c r="BR438" s="4"/>
      <c r="BS438" s="4"/>
      <c r="BT438" s="4"/>
      <c r="BU438" s="4"/>
      <c r="BV438" s="4"/>
      <c r="BW438" s="4"/>
      <c r="BX438" s="4"/>
      <c r="BY438" s="4"/>
      <c r="BZ438" s="4"/>
      <c r="CA438" s="4"/>
      <c r="CB438" s="4"/>
      <c r="CC438" s="4"/>
      <c r="CD438" s="4"/>
      <c r="CE438" s="4"/>
      <c r="CF438" s="4"/>
      <c r="CG438" s="4"/>
      <c r="CH438" s="4"/>
      <c r="CI438" s="4"/>
      <c r="CJ438" s="4"/>
      <c r="CK438" s="4"/>
      <c r="CL438" s="4"/>
      <c r="CM438" s="4"/>
      <c r="CN438" s="4"/>
      <c r="CO438" s="4"/>
      <c r="CP438" s="4"/>
      <c r="CQ438" s="4"/>
      <c r="CR438" s="4"/>
      <c r="CS438" s="4"/>
      <c r="CT438" s="4"/>
      <c r="CU438" s="4"/>
      <c r="CV438" s="4"/>
      <c r="CW438" s="4"/>
      <c r="CX438" s="4"/>
      <c r="CY438" s="4"/>
      <c r="CZ438" s="4"/>
      <c r="DA438" s="4"/>
      <c r="DB438" s="4"/>
      <c r="DC438" s="4"/>
      <c r="DD438" s="4"/>
      <c r="DE438" s="4"/>
      <c r="DF438" s="4"/>
      <c r="DG438" s="4"/>
      <c r="DH438" s="4"/>
      <c r="DI438" s="4"/>
      <c r="DJ438" s="4"/>
      <c r="DK438" s="4"/>
      <c r="DL438" s="4"/>
      <c r="DM438" s="4"/>
      <c r="DN438" s="4"/>
      <c r="DO438" s="4"/>
      <c r="DP438" s="4"/>
      <c r="DQ438" s="4"/>
      <c r="DR438" s="4"/>
      <c r="DS438" s="4"/>
      <c r="DT438" s="4"/>
      <c r="DU438" s="4"/>
      <c r="DV438" s="4"/>
      <c r="DW438" s="4"/>
      <c r="DX438" s="4"/>
      <c r="DY438" s="4"/>
      <c r="DZ438" s="4"/>
      <c r="EA438" s="4"/>
      <c r="EB438" s="4"/>
      <c r="EC438" s="4"/>
      <c r="ED438" s="4"/>
      <c r="EE438" s="4"/>
      <c r="EF438" s="4"/>
      <c r="EG438" s="4"/>
      <c r="EH438" s="4"/>
      <c r="EI438" s="4"/>
      <c r="EJ438" s="4"/>
      <c r="EK438" s="4"/>
      <c r="EL438" s="4"/>
      <c r="EM438" s="4"/>
      <c r="EN438" s="4"/>
      <c r="EO438" s="4"/>
      <c r="EP438" s="4"/>
      <c r="EQ438" s="4"/>
      <c r="ER438" s="4"/>
      <c r="ES438" s="4"/>
      <c r="ET438" s="4"/>
      <c r="EU438" s="4"/>
      <c r="EV438" s="4"/>
      <c r="EW438" s="4"/>
      <c r="EX438" s="4"/>
      <c r="EY438" s="4"/>
      <c r="EZ438" s="4"/>
      <c r="FA438" s="4"/>
      <c r="FB438" s="4"/>
      <c r="FC438" s="4"/>
      <c r="FD438" s="4"/>
      <c r="FE438" s="4"/>
      <c r="FF438" s="4"/>
    </row>
    <row r="439" spans="1:162" x14ac:dyDescent="0.2">
      <c r="A439" s="2"/>
      <c r="B439" s="2"/>
      <c r="C439" s="2"/>
      <c r="D439" s="4"/>
      <c r="E439" s="4"/>
      <c r="F439" s="4"/>
      <c r="G439" s="4"/>
      <c r="H439" s="4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  <c r="AA439" s="4"/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/>
      <c r="AM439" s="4"/>
      <c r="AN439" s="4"/>
      <c r="AO439" s="4"/>
      <c r="AP439" s="4"/>
      <c r="AQ439" s="4"/>
      <c r="AR439" s="4"/>
      <c r="AS439" s="4"/>
      <c r="AT439" s="4"/>
      <c r="AU439" s="4"/>
      <c r="AV439" s="4"/>
      <c r="AW439" s="4"/>
      <c r="AX439" s="4"/>
      <c r="AY439" s="4"/>
      <c r="AZ439" s="4"/>
      <c r="BA439" s="4"/>
      <c r="BB439" s="4"/>
      <c r="BC439" s="4"/>
      <c r="BD439" s="4"/>
      <c r="BE439" s="4"/>
      <c r="BF439" s="4"/>
      <c r="BG439" s="4"/>
      <c r="BH439" s="4"/>
      <c r="BI439" s="4"/>
      <c r="BJ439" s="4"/>
      <c r="BK439" s="4"/>
      <c r="BL439" s="4"/>
      <c r="BM439" s="4"/>
      <c r="BN439" s="4"/>
      <c r="BO439" s="4"/>
      <c r="BP439" s="4"/>
      <c r="BQ439" s="4"/>
      <c r="BR439" s="4"/>
      <c r="BS439" s="4"/>
      <c r="BT439" s="4"/>
      <c r="BU439" s="4"/>
      <c r="BV439" s="4"/>
      <c r="BW439" s="4"/>
      <c r="BX439" s="4"/>
      <c r="BY439" s="4"/>
      <c r="BZ439" s="4"/>
      <c r="CA439" s="4"/>
      <c r="CB439" s="4"/>
      <c r="CC439" s="4"/>
      <c r="CD439" s="4"/>
      <c r="CE439" s="4"/>
      <c r="CF439" s="4"/>
      <c r="CG439" s="4"/>
      <c r="CH439" s="4"/>
      <c r="CI439" s="4"/>
      <c r="CJ439" s="4"/>
      <c r="CK439" s="4"/>
      <c r="CL439" s="4"/>
      <c r="CM439" s="4"/>
      <c r="CN439" s="4"/>
      <c r="CO439" s="4"/>
      <c r="CP439" s="4"/>
      <c r="CQ439" s="4"/>
      <c r="CR439" s="4"/>
      <c r="CS439" s="4"/>
      <c r="CT439" s="4"/>
      <c r="CU439" s="4"/>
      <c r="CV439" s="4"/>
      <c r="CW439" s="4"/>
      <c r="CX439" s="4"/>
      <c r="CY439" s="4"/>
      <c r="CZ439" s="4"/>
      <c r="DA439" s="4"/>
      <c r="DB439" s="4"/>
      <c r="DC439" s="4"/>
      <c r="DD439" s="4"/>
      <c r="DE439" s="4"/>
      <c r="DF439" s="4"/>
      <c r="DG439" s="4"/>
      <c r="DH439" s="4"/>
      <c r="DI439" s="4"/>
      <c r="DJ439" s="4"/>
      <c r="DK439" s="4"/>
      <c r="DL439" s="4"/>
      <c r="DM439" s="4"/>
      <c r="DN439" s="4"/>
      <c r="DO439" s="4"/>
      <c r="DP439" s="4"/>
      <c r="DQ439" s="4"/>
      <c r="DR439" s="4"/>
      <c r="DS439" s="4"/>
      <c r="DT439" s="4"/>
      <c r="DU439" s="4"/>
      <c r="DV439" s="4"/>
      <c r="DW439" s="4"/>
      <c r="DX439" s="4"/>
      <c r="DY439" s="4"/>
      <c r="DZ439" s="4"/>
      <c r="EA439" s="4"/>
      <c r="EB439" s="4"/>
      <c r="EC439" s="4"/>
      <c r="ED439" s="4"/>
      <c r="EE439" s="4"/>
      <c r="EF439" s="4"/>
      <c r="EG439" s="4"/>
      <c r="EH439" s="4"/>
      <c r="EI439" s="4"/>
      <c r="EJ439" s="4"/>
      <c r="EK439" s="4"/>
      <c r="EL439" s="4"/>
      <c r="EM439" s="4"/>
      <c r="EN439" s="4"/>
      <c r="EO439" s="4"/>
      <c r="EP439" s="4"/>
      <c r="EQ439" s="4"/>
      <c r="ER439" s="4"/>
      <c r="ES439" s="4"/>
      <c r="ET439" s="4"/>
      <c r="EU439" s="4"/>
      <c r="EV439" s="4"/>
      <c r="EW439" s="4"/>
      <c r="EX439" s="4"/>
      <c r="EY439" s="4"/>
      <c r="EZ439" s="4"/>
      <c r="FA439" s="4"/>
      <c r="FB439" s="4"/>
      <c r="FC439" s="4"/>
      <c r="FD439" s="4"/>
      <c r="FE439" s="4"/>
      <c r="FF439" s="4"/>
    </row>
    <row r="440" spans="1:162" x14ac:dyDescent="0.2">
      <c r="A440" s="2"/>
      <c r="B440" s="2"/>
      <c r="C440" s="2"/>
      <c r="D440" s="4"/>
      <c r="E440" s="4"/>
      <c r="F440" s="4"/>
      <c r="G440" s="4"/>
      <c r="H440" s="4"/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  <c r="AA440" s="4"/>
      <c r="AB440" s="4"/>
      <c r="AC440" s="4"/>
      <c r="AD440" s="4"/>
      <c r="AE440" s="4"/>
      <c r="AF440" s="4"/>
      <c r="AG440" s="4"/>
      <c r="AH440" s="4"/>
      <c r="AI440" s="4"/>
      <c r="AJ440" s="4"/>
      <c r="AK440" s="4"/>
      <c r="AL440" s="4"/>
      <c r="AM440" s="4"/>
      <c r="AN440" s="4"/>
      <c r="AO440" s="4"/>
      <c r="AP440" s="4"/>
      <c r="AQ440" s="4"/>
      <c r="AR440" s="4"/>
      <c r="AS440" s="4"/>
      <c r="AT440" s="4"/>
      <c r="AU440" s="4"/>
      <c r="AV440" s="4"/>
      <c r="AW440" s="4"/>
      <c r="AX440" s="4"/>
      <c r="AY440" s="4"/>
      <c r="AZ440" s="4"/>
      <c r="BA440" s="4"/>
      <c r="BB440" s="4"/>
      <c r="BC440" s="4"/>
      <c r="BD440" s="4"/>
      <c r="BE440" s="4"/>
      <c r="BF440" s="4"/>
      <c r="BG440" s="4"/>
      <c r="BH440" s="4"/>
      <c r="BI440" s="4"/>
      <c r="BJ440" s="4"/>
      <c r="BK440" s="4"/>
      <c r="BL440" s="4"/>
      <c r="BM440" s="4"/>
      <c r="BN440" s="4"/>
      <c r="BO440" s="4"/>
      <c r="BP440" s="4"/>
      <c r="BQ440" s="4"/>
      <c r="BR440" s="4"/>
      <c r="BS440" s="4"/>
      <c r="BT440" s="4"/>
      <c r="BU440" s="4"/>
      <c r="BV440" s="4"/>
      <c r="BW440" s="4"/>
      <c r="BX440" s="4"/>
      <c r="BY440" s="4"/>
      <c r="BZ440" s="4"/>
      <c r="CA440" s="4"/>
      <c r="CB440" s="4"/>
      <c r="CC440" s="4"/>
      <c r="CD440" s="4"/>
      <c r="CE440" s="4"/>
      <c r="CF440" s="4"/>
      <c r="CG440" s="4"/>
      <c r="CH440" s="4"/>
      <c r="CI440" s="4"/>
      <c r="CJ440" s="4"/>
      <c r="CK440" s="4"/>
      <c r="CL440" s="4"/>
      <c r="CM440" s="4"/>
      <c r="CN440" s="4"/>
      <c r="CO440" s="4"/>
      <c r="CP440" s="4"/>
      <c r="CQ440" s="4"/>
      <c r="CR440" s="4"/>
      <c r="CS440" s="4"/>
      <c r="CT440" s="4"/>
      <c r="CU440" s="4"/>
      <c r="CV440" s="4"/>
      <c r="CW440" s="4"/>
      <c r="CX440" s="4"/>
      <c r="CY440" s="4"/>
      <c r="CZ440" s="4"/>
      <c r="DA440" s="4"/>
      <c r="DB440" s="4"/>
      <c r="DC440" s="4"/>
      <c r="DD440" s="4"/>
      <c r="DE440" s="4"/>
      <c r="DF440" s="4"/>
      <c r="DG440" s="4"/>
      <c r="DH440" s="4"/>
      <c r="DI440" s="4"/>
      <c r="DJ440" s="4"/>
      <c r="DK440" s="4"/>
      <c r="DL440" s="4"/>
      <c r="DM440" s="4"/>
      <c r="DN440" s="4"/>
      <c r="DO440" s="4"/>
      <c r="DP440" s="4"/>
      <c r="DQ440" s="4"/>
      <c r="DR440" s="4"/>
      <c r="DS440" s="4"/>
      <c r="DT440" s="4"/>
      <c r="DU440" s="4"/>
      <c r="DV440" s="4"/>
      <c r="DW440" s="4"/>
      <c r="DX440" s="4"/>
      <c r="DY440" s="4"/>
      <c r="DZ440" s="4"/>
      <c r="EA440" s="4"/>
      <c r="EB440" s="4"/>
      <c r="EC440" s="4"/>
      <c r="ED440" s="4"/>
      <c r="EE440" s="4"/>
      <c r="EF440" s="4"/>
      <c r="EG440" s="4"/>
      <c r="EH440" s="4"/>
      <c r="EI440" s="4"/>
      <c r="EJ440" s="4"/>
      <c r="EK440" s="4"/>
      <c r="EL440" s="4"/>
      <c r="EM440" s="4"/>
      <c r="EN440" s="4"/>
      <c r="EO440" s="4"/>
      <c r="EP440" s="4"/>
      <c r="EQ440" s="4"/>
      <c r="ER440" s="4"/>
      <c r="ES440" s="4"/>
      <c r="ET440" s="4"/>
      <c r="EU440" s="4"/>
      <c r="EV440" s="4"/>
      <c r="EW440" s="4"/>
      <c r="EX440" s="4"/>
      <c r="EY440" s="4"/>
      <c r="EZ440" s="4"/>
      <c r="FA440" s="4"/>
      <c r="FB440" s="4"/>
      <c r="FC440" s="4"/>
      <c r="FD440" s="4"/>
      <c r="FE440" s="4"/>
      <c r="FF440" s="4"/>
    </row>
    <row r="441" spans="1:162" x14ac:dyDescent="0.2">
      <c r="A441" s="2"/>
      <c r="B441" s="2"/>
      <c r="C441" s="2"/>
      <c r="D441" s="4"/>
      <c r="E441" s="4"/>
      <c r="F441" s="4"/>
      <c r="G441" s="4"/>
      <c r="H441" s="4"/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  <c r="AA441" s="4"/>
      <c r="AB441" s="4"/>
      <c r="AC441" s="4"/>
      <c r="AD441" s="4"/>
      <c r="AE441" s="4"/>
      <c r="AF441" s="4"/>
      <c r="AG441" s="4"/>
      <c r="AH441" s="4"/>
      <c r="AI441" s="4"/>
      <c r="AJ441" s="4"/>
      <c r="AK441" s="4"/>
      <c r="AL441" s="4"/>
      <c r="AM441" s="4"/>
      <c r="AN441" s="4"/>
      <c r="AO441" s="4"/>
      <c r="AP441" s="4"/>
      <c r="AQ441" s="4"/>
      <c r="AR441" s="4"/>
      <c r="AS441" s="4"/>
      <c r="AT441" s="4"/>
      <c r="AU441" s="4"/>
      <c r="AV441" s="4"/>
      <c r="AW441" s="4"/>
      <c r="AX441" s="4"/>
      <c r="AY441" s="4"/>
      <c r="AZ441" s="4"/>
      <c r="BA441" s="4"/>
      <c r="BB441" s="4"/>
      <c r="BC441" s="4"/>
      <c r="BD441" s="4"/>
      <c r="BE441" s="4"/>
      <c r="BF441" s="4"/>
      <c r="BG441" s="4"/>
      <c r="BH441" s="4"/>
      <c r="BI441" s="4"/>
      <c r="BJ441" s="4"/>
      <c r="BK441" s="4"/>
      <c r="BL441" s="4"/>
      <c r="BM441" s="4"/>
      <c r="BN441" s="4"/>
      <c r="BO441" s="4"/>
      <c r="BP441" s="4"/>
      <c r="BQ441" s="4"/>
      <c r="BR441" s="4"/>
      <c r="BS441" s="4"/>
      <c r="BT441" s="4"/>
      <c r="BU441" s="4"/>
      <c r="BV441" s="4"/>
      <c r="BW441" s="4"/>
      <c r="BX441" s="4"/>
      <c r="BY441" s="4"/>
      <c r="BZ441" s="4"/>
      <c r="CA441" s="4"/>
      <c r="CB441" s="4"/>
      <c r="CC441" s="4"/>
      <c r="CD441" s="4"/>
      <c r="CE441" s="4"/>
      <c r="CF441" s="4"/>
      <c r="CG441" s="4"/>
      <c r="CH441" s="4"/>
      <c r="CI441" s="4"/>
      <c r="CJ441" s="4"/>
      <c r="CK441" s="4"/>
      <c r="CL441" s="4"/>
      <c r="CM441" s="4"/>
      <c r="CN441" s="4"/>
      <c r="CO441" s="4"/>
      <c r="CP441" s="4"/>
      <c r="CQ441" s="4"/>
      <c r="CR441" s="4"/>
      <c r="CS441" s="4"/>
      <c r="CT441" s="4"/>
      <c r="CU441" s="4"/>
      <c r="CV441" s="4"/>
      <c r="CW441" s="4"/>
      <c r="CX441" s="4"/>
      <c r="CY441" s="4"/>
      <c r="CZ441" s="4"/>
      <c r="DA441" s="4"/>
      <c r="DB441" s="4"/>
      <c r="DC441" s="4"/>
      <c r="DD441" s="4"/>
      <c r="DE441" s="4"/>
      <c r="DF441" s="4"/>
      <c r="DG441" s="4"/>
      <c r="DH441" s="4"/>
      <c r="DI441" s="4"/>
      <c r="DJ441" s="4"/>
      <c r="DK441" s="4"/>
      <c r="DL441" s="4"/>
      <c r="DM441" s="4"/>
      <c r="DN441" s="4"/>
      <c r="DO441" s="4"/>
      <c r="DP441" s="4"/>
      <c r="DQ441" s="4"/>
      <c r="DR441" s="4"/>
      <c r="DS441" s="4"/>
      <c r="DT441" s="4"/>
      <c r="DU441" s="4"/>
      <c r="DV441" s="4"/>
      <c r="DW441" s="4"/>
      <c r="DX441" s="4"/>
      <c r="DY441" s="4"/>
      <c r="DZ441" s="4"/>
      <c r="EA441" s="4"/>
      <c r="EB441" s="4"/>
      <c r="EC441" s="4"/>
      <c r="ED441" s="4"/>
      <c r="EE441" s="4"/>
      <c r="EF441" s="4"/>
      <c r="EG441" s="4"/>
      <c r="EH441" s="4"/>
      <c r="EI441" s="4"/>
      <c r="EJ441" s="4"/>
      <c r="EK441" s="4"/>
      <c r="EL441" s="4"/>
      <c r="EM441" s="4"/>
      <c r="EN441" s="4"/>
      <c r="EO441" s="4"/>
      <c r="EP441" s="4"/>
      <c r="EQ441" s="4"/>
      <c r="ER441" s="4"/>
      <c r="ES441" s="4"/>
      <c r="ET441" s="4"/>
      <c r="EU441" s="4"/>
      <c r="EV441" s="4"/>
      <c r="EW441" s="4"/>
      <c r="EX441" s="4"/>
      <c r="EY441" s="4"/>
      <c r="EZ441" s="4"/>
      <c r="FA441" s="4"/>
      <c r="FB441" s="4"/>
      <c r="FC441" s="4"/>
      <c r="FD441" s="4"/>
      <c r="FE441" s="4"/>
      <c r="FF441" s="4"/>
    </row>
    <row r="442" spans="1:162" x14ac:dyDescent="0.2">
      <c r="A442" s="2"/>
      <c r="B442" s="2"/>
      <c r="C442" s="2"/>
      <c r="D442" s="4"/>
      <c r="E442" s="4"/>
      <c r="F442" s="4"/>
      <c r="G442" s="4"/>
      <c r="H442" s="4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  <c r="AA442" s="4"/>
      <c r="AB442" s="4"/>
      <c r="AC442" s="4"/>
      <c r="AD442" s="4"/>
      <c r="AE442" s="4"/>
      <c r="AF442" s="4"/>
      <c r="AG442" s="4"/>
      <c r="AH442" s="4"/>
      <c r="AI442" s="4"/>
      <c r="AJ442" s="4"/>
      <c r="AK442" s="4"/>
      <c r="AL442" s="4"/>
      <c r="AM442" s="4"/>
      <c r="AN442" s="4"/>
      <c r="AO442" s="4"/>
      <c r="AP442" s="4"/>
      <c r="AQ442" s="4"/>
      <c r="AR442" s="4"/>
      <c r="AS442" s="4"/>
      <c r="AT442" s="4"/>
      <c r="AU442" s="4"/>
      <c r="AV442" s="4"/>
      <c r="AW442" s="4"/>
      <c r="AX442" s="4"/>
      <c r="AY442" s="4"/>
      <c r="AZ442" s="4"/>
      <c r="BA442" s="4"/>
      <c r="BB442" s="4"/>
      <c r="BC442" s="4"/>
      <c r="BD442" s="4"/>
      <c r="BE442" s="4"/>
      <c r="BF442" s="4"/>
      <c r="BG442" s="4"/>
      <c r="BH442" s="4"/>
      <c r="BI442" s="4"/>
      <c r="BJ442" s="4"/>
      <c r="BK442" s="4"/>
      <c r="BL442" s="4"/>
      <c r="BM442" s="4"/>
      <c r="BN442" s="4"/>
      <c r="BO442" s="4"/>
      <c r="BP442" s="4"/>
      <c r="BQ442" s="4"/>
      <c r="BR442" s="4"/>
      <c r="BS442" s="4"/>
      <c r="BT442" s="4"/>
      <c r="BU442" s="4"/>
      <c r="BV442" s="4"/>
      <c r="BW442" s="4"/>
      <c r="BX442" s="4"/>
      <c r="BY442" s="4"/>
      <c r="BZ442" s="4"/>
      <c r="CA442" s="4"/>
      <c r="CB442" s="4"/>
      <c r="CC442" s="4"/>
      <c r="CD442" s="4"/>
      <c r="CE442" s="4"/>
      <c r="CF442" s="4"/>
      <c r="CG442" s="4"/>
      <c r="CH442" s="4"/>
      <c r="CI442" s="4"/>
      <c r="CJ442" s="4"/>
      <c r="CK442" s="4"/>
      <c r="CL442" s="4"/>
      <c r="CM442" s="4"/>
      <c r="CN442" s="4"/>
      <c r="CO442" s="4"/>
      <c r="CP442" s="4"/>
      <c r="CQ442" s="4"/>
      <c r="CR442" s="4"/>
      <c r="CS442" s="4"/>
      <c r="CT442" s="4"/>
      <c r="CU442" s="4"/>
      <c r="CV442" s="4"/>
      <c r="CW442" s="4"/>
      <c r="CX442" s="4"/>
      <c r="CY442" s="4"/>
      <c r="CZ442" s="4"/>
      <c r="DA442" s="4"/>
      <c r="DB442" s="4"/>
      <c r="DC442" s="4"/>
      <c r="DD442" s="4"/>
      <c r="DE442" s="4"/>
      <c r="DF442" s="4"/>
      <c r="DG442" s="4"/>
      <c r="DH442" s="4"/>
      <c r="DI442" s="4"/>
      <c r="DJ442" s="4"/>
      <c r="DK442" s="4"/>
      <c r="DL442" s="4"/>
      <c r="DM442" s="4"/>
      <c r="DN442" s="4"/>
      <c r="DO442" s="4"/>
      <c r="DP442" s="4"/>
      <c r="DQ442" s="4"/>
      <c r="DR442" s="4"/>
      <c r="DS442" s="4"/>
      <c r="DT442" s="4"/>
      <c r="DU442" s="4"/>
      <c r="DV442" s="4"/>
      <c r="DW442" s="4"/>
      <c r="DX442" s="4"/>
      <c r="DY442" s="4"/>
      <c r="DZ442" s="4"/>
      <c r="EA442" s="4"/>
      <c r="EB442" s="4"/>
      <c r="EC442" s="4"/>
      <c r="ED442" s="4"/>
      <c r="EE442" s="4"/>
      <c r="EF442" s="4"/>
      <c r="EG442" s="4"/>
      <c r="EH442" s="4"/>
      <c r="EI442" s="4"/>
      <c r="EJ442" s="4"/>
      <c r="EK442" s="4"/>
      <c r="EL442" s="4"/>
      <c r="EM442" s="4"/>
      <c r="EN442" s="4"/>
      <c r="EO442" s="4"/>
      <c r="EP442" s="4"/>
      <c r="EQ442" s="4"/>
      <c r="ER442" s="4"/>
      <c r="ES442" s="4"/>
      <c r="ET442" s="4"/>
      <c r="EU442" s="4"/>
      <c r="EV442" s="4"/>
      <c r="EW442" s="4"/>
      <c r="EX442" s="4"/>
      <c r="EY442" s="4"/>
      <c r="EZ442" s="4"/>
      <c r="FA442" s="4"/>
      <c r="FB442" s="4"/>
      <c r="FC442" s="4"/>
      <c r="FD442" s="4"/>
      <c r="FE442" s="4"/>
      <c r="FF442" s="4"/>
    </row>
    <row r="443" spans="1:162" x14ac:dyDescent="0.2">
      <c r="A443" s="2"/>
      <c r="B443" s="2"/>
      <c r="C443" s="2"/>
      <c r="D443" s="4"/>
      <c r="E443" s="4"/>
      <c r="F443" s="4"/>
      <c r="G443" s="4"/>
      <c r="H443" s="4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/>
      <c r="AM443" s="4"/>
      <c r="AN443" s="4"/>
      <c r="AO443" s="4"/>
      <c r="AP443" s="4"/>
      <c r="AQ443" s="4"/>
      <c r="AR443" s="4"/>
      <c r="AS443" s="4"/>
      <c r="AT443" s="4"/>
      <c r="AU443" s="4"/>
      <c r="AV443" s="4"/>
      <c r="AW443" s="4"/>
      <c r="AX443" s="4"/>
      <c r="AY443" s="4"/>
      <c r="AZ443" s="4"/>
      <c r="BA443" s="4"/>
      <c r="BB443" s="4"/>
      <c r="BC443" s="4"/>
      <c r="BD443" s="4"/>
      <c r="BE443" s="4"/>
      <c r="BF443" s="4"/>
      <c r="BG443" s="4"/>
      <c r="BH443" s="4"/>
      <c r="BI443" s="4"/>
      <c r="BJ443" s="4"/>
      <c r="BK443" s="4"/>
      <c r="BL443" s="4"/>
      <c r="BM443" s="4"/>
      <c r="BN443" s="4"/>
      <c r="BO443" s="4"/>
      <c r="BP443" s="4"/>
      <c r="BQ443" s="4"/>
      <c r="BR443" s="4"/>
      <c r="BS443" s="4"/>
      <c r="BT443" s="4"/>
      <c r="BU443" s="4"/>
      <c r="BV443" s="4"/>
      <c r="BW443" s="4"/>
      <c r="BX443" s="4"/>
      <c r="BY443" s="4"/>
      <c r="BZ443" s="4"/>
      <c r="CA443" s="4"/>
      <c r="CB443" s="4"/>
      <c r="CC443" s="4"/>
      <c r="CD443" s="4"/>
      <c r="CE443" s="4"/>
      <c r="CF443" s="4"/>
      <c r="CG443" s="4"/>
      <c r="CH443" s="4"/>
      <c r="CI443" s="4"/>
      <c r="CJ443" s="4"/>
      <c r="CK443" s="4"/>
      <c r="CL443" s="4"/>
      <c r="CM443" s="4"/>
      <c r="CN443" s="4"/>
      <c r="CO443" s="4"/>
      <c r="CP443" s="4"/>
      <c r="CQ443" s="4"/>
      <c r="CR443" s="4"/>
      <c r="CS443" s="4"/>
      <c r="CT443" s="4"/>
      <c r="CU443" s="4"/>
      <c r="CV443" s="4"/>
      <c r="CW443" s="4"/>
      <c r="CX443" s="4"/>
      <c r="CY443" s="4"/>
      <c r="CZ443" s="4"/>
      <c r="DA443" s="4"/>
      <c r="DB443" s="4"/>
      <c r="DC443" s="4"/>
      <c r="DD443" s="4"/>
      <c r="DE443" s="4"/>
      <c r="DF443" s="4"/>
      <c r="DG443" s="4"/>
      <c r="DH443" s="4"/>
      <c r="DI443" s="4"/>
      <c r="DJ443" s="4"/>
      <c r="DK443" s="4"/>
      <c r="DL443" s="4"/>
      <c r="DM443" s="4"/>
      <c r="DN443" s="4"/>
      <c r="DO443" s="4"/>
      <c r="DP443" s="4"/>
      <c r="DQ443" s="4"/>
      <c r="DR443" s="4"/>
      <c r="DS443" s="4"/>
      <c r="DT443" s="4"/>
      <c r="DU443" s="4"/>
      <c r="DV443" s="4"/>
      <c r="DW443" s="4"/>
      <c r="DX443" s="4"/>
      <c r="DY443" s="4"/>
      <c r="DZ443" s="4"/>
      <c r="EA443" s="4"/>
      <c r="EB443" s="4"/>
      <c r="EC443" s="4"/>
      <c r="ED443" s="4"/>
      <c r="EE443" s="4"/>
      <c r="EF443" s="4"/>
      <c r="EG443" s="4"/>
      <c r="EH443" s="4"/>
      <c r="EI443" s="4"/>
      <c r="EJ443" s="4"/>
      <c r="EK443" s="4"/>
      <c r="EL443" s="4"/>
      <c r="EM443" s="4"/>
      <c r="EN443" s="4"/>
      <c r="EO443" s="4"/>
      <c r="EP443" s="4"/>
      <c r="EQ443" s="4"/>
      <c r="ER443" s="4"/>
      <c r="ES443" s="4"/>
      <c r="ET443" s="4"/>
      <c r="EU443" s="4"/>
      <c r="EV443" s="4"/>
      <c r="EW443" s="4"/>
      <c r="EX443" s="4"/>
      <c r="EY443" s="4"/>
      <c r="EZ443" s="4"/>
      <c r="FA443" s="4"/>
      <c r="FB443" s="4"/>
      <c r="FC443" s="4"/>
      <c r="FD443" s="4"/>
      <c r="FE443" s="4"/>
      <c r="FF443" s="4"/>
    </row>
    <row r="444" spans="1:162" x14ac:dyDescent="0.2">
      <c r="A444" s="2"/>
      <c r="B444" s="2"/>
      <c r="C444" s="2"/>
      <c r="D444" s="4"/>
      <c r="E444" s="4"/>
      <c r="F444" s="4"/>
      <c r="G444" s="4"/>
      <c r="H444" s="4"/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  <c r="AA444" s="4"/>
      <c r="AB444" s="4"/>
      <c r="AC444" s="4"/>
      <c r="AD444" s="4"/>
      <c r="AE444" s="4"/>
      <c r="AF444" s="4"/>
      <c r="AG444" s="4"/>
      <c r="AH444" s="4"/>
      <c r="AI444" s="4"/>
      <c r="AJ444" s="4"/>
      <c r="AK444" s="4"/>
      <c r="AL444" s="4"/>
      <c r="AM444" s="4"/>
      <c r="AN444" s="4"/>
      <c r="AO444" s="4"/>
      <c r="AP444" s="4"/>
      <c r="AQ444" s="4"/>
      <c r="AR444" s="4"/>
      <c r="AS444" s="4"/>
      <c r="AT444" s="4"/>
      <c r="AU444" s="4"/>
      <c r="AV444" s="4"/>
      <c r="AW444" s="4"/>
      <c r="AX444" s="4"/>
      <c r="AY444" s="4"/>
      <c r="AZ444" s="4"/>
      <c r="BA444" s="4"/>
      <c r="BB444" s="4"/>
      <c r="BC444" s="4"/>
      <c r="BD444" s="4"/>
      <c r="BE444" s="4"/>
      <c r="BF444" s="4"/>
      <c r="BG444" s="4"/>
      <c r="BH444" s="4"/>
      <c r="BI444" s="4"/>
      <c r="BJ444" s="4"/>
      <c r="BK444" s="4"/>
      <c r="BL444" s="4"/>
      <c r="BM444" s="4"/>
      <c r="BN444" s="4"/>
      <c r="BO444" s="4"/>
      <c r="BP444" s="4"/>
      <c r="BQ444" s="4"/>
      <c r="BR444" s="4"/>
      <c r="BS444" s="4"/>
      <c r="BT444" s="4"/>
      <c r="BU444" s="4"/>
      <c r="BV444" s="4"/>
      <c r="BW444" s="4"/>
      <c r="BX444" s="4"/>
      <c r="BY444" s="4"/>
      <c r="BZ444" s="4"/>
      <c r="CA444" s="4"/>
      <c r="CB444" s="4"/>
      <c r="CC444" s="4"/>
      <c r="CD444" s="4"/>
      <c r="CE444" s="4"/>
      <c r="CF444" s="4"/>
      <c r="CG444" s="4"/>
      <c r="CH444" s="4"/>
      <c r="CI444" s="4"/>
      <c r="CJ444" s="4"/>
      <c r="CK444" s="4"/>
      <c r="CL444" s="4"/>
      <c r="CM444" s="4"/>
      <c r="CN444" s="4"/>
      <c r="CO444" s="4"/>
      <c r="CP444" s="4"/>
      <c r="CQ444" s="4"/>
      <c r="CR444" s="4"/>
      <c r="CS444" s="4"/>
      <c r="CT444" s="4"/>
      <c r="CU444" s="4"/>
      <c r="CV444" s="4"/>
      <c r="CW444" s="4"/>
      <c r="CX444" s="4"/>
      <c r="CY444" s="4"/>
      <c r="CZ444" s="4"/>
      <c r="DA444" s="4"/>
      <c r="DB444" s="4"/>
      <c r="DC444" s="4"/>
      <c r="DD444" s="4"/>
      <c r="DE444" s="4"/>
      <c r="DF444" s="4"/>
      <c r="DG444" s="4"/>
      <c r="DH444" s="4"/>
      <c r="DI444" s="4"/>
      <c r="DJ444" s="4"/>
      <c r="DK444" s="4"/>
      <c r="DL444" s="4"/>
      <c r="DM444" s="4"/>
      <c r="DN444" s="4"/>
      <c r="DO444" s="4"/>
      <c r="DP444" s="4"/>
      <c r="DQ444" s="4"/>
      <c r="DR444" s="4"/>
      <c r="DS444" s="4"/>
      <c r="DT444" s="4"/>
      <c r="DU444" s="4"/>
      <c r="DV444" s="4"/>
      <c r="DW444" s="4"/>
      <c r="DX444" s="4"/>
      <c r="DY444" s="4"/>
      <c r="DZ444" s="4"/>
      <c r="EA444" s="4"/>
      <c r="EB444" s="4"/>
      <c r="EC444" s="4"/>
      <c r="ED444" s="4"/>
      <c r="EE444" s="4"/>
      <c r="EF444" s="4"/>
      <c r="EG444" s="4"/>
      <c r="EH444" s="4"/>
      <c r="EI444" s="4"/>
      <c r="EJ444" s="4"/>
      <c r="EK444" s="4"/>
      <c r="EL444" s="4"/>
      <c r="EM444" s="4"/>
      <c r="EN444" s="4"/>
      <c r="EO444" s="4"/>
      <c r="EP444" s="4"/>
      <c r="EQ444" s="4"/>
      <c r="ER444" s="4"/>
      <c r="ES444" s="4"/>
      <c r="ET444" s="4"/>
      <c r="EU444" s="4"/>
      <c r="EV444" s="4"/>
      <c r="EW444" s="4"/>
      <c r="EX444" s="4"/>
      <c r="EY444" s="4"/>
      <c r="EZ444" s="4"/>
      <c r="FA444" s="4"/>
      <c r="FB444" s="4"/>
      <c r="FC444" s="4"/>
      <c r="FD444" s="4"/>
      <c r="FE444" s="4"/>
      <c r="FF444" s="4"/>
    </row>
    <row r="445" spans="1:162" x14ac:dyDescent="0.2">
      <c r="A445" s="2"/>
      <c r="B445" s="2"/>
      <c r="C445" s="2"/>
      <c r="D445" s="4"/>
      <c r="E445" s="4"/>
      <c r="F445" s="4"/>
      <c r="G445" s="4"/>
      <c r="H445" s="4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  <c r="AA445" s="4"/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/>
      <c r="AM445" s="4"/>
      <c r="AN445" s="4"/>
      <c r="AO445" s="4"/>
      <c r="AP445" s="4"/>
      <c r="AQ445" s="4"/>
      <c r="AR445" s="4"/>
      <c r="AS445" s="4"/>
      <c r="AT445" s="4"/>
      <c r="AU445" s="4"/>
      <c r="AV445" s="4"/>
      <c r="AW445" s="4"/>
      <c r="AX445" s="4"/>
      <c r="AY445" s="4"/>
      <c r="AZ445" s="4"/>
      <c r="BA445" s="4"/>
      <c r="BB445" s="4"/>
      <c r="BC445" s="4"/>
      <c r="BD445" s="4"/>
      <c r="BE445" s="4"/>
      <c r="BF445" s="4"/>
      <c r="BG445" s="4"/>
      <c r="BH445" s="4"/>
      <c r="BI445" s="4"/>
      <c r="BJ445" s="4"/>
      <c r="BK445" s="4"/>
      <c r="BL445" s="4"/>
      <c r="BM445" s="4"/>
      <c r="BN445" s="4"/>
      <c r="BO445" s="4"/>
      <c r="BP445" s="4"/>
      <c r="BQ445" s="4"/>
      <c r="BR445" s="4"/>
      <c r="BS445" s="4"/>
      <c r="BT445" s="4"/>
      <c r="BU445" s="4"/>
      <c r="BV445" s="4"/>
      <c r="BW445" s="4"/>
      <c r="BX445" s="4"/>
      <c r="BY445" s="4"/>
      <c r="BZ445" s="4"/>
      <c r="CA445" s="4"/>
      <c r="CB445" s="4"/>
      <c r="CC445" s="4"/>
      <c r="CD445" s="4"/>
      <c r="CE445" s="4"/>
      <c r="CF445" s="4"/>
      <c r="CG445" s="4"/>
      <c r="CH445" s="4"/>
      <c r="CI445" s="4"/>
      <c r="CJ445" s="4"/>
      <c r="CK445" s="4"/>
      <c r="CL445" s="4"/>
      <c r="CM445" s="4"/>
      <c r="CN445" s="4"/>
      <c r="CO445" s="4"/>
      <c r="CP445" s="4"/>
      <c r="CQ445" s="4"/>
      <c r="CR445" s="4"/>
      <c r="CS445" s="4"/>
      <c r="CT445" s="4"/>
      <c r="CU445" s="4"/>
      <c r="CV445" s="4"/>
      <c r="CW445" s="4"/>
      <c r="CX445" s="4"/>
      <c r="CY445" s="4"/>
      <c r="CZ445" s="4"/>
      <c r="DA445" s="4"/>
      <c r="DB445" s="4"/>
      <c r="DC445" s="4"/>
      <c r="DD445" s="4"/>
      <c r="DE445" s="4"/>
      <c r="DF445" s="4"/>
      <c r="DG445" s="4"/>
      <c r="DH445" s="4"/>
      <c r="DI445" s="4"/>
      <c r="DJ445" s="4"/>
      <c r="DK445" s="4"/>
      <c r="DL445" s="4"/>
      <c r="DM445" s="4"/>
      <c r="DN445" s="4"/>
      <c r="DO445" s="4"/>
      <c r="DP445" s="4"/>
      <c r="DQ445" s="4"/>
      <c r="DR445" s="4"/>
      <c r="DS445" s="4"/>
      <c r="DT445" s="4"/>
      <c r="DU445" s="4"/>
      <c r="DV445" s="4"/>
      <c r="DW445" s="4"/>
      <c r="DX445" s="4"/>
      <c r="DY445" s="4"/>
      <c r="DZ445" s="4"/>
      <c r="EA445" s="4"/>
      <c r="EB445" s="4"/>
      <c r="EC445" s="4"/>
      <c r="ED445" s="4"/>
      <c r="EE445" s="4"/>
      <c r="EF445" s="4"/>
      <c r="EG445" s="4"/>
      <c r="EH445" s="4"/>
      <c r="EI445" s="4"/>
      <c r="EJ445" s="4"/>
      <c r="EK445" s="4"/>
      <c r="EL445" s="4"/>
      <c r="EM445" s="4"/>
      <c r="EN445" s="4"/>
      <c r="EO445" s="4"/>
      <c r="EP445" s="4"/>
      <c r="EQ445" s="4"/>
      <c r="ER445" s="4"/>
      <c r="ES445" s="4"/>
      <c r="ET445" s="4"/>
      <c r="EU445" s="4"/>
      <c r="EV445" s="4"/>
      <c r="EW445" s="4"/>
      <c r="EX445" s="4"/>
      <c r="EY445" s="4"/>
      <c r="EZ445" s="4"/>
      <c r="FA445" s="4"/>
      <c r="FB445" s="4"/>
      <c r="FC445" s="4"/>
      <c r="FD445" s="4"/>
      <c r="FE445" s="4"/>
      <c r="FF445" s="4"/>
    </row>
    <row r="446" spans="1:162" x14ac:dyDescent="0.2">
      <c r="A446" s="2"/>
      <c r="B446" s="2"/>
      <c r="C446" s="2"/>
      <c r="D446" s="4"/>
      <c r="E446" s="4"/>
      <c r="F446" s="4"/>
      <c r="G446" s="4"/>
      <c r="H446" s="4"/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  <c r="AA446" s="4"/>
      <c r="AB446" s="4"/>
      <c r="AC446" s="4"/>
      <c r="AD446" s="4"/>
      <c r="AE446" s="4"/>
      <c r="AF446" s="4"/>
      <c r="AG446" s="4"/>
      <c r="AH446" s="4"/>
      <c r="AI446" s="4"/>
      <c r="AJ446" s="4"/>
      <c r="AK446" s="4"/>
      <c r="AL446" s="4"/>
      <c r="AM446" s="4"/>
      <c r="AN446" s="4"/>
      <c r="AO446" s="4"/>
      <c r="AP446" s="4"/>
      <c r="AQ446" s="4"/>
      <c r="AR446" s="4"/>
      <c r="AS446" s="4"/>
      <c r="AT446" s="4"/>
      <c r="AU446" s="4"/>
      <c r="AV446" s="4"/>
      <c r="AW446" s="4"/>
      <c r="AX446" s="4"/>
      <c r="AY446" s="4"/>
      <c r="AZ446" s="4"/>
      <c r="BA446" s="4"/>
      <c r="BB446" s="4"/>
      <c r="BC446" s="4"/>
      <c r="BD446" s="4"/>
      <c r="BE446" s="4"/>
      <c r="BF446" s="4"/>
      <c r="BG446" s="4"/>
      <c r="BH446" s="4"/>
      <c r="BI446" s="4"/>
      <c r="BJ446" s="4"/>
      <c r="BK446" s="4"/>
      <c r="BL446" s="4"/>
      <c r="BM446" s="4"/>
      <c r="BN446" s="4"/>
      <c r="BO446" s="4"/>
      <c r="BP446" s="4"/>
      <c r="BQ446" s="4"/>
      <c r="BR446" s="4"/>
      <c r="BS446" s="4"/>
      <c r="BT446" s="4"/>
      <c r="BU446" s="4"/>
      <c r="BV446" s="4"/>
      <c r="BW446" s="4"/>
      <c r="BX446" s="4"/>
      <c r="BY446" s="4"/>
      <c r="BZ446" s="4"/>
      <c r="CA446" s="4"/>
      <c r="CB446" s="4"/>
      <c r="CC446" s="4"/>
      <c r="CD446" s="4"/>
      <c r="CE446" s="4"/>
      <c r="CF446" s="4"/>
      <c r="CG446" s="4"/>
      <c r="CH446" s="4"/>
      <c r="CI446" s="4"/>
      <c r="CJ446" s="4"/>
      <c r="CK446" s="4"/>
      <c r="CL446" s="4"/>
      <c r="CM446" s="4"/>
      <c r="CN446" s="4"/>
      <c r="CO446" s="4"/>
      <c r="CP446" s="4"/>
      <c r="CQ446" s="4"/>
      <c r="CR446" s="4"/>
      <c r="CS446" s="4"/>
      <c r="CT446" s="4"/>
      <c r="CU446" s="4"/>
      <c r="CV446" s="4"/>
      <c r="CW446" s="4"/>
      <c r="CX446" s="4"/>
      <c r="CY446" s="4"/>
      <c r="CZ446" s="4"/>
      <c r="DA446" s="4"/>
      <c r="DB446" s="4"/>
      <c r="DC446" s="4"/>
      <c r="DD446" s="4"/>
      <c r="DE446" s="4"/>
      <c r="DF446" s="4"/>
      <c r="DG446" s="4"/>
      <c r="DH446" s="4"/>
      <c r="DI446" s="4"/>
      <c r="DJ446" s="4"/>
      <c r="DK446" s="4"/>
      <c r="DL446" s="4"/>
      <c r="DM446" s="4"/>
      <c r="DN446" s="4"/>
      <c r="DO446" s="4"/>
      <c r="DP446" s="4"/>
      <c r="DQ446" s="4"/>
      <c r="DR446" s="4"/>
      <c r="DS446" s="4"/>
      <c r="DT446" s="4"/>
      <c r="DU446" s="4"/>
      <c r="DV446" s="4"/>
      <c r="DW446" s="4"/>
      <c r="DX446" s="4"/>
      <c r="DY446" s="4"/>
      <c r="DZ446" s="4"/>
      <c r="EA446" s="4"/>
      <c r="EB446" s="4"/>
      <c r="EC446" s="4"/>
      <c r="ED446" s="4"/>
      <c r="EE446" s="4"/>
      <c r="EF446" s="4"/>
      <c r="EG446" s="4"/>
      <c r="EH446" s="4"/>
      <c r="EI446" s="4"/>
      <c r="EJ446" s="4"/>
      <c r="EK446" s="4"/>
      <c r="EL446" s="4"/>
      <c r="EM446" s="4"/>
      <c r="EN446" s="4"/>
      <c r="EO446" s="4"/>
      <c r="EP446" s="4"/>
      <c r="EQ446" s="4"/>
      <c r="ER446" s="4"/>
      <c r="ES446" s="4"/>
      <c r="ET446" s="4"/>
      <c r="EU446" s="4"/>
      <c r="EV446" s="4"/>
      <c r="EW446" s="4"/>
      <c r="EX446" s="4"/>
      <c r="EY446" s="4"/>
      <c r="EZ446" s="4"/>
      <c r="FA446" s="4"/>
      <c r="FB446" s="4"/>
      <c r="FC446" s="4"/>
      <c r="FD446" s="4"/>
      <c r="FE446" s="4"/>
      <c r="FF446" s="4"/>
    </row>
    <row r="447" spans="1:162" x14ac:dyDescent="0.2">
      <c r="A447" s="2"/>
      <c r="B447" s="2"/>
      <c r="C447" s="2"/>
      <c r="D447" s="4"/>
      <c r="E447" s="4"/>
      <c r="F447" s="4"/>
      <c r="G447" s="4"/>
      <c r="H447" s="4"/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/>
      <c r="AM447" s="4"/>
      <c r="AN447" s="4"/>
      <c r="AO447" s="4"/>
      <c r="AP447" s="4"/>
      <c r="AQ447" s="4"/>
      <c r="AR447" s="4"/>
      <c r="AS447" s="4"/>
      <c r="AT447" s="4"/>
      <c r="AU447" s="4"/>
      <c r="AV447" s="4"/>
      <c r="AW447" s="4"/>
      <c r="AX447" s="4"/>
      <c r="AY447" s="4"/>
      <c r="AZ447" s="4"/>
      <c r="BA447" s="4"/>
      <c r="BB447" s="4"/>
      <c r="BC447" s="4"/>
      <c r="BD447" s="4"/>
      <c r="BE447" s="4"/>
      <c r="BF447" s="4"/>
      <c r="BG447" s="4"/>
      <c r="BH447" s="4"/>
      <c r="BI447" s="4"/>
      <c r="BJ447" s="4"/>
      <c r="BK447" s="4"/>
      <c r="BL447" s="4"/>
      <c r="BM447" s="4"/>
      <c r="BN447" s="4"/>
      <c r="BO447" s="4"/>
      <c r="BP447" s="4"/>
      <c r="BQ447" s="4"/>
      <c r="BR447" s="4"/>
      <c r="BS447" s="4"/>
      <c r="BT447" s="4"/>
      <c r="BU447" s="4"/>
      <c r="BV447" s="4"/>
      <c r="BW447" s="4"/>
      <c r="BX447" s="4"/>
      <c r="BY447" s="4"/>
      <c r="BZ447" s="4"/>
      <c r="CA447" s="4"/>
      <c r="CB447" s="4"/>
      <c r="CC447" s="4"/>
      <c r="CD447" s="4"/>
      <c r="CE447" s="4"/>
      <c r="CF447" s="4"/>
      <c r="CG447" s="4"/>
      <c r="CH447" s="4"/>
      <c r="CI447" s="4"/>
      <c r="CJ447" s="4"/>
      <c r="CK447" s="4"/>
      <c r="CL447" s="4"/>
      <c r="CM447" s="4"/>
      <c r="CN447" s="4"/>
      <c r="CO447" s="4"/>
      <c r="CP447" s="4"/>
      <c r="CQ447" s="4"/>
      <c r="CR447" s="4"/>
      <c r="CS447" s="4"/>
      <c r="CT447" s="4"/>
      <c r="CU447" s="4"/>
      <c r="CV447" s="4"/>
      <c r="CW447" s="4"/>
      <c r="CX447" s="4"/>
      <c r="CY447" s="4"/>
      <c r="CZ447" s="4"/>
      <c r="DA447" s="4"/>
      <c r="DB447" s="4"/>
      <c r="DC447" s="4"/>
      <c r="DD447" s="4"/>
      <c r="DE447" s="4"/>
      <c r="DF447" s="4"/>
      <c r="DG447" s="4"/>
      <c r="DH447" s="4"/>
      <c r="DI447" s="4"/>
      <c r="DJ447" s="4"/>
      <c r="DK447" s="4"/>
      <c r="DL447" s="4"/>
      <c r="DM447" s="4"/>
      <c r="DN447" s="4"/>
      <c r="DO447" s="4"/>
      <c r="DP447" s="4"/>
      <c r="DQ447" s="4"/>
      <c r="DR447" s="4"/>
      <c r="DS447" s="4"/>
      <c r="DT447" s="4"/>
      <c r="DU447" s="4"/>
      <c r="DV447" s="4"/>
      <c r="DW447" s="4"/>
      <c r="DX447" s="4"/>
      <c r="DY447" s="4"/>
      <c r="DZ447" s="4"/>
      <c r="EA447" s="4"/>
      <c r="EB447" s="4"/>
      <c r="EC447" s="4"/>
      <c r="ED447" s="4"/>
      <c r="EE447" s="4"/>
      <c r="EF447" s="4"/>
      <c r="EG447" s="4"/>
      <c r="EH447" s="4"/>
      <c r="EI447" s="4"/>
      <c r="EJ447" s="4"/>
      <c r="EK447" s="4"/>
      <c r="EL447" s="4"/>
      <c r="EM447" s="4"/>
      <c r="EN447" s="4"/>
      <c r="EO447" s="4"/>
      <c r="EP447" s="4"/>
      <c r="EQ447" s="4"/>
      <c r="ER447" s="4"/>
      <c r="ES447" s="4"/>
      <c r="ET447" s="4"/>
      <c r="EU447" s="4"/>
      <c r="EV447" s="4"/>
      <c r="EW447" s="4"/>
      <c r="EX447" s="4"/>
      <c r="EY447" s="4"/>
      <c r="EZ447" s="4"/>
      <c r="FA447" s="4"/>
      <c r="FB447" s="4"/>
      <c r="FC447" s="4"/>
      <c r="FD447" s="4"/>
      <c r="FE447" s="4"/>
      <c r="FF447" s="4"/>
    </row>
    <row r="448" spans="1:162" x14ac:dyDescent="0.2">
      <c r="A448" s="2"/>
      <c r="B448" s="2"/>
      <c r="C448" s="2"/>
      <c r="D448" s="4"/>
      <c r="E448" s="4"/>
      <c r="F448" s="4"/>
      <c r="G448" s="4"/>
      <c r="H448" s="4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/>
      <c r="AM448" s="4"/>
      <c r="AN448" s="4"/>
      <c r="AO448" s="4"/>
      <c r="AP448" s="4"/>
      <c r="AQ448" s="4"/>
      <c r="AR448" s="4"/>
      <c r="AS448" s="4"/>
      <c r="AT448" s="4"/>
      <c r="AU448" s="4"/>
      <c r="AV448" s="4"/>
      <c r="AW448" s="4"/>
      <c r="AX448" s="4"/>
      <c r="AY448" s="4"/>
      <c r="AZ448" s="4"/>
      <c r="BA448" s="4"/>
      <c r="BB448" s="4"/>
      <c r="BC448" s="4"/>
      <c r="BD448" s="4"/>
      <c r="BE448" s="4"/>
      <c r="BF448" s="4"/>
      <c r="BG448" s="4"/>
      <c r="BH448" s="4"/>
      <c r="BI448" s="4"/>
      <c r="BJ448" s="4"/>
      <c r="BK448" s="4"/>
      <c r="BL448" s="4"/>
      <c r="BM448" s="4"/>
      <c r="BN448" s="4"/>
      <c r="BO448" s="4"/>
      <c r="BP448" s="4"/>
      <c r="BQ448" s="4"/>
      <c r="BR448" s="4"/>
      <c r="BS448" s="4"/>
      <c r="BT448" s="4"/>
      <c r="BU448" s="4"/>
      <c r="BV448" s="4"/>
      <c r="BW448" s="4"/>
      <c r="BX448" s="4"/>
      <c r="BY448" s="4"/>
      <c r="BZ448" s="4"/>
      <c r="CA448" s="4"/>
      <c r="CB448" s="4"/>
      <c r="CC448" s="4"/>
      <c r="CD448" s="4"/>
      <c r="CE448" s="4"/>
      <c r="CF448" s="4"/>
      <c r="CG448" s="4"/>
      <c r="CH448" s="4"/>
      <c r="CI448" s="4"/>
      <c r="CJ448" s="4"/>
      <c r="CK448" s="4"/>
      <c r="CL448" s="4"/>
      <c r="CM448" s="4"/>
      <c r="CN448" s="4"/>
      <c r="CO448" s="4"/>
      <c r="CP448" s="4"/>
      <c r="CQ448" s="4"/>
      <c r="CR448" s="4"/>
      <c r="CS448" s="4"/>
      <c r="CT448" s="4"/>
      <c r="CU448" s="4"/>
      <c r="CV448" s="4"/>
      <c r="CW448" s="4"/>
      <c r="CX448" s="4"/>
      <c r="CY448" s="4"/>
      <c r="CZ448" s="4"/>
      <c r="DA448" s="4"/>
      <c r="DB448" s="4"/>
      <c r="DC448" s="4"/>
      <c r="DD448" s="4"/>
      <c r="DE448" s="4"/>
      <c r="DF448" s="4"/>
      <c r="DG448" s="4"/>
      <c r="DH448" s="4"/>
      <c r="DI448" s="4"/>
      <c r="DJ448" s="4"/>
      <c r="DK448" s="4"/>
      <c r="DL448" s="4"/>
      <c r="DM448" s="4"/>
      <c r="DN448" s="4"/>
      <c r="DO448" s="4"/>
      <c r="DP448" s="4"/>
      <c r="DQ448" s="4"/>
      <c r="DR448" s="4"/>
      <c r="DS448" s="4"/>
      <c r="DT448" s="4"/>
      <c r="DU448" s="4"/>
      <c r="DV448" s="4"/>
      <c r="DW448" s="4"/>
      <c r="DX448" s="4"/>
      <c r="DY448" s="4"/>
      <c r="DZ448" s="4"/>
      <c r="EA448" s="4"/>
      <c r="EB448" s="4"/>
      <c r="EC448" s="4"/>
      <c r="ED448" s="4"/>
      <c r="EE448" s="4"/>
      <c r="EF448" s="4"/>
      <c r="EG448" s="4"/>
      <c r="EH448" s="4"/>
      <c r="EI448" s="4"/>
      <c r="EJ448" s="4"/>
      <c r="EK448" s="4"/>
      <c r="EL448" s="4"/>
      <c r="EM448" s="4"/>
      <c r="EN448" s="4"/>
      <c r="EO448" s="4"/>
      <c r="EP448" s="4"/>
      <c r="EQ448" s="4"/>
      <c r="ER448" s="4"/>
      <c r="ES448" s="4"/>
      <c r="ET448" s="4"/>
      <c r="EU448" s="4"/>
      <c r="EV448" s="4"/>
      <c r="EW448" s="4"/>
      <c r="EX448" s="4"/>
      <c r="EY448" s="4"/>
      <c r="EZ448" s="4"/>
      <c r="FA448" s="4"/>
      <c r="FB448" s="4"/>
      <c r="FC448" s="4"/>
      <c r="FD448" s="4"/>
      <c r="FE448" s="4"/>
      <c r="FF448" s="4"/>
    </row>
    <row r="449" spans="1:162" x14ac:dyDescent="0.2">
      <c r="A449" s="2"/>
      <c r="B449" s="2"/>
      <c r="C449" s="2"/>
      <c r="D449" s="4"/>
      <c r="E449" s="4"/>
      <c r="F449" s="4"/>
      <c r="G449" s="4"/>
      <c r="H449" s="4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  <c r="AA449" s="4"/>
      <c r="AB449" s="4"/>
      <c r="AC449" s="4"/>
      <c r="AD449" s="4"/>
      <c r="AE449" s="4"/>
      <c r="AF449" s="4"/>
      <c r="AG449" s="4"/>
      <c r="AH449" s="4"/>
      <c r="AI449" s="4"/>
      <c r="AJ449" s="4"/>
      <c r="AK449" s="4"/>
      <c r="AL449" s="4"/>
      <c r="AM449" s="4"/>
      <c r="AN449" s="4"/>
      <c r="AO449" s="4"/>
      <c r="AP449" s="4"/>
      <c r="AQ449" s="4"/>
      <c r="AR449" s="4"/>
      <c r="AS449" s="4"/>
      <c r="AT449" s="4"/>
      <c r="AU449" s="4"/>
      <c r="AV449" s="4"/>
      <c r="AW449" s="4"/>
      <c r="AX449" s="4"/>
      <c r="AY449" s="4"/>
      <c r="AZ449" s="4"/>
      <c r="BA449" s="4"/>
      <c r="BB449" s="4"/>
      <c r="BC449" s="4"/>
      <c r="BD449" s="4"/>
      <c r="BE449" s="4"/>
      <c r="BF449" s="4"/>
      <c r="BG449" s="4"/>
      <c r="BH449" s="4"/>
      <c r="BI449" s="4"/>
      <c r="BJ449" s="4"/>
      <c r="BK449" s="4"/>
      <c r="BL449" s="4"/>
      <c r="BM449" s="4"/>
      <c r="BN449" s="4"/>
      <c r="BO449" s="4"/>
      <c r="BP449" s="4"/>
      <c r="BQ449" s="4"/>
      <c r="BR449" s="4"/>
      <c r="BS449" s="4"/>
      <c r="BT449" s="4"/>
      <c r="BU449" s="4"/>
      <c r="BV449" s="4"/>
      <c r="BW449" s="4"/>
      <c r="BX449" s="4"/>
      <c r="BY449" s="4"/>
      <c r="BZ449" s="4"/>
      <c r="CA449" s="4"/>
      <c r="CB449" s="4"/>
      <c r="CC449" s="4"/>
      <c r="CD449" s="4"/>
      <c r="CE449" s="4"/>
      <c r="CF449" s="4"/>
      <c r="CG449" s="4"/>
      <c r="CH449" s="4"/>
      <c r="CI449" s="4"/>
      <c r="CJ449" s="4"/>
      <c r="CK449" s="4"/>
      <c r="CL449" s="4"/>
      <c r="CM449" s="4"/>
      <c r="CN449" s="4"/>
      <c r="CO449" s="4"/>
      <c r="CP449" s="4"/>
      <c r="CQ449" s="4"/>
      <c r="CR449" s="4"/>
      <c r="CS449" s="4"/>
      <c r="CT449" s="4"/>
      <c r="CU449" s="4"/>
      <c r="CV449" s="4"/>
      <c r="CW449" s="4"/>
      <c r="CX449" s="4"/>
      <c r="CY449" s="4"/>
      <c r="CZ449" s="4"/>
      <c r="DA449" s="4"/>
      <c r="DB449" s="4"/>
      <c r="DC449" s="4"/>
      <c r="DD449" s="4"/>
      <c r="DE449" s="4"/>
      <c r="DF449" s="4"/>
      <c r="DG449" s="4"/>
      <c r="DH449" s="4"/>
      <c r="DI449" s="4"/>
      <c r="DJ449" s="4"/>
      <c r="DK449" s="4"/>
      <c r="DL449" s="4"/>
      <c r="DM449" s="4"/>
      <c r="DN449" s="4"/>
      <c r="DO449" s="4"/>
      <c r="DP449" s="4"/>
      <c r="DQ449" s="4"/>
      <c r="DR449" s="4"/>
      <c r="DS449" s="4"/>
      <c r="DT449" s="4"/>
      <c r="DU449" s="4"/>
      <c r="DV449" s="4"/>
      <c r="DW449" s="4"/>
      <c r="DX449" s="4"/>
      <c r="DY449" s="4"/>
      <c r="DZ449" s="4"/>
      <c r="EA449" s="4"/>
      <c r="EB449" s="4"/>
      <c r="EC449" s="4"/>
      <c r="ED449" s="4"/>
      <c r="EE449" s="4"/>
      <c r="EF449" s="4"/>
      <c r="EG449" s="4"/>
      <c r="EH449" s="4"/>
      <c r="EI449" s="4"/>
      <c r="EJ449" s="4"/>
      <c r="EK449" s="4"/>
      <c r="EL449" s="4"/>
      <c r="EM449" s="4"/>
      <c r="EN449" s="4"/>
      <c r="EO449" s="4"/>
      <c r="EP449" s="4"/>
      <c r="EQ449" s="4"/>
      <c r="ER449" s="4"/>
      <c r="ES449" s="4"/>
      <c r="ET449" s="4"/>
      <c r="EU449" s="4"/>
      <c r="EV449" s="4"/>
      <c r="EW449" s="4"/>
      <c r="EX449" s="4"/>
      <c r="EY449" s="4"/>
      <c r="EZ449" s="4"/>
      <c r="FA449" s="4"/>
      <c r="FB449" s="4"/>
      <c r="FC449" s="4"/>
      <c r="FD449" s="4"/>
      <c r="FE449" s="4"/>
      <c r="FF449" s="4"/>
    </row>
    <row r="450" spans="1:162" x14ac:dyDescent="0.2">
      <c r="A450" s="2"/>
      <c r="B450" s="2"/>
      <c r="C450" s="2"/>
      <c r="D450" s="4"/>
      <c r="E450" s="4"/>
      <c r="F450" s="4"/>
      <c r="G450" s="4"/>
      <c r="H450" s="4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  <c r="AA450" s="4"/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/>
      <c r="AM450" s="4"/>
      <c r="AN450" s="4"/>
      <c r="AO450" s="4"/>
      <c r="AP450" s="4"/>
      <c r="AQ450" s="4"/>
      <c r="AR450" s="4"/>
      <c r="AS450" s="4"/>
      <c r="AT450" s="4"/>
      <c r="AU450" s="4"/>
      <c r="AV450" s="4"/>
      <c r="AW450" s="4"/>
      <c r="AX450" s="4"/>
      <c r="AY450" s="4"/>
      <c r="AZ450" s="4"/>
      <c r="BA450" s="4"/>
      <c r="BB450" s="4"/>
      <c r="BC450" s="4"/>
      <c r="BD450" s="4"/>
      <c r="BE450" s="4"/>
      <c r="BF450" s="4"/>
      <c r="BG450" s="4"/>
      <c r="BH450" s="4"/>
      <c r="BI450" s="4"/>
      <c r="BJ450" s="4"/>
      <c r="BK450" s="4"/>
      <c r="BL450" s="4"/>
      <c r="BM450" s="4"/>
      <c r="BN450" s="4"/>
      <c r="BO450" s="4"/>
      <c r="BP450" s="4"/>
      <c r="BQ450" s="4"/>
      <c r="BR450" s="4"/>
      <c r="BS450" s="4"/>
      <c r="BT450" s="4"/>
      <c r="BU450" s="4"/>
      <c r="BV450" s="4"/>
      <c r="BW450" s="4"/>
      <c r="BX450" s="4"/>
      <c r="BY450" s="4"/>
      <c r="BZ450" s="4"/>
      <c r="CA450" s="4"/>
      <c r="CB450" s="4"/>
      <c r="CC450" s="4"/>
      <c r="CD450" s="4"/>
      <c r="CE450" s="4"/>
      <c r="CF450" s="4"/>
      <c r="CG450" s="4"/>
      <c r="CH450" s="4"/>
      <c r="CI450" s="4"/>
      <c r="CJ450" s="4"/>
      <c r="CK450" s="4"/>
      <c r="CL450" s="4"/>
      <c r="CM450" s="4"/>
      <c r="CN450" s="4"/>
      <c r="CO450" s="4"/>
      <c r="CP450" s="4"/>
      <c r="CQ450" s="4"/>
      <c r="CR450" s="4"/>
      <c r="CS450" s="4"/>
      <c r="CT450" s="4"/>
      <c r="CU450" s="4"/>
      <c r="CV450" s="4"/>
      <c r="CW450" s="4"/>
      <c r="CX450" s="4"/>
      <c r="CY450" s="4"/>
      <c r="CZ450" s="4"/>
      <c r="DA450" s="4"/>
      <c r="DB450" s="4"/>
      <c r="DC450" s="4"/>
      <c r="DD450" s="4"/>
      <c r="DE450" s="4"/>
      <c r="DF450" s="4"/>
      <c r="DG450" s="4"/>
      <c r="DH450" s="4"/>
      <c r="DI450" s="4"/>
      <c r="DJ450" s="4"/>
      <c r="DK450" s="4"/>
      <c r="DL450" s="4"/>
      <c r="DM450" s="4"/>
      <c r="DN450" s="4"/>
      <c r="DO450" s="4"/>
      <c r="DP450" s="4"/>
      <c r="DQ450" s="4"/>
      <c r="DR450" s="4"/>
      <c r="DS450" s="4"/>
      <c r="DT450" s="4"/>
      <c r="DU450" s="4"/>
      <c r="DV450" s="4"/>
      <c r="DW450" s="4"/>
      <c r="DX450" s="4"/>
      <c r="DY450" s="4"/>
      <c r="DZ450" s="4"/>
      <c r="EA450" s="4"/>
      <c r="EB450" s="4"/>
      <c r="EC450" s="4"/>
      <c r="ED450" s="4"/>
      <c r="EE450" s="4"/>
      <c r="EF450" s="4"/>
      <c r="EG450" s="4"/>
      <c r="EH450" s="4"/>
      <c r="EI450" s="4"/>
      <c r="EJ450" s="4"/>
      <c r="EK450" s="4"/>
      <c r="EL450" s="4"/>
      <c r="EM450" s="4"/>
      <c r="EN450" s="4"/>
      <c r="EO450" s="4"/>
      <c r="EP450" s="4"/>
      <c r="EQ450" s="4"/>
      <c r="ER450" s="4"/>
      <c r="ES450" s="4"/>
      <c r="ET450" s="4"/>
      <c r="EU450" s="4"/>
      <c r="EV450" s="4"/>
      <c r="EW450" s="4"/>
      <c r="EX450" s="4"/>
      <c r="EY450" s="4"/>
      <c r="EZ450" s="4"/>
      <c r="FA450" s="4"/>
      <c r="FB450" s="4"/>
      <c r="FC450" s="4"/>
      <c r="FD450" s="4"/>
      <c r="FE450" s="4"/>
      <c r="FF450" s="4"/>
    </row>
    <row r="451" spans="1:162" x14ac:dyDescent="0.2">
      <c r="A451" s="2"/>
      <c r="B451" s="2"/>
      <c r="C451" s="2"/>
      <c r="D451" s="4"/>
      <c r="E451" s="4"/>
      <c r="F451" s="4"/>
      <c r="G451" s="4"/>
      <c r="H451" s="4"/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  <c r="AA451" s="4"/>
      <c r="AB451" s="4"/>
      <c r="AC451" s="4"/>
      <c r="AD451" s="4"/>
      <c r="AE451" s="4"/>
      <c r="AF451" s="4"/>
      <c r="AG451" s="4"/>
      <c r="AH451" s="4"/>
      <c r="AI451" s="4"/>
      <c r="AJ451" s="4"/>
      <c r="AK451" s="4"/>
      <c r="AL451" s="4"/>
      <c r="AM451" s="4"/>
      <c r="AN451" s="4"/>
      <c r="AO451" s="4"/>
      <c r="AP451" s="4"/>
      <c r="AQ451" s="4"/>
      <c r="AR451" s="4"/>
      <c r="AS451" s="4"/>
      <c r="AT451" s="4"/>
      <c r="AU451" s="4"/>
      <c r="AV451" s="4"/>
      <c r="AW451" s="4"/>
      <c r="AX451" s="4"/>
      <c r="AY451" s="4"/>
      <c r="AZ451" s="4"/>
      <c r="BA451" s="4"/>
      <c r="BB451" s="4"/>
      <c r="BC451" s="4"/>
      <c r="BD451" s="4"/>
      <c r="BE451" s="4"/>
      <c r="BF451" s="4"/>
      <c r="BG451" s="4"/>
      <c r="BH451" s="4"/>
      <c r="BI451" s="4"/>
      <c r="BJ451" s="4"/>
      <c r="BK451" s="4"/>
      <c r="BL451" s="4"/>
      <c r="BM451" s="4"/>
      <c r="BN451" s="4"/>
      <c r="BO451" s="4"/>
      <c r="BP451" s="4"/>
      <c r="BQ451" s="4"/>
      <c r="BR451" s="4"/>
      <c r="BS451" s="4"/>
      <c r="BT451" s="4"/>
      <c r="BU451" s="4"/>
      <c r="BV451" s="4"/>
      <c r="BW451" s="4"/>
      <c r="BX451" s="4"/>
      <c r="BY451" s="4"/>
      <c r="BZ451" s="4"/>
      <c r="CA451" s="4"/>
      <c r="CB451" s="4"/>
      <c r="CC451" s="4"/>
      <c r="CD451" s="4"/>
      <c r="CE451" s="4"/>
      <c r="CF451" s="4"/>
      <c r="CG451" s="4"/>
      <c r="CH451" s="4"/>
      <c r="CI451" s="4"/>
      <c r="CJ451" s="4"/>
      <c r="CK451" s="4"/>
      <c r="CL451" s="4"/>
      <c r="CM451" s="4"/>
      <c r="CN451" s="4"/>
      <c r="CO451" s="4"/>
      <c r="CP451" s="4"/>
      <c r="CQ451" s="4"/>
      <c r="CR451" s="4"/>
      <c r="CS451" s="4"/>
      <c r="CT451" s="4"/>
      <c r="CU451" s="4"/>
      <c r="CV451" s="4"/>
      <c r="CW451" s="4"/>
      <c r="CX451" s="4"/>
      <c r="CY451" s="4"/>
      <c r="CZ451" s="4"/>
      <c r="DA451" s="4"/>
      <c r="DB451" s="4"/>
      <c r="DC451" s="4"/>
      <c r="DD451" s="4"/>
      <c r="DE451" s="4"/>
      <c r="DF451" s="4"/>
      <c r="DG451" s="4"/>
      <c r="DH451" s="4"/>
      <c r="DI451" s="4"/>
      <c r="DJ451" s="4"/>
      <c r="DK451" s="4"/>
      <c r="DL451" s="4"/>
      <c r="DM451" s="4"/>
      <c r="DN451" s="4"/>
      <c r="DO451" s="4"/>
      <c r="DP451" s="4"/>
      <c r="DQ451" s="4"/>
      <c r="DR451" s="4"/>
      <c r="DS451" s="4"/>
      <c r="DT451" s="4"/>
      <c r="DU451" s="4"/>
      <c r="DV451" s="4"/>
      <c r="DW451" s="4"/>
      <c r="DX451" s="4"/>
      <c r="DY451" s="4"/>
      <c r="DZ451" s="4"/>
      <c r="EA451" s="4"/>
      <c r="EB451" s="4"/>
      <c r="EC451" s="4"/>
      <c r="ED451" s="4"/>
      <c r="EE451" s="4"/>
      <c r="EF451" s="4"/>
      <c r="EG451" s="4"/>
      <c r="EH451" s="4"/>
      <c r="EI451" s="4"/>
      <c r="EJ451" s="4"/>
      <c r="EK451" s="4"/>
      <c r="EL451" s="4"/>
      <c r="EM451" s="4"/>
      <c r="EN451" s="4"/>
      <c r="EO451" s="4"/>
      <c r="EP451" s="4"/>
      <c r="EQ451" s="4"/>
      <c r="ER451" s="4"/>
      <c r="ES451" s="4"/>
      <c r="ET451" s="4"/>
      <c r="EU451" s="4"/>
      <c r="EV451" s="4"/>
      <c r="EW451" s="4"/>
      <c r="EX451" s="4"/>
      <c r="EY451" s="4"/>
      <c r="EZ451" s="4"/>
      <c r="FA451" s="4"/>
      <c r="FB451" s="4"/>
      <c r="FC451" s="4"/>
      <c r="FD451" s="4"/>
      <c r="FE451" s="4"/>
      <c r="FF451" s="4"/>
    </row>
    <row r="452" spans="1:162" x14ac:dyDescent="0.2">
      <c r="A452" s="2"/>
      <c r="B452" s="2"/>
      <c r="C452" s="2"/>
      <c r="D452" s="4"/>
      <c r="E452" s="4"/>
      <c r="F452" s="4"/>
      <c r="G452" s="4"/>
      <c r="H452" s="4"/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  <c r="AA452" s="4"/>
      <c r="AB452" s="4"/>
      <c r="AC452" s="4"/>
      <c r="AD452" s="4"/>
      <c r="AE452" s="4"/>
      <c r="AF452" s="4"/>
      <c r="AG452" s="4"/>
      <c r="AH452" s="4"/>
      <c r="AI452" s="4"/>
      <c r="AJ452" s="4"/>
      <c r="AK452" s="4"/>
      <c r="AL452" s="4"/>
      <c r="AM452" s="4"/>
      <c r="AN452" s="4"/>
      <c r="AO452" s="4"/>
      <c r="AP452" s="4"/>
      <c r="AQ452" s="4"/>
      <c r="AR452" s="4"/>
      <c r="AS452" s="4"/>
      <c r="AT452" s="4"/>
      <c r="AU452" s="4"/>
      <c r="AV452" s="4"/>
      <c r="AW452" s="4"/>
      <c r="AX452" s="4"/>
      <c r="AY452" s="4"/>
      <c r="AZ452" s="4"/>
      <c r="BA452" s="4"/>
      <c r="BB452" s="4"/>
      <c r="BC452" s="4"/>
      <c r="BD452" s="4"/>
      <c r="BE452" s="4"/>
      <c r="BF452" s="4"/>
      <c r="BG452" s="4"/>
      <c r="BH452" s="4"/>
      <c r="BI452" s="4"/>
      <c r="BJ452" s="4"/>
      <c r="BK452" s="4"/>
      <c r="BL452" s="4"/>
      <c r="BM452" s="4"/>
      <c r="BN452" s="4"/>
      <c r="BO452" s="4"/>
      <c r="BP452" s="4"/>
      <c r="BQ452" s="4"/>
      <c r="BR452" s="4"/>
      <c r="BS452" s="4"/>
      <c r="BT452" s="4"/>
      <c r="BU452" s="4"/>
      <c r="BV452" s="4"/>
      <c r="BW452" s="4"/>
      <c r="BX452" s="4"/>
      <c r="BY452" s="4"/>
      <c r="BZ452" s="4"/>
      <c r="CA452" s="4"/>
      <c r="CB452" s="4"/>
      <c r="CC452" s="4"/>
      <c r="CD452" s="4"/>
      <c r="CE452" s="4"/>
      <c r="CF452" s="4"/>
      <c r="CG452" s="4"/>
      <c r="CH452" s="4"/>
      <c r="CI452" s="4"/>
      <c r="CJ452" s="4"/>
      <c r="CK452" s="4"/>
      <c r="CL452" s="4"/>
      <c r="CM452" s="4"/>
      <c r="CN452" s="4"/>
      <c r="CO452" s="4"/>
      <c r="CP452" s="4"/>
      <c r="CQ452" s="4"/>
      <c r="CR452" s="4"/>
      <c r="CS452" s="4"/>
      <c r="CT452" s="4"/>
      <c r="CU452" s="4"/>
      <c r="CV452" s="4"/>
      <c r="CW452" s="4"/>
      <c r="CX452" s="4"/>
      <c r="CY452" s="4"/>
      <c r="CZ452" s="4"/>
      <c r="DA452" s="4"/>
      <c r="DB452" s="4"/>
      <c r="DC452" s="4"/>
      <c r="DD452" s="4"/>
      <c r="DE452" s="4"/>
      <c r="DF452" s="4"/>
      <c r="DG452" s="4"/>
      <c r="DH452" s="4"/>
      <c r="DI452" s="4"/>
      <c r="DJ452" s="4"/>
      <c r="DK452" s="4"/>
      <c r="DL452" s="4"/>
      <c r="DM452" s="4"/>
      <c r="DN452" s="4"/>
      <c r="DO452" s="4"/>
      <c r="DP452" s="4"/>
      <c r="DQ452" s="4"/>
      <c r="DR452" s="4"/>
      <c r="DS452" s="4"/>
      <c r="DT452" s="4"/>
      <c r="DU452" s="4"/>
      <c r="DV452" s="4"/>
      <c r="DW452" s="4"/>
      <c r="DX452" s="4"/>
      <c r="DY452" s="4"/>
      <c r="DZ452" s="4"/>
      <c r="EA452" s="4"/>
      <c r="EB452" s="4"/>
      <c r="EC452" s="4"/>
      <c r="ED452" s="4"/>
      <c r="EE452" s="4"/>
      <c r="EF452" s="4"/>
      <c r="EG452" s="4"/>
      <c r="EH452" s="4"/>
      <c r="EI452" s="4"/>
      <c r="EJ452" s="4"/>
      <c r="EK452" s="4"/>
      <c r="EL452" s="4"/>
      <c r="EM452" s="4"/>
      <c r="EN452" s="4"/>
      <c r="EO452" s="4"/>
      <c r="EP452" s="4"/>
      <c r="EQ452" s="4"/>
      <c r="ER452" s="4"/>
      <c r="ES452" s="4"/>
      <c r="ET452" s="4"/>
      <c r="EU452" s="4"/>
      <c r="EV452" s="4"/>
      <c r="EW452" s="4"/>
      <c r="EX452" s="4"/>
      <c r="EY452" s="4"/>
      <c r="EZ452" s="4"/>
      <c r="FA452" s="4"/>
      <c r="FB452" s="4"/>
      <c r="FC452" s="4"/>
      <c r="FD452" s="4"/>
      <c r="FE452" s="4"/>
      <c r="FF452" s="4"/>
    </row>
    <row r="453" spans="1:162" x14ac:dyDescent="0.2">
      <c r="A453" s="2"/>
      <c r="B453" s="2"/>
      <c r="C453" s="2"/>
      <c r="D453" s="4"/>
      <c r="E453" s="4"/>
      <c r="F453" s="4"/>
      <c r="G453" s="4"/>
      <c r="H453" s="4"/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  <c r="AA453" s="4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/>
      <c r="AM453" s="4"/>
      <c r="AN453" s="4"/>
      <c r="AO453" s="4"/>
      <c r="AP453" s="4"/>
      <c r="AQ453" s="4"/>
      <c r="AR453" s="4"/>
      <c r="AS453" s="4"/>
      <c r="AT453" s="4"/>
      <c r="AU453" s="4"/>
      <c r="AV453" s="4"/>
      <c r="AW453" s="4"/>
      <c r="AX453" s="4"/>
      <c r="AY453" s="4"/>
      <c r="AZ453" s="4"/>
      <c r="BA453" s="4"/>
      <c r="BB453" s="4"/>
      <c r="BC453" s="4"/>
      <c r="BD453" s="4"/>
      <c r="BE453" s="4"/>
      <c r="BF453" s="4"/>
      <c r="BG453" s="4"/>
      <c r="BH453" s="4"/>
      <c r="BI453" s="4"/>
      <c r="BJ453" s="4"/>
      <c r="BK453" s="4"/>
      <c r="BL453" s="4"/>
      <c r="BM453" s="4"/>
      <c r="BN453" s="4"/>
      <c r="BO453" s="4"/>
      <c r="BP453" s="4"/>
      <c r="BQ453" s="4"/>
      <c r="BR453" s="4"/>
      <c r="BS453" s="4"/>
      <c r="BT453" s="4"/>
      <c r="BU453" s="4"/>
      <c r="BV453" s="4"/>
      <c r="BW453" s="4"/>
      <c r="BX453" s="4"/>
      <c r="BY453" s="4"/>
      <c r="BZ453" s="4"/>
      <c r="CA453" s="4"/>
      <c r="CB453" s="4"/>
      <c r="CC453" s="4"/>
      <c r="CD453" s="4"/>
      <c r="CE453" s="4"/>
      <c r="CF453" s="4"/>
      <c r="CG453" s="4"/>
      <c r="CH453" s="4"/>
      <c r="CI453" s="4"/>
      <c r="CJ453" s="4"/>
      <c r="CK453" s="4"/>
      <c r="CL453" s="4"/>
      <c r="CM453" s="4"/>
      <c r="CN453" s="4"/>
      <c r="CO453" s="4"/>
      <c r="CP453" s="4"/>
      <c r="CQ453" s="4"/>
      <c r="CR453" s="4"/>
      <c r="CS453" s="4"/>
      <c r="CT453" s="4"/>
      <c r="CU453" s="4"/>
      <c r="CV453" s="4"/>
      <c r="CW453" s="4"/>
      <c r="CX453" s="4"/>
      <c r="CY453" s="4"/>
      <c r="CZ453" s="4"/>
      <c r="DA453" s="4"/>
      <c r="DB453" s="4"/>
      <c r="DC453" s="4"/>
      <c r="DD453" s="4"/>
      <c r="DE453" s="4"/>
      <c r="DF453" s="4"/>
      <c r="DG453" s="4"/>
      <c r="DH453" s="4"/>
      <c r="DI453" s="4"/>
      <c r="DJ453" s="4"/>
      <c r="DK453" s="4"/>
      <c r="DL453" s="4"/>
      <c r="DM453" s="4"/>
      <c r="DN453" s="4"/>
      <c r="DO453" s="4"/>
      <c r="DP453" s="4"/>
      <c r="DQ453" s="4"/>
      <c r="DR453" s="4"/>
      <c r="DS453" s="4"/>
      <c r="DT453" s="4"/>
      <c r="DU453" s="4"/>
      <c r="DV453" s="4"/>
      <c r="DW453" s="4"/>
      <c r="DX453" s="4"/>
      <c r="DY453" s="4"/>
      <c r="DZ453" s="4"/>
      <c r="EA453" s="4"/>
      <c r="EB453" s="4"/>
      <c r="EC453" s="4"/>
      <c r="ED453" s="4"/>
      <c r="EE453" s="4"/>
      <c r="EF453" s="4"/>
      <c r="EG453" s="4"/>
      <c r="EH453" s="4"/>
      <c r="EI453" s="4"/>
      <c r="EJ453" s="4"/>
      <c r="EK453" s="4"/>
      <c r="EL453" s="4"/>
      <c r="EM453" s="4"/>
      <c r="EN453" s="4"/>
      <c r="EO453" s="4"/>
      <c r="EP453" s="4"/>
      <c r="EQ453" s="4"/>
      <c r="ER453" s="4"/>
      <c r="ES453" s="4"/>
      <c r="ET453" s="4"/>
      <c r="EU453" s="4"/>
      <c r="EV453" s="4"/>
      <c r="EW453" s="4"/>
      <c r="EX453" s="4"/>
      <c r="EY453" s="4"/>
      <c r="EZ453" s="4"/>
      <c r="FA453" s="4"/>
      <c r="FB453" s="4"/>
      <c r="FC453" s="4"/>
      <c r="FD453" s="4"/>
      <c r="FE453" s="4"/>
      <c r="FF453" s="4"/>
    </row>
    <row r="454" spans="1:162" x14ac:dyDescent="0.2">
      <c r="A454" s="2"/>
      <c r="B454" s="2"/>
      <c r="C454" s="2"/>
      <c r="D454" s="4"/>
      <c r="E454" s="4"/>
      <c r="F454" s="4"/>
      <c r="G454" s="4"/>
      <c r="H454" s="4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  <c r="AA454" s="4"/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"/>
      <c r="AN454" s="4"/>
      <c r="AO454" s="4"/>
      <c r="AP454" s="4"/>
      <c r="AQ454" s="4"/>
      <c r="AR454" s="4"/>
      <c r="AS454" s="4"/>
      <c r="AT454" s="4"/>
      <c r="AU454" s="4"/>
      <c r="AV454" s="4"/>
      <c r="AW454" s="4"/>
      <c r="AX454" s="4"/>
      <c r="AY454" s="4"/>
      <c r="AZ454" s="4"/>
      <c r="BA454" s="4"/>
      <c r="BB454" s="4"/>
      <c r="BC454" s="4"/>
      <c r="BD454" s="4"/>
      <c r="BE454" s="4"/>
      <c r="BF454" s="4"/>
      <c r="BG454" s="4"/>
      <c r="BH454" s="4"/>
      <c r="BI454" s="4"/>
      <c r="BJ454" s="4"/>
      <c r="BK454" s="4"/>
      <c r="BL454" s="4"/>
      <c r="BM454" s="4"/>
      <c r="BN454" s="4"/>
      <c r="BO454" s="4"/>
      <c r="BP454" s="4"/>
      <c r="BQ454" s="4"/>
      <c r="BR454" s="4"/>
      <c r="BS454" s="4"/>
      <c r="BT454" s="4"/>
      <c r="BU454" s="4"/>
      <c r="BV454" s="4"/>
      <c r="BW454" s="4"/>
      <c r="BX454" s="4"/>
      <c r="BY454" s="4"/>
      <c r="BZ454" s="4"/>
      <c r="CA454" s="4"/>
      <c r="CB454" s="4"/>
      <c r="CC454" s="4"/>
      <c r="CD454" s="4"/>
      <c r="CE454" s="4"/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  <c r="CQ454" s="4"/>
      <c r="CR454" s="4"/>
      <c r="CS454" s="4"/>
      <c r="CT454" s="4"/>
      <c r="CU454" s="4"/>
      <c r="CV454" s="4"/>
      <c r="CW454" s="4"/>
      <c r="CX454" s="4"/>
      <c r="CY454" s="4"/>
      <c r="CZ454" s="4"/>
      <c r="DA454" s="4"/>
      <c r="DB454" s="4"/>
      <c r="DC454" s="4"/>
      <c r="DD454" s="4"/>
      <c r="DE454" s="4"/>
      <c r="DF454" s="4"/>
      <c r="DG454" s="4"/>
      <c r="DH454" s="4"/>
      <c r="DI454" s="4"/>
      <c r="DJ454" s="4"/>
      <c r="DK454" s="4"/>
      <c r="DL454" s="4"/>
      <c r="DM454" s="4"/>
      <c r="DN454" s="4"/>
      <c r="DO454" s="4"/>
      <c r="DP454" s="4"/>
      <c r="DQ454" s="4"/>
      <c r="DR454" s="4"/>
      <c r="DS454" s="4"/>
      <c r="DT454" s="4"/>
      <c r="DU454" s="4"/>
      <c r="DV454" s="4"/>
      <c r="DW454" s="4"/>
      <c r="DX454" s="4"/>
      <c r="DY454" s="4"/>
      <c r="DZ454" s="4"/>
      <c r="EA454" s="4"/>
      <c r="EB454" s="4"/>
      <c r="EC454" s="4"/>
      <c r="ED454" s="4"/>
      <c r="EE454" s="4"/>
      <c r="EF454" s="4"/>
      <c r="EG454" s="4"/>
      <c r="EH454" s="4"/>
      <c r="EI454" s="4"/>
      <c r="EJ454" s="4"/>
      <c r="EK454" s="4"/>
      <c r="EL454" s="4"/>
      <c r="EM454" s="4"/>
      <c r="EN454" s="4"/>
      <c r="EO454" s="4"/>
      <c r="EP454" s="4"/>
      <c r="EQ454" s="4"/>
      <c r="ER454" s="4"/>
      <c r="ES454" s="4"/>
      <c r="ET454" s="4"/>
      <c r="EU454" s="4"/>
      <c r="EV454" s="4"/>
      <c r="EW454" s="4"/>
      <c r="EX454" s="4"/>
      <c r="EY454" s="4"/>
      <c r="EZ454" s="4"/>
      <c r="FA454" s="4"/>
      <c r="FB454" s="4"/>
      <c r="FC454" s="4"/>
      <c r="FD454" s="4"/>
      <c r="FE454" s="4"/>
      <c r="FF454" s="4"/>
    </row>
    <row r="455" spans="1:162" x14ac:dyDescent="0.2">
      <c r="A455" s="2"/>
      <c r="B455" s="2"/>
      <c r="C455" s="2"/>
      <c r="D455" s="4"/>
      <c r="E455" s="4"/>
      <c r="F455" s="4"/>
      <c r="G455" s="4"/>
      <c r="H455" s="4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  <c r="AA455" s="4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"/>
      <c r="AN455" s="4"/>
      <c r="AO455" s="4"/>
      <c r="AP455" s="4"/>
      <c r="AQ455" s="4"/>
      <c r="AR455" s="4"/>
      <c r="AS455" s="4"/>
      <c r="AT455" s="4"/>
      <c r="AU455" s="4"/>
      <c r="AV455" s="4"/>
      <c r="AW455" s="4"/>
      <c r="AX455" s="4"/>
      <c r="AY455" s="4"/>
      <c r="AZ455" s="4"/>
      <c r="BA455" s="4"/>
      <c r="BB455" s="4"/>
      <c r="BC455" s="4"/>
      <c r="BD455" s="4"/>
      <c r="BE455" s="4"/>
      <c r="BF455" s="4"/>
      <c r="BG455" s="4"/>
      <c r="BH455" s="4"/>
      <c r="BI455" s="4"/>
      <c r="BJ455" s="4"/>
      <c r="BK455" s="4"/>
      <c r="BL455" s="4"/>
      <c r="BM455" s="4"/>
      <c r="BN455" s="4"/>
      <c r="BO455" s="4"/>
      <c r="BP455" s="4"/>
      <c r="BQ455" s="4"/>
      <c r="BR455" s="4"/>
      <c r="BS455" s="4"/>
      <c r="BT455" s="4"/>
      <c r="BU455" s="4"/>
      <c r="BV455" s="4"/>
      <c r="BW455" s="4"/>
      <c r="BX455" s="4"/>
      <c r="BY455" s="4"/>
      <c r="BZ455" s="4"/>
      <c r="CA455" s="4"/>
      <c r="CB455" s="4"/>
      <c r="CC455" s="4"/>
      <c r="CD455" s="4"/>
      <c r="CE455" s="4"/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  <c r="CQ455" s="4"/>
      <c r="CR455" s="4"/>
      <c r="CS455" s="4"/>
      <c r="CT455" s="4"/>
      <c r="CU455" s="4"/>
      <c r="CV455" s="4"/>
      <c r="CW455" s="4"/>
      <c r="CX455" s="4"/>
      <c r="CY455" s="4"/>
      <c r="CZ455" s="4"/>
      <c r="DA455" s="4"/>
      <c r="DB455" s="4"/>
      <c r="DC455" s="4"/>
      <c r="DD455" s="4"/>
      <c r="DE455" s="4"/>
      <c r="DF455" s="4"/>
      <c r="DG455" s="4"/>
      <c r="DH455" s="4"/>
      <c r="DI455" s="4"/>
      <c r="DJ455" s="4"/>
      <c r="DK455" s="4"/>
      <c r="DL455" s="4"/>
      <c r="DM455" s="4"/>
      <c r="DN455" s="4"/>
      <c r="DO455" s="4"/>
      <c r="DP455" s="4"/>
      <c r="DQ455" s="4"/>
      <c r="DR455" s="4"/>
      <c r="DS455" s="4"/>
      <c r="DT455" s="4"/>
      <c r="DU455" s="4"/>
      <c r="DV455" s="4"/>
      <c r="DW455" s="4"/>
      <c r="DX455" s="4"/>
      <c r="DY455" s="4"/>
      <c r="DZ455" s="4"/>
      <c r="EA455" s="4"/>
      <c r="EB455" s="4"/>
      <c r="EC455" s="4"/>
      <c r="ED455" s="4"/>
      <c r="EE455" s="4"/>
      <c r="EF455" s="4"/>
      <c r="EG455" s="4"/>
      <c r="EH455" s="4"/>
      <c r="EI455" s="4"/>
      <c r="EJ455" s="4"/>
      <c r="EK455" s="4"/>
      <c r="EL455" s="4"/>
      <c r="EM455" s="4"/>
      <c r="EN455" s="4"/>
      <c r="EO455" s="4"/>
      <c r="EP455" s="4"/>
      <c r="EQ455" s="4"/>
      <c r="ER455" s="4"/>
      <c r="ES455" s="4"/>
      <c r="ET455" s="4"/>
      <c r="EU455" s="4"/>
      <c r="EV455" s="4"/>
      <c r="EW455" s="4"/>
      <c r="EX455" s="4"/>
      <c r="EY455" s="4"/>
      <c r="EZ455" s="4"/>
      <c r="FA455" s="4"/>
      <c r="FB455" s="4"/>
      <c r="FC455" s="4"/>
      <c r="FD455" s="4"/>
      <c r="FE455" s="4"/>
      <c r="FF455" s="4"/>
    </row>
    <row r="456" spans="1:162" x14ac:dyDescent="0.2">
      <c r="A456" s="2"/>
      <c r="B456" s="2"/>
      <c r="C456" s="2"/>
      <c r="D456" s="4"/>
      <c r="E456" s="4"/>
      <c r="F456" s="4"/>
      <c r="G456" s="4"/>
      <c r="H456" s="4"/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  <c r="AA456" s="4"/>
      <c r="AB456" s="4"/>
      <c r="AC456" s="4"/>
      <c r="AD456" s="4"/>
      <c r="AE456" s="4"/>
      <c r="AF456" s="4"/>
      <c r="AG456" s="4"/>
      <c r="AH456" s="4"/>
      <c r="AI456" s="4"/>
      <c r="AJ456" s="4"/>
      <c r="AK456" s="4"/>
      <c r="AL456" s="4"/>
      <c r="AM456" s="4"/>
      <c r="AN456" s="4"/>
      <c r="AO456" s="4"/>
      <c r="AP456" s="4"/>
      <c r="AQ456" s="4"/>
      <c r="AR456" s="4"/>
      <c r="AS456" s="4"/>
      <c r="AT456" s="4"/>
      <c r="AU456" s="4"/>
      <c r="AV456" s="4"/>
      <c r="AW456" s="4"/>
      <c r="AX456" s="4"/>
      <c r="AY456" s="4"/>
      <c r="AZ456" s="4"/>
      <c r="BA456" s="4"/>
      <c r="BB456" s="4"/>
      <c r="BC456" s="4"/>
      <c r="BD456" s="4"/>
      <c r="BE456" s="4"/>
      <c r="BF456" s="4"/>
      <c r="BG456" s="4"/>
      <c r="BH456" s="4"/>
      <c r="BI456" s="4"/>
      <c r="BJ456" s="4"/>
      <c r="BK456" s="4"/>
      <c r="BL456" s="4"/>
      <c r="BM456" s="4"/>
      <c r="BN456" s="4"/>
      <c r="BO456" s="4"/>
      <c r="BP456" s="4"/>
      <c r="BQ456" s="4"/>
      <c r="BR456" s="4"/>
      <c r="BS456" s="4"/>
      <c r="BT456" s="4"/>
      <c r="BU456" s="4"/>
      <c r="BV456" s="4"/>
      <c r="BW456" s="4"/>
      <c r="BX456" s="4"/>
      <c r="BY456" s="4"/>
      <c r="BZ456" s="4"/>
      <c r="CA456" s="4"/>
      <c r="CB456" s="4"/>
      <c r="CC456" s="4"/>
      <c r="CD456" s="4"/>
      <c r="CE456" s="4"/>
      <c r="CF456" s="4"/>
      <c r="CG456" s="4"/>
      <c r="CH456" s="4"/>
      <c r="CI456" s="4"/>
      <c r="CJ456" s="4"/>
      <c r="CK456" s="4"/>
      <c r="CL456" s="4"/>
      <c r="CM456" s="4"/>
      <c r="CN456" s="4"/>
      <c r="CO456" s="4"/>
      <c r="CP456" s="4"/>
      <c r="CQ456" s="4"/>
      <c r="CR456" s="4"/>
      <c r="CS456" s="4"/>
      <c r="CT456" s="4"/>
      <c r="CU456" s="4"/>
      <c r="CV456" s="4"/>
      <c r="CW456" s="4"/>
      <c r="CX456" s="4"/>
      <c r="CY456" s="4"/>
      <c r="CZ456" s="4"/>
      <c r="DA456" s="4"/>
      <c r="DB456" s="4"/>
      <c r="DC456" s="4"/>
      <c r="DD456" s="4"/>
      <c r="DE456" s="4"/>
      <c r="DF456" s="4"/>
      <c r="DG456" s="4"/>
      <c r="DH456" s="4"/>
      <c r="DI456" s="4"/>
      <c r="DJ456" s="4"/>
      <c r="DK456" s="4"/>
      <c r="DL456" s="4"/>
      <c r="DM456" s="4"/>
      <c r="DN456" s="4"/>
      <c r="DO456" s="4"/>
      <c r="DP456" s="4"/>
      <c r="DQ456" s="4"/>
      <c r="DR456" s="4"/>
      <c r="DS456" s="4"/>
      <c r="DT456" s="4"/>
      <c r="DU456" s="4"/>
      <c r="DV456" s="4"/>
      <c r="DW456" s="4"/>
      <c r="DX456" s="4"/>
      <c r="DY456" s="4"/>
      <c r="DZ456" s="4"/>
      <c r="EA456" s="4"/>
      <c r="EB456" s="4"/>
      <c r="EC456" s="4"/>
      <c r="ED456" s="4"/>
      <c r="EE456" s="4"/>
      <c r="EF456" s="4"/>
      <c r="EG456" s="4"/>
      <c r="EH456" s="4"/>
      <c r="EI456" s="4"/>
      <c r="EJ456" s="4"/>
      <c r="EK456" s="4"/>
      <c r="EL456" s="4"/>
      <c r="EM456" s="4"/>
      <c r="EN456" s="4"/>
      <c r="EO456" s="4"/>
      <c r="EP456" s="4"/>
      <c r="EQ456" s="4"/>
      <c r="ER456" s="4"/>
      <c r="ES456" s="4"/>
      <c r="ET456" s="4"/>
      <c r="EU456" s="4"/>
      <c r="EV456" s="4"/>
      <c r="EW456" s="4"/>
      <c r="EX456" s="4"/>
      <c r="EY456" s="4"/>
      <c r="EZ456" s="4"/>
      <c r="FA456" s="4"/>
      <c r="FB456" s="4"/>
      <c r="FC456" s="4"/>
      <c r="FD456" s="4"/>
      <c r="FE456" s="4"/>
      <c r="FF456" s="4"/>
    </row>
    <row r="457" spans="1:162" x14ac:dyDescent="0.2">
      <c r="A457" s="2"/>
      <c r="B457" s="2"/>
      <c r="C457" s="2"/>
      <c r="D457" s="4"/>
      <c r="E457" s="4"/>
      <c r="F457" s="4"/>
      <c r="G457" s="4"/>
      <c r="H457" s="4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  <c r="AA457" s="4"/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"/>
      <c r="AN457" s="4"/>
      <c r="AO457" s="4"/>
      <c r="AP457" s="4"/>
      <c r="AQ457" s="4"/>
      <c r="AR457" s="4"/>
      <c r="AS457" s="4"/>
      <c r="AT457" s="4"/>
      <c r="AU457" s="4"/>
      <c r="AV457" s="4"/>
      <c r="AW457" s="4"/>
      <c r="AX457" s="4"/>
      <c r="AY457" s="4"/>
      <c r="AZ457" s="4"/>
      <c r="BA457" s="4"/>
      <c r="BB457" s="4"/>
      <c r="BC457" s="4"/>
      <c r="BD457" s="4"/>
      <c r="BE457" s="4"/>
      <c r="BF457" s="4"/>
      <c r="BG457" s="4"/>
      <c r="BH457" s="4"/>
      <c r="BI457" s="4"/>
      <c r="BJ457" s="4"/>
      <c r="BK457" s="4"/>
      <c r="BL457" s="4"/>
      <c r="BM457" s="4"/>
      <c r="BN457" s="4"/>
      <c r="BO457" s="4"/>
      <c r="BP457" s="4"/>
      <c r="BQ457" s="4"/>
      <c r="BR457" s="4"/>
      <c r="BS457" s="4"/>
      <c r="BT457" s="4"/>
      <c r="BU457" s="4"/>
      <c r="BV457" s="4"/>
      <c r="BW457" s="4"/>
      <c r="BX457" s="4"/>
      <c r="BY457" s="4"/>
      <c r="BZ457" s="4"/>
      <c r="CA457" s="4"/>
      <c r="CB457" s="4"/>
      <c r="CC457" s="4"/>
      <c r="CD457" s="4"/>
      <c r="CE457" s="4"/>
      <c r="CF457" s="4"/>
      <c r="CG457" s="4"/>
      <c r="CH457" s="4"/>
      <c r="CI457" s="4"/>
      <c r="CJ457" s="4"/>
      <c r="CK457" s="4"/>
      <c r="CL457" s="4"/>
      <c r="CM457" s="4"/>
      <c r="CN457" s="4"/>
      <c r="CO457" s="4"/>
      <c r="CP457" s="4"/>
      <c r="CQ457" s="4"/>
      <c r="CR457" s="4"/>
      <c r="CS457" s="4"/>
      <c r="CT457" s="4"/>
      <c r="CU457" s="4"/>
      <c r="CV457" s="4"/>
      <c r="CW457" s="4"/>
      <c r="CX457" s="4"/>
      <c r="CY457" s="4"/>
      <c r="CZ457" s="4"/>
      <c r="DA457" s="4"/>
      <c r="DB457" s="4"/>
      <c r="DC457" s="4"/>
      <c r="DD457" s="4"/>
      <c r="DE457" s="4"/>
      <c r="DF457" s="4"/>
      <c r="DG457" s="4"/>
      <c r="DH457" s="4"/>
      <c r="DI457" s="4"/>
      <c r="DJ457" s="4"/>
      <c r="DK457" s="4"/>
      <c r="DL457" s="4"/>
      <c r="DM457" s="4"/>
      <c r="DN457" s="4"/>
      <c r="DO457" s="4"/>
      <c r="DP457" s="4"/>
      <c r="DQ457" s="4"/>
      <c r="DR457" s="4"/>
      <c r="DS457" s="4"/>
      <c r="DT457" s="4"/>
      <c r="DU457" s="4"/>
      <c r="DV457" s="4"/>
      <c r="DW457" s="4"/>
      <c r="DX457" s="4"/>
      <c r="DY457" s="4"/>
      <c r="DZ457" s="4"/>
      <c r="EA457" s="4"/>
      <c r="EB457" s="4"/>
      <c r="EC457" s="4"/>
      <c r="ED457" s="4"/>
      <c r="EE457" s="4"/>
      <c r="EF457" s="4"/>
      <c r="EG457" s="4"/>
      <c r="EH457" s="4"/>
      <c r="EI457" s="4"/>
      <c r="EJ457" s="4"/>
      <c r="EK457" s="4"/>
      <c r="EL457" s="4"/>
      <c r="EM457" s="4"/>
      <c r="EN457" s="4"/>
      <c r="EO457" s="4"/>
      <c r="EP457" s="4"/>
      <c r="EQ457" s="4"/>
      <c r="ER457" s="4"/>
      <c r="ES457" s="4"/>
      <c r="ET457" s="4"/>
      <c r="EU457" s="4"/>
      <c r="EV457" s="4"/>
      <c r="EW457" s="4"/>
      <c r="EX457" s="4"/>
      <c r="EY457" s="4"/>
      <c r="EZ457" s="4"/>
      <c r="FA457" s="4"/>
      <c r="FB457" s="4"/>
      <c r="FC457" s="4"/>
      <c r="FD457" s="4"/>
      <c r="FE457" s="4"/>
      <c r="FF457" s="4"/>
    </row>
    <row r="458" spans="1:162" x14ac:dyDescent="0.2">
      <c r="A458" s="2"/>
      <c r="B458" s="2"/>
      <c r="C458" s="2"/>
      <c r="D458" s="4"/>
      <c r="E458" s="4"/>
      <c r="F458" s="4"/>
      <c r="G458" s="4"/>
      <c r="H458" s="4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  <c r="AA458" s="4"/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"/>
      <c r="AN458" s="4"/>
      <c r="AO458" s="4"/>
      <c r="AP458" s="4"/>
      <c r="AQ458" s="4"/>
      <c r="AR458" s="4"/>
      <c r="AS458" s="4"/>
      <c r="AT458" s="4"/>
      <c r="AU458" s="4"/>
      <c r="AV458" s="4"/>
      <c r="AW458" s="4"/>
      <c r="AX458" s="4"/>
      <c r="AY458" s="4"/>
      <c r="AZ458" s="4"/>
      <c r="BA458" s="4"/>
      <c r="BB458" s="4"/>
      <c r="BC458" s="4"/>
      <c r="BD458" s="4"/>
      <c r="BE458" s="4"/>
      <c r="BF458" s="4"/>
      <c r="BG458" s="4"/>
      <c r="BH458" s="4"/>
      <c r="BI458" s="4"/>
      <c r="BJ458" s="4"/>
      <c r="BK458" s="4"/>
      <c r="BL458" s="4"/>
      <c r="BM458" s="4"/>
      <c r="BN458" s="4"/>
      <c r="BO458" s="4"/>
      <c r="BP458" s="4"/>
      <c r="BQ458" s="4"/>
      <c r="BR458" s="4"/>
      <c r="BS458" s="4"/>
      <c r="BT458" s="4"/>
      <c r="BU458" s="4"/>
      <c r="BV458" s="4"/>
      <c r="BW458" s="4"/>
      <c r="BX458" s="4"/>
      <c r="BY458" s="4"/>
      <c r="BZ458" s="4"/>
      <c r="CA458" s="4"/>
      <c r="CB458" s="4"/>
      <c r="CC458" s="4"/>
      <c r="CD458" s="4"/>
      <c r="CE458" s="4"/>
      <c r="CF458" s="4"/>
      <c r="CG458" s="4"/>
      <c r="CH458" s="4"/>
      <c r="CI458" s="4"/>
      <c r="CJ458" s="4"/>
      <c r="CK458" s="4"/>
      <c r="CL458" s="4"/>
      <c r="CM458" s="4"/>
      <c r="CN458" s="4"/>
      <c r="CO458" s="4"/>
      <c r="CP458" s="4"/>
      <c r="CQ458" s="4"/>
      <c r="CR458" s="4"/>
      <c r="CS458" s="4"/>
      <c r="CT458" s="4"/>
      <c r="CU458" s="4"/>
      <c r="CV458" s="4"/>
      <c r="CW458" s="4"/>
      <c r="CX458" s="4"/>
      <c r="CY458" s="4"/>
      <c r="CZ458" s="4"/>
      <c r="DA458" s="4"/>
      <c r="DB458" s="4"/>
      <c r="DC458" s="4"/>
      <c r="DD458" s="4"/>
      <c r="DE458" s="4"/>
      <c r="DF458" s="4"/>
      <c r="DG458" s="4"/>
      <c r="DH458" s="4"/>
      <c r="DI458" s="4"/>
      <c r="DJ458" s="4"/>
      <c r="DK458" s="4"/>
      <c r="DL458" s="4"/>
      <c r="DM458" s="4"/>
      <c r="DN458" s="4"/>
      <c r="DO458" s="4"/>
      <c r="DP458" s="4"/>
      <c r="DQ458" s="4"/>
      <c r="DR458" s="4"/>
      <c r="DS458" s="4"/>
      <c r="DT458" s="4"/>
      <c r="DU458" s="4"/>
      <c r="DV458" s="4"/>
      <c r="DW458" s="4"/>
      <c r="DX458" s="4"/>
      <c r="DY458" s="4"/>
      <c r="DZ458" s="4"/>
      <c r="EA458" s="4"/>
      <c r="EB458" s="4"/>
      <c r="EC458" s="4"/>
      <c r="ED458" s="4"/>
      <c r="EE458" s="4"/>
      <c r="EF458" s="4"/>
      <c r="EG458" s="4"/>
      <c r="EH458" s="4"/>
      <c r="EI458" s="4"/>
      <c r="EJ458" s="4"/>
      <c r="EK458" s="4"/>
      <c r="EL458" s="4"/>
      <c r="EM458" s="4"/>
      <c r="EN458" s="4"/>
      <c r="EO458" s="4"/>
      <c r="EP458" s="4"/>
      <c r="EQ458" s="4"/>
      <c r="ER458" s="4"/>
      <c r="ES458" s="4"/>
      <c r="ET458" s="4"/>
      <c r="EU458" s="4"/>
      <c r="EV458" s="4"/>
      <c r="EW458" s="4"/>
      <c r="EX458" s="4"/>
      <c r="EY458" s="4"/>
      <c r="EZ458" s="4"/>
      <c r="FA458" s="4"/>
      <c r="FB458" s="4"/>
      <c r="FC458" s="4"/>
      <c r="FD458" s="4"/>
      <c r="FE458" s="4"/>
      <c r="FF458" s="4"/>
    </row>
    <row r="459" spans="1:162" x14ac:dyDescent="0.2">
      <c r="A459" s="2"/>
      <c r="B459" s="2"/>
      <c r="C459" s="2"/>
      <c r="D459" s="4"/>
      <c r="E459" s="4"/>
      <c r="F459" s="4"/>
      <c r="G459" s="4"/>
      <c r="H459" s="4"/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  <c r="AA459" s="4"/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"/>
      <c r="AN459" s="4"/>
      <c r="AO459" s="4"/>
      <c r="AP459" s="4"/>
      <c r="AQ459" s="4"/>
      <c r="AR459" s="4"/>
      <c r="AS459" s="4"/>
      <c r="AT459" s="4"/>
      <c r="AU459" s="4"/>
      <c r="AV459" s="4"/>
      <c r="AW459" s="4"/>
      <c r="AX459" s="4"/>
      <c r="AY459" s="4"/>
      <c r="AZ459" s="4"/>
      <c r="BA459" s="4"/>
      <c r="BB459" s="4"/>
      <c r="BC459" s="4"/>
      <c r="BD459" s="4"/>
      <c r="BE459" s="4"/>
      <c r="BF459" s="4"/>
      <c r="BG459" s="4"/>
      <c r="BH459" s="4"/>
      <c r="BI459" s="4"/>
      <c r="BJ459" s="4"/>
      <c r="BK459" s="4"/>
      <c r="BL459" s="4"/>
      <c r="BM459" s="4"/>
      <c r="BN459" s="4"/>
      <c r="BO459" s="4"/>
      <c r="BP459" s="4"/>
      <c r="BQ459" s="4"/>
      <c r="BR459" s="4"/>
      <c r="BS459" s="4"/>
      <c r="BT459" s="4"/>
      <c r="BU459" s="4"/>
      <c r="BV459" s="4"/>
      <c r="BW459" s="4"/>
      <c r="BX459" s="4"/>
      <c r="BY459" s="4"/>
      <c r="BZ459" s="4"/>
      <c r="CA459" s="4"/>
      <c r="CB459" s="4"/>
      <c r="CC459" s="4"/>
      <c r="CD459" s="4"/>
      <c r="CE459" s="4"/>
      <c r="CF459" s="4"/>
      <c r="CG459" s="4"/>
      <c r="CH459" s="4"/>
      <c r="CI459" s="4"/>
      <c r="CJ459" s="4"/>
      <c r="CK459" s="4"/>
      <c r="CL459" s="4"/>
      <c r="CM459" s="4"/>
      <c r="CN459" s="4"/>
      <c r="CO459" s="4"/>
      <c r="CP459" s="4"/>
      <c r="CQ459" s="4"/>
      <c r="CR459" s="4"/>
      <c r="CS459" s="4"/>
      <c r="CT459" s="4"/>
      <c r="CU459" s="4"/>
      <c r="CV459" s="4"/>
      <c r="CW459" s="4"/>
      <c r="CX459" s="4"/>
      <c r="CY459" s="4"/>
      <c r="CZ459" s="4"/>
      <c r="DA459" s="4"/>
      <c r="DB459" s="4"/>
      <c r="DC459" s="4"/>
      <c r="DD459" s="4"/>
      <c r="DE459" s="4"/>
      <c r="DF459" s="4"/>
      <c r="DG459" s="4"/>
      <c r="DH459" s="4"/>
      <c r="DI459" s="4"/>
      <c r="DJ459" s="4"/>
      <c r="DK459" s="4"/>
      <c r="DL459" s="4"/>
      <c r="DM459" s="4"/>
      <c r="DN459" s="4"/>
      <c r="DO459" s="4"/>
      <c r="DP459" s="4"/>
      <c r="DQ459" s="4"/>
      <c r="DR459" s="4"/>
      <c r="DS459" s="4"/>
      <c r="DT459" s="4"/>
      <c r="DU459" s="4"/>
      <c r="DV459" s="4"/>
      <c r="DW459" s="4"/>
      <c r="DX459" s="4"/>
      <c r="DY459" s="4"/>
      <c r="DZ459" s="4"/>
      <c r="EA459" s="4"/>
      <c r="EB459" s="4"/>
      <c r="EC459" s="4"/>
      <c r="ED459" s="4"/>
      <c r="EE459" s="4"/>
      <c r="EF459" s="4"/>
      <c r="EG459" s="4"/>
      <c r="EH459" s="4"/>
      <c r="EI459" s="4"/>
      <c r="EJ459" s="4"/>
      <c r="EK459" s="4"/>
      <c r="EL459" s="4"/>
      <c r="EM459" s="4"/>
      <c r="EN459" s="4"/>
      <c r="EO459" s="4"/>
      <c r="EP459" s="4"/>
      <c r="EQ459" s="4"/>
      <c r="ER459" s="4"/>
      <c r="ES459" s="4"/>
      <c r="ET459" s="4"/>
      <c r="EU459" s="4"/>
      <c r="EV459" s="4"/>
      <c r="EW459" s="4"/>
      <c r="EX459" s="4"/>
      <c r="EY459" s="4"/>
      <c r="EZ459" s="4"/>
      <c r="FA459" s="4"/>
      <c r="FB459" s="4"/>
      <c r="FC459" s="4"/>
      <c r="FD459" s="4"/>
      <c r="FE459" s="4"/>
      <c r="FF459" s="4"/>
    </row>
    <row r="460" spans="1:162" x14ac:dyDescent="0.2">
      <c r="A460" s="2"/>
      <c r="B460" s="2"/>
      <c r="C460" s="2"/>
      <c r="D460" s="4"/>
      <c r="E460" s="4"/>
      <c r="F460" s="4"/>
      <c r="G460" s="4"/>
      <c r="H460" s="4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"/>
      <c r="AN460" s="4"/>
      <c r="AO460" s="4"/>
      <c r="AP460" s="4"/>
      <c r="AQ460" s="4"/>
      <c r="AR460" s="4"/>
      <c r="AS460" s="4"/>
      <c r="AT460" s="4"/>
      <c r="AU460" s="4"/>
      <c r="AV460" s="4"/>
      <c r="AW460" s="4"/>
      <c r="AX460" s="4"/>
      <c r="AY460" s="4"/>
      <c r="AZ460" s="4"/>
      <c r="BA460" s="4"/>
      <c r="BB460" s="4"/>
      <c r="BC460" s="4"/>
      <c r="BD460" s="4"/>
      <c r="BE460" s="4"/>
      <c r="BF460" s="4"/>
      <c r="BG460" s="4"/>
      <c r="BH460" s="4"/>
      <c r="BI460" s="4"/>
      <c r="BJ460" s="4"/>
      <c r="BK460" s="4"/>
      <c r="BL460" s="4"/>
      <c r="BM460" s="4"/>
      <c r="BN460" s="4"/>
      <c r="BO460" s="4"/>
      <c r="BP460" s="4"/>
      <c r="BQ460" s="4"/>
      <c r="BR460" s="4"/>
      <c r="BS460" s="4"/>
      <c r="BT460" s="4"/>
      <c r="BU460" s="4"/>
      <c r="BV460" s="4"/>
      <c r="BW460" s="4"/>
      <c r="BX460" s="4"/>
      <c r="BY460" s="4"/>
      <c r="BZ460" s="4"/>
      <c r="CA460" s="4"/>
      <c r="CB460" s="4"/>
      <c r="CC460" s="4"/>
      <c r="CD460" s="4"/>
      <c r="CE460" s="4"/>
      <c r="CF460" s="4"/>
      <c r="CG460" s="4"/>
      <c r="CH460" s="4"/>
      <c r="CI460" s="4"/>
      <c r="CJ460" s="4"/>
      <c r="CK460" s="4"/>
      <c r="CL460" s="4"/>
      <c r="CM460" s="4"/>
      <c r="CN460" s="4"/>
      <c r="CO460" s="4"/>
      <c r="CP460" s="4"/>
      <c r="CQ460" s="4"/>
      <c r="CR460" s="4"/>
      <c r="CS460" s="4"/>
      <c r="CT460" s="4"/>
      <c r="CU460" s="4"/>
      <c r="CV460" s="4"/>
      <c r="CW460" s="4"/>
      <c r="CX460" s="4"/>
      <c r="CY460" s="4"/>
      <c r="CZ460" s="4"/>
      <c r="DA460" s="4"/>
      <c r="DB460" s="4"/>
      <c r="DC460" s="4"/>
      <c r="DD460" s="4"/>
      <c r="DE460" s="4"/>
      <c r="DF460" s="4"/>
      <c r="DG460" s="4"/>
      <c r="DH460" s="4"/>
      <c r="DI460" s="4"/>
      <c r="DJ460" s="4"/>
      <c r="DK460" s="4"/>
      <c r="DL460" s="4"/>
      <c r="DM460" s="4"/>
      <c r="DN460" s="4"/>
      <c r="DO460" s="4"/>
      <c r="DP460" s="4"/>
      <c r="DQ460" s="4"/>
      <c r="DR460" s="4"/>
      <c r="DS460" s="4"/>
      <c r="DT460" s="4"/>
      <c r="DU460" s="4"/>
      <c r="DV460" s="4"/>
      <c r="DW460" s="4"/>
      <c r="DX460" s="4"/>
      <c r="DY460" s="4"/>
      <c r="DZ460" s="4"/>
      <c r="EA460" s="4"/>
      <c r="EB460" s="4"/>
      <c r="EC460" s="4"/>
      <c r="ED460" s="4"/>
      <c r="EE460" s="4"/>
      <c r="EF460" s="4"/>
      <c r="EG460" s="4"/>
      <c r="EH460" s="4"/>
      <c r="EI460" s="4"/>
      <c r="EJ460" s="4"/>
      <c r="EK460" s="4"/>
      <c r="EL460" s="4"/>
      <c r="EM460" s="4"/>
      <c r="EN460" s="4"/>
      <c r="EO460" s="4"/>
      <c r="EP460" s="4"/>
      <c r="EQ460" s="4"/>
      <c r="ER460" s="4"/>
      <c r="ES460" s="4"/>
      <c r="ET460" s="4"/>
      <c r="EU460" s="4"/>
      <c r="EV460" s="4"/>
      <c r="EW460" s="4"/>
      <c r="EX460" s="4"/>
      <c r="EY460" s="4"/>
      <c r="EZ460" s="4"/>
      <c r="FA460" s="4"/>
      <c r="FB460" s="4"/>
      <c r="FC460" s="4"/>
      <c r="FD460" s="4"/>
      <c r="FE460" s="4"/>
      <c r="FF460" s="4"/>
    </row>
    <row r="461" spans="1:162" x14ac:dyDescent="0.2">
      <c r="A461" s="2"/>
      <c r="B461" s="2"/>
      <c r="C461" s="2"/>
      <c r="D461" s="4"/>
      <c r="E461" s="4"/>
      <c r="F461" s="4"/>
      <c r="G461" s="4"/>
      <c r="H461" s="4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"/>
      <c r="AN461" s="4"/>
      <c r="AO461" s="4"/>
      <c r="AP461" s="4"/>
      <c r="AQ461" s="4"/>
      <c r="AR461" s="4"/>
      <c r="AS461" s="4"/>
      <c r="AT461" s="4"/>
      <c r="AU461" s="4"/>
      <c r="AV461" s="4"/>
      <c r="AW461" s="4"/>
      <c r="AX461" s="4"/>
      <c r="AY461" s="4"/>
      <c r="AZ461" s="4"/>
      <c r="BA461" s="4"/>
      <c r="BB461" s="4"/>
      <c r="BC461" s="4"/>
      <c r="BD461" s="4"/>
      <c r="BE461" s="4"/>
      <c r="BF461" s="4"/>
      <c r="BG461" s="4"/>
      <c r="BH461" s="4"/>
      <c r="BI461" s="4"/>
      <c r="BJ461" s="4"/>
      <c r="BK461" s="4"/>
      <c r="BL461" s="4"/>
      <c r="BM461" s="4"/>
      <c r="BN461" s="4"/>
      <c r="BO461" s="4"/>
      <c r="BP461" s="4"/>
      <c r="BQ461" s="4"/>
      <c r="BR461" s="4"/>
      <c r="BS461" s="4"/>
      <c r="BT461" s="4"/>
      <c r="BU461" s="4"/>
      <c r="BV461" s="4"/>
      <c r="BW461" s="4"/>
      <c r="BX461" s="4"/>
      <c r="BY461" s="4"/>
      <c r="BZ461" s="4"/>
      <c r="CA461" s="4"/>
      <c r="CB461" s="4"/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/>
      <c r="CP461" s="4"/>
      <c r="CQ461" s="4"/>
      <c r="CR461" s="4"/>
      <c r="CS461" s="4"/>
      <c r="CT461" s="4"/>
      <c r="CU461" s="4"/>
      <c r="CV461" s="4"/>
      <c r="CW461" s="4"/>
      <c r="CX461" s="4"/>
      <c r="CY461" s="4"/>
      <c r="CZ461" s="4"/>
      <c r="DA461" s="4"/>
      <c r="DB461" s="4"/>
      <c r="DC461" s="4"/>
      <c r="DD461" s="4"/>
      <c r="DE461" s="4"/>
      <c r="DF461" s="4"/>
      <c r="DG461" s="4"/>
      <c r="DH461" s="4"/>
      <c r="DI461" s="4"/>
      <c r="DJ461" s="4"/>
      <c r="DK461" s="4"/>
      <c r="DL461" s="4"/>
      <c r="DM461" s="4"/>
      <c r="DN461" s="4"/>
      <c r="DO461" s="4"/>
      <c r="DP461" s="4"/>
      <c r="DQ461" s="4"/>
      <c r="DR461" s="4"/>
      <c r="DS461" s="4"/>
      <c r="DT461" s="4"/>
      <c r="DU461" s="4"/>
      <c r="DV461" s="4"/>
      <c r="DW461" s="4"/>
      <c r="DX461" s="4"/>
      <c r="DY461" s="4"/>
      <c r="DZ461" s="4"/>
      <c r="EA461" s="4"/>
      <c r="EB461" s="4"/>
      <c r="EC461" s="4"/>
      <c r="ED461" s="4"/>
      <c r="EE461" s="4"/>
      <c r="EF461" s="4"/>
      <c r="EG461" s="4"/>
      <c r="EH461" s="4"/>
      <c r="EI461" s="4"/>
      <c r="EJ461" s="4"/>
      <c r="EK461" s="4"/>
      <c r="EL461" s="4"/>
      <c r="EM461" s="4"/>
      <c r="EN461" s="4"/>
      <c r="EO461" s="4"/>
      <c r="EP461" s="4"/>
      <c r="EQ461" s="4"/>
      <c r="ER461" s="4"/>
      <c r="ES461" s="4"/>
      <c r="ET461" s="4"/>
      <c r="EU461" s="4"/>
      <c r="EV461" s="4"/>
      <c r="EW461" s="4"/>
      <c r="EX461" s="4"/>
      <c r="EY461" s="4"/>
      <c r="EZ461" s="4"/>
      <c r="FA461" s="4"/>
      <c r="FB461" s="4"/>
      <c r="FC461" s="4"/>
      <c r="FD461" s="4"/>
      <c r="FE461" s="4"/>
      <c r="FF461" s="4"/>
    </row>
    <row r="462" spans="1:162" x14ac:dyDescent="0.2">
      <c r="A462" s="2"/>
      <c r="B462" s="2"/>
      <c r="C462" s="2"/>
      <c r="D462" s="4"/>
      <c r="E462" s="4"/>
      <c r="F462" s="4"/>
      <c r="G462" s="4"/>
      <c r="H462" s="4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"/>
      <c r="AN462" s="4"/>
      <c r="AO462" s="4"/>
      <c r="AP462" s="4"/>
      <c r="AQ462" s="4"/>
      <c r="AR462" s="4"/>
      <c r="AS462" s="4"/>
      <c r="AT462" s="4"/>
      <c r="AU462" s="4"/>
      <c r="AV462" s="4"/>
      <c r="AW462" s="4"/>
      <c r="AX462" s="4"/>
      <c r="AY462" s="4"/>
      <c r="AZ462" s="4"/>
      <c r="BA462" s="4"/>
      <c r="BB462" s="4"/>
      <c r="BC462" s="4"/>
      <c r="BD462" s="4"/>
      <c r="BE462" s="4"/>
      <c r="BF462" s="4"/>
      <c r="BG462" s="4"/>
      <c r="BH462" s="4"/>
      <c r="BI462" s="4"/>
      <c r="BJ462" s="4"/>
      <c r="BK462" s="4"/>
      <c r="BL462" s="4"/>
      <c r="BM462" s="4"/>
      <c r="BN462" s="4"/>
      <c r="BO462" s="4"/>
      <c r="BP462" s="4"/>
      <c r="BQ462" s="4"/>
      <c r="BR462" s="4"/>
      <c r="BS462" s="4"/>
      <c r="BT462" s="4"/>
      <c r="BU462" s="4"/>
      <c r="BV462" s="4"/>
      <c r="BW462" s="4"/>
      <c r="BX462" s="4"/>
      <c r="BY462" s="4"/>
      <c r="BZ462" s="4"/>
      <c r="CA462" s="4"/>
      <c r="CB462" s="4"/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/>
      <c r="CN462" s="4"/>
      <c r="CO462" s="4"/>
      <c r="CP462" s="4"/>
      <c r="CQ462" s="4"/>
      <c r="CR462" s="4"/>
      <c r="CS462" s="4"/>
      <c r="CT462" s="4"/>
      <c r="CU462" s="4"/>
      <c r="CV462" s="4"/>
      <c r="CW462" s="4"/>
      <c r="CX462" s="4"/>
      <c r="CY462" s="4"/>
      <c r="CZ462" s="4"/>
      <c r="DA462" s="4"/>
      <c r="DB462" s="4"/>
      <c r="DC462" s="4"/>
      <c r="DD462" s="4"/>
      <c r="DE462" s="4"/>
      <c r="DF462" s="4"/>
      <c r="DG462" s="4"/>
      <c r="DH462" s="4"/>
      <c r="DI462" s="4"/>
      <c r="DJ462" s="4"/>
      <c r="DK462" s="4"/>
      <c r="DL462" s="4"/>
      <c r="DM462" s="4"/>
      <c r="DN462" s="4"/>
      <c r="DO462" s="4"/>
      <c r="DP462" s="4"/>
      <c r="DQ462" s="4"/>
      <c r="DR462" s="4"/>
      <c r="DS462" s="4"/>
      <c r="DT462" s="4"/>
      <c r="DU462" s="4"/>
      <c r="DV462" s="4"/>
      <c r="DW462" s="4"/>
      <c r="DX462" s="4"/>
      <c r="DY462" s="4"/>
      <c r="DZ462" s="4"/>
      <c r="EA462" s="4"/>
      <c r="EB462" s="4"/>
      <c r="EC462" s="4"/>
      <c r="ED462" s="4"/>
      <c r="EE462" s="4"/>
      <c r="EF462" s="4"/>
      <c r="EG462" s="4"/>
      <c r="EH462" s="4"/>
      <c r="EI462" s="4"/>
      <c r="EJ462" s="4"/>
      <c r="EK462" s="4"/>
      <c r="EL462" s="4"/>
      <c r="EM462" s="4"/>
      <c r="EN462" s="4"/>
      <c r="EO462" s="4"/>
      <c r="EP462" s="4"/>
      <c r="EQ462" s="4"/>
      <c r="ER462" s="4"/>
      <c r="ES462" s="4"/>
      <c r="ET462" s="4"/>
      <c r="EU462" s="4"/>
      <c r="EV462" s="4"/>
      <c r="EW462" s="4"/>
      <c r="EX462" s="4"/>
      <c r="EY462" s="4"/>
      <c r="EZ462" s="4"/>
      <c r="FA462" s="4"/>
      <c r="FB462" s="4"/>
      <c r="FC462" s="4"/>
      <c r="FD462" s="4"/>
      <c r="FE462" s="4"/>
      <c r="FF462" s="4"/>
    </row>
    <row r="463" spans="1:162" x14ac:dyDescent="0.2">
      <c r="A463" s="2"/>
      <c r="B463" s="2"/>
      <c r="C463" s="2"/>
      <c r="D463" s="4"/>
      <c r="E463" s="4"/>
      <c r="F463" s="4"/>
      <c r="G463" s="4"/>
      <c r="H463" s="4"/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  <c r="AA463" s="4"/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"/>
      <c r="AN463" s="4"/>
      <c r="AO463" s="4"/>
      <c r="AP463" s="4"/>
      <c r="AQ463" s="4"/>
      <c r="AR463" s="4"/>
      <c r="AS463" s="4"/>
      <c r="AT463" s="4"/>
      <c r="AU463" s="4"/>
      <c r="AV463" s="4"/>
      <c r="AW463" s="4"/>
      <c r="AX463" s="4"/>
      <c r="AY463" s="4"/>
      <c r="AZ463" s="4"/>
      <c r="BA463" s="4"/>
      <c r="BB463" s="4"/>
      <c r="BC463" s="4"/>
      <c r="BD463" s="4"/>
      <c r="BE463" s="4"/>
      <c r="BF463" s="4"/>
      <c r="BG463" s="4"/>
      <c r="BH463" s="4"/>
      <c r="BI463" s="4"/>
      <c r="BJ463" s="4"/>
      <c r="BK463" s="4"/>
      <c r="BL463" s="4"/>
      <c r="BM463" s="4"/>
      <c r="BN463" s="4"/>
      <c r="BO463" s="4"/>
      <c r="BP463" s="4"/>
      <c r="BQ463" s="4"/>
      <c r="BR463" s="4"/>
      <c r="BS463" s="4"/>
      <c r="BT463" s="4"/>
      <c r="BU463" s="4"/>
      <c r="BV463" s="4"/>
      <c r="BW463" s="4"/>
      <c r="BX463" s="4"/>
      <c r="BY463" s="4"/>
      <c r="BZ463" s="4"/>
      <c r="CA463" s="4"/>
      <c r="CB463" s="4"/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  <c r="CQ463" s="4"/>
      <c r="CR463" s="4"/>
      <c r="CS463" s="4"/>
      <c r="CT463" s="4"/>
      <c r="CU463" s="4"/>
      <c r="CV463" s="4"/>
      <c r="CW463" s="4"/>
      <c r="CX463" s="4"/>
      <c r="CY463" s="4"/>
      <c r="CZ463" s="4"/>
      <c r="DA463" s="4"/>
      <c r="DB463" s="4"/>
      <c r="DC463" s="4"/>
      <c r="DD463" s="4"/>
      <c r="DE463" s="4"/>
      <c r="DF463" s="4"/>
      <c r="DG463" s="4"/>
      <c r="DH463" s="4"/>
      <c r="DI463" s="4"/>
      <c r="DJ463" s="4"/>
      <c r="DK463" s="4"/>
      <c r="DL463" s="4"/>
      <c r="DM463" s="4"/>
      <c r="DN463" s="4"/>
      <c r="DO463" s="4"/>
      <c r="DP463" s="4"/>
      <c r="DQ463" s="4"/>
      <c r="DR463" s="4"/>
      <c r="DS463" s="4"/>
      <c r="DT463" s="4"/>
      <c r="DU463" s="4"/>
      <c r="DV463" s="4"/>
      <c r="DW463" s="4"/>
      <c r="DX463" s="4"/>
      <c r="DY463" s="4"/>
      <c r="DZ463" s="4"/>
      <c r="EA463" s="4"/>
      <c r="EB463" s="4"/>
      <c r="EC463" s="4"/>
      <c r="ED463" s="4"/>
      <c r="EE463" s="4"/>
      <c r="EF463" s="4"/>
      <c r="EG463" s="4"/>
      <c r="EH463" s="4"/>
      <c r="EI463" s="4"/>
      <c r="EJ463" s="4"/>
      <c r="EK463" s="4"/>
      <c r="EL463" s="4"/>
      <c r="EM463" s="4"/>
      <c r="EN463" s="4"/>
      <c r="EO463" s="4"/>
      <c r="EP463" s="4"/>
      <c r="EQ463" s="4"/>
      <c r="ER463" s="4"/>
      <c r="ES463" s="4"/>
      <c r="ET463" s="4"/>
      <c r="EU463" s="4"/>
      <c r="EV463" s="4"/>
      <c r="EW463" s="4"/>
      <c r="EX463" s="4"/>
      <c r="EY463" s="4"/>
      <c r="EZ463" s="4"/>
      <c r="FA463" s="4"/>
      <c r="FB463" s="4"/>
      <c r="FC463" s="4"/>
      <c r="FD463" s="4"/>
      <c r="FE463" s="4"/>
      <c r="FF463" s="4"/>
    </row>
    <row r="464" spans="1:162" x14ac:dyDescent="0.2">
      <c r="A464" s="2"/>
      <c r="B464" s="2"/>
      <c r="C464" s="2"/>
      <c r="D464" s="4"/>
      <c r="E464" s="4"/>
      <c r="F464" s="4"/>
      <c r="G464" s="4"/>
      <c r="H464" s="4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"/>
      <c r="AN464" s="4"/>
      <c r="AO464" s="4"/>
      <c r="AP464" s="4"/>
      <c r="AQ464" s="4"/>
      <c r="AR464" s="4"/>
      <c r="AS464" s="4"/>
      <c r="AT464" s="4"/>
      <c r="AU464" s="4"/>
      <c r="AV464" s="4"/>
      <c r="AW464" s="4"/>
      <c r="AX464" s="4"/>
      <c r="AY464" s="4"/>
      <c r="AZ464" s="4"/>
      <c r="BA464" s="4"/>
      <c r="BB464" s="4"/>
      <c r="BC464" s="4"/>
      <c r="BD464" s="4"/>
      <c r="BE464" s="4"/>
      <c r="BF464" s="4"/>
      <c r="BG464" s="4"/>
      <c r="BH464" s="4"/>
      <c r="BI464" s="4"/>
      <c r="BJ464" s="4"/>
      <c r="BK464" s="4"/>
      <c r="BL464" s="4"/>
      <c r="BM464" s="4"/>
      <c r="BN464" s="4"/>
      <c r="BO464" s="4"/>
      <c r="BP464" s="4"/>
      <c r="BQ464" s="4"/>
      <c r="BR464" s="4"/>
      <c r="BS464" s="4"/>
      <c r="BT464" s="4"/>
      <c r="BU464" s="4"/>
      <c r="BV464" s="4"/>
      <c r="BW464" s="4"/>
      <c r="BX464" s="4"/>
      <c r="BY464" s="4"/>
      <c r="BZ464" s="4"/>
      <c r="CA464" s="4"/>
      <c r="CB464" s="4"/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  <c r="CQ464" s="4"/>
      <c r="CR464" s="4"/>
      <c r="CS464" s="4"/>
      <c r="CT464" s="4"/>
      <c r="CU464" s="4"/>
      <c r="CV464" s="4"/>
      <c r="CW464" s="4"/>
      <c r="CX464" s="4"/>
      <c r="CY464" s="4"/>
      <c r="CZ464" s="4"/>
      <c r="DA464" s="4"/>
      <c r="DB464" s="4"/>
      <c r="DC464" s="4"/>
      <c r="DD464" s="4"/>
      <c r="DE464" s="4"/>
      <c r="DF464" s="4"/>
      <c r="DG464" s="4"/>
      <c r="DH464" s="4"/>
      <c r="DI464" s="4"/>
      <c r="DJ464" s="4"/>
      <c r="DK464" s="4"/>
      <c r="DL464" s="4"/>
      <c r="DM464" s="4"/>
      <c r="DN464" s="4"/>
      <c r="DO464" s="4"/>
      <c r="DP464" s="4"/>
      <c r="DQ464" s="4"/>
      <c r="DR464" s="4"/>
      <c r="DS464" s="4"/>
      <c r="DT464" s="4"/>
      <c r="DU464" s="4"/>
      <c r="DV464" s="4"/>
      <c r="DW464" s="4"/>
      <c r="DX464" s="4"/>
      <c r="DY464" s="4"/>
      <c r="DZ464" s="4"/>
      <c r="EA464" s="4"/>
      <c r="EB464" s="4"/>
      <c r="EC464" s="4"/>
      <c r="ED464" s="4"/>
      <c r="EE464" s="4"/>
      <c r="EF464" s="4"/>
      <c r="EG464" s="4"/>
      <c r="EH464" s="4"/>
      <c r="EI464" s="4"/>
      <c r="EJ464" s="4"/>
      <c r="EK464" s="4"/>
      <c r="EL464" s="4"/>
      <c r="EM464" s="4"/>
      <c r="EN464" s="4"/>
      <c r="EO464" s="4"/>
      <c r="EP464" s="4"/>
      <c r="EQ464" s="4"/>
      <c r="ER464" s="4"/>
      <c r="ES464" s="4"/>
      <c r="ET464" s="4"/>
      <c r="EU464" s="4"/>
      <c r="EV464" s="4"/>
      <c r="EW464" s="4"/>
      <c r="EX464" s="4"/>
      <c r="EY464" s="4"/>
      <c r="EZ464" s="4"/>
      <c r="FA464" s="4"/>
      <c r="FB464" s="4"/>
      <c r="FC464" s="4"/>
      <c r="FD464" s="4"/>
      <c r="FE464" s="4"/>
      <c r="FF464" s="4"/>
    </row>
    <row r="465" spans="1:162" x14ac:dyDescent="0.2">
      <c r="A465" s="2"/>
      <c r="B465" s="2"/>
      <c r="C465" s="2"/>
      <c r="D465" s="4"/>
      <c r="E465" s="4"/>
      <c r="F465" s="4"/>
      <c r="G465" s="4"/>
      <c r="H465" s="4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"/>
      <c r="AN465" s="4"/>
      <c r="AO465" s="4"/>
      <c r="AP465" s="4"/>
      <c r="AQ465" s="4"/>
      <c r="AR465" s="4"/>
      <c r="AS465" s="4"/>
      <c r="AT465" s="4"/>
      <c r="AU465" s="4"/>
      <c r="AV465" s="4"/>
      <c r="AW465" s="4"/>
      <c r="AX465" s="4"/>
      <c r="AY465" s="4"/>
      <c r="AZ465" s="4"/>
      <c r="BA465" s="4"/>
      <c r="BB465" s="4"/>
      <c r="BC465" s="4"/>
      <c r="BD465" s="4"/>
      <c r="BE465" s="4"/>
      <c r="BF465" s="4"/>
      <c r="BG465" s="4"/>
      <c r="BH465" s="4"/>
      <c r="BI465" s="4"/>
      <c r="BJ465" s="4"/>
      <c r="BK465" s="4"/>
      <c r="BL465" s="4"/>
      <c r="BM465" s="4"/>
      <c r="BN465" s="4"/>
      <c r="BO465" s="4"/>
      <c r="BP465" s="4"/>
      <c r="BQ465" s="4"/>
      <c r="BR465" s="4"/>
      <c r="BS465" s="4"/>
      <c r="BT465" s="4"/>
      <c r="BU465" s="4"/>
      <c r="BV465" s="4"/>
      <c r="BW465" s="4"/>
      <c r="BX465" s="4"/>
      <c r="BY465" s="4"/>
      <c r="BZ465" s="4"/>
      <c r="CA465" s="4"/>
      <c r="CB465" s="4"/>
      <c r="CC465" s="4"/>
      <c r="CD465" s="4"/>
      <c r="CE465" s="4"/>
      <c r="CF465" s="4"/>
      <c r="CG465" s="4"/>
      <c r="CH465" s="4"/>
      <c r="CI465" s="4"/>
      <c r="CJ465" s="4"/>
      <c r="CK465" s="4"/>
      <c r="CL465" s="4"/>
      <c r="CM465" s="4"/>
      <c r="CN465" s="4"/>
      <c r="CO465" s="4"/>
      <c r="CP465" s="4"/>
      <c r="CQ465" s="4"/>
      <c r="CR465" s="4"/>
      <c r="CS465" s="4"/>
      <c r="CT465" s="4"/>
      <c r="CU465" s="4"/>
      <c r="CV465" s="4"/>
      <c r="CW465" s="4"/>
      <c r="CX465" s="4"/>
      <c r="CY465" s="4"/>
      <c r="CZ465" s="4"/>
      <c r="DA465" s="4"/>
      <c r="DB465" s="4"/>
      <c r="DC465" s="4"/>
      <c r="DD465" s="4"/>
      <c r="DE465" s="4"/>
      <c r="DF465" s="4"/>
      <c r="DG465" s="4"/>
      <c r="DH465" s="4"/>
      <c r="DI465" s="4"/>
      <c r="DJ465" s="4"/>
      <c r="DK465" s="4"/>
      <c r="DL465" s="4"/>
      <c r="DM465" s="4"/>
      <c r="DN465" s="4"/>
      <c r="DO465" s="4"/>
      <c r="DP465" s="4"/>
      <c r="DQ465" s="4"/>
      <c r="DR465" s="4"/>
      <c r="DS465" s="4"/>
      <c r="DT465" s="4"/>
      <c r="DU465" s="4"/>
      <c r="DV465" s="4"/>
      <c r="DW465" s="4"/>
      <c r="DX465" s="4"/>
      <c r="DY465" s="4"/>
      <c r="DZ465" s="4"/>
      <c r="EA465" s="4"/>
      <c r="EB465" s="4"/>
      <c r="EC465" s="4"/>
      <c r="ED465" s="4"/>
      <c r="EE465" s="4"/>
      <c r="EF465" s="4"/>
      <c r="EG465" s="4"/>
      <c r="EH465" s="4"/>
      <c r="EI465" s="4"/>
      <c r="EJ465" s="4"/>
      <c r="EK465" s="4"/>
      <c r="EL465" s="4"/>
      <c r="EM465" s="4"/>
      <c r="EN465" s="4"/>
      <c r="EO465" s="4"/>
      <c r="EP465" s="4"/>
      <c r="EQ465" s="4"/>
      <c r="ER465" s="4"/>
      <c r="ES465" s="4"/>
      <c r="ET465" s="4"/>
      <c r="EU465" s="4"/>
      <c r="EV465" s="4"/>
      <c r="EW465" s="4"/>
      <c r="EX465" s="4"/>
      <c r="EY465" s="4"/>
      <c r="EZ465" s="4"/>
      <c r="FA465" s="4"/>
      <c r="FB465" s="4"/>
      <c r="FC465" s="4"/>
      <c r="FD465" s="4"/>
      <c r="FE465" s="4"/>
      <c r="FF465" s="4"/>
    </row>
    <row r="466" spans="1:162" x14ac:dyDescent="0.2">
      <c r="A466" s="2"/>
      <c r="B466" s="2"/>
      <c r="C466" s="2"/>
      <c r="D466" s="4"/>
      <c r="E466" s="4"/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4"/>
      <c r="AM466" s="4"/>
      <c r="AN466" s="4"/>
      <c r="AO466" s="4"/>
      <c r="AP466" s="4"/>
      <c r="AQ466" s="4"/>
      <c r="AR466" s="4"/>
      <c r="AS466" s="4"/>
      <c r="AT466" s="4"/>
      <c r="AU466" s="4"/>
      <c r="AV466" s="4"/>
      <c r="AW466" s="4"/>
      <c r="AX466" s="4"/>
      <c r="AY466" s="4"/>
      <c r="AZ466" s="4"/>
      <c r="BA466" s="4"/>
      <c r="BB466" s="4"/>
      <c r="BC466" s="4"/>
      <c r="BD466" s="4"/>
      <c r="BE466" s="4"/>
      <c r="BF466" s="4"/>
      <c r="BG466" s="4"/>
      <c r="BH466" s="4"/>
      <c r="BI466" s="4"/>
      <c r="BJ466" s="4"/>
      <c r="BK466" s="4"/>
      <c r="BL466" s="4"/>
      <c r="BM466" s="4"/>
      <c r="BN466" s="4"/>
      <c r="BO466" s="4"/>
      <c r="BP466" s="4"/>
      <c r="BQ466" s="4"/>
      <c r="BR466" s="4"/>
      <c r="BS466" s="4"/>
      <c r="BT466" s="4"/>
      <c r="BU466" s="4"/>
      <c r="BV466" s="4"/>
      <c r="BW466" s="4"/>
      <c r="BX466" s="4"/>
      <c r="BY466" s="4"/>
      <c r="BZ466" s="4"/>
      <c r="CA466" s="4"/>
      <c r="CB466" s="4"/>
      <c r="CC466" s="4"/>
      <c r="CD466" s="4"/>
      <c r="CE466" s="4"/>
      <c r="CF466" s="4"/>
      <c r="CG466" s="4"/>
      <c r="CH466" s="4"/>
      <c r="CI466" s="4"/>
      <c r="CJ466" s="4"/>
      <c r="CK466" s="4"/>
      <c r="CL466" s="4"/>
      <c r="CM466" s="4"/>
      <c r="CN466" s="4"/>
      <c r="CO466" s="4"/>
      <c r="CP466" s="4"/>
      <c r="CQ466" s="4"/>
      <c r="CR466" s="4"/>
      <c r="CS466" s="4"/>
      <c r="CT466" s="4"/>
      <c r="CU466" s="4"/>
      <c r="CV466" s="4"/>
      <c r="CW466" s="4"/>
      <c r="CX466" s="4"/>
      <c r="CY466" s="4"/>
      <c r="CZ466" s="4"/>
      <c r="DA466" s="4"/>
      <c r="DB466" s="4"/>
      <c r="DC466" s="4"/>
      <c r="DD466" s="4"/>
      <c r="DE466" s="4"/>
      <c r="DF466" s="4"/>
      <c r="DG466" s="4"/>
      <c r="DH466" s="4"/>
      <c r="DI466" s="4"/>
      <c r="DJ466" s="4"/>
      <c r="DK466" s="4"/>
      <c r="DL466" s="4"/>
      <c r="DM466" s="4"/>
      <c r="DN466" s="4"/>
      <c r="DO466" s="4"/>
      <c r="DP466" s="4"/>
      <c r="DQ466" s="4"/>
      <c r="DR466" s="4"/>
      <c r="DS466" s="4"/>
      <c r="DT466" s="4"/>
      <c r="DU466" s="4"/>
      <c r="DV466" s="4"/>
      <c r="DW466" s="4"/>
      <c r="DX466" s="4"/>
      <c r="DY466" s="4"/>
      <c r="DZ466" s="4"/>
      <c r="EA466" s="4"/>
      <c r="EB466" s="4"/>
      <c r="EC466" s="4"/>
      <c r="ED466" s="4"/>
      <c r="EE466" s="4"/>
      <c r="EF466" s="4"/>
      <c r="EG466" s="4"/>
      <c r="EH466" s="4"/>
      <c r="EI466" s="4"/>
      <c r="EJ466" s="4"/>
      <c r="EK466" s="4"/>
      <c r="EL466" s="4"/>
      <c r="EM466" s="4"/>
      <c r="EN466" s="4"/>
      <c r="EO466" s="4"/>
      <c r="EP466" s="4"/>
      <c r="EQ466" s="4"/>
      <c r="ER466" s="4"/>
      <c r="ES466" s="4"/>
      <c r="ET466" s="4"/>
      <c r="EU466" s="4"/>
      <c r="EV466" s="4"/>
      <c r="EW466" s="4"/>
      <c r="EX466" s="4"/>
      <c r="EY466" s="4"/>
      <c r="EZ466" s="4"/>
      <c r="FA466" s="4"/>
      <c r="FB466" s="4"/>
      <c r="FC466" s="4"/>
      <c r="FD466" s="4"/>
      <c r="FE466" s="4"/>
      <c r="FF466" s="4"/>
    </row>
    <row r="467" spans="1:162" x14ac:dyDescent="0.2">
      <c r="A467" s="2"/>
      <c r="B467" s="2"/>
      <c r="C467" s="2"/>
      <c r="D467" s="4"/>
      <c r="E467" s="4"/>
      <c r="F467" s="4"/>
      <c r="G467" s="4"/>
      <c r="H467" s="4"/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/>
      <c r="AM467" s="4"/>
      <c r="AN467" s="4"/>
      <c r="AO467" s="4"/>
      <c r="AP467" s="4"/>
      <c r="AQ467" s="4"/>
      <c r="AR467" s="4"/>
      <c r="AS467" s="4"/>
      <c r="AT467" s="4"/>
      <c r="AU467" s="4"/>
      <c r="AV467" s="4"/>
      <c r="AW467" s="4"/>
      <c r="AX467" s="4"/>
      <c r="AY467" s="4"/>
      <c r="AZ467" s="4"/>
      <c r="BA467" s="4"/>
      <c r="BB467" s="4"/>
      <c r="BC467" s="4"/>
      <c r="BD467" s="4"/>
      <c r="BE467" s="4"/>
      <c r="BF467" s="4"/>
      <c r="BG467" s="4"/>
      <c r="BH467" s="4"/>
      <c r="BI467" s="4"/>
      <c r="BJ467" s="4"/>
      <c r="BK467" s="4"/>
      <c r="BL467" s="4"/>
      <c r="BM467" s="4"/>
      <c r="BN467" s="4"/>
      <c r="BO467" s="4"/>
      <c r="BP467" s="4"/>
      <c r="BQ467" s="4"/>
      <c r="BR467" s="4"/>
      <c r="BS467" s="4"/>
      <c r="BT467" s="4"/>
      <c r="BU467" s="4"/>
      <c r="BV467" s="4"/>
      <c r="BW467" s="4"/>
      <c r="BX467" s="4"/>
      <c r="BY467" s="4"/>
      <c r="BZ467" s="4"/>
      <c r="CA467" s="4"/>
      <c r="CB467" s="4"/>
      <c r="CC467" s="4"/>
      <c r="CD467" s="4"/>
      <c r="CE467" s="4"/>
      <c r="CF467" s="4"/>
      <c r="CG467" s="4"/>
      <c r="CH467" s="4"/>
      <c r="CI467" s="4"/>
      <c r="CJ467" s="4"/>
      <c r="CK467" s="4"/>
      <c r="CL467" s="4"/>
      <c r="CM467" s="4"/>
      <c r="CN467" s="4"/>
      <c r="CO467" s="4"/>
      <c r="CP467" s="4"/>
      <c r="CQ467" s="4"/>
      <c r="CR467" s="4"/>
      <c r="CS467" s="4"/>
      <c r="CT467" s="4"/>
      <c r="CU467" s="4"/>
      <c r="CV467" s="4"/>
      <c r="CW467" s="4"/>
      <c r="CX467" s="4"/>
      <c r="CY467" s="4"/>
      <c r="CZ467" s="4"/>
      <c r="DA467" s="4"/>
      <c r="DB467" s="4"/>
      <c r="DC467" s="4"/>
      <c r="DD467" s="4"/>
      <c r="DE467" s="4"/>
      <c r="DF467" s="4"/>
      <c r="DG467" s="4"/>
      <c r="DH467" s="4"/>
      <c r="DI467" s="4"/>
      <c r="DJ467" s="4"/>
      <c r="DK467" s="4"/>
      <c r="DL467" s="4"/>
      <c r="DM467" s="4"/>
      <c r="DN467" s="4"/>
      <c r="DO467" s="4"/>
      <c r="DP467" s="4"/>
      <c r="DQ467" s="4"/>
      <c r="DR467" s="4"/>
      <c r="DS467" s="4"/>
      <c r="DT467" s="4"/>
      <c r="DU467" s="4"/>
      <c r="DV467" s="4"/>
      <c r="DW467" s="4"/>
      <c r="DX467" s="4"/>
      <c r="DY467" s="4"/>
      <c r="DZ467" s="4"/>
      <c r="EA467" s="4"/>
      <c r="EB467" s="4"/>
      <c r="EC467" s="4"/>
      <c r="ED467" s="4"/>
      <c r="EE467" s="4"/>
      <c r="EF467" s="4"/>
      <c r="EG467" s="4"/>
      <c r="EH467" s="4"/>
      <c r="EI467" s="4"/>
      <c r="EJ467" s="4"/>
      <c r="EK467" s="4"/>
      <c r="EL467" s="4"/>
      <c r="EM467" s="4"/>
      <c r="EN467" s="4"/>
      <c r="EO467" s="4"/>
      <c r="EP467" s="4"/>
      <c r="EQ467" s="4"/>
      <c r="ER467" s="4"/>
      <c r="ES467" s="4"/>
      <c r="ET467" s="4"/>
      <c r="EU467" s="4"/>
      <c r="EV467" s="4"/>
      <c r="EW467" s="4"/>
      <c r="EX467" s="4"/>
      <c r="EY467" s="4"/>
      <c r="EZ467" s="4"/>
      <c r="FA467" s="4"/>
      <c r="FB467" s="4"/>
      <c r="FC467" s="4"/>
      <c r="FD467" s="4"/>
      <c r="FE467" s="4"/>
      <c r="FF467" s="4"/>
    </row>
    <row r="468" spans="1:162" x14ac:dyDescent="0.2">
      <c r="A468" s="2"/>
      <c r="B468" s="2"/>
      <c r="C468" s="2"/>
      <c r="D468" s="4"/>
      <c r="E468" s="4"/>
      <c r="F468" s="4"/>
      <c r="G468" s="4"/>
      <c r="H468" s="4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4"/>
      <c r="AJ468" s="4"/>
      <c r="AK468" s="4"/>
      <c r="AL468" s="4"/>
      <c r="AM468" s="4"/>
      <c r="AN468" s="4"/>
      <c r="AO468" s="4"/>
      <c r="AP468" s="4"/>
      <c r="AQ468" s="4"/>
      <c r="AR468" s="4"/>
      <c r="AS468" s="4"/>
      <c r="AT468" s="4"/>
      <c r="AU468" s="4"/>
      <c r="AV468" s="4"/>
      <c r="AW468" s="4"/>
      <c r="AX468" s="4"/>
      <c r="AY468" s="4"/>
      <c r="AZ468" s="4"/>
      <c r="BA468" s="4"/>
      <c r="BB468" s="4"/>
      <c r="BC468" s="4"/>
      <c r="BD468" s="4"/>
      <c r="BE468" s="4"/>
      <c r="BF468" s="4"/>
      <c r="BG468" s="4"/>
      <c r="BH468" s="4"/>
      <c r="BI468" s="4"/>
      <c r="BJ468" s="4"/>
      <c r="BK468" s="4"/>
      <c r="BL468" s="4"/>
      <c r="BM468" s="4"/>
      <c r="BN468" s="4"/>
      <c r="BO468" s="4"/>
      <c r="BP468" s="4"/>
      <c r="BQ468" s="4"/>
      <c r="BR468" s="4"/>
      <c r="BS468" s="4"/>
      <c r="BT468" s="4"/>
      <c r="BU468" s="4"/>
      <c r="BV468" s="4"/>
      <c r="BW468" s="4"/>
      <c r="BX468" s="4"/>
      <c r="BY468" s="4"/>
      <c r="BZ468" s="4"/>
      <c r="CA468" s="4"/>
      <c r="CB468" s="4"/>
      <c r="CC468" s="4"/>
      <c r="CD468" s="4"/>
      <c r="CE468" s="4"/>
      <c r="CF468" s="4"/>
      <c r="CG468" s="4"/>
      <c r="CH468" s="4"/>
      <c r="CI468" s="4"/>
      <c r="CJ468" s="4"/>
      <c r="CK468" s="4"/>
      <c r="CL468" s="4"/>
      <c r="CM468" s="4"/>
      <c r="CN468" s="4"/>
      <c r="CO468" s="4"/>
      <c r="CP468" s="4"/>
      <c r="CQ468" s="4"/>
      <c r="CR468" s="4"/>
      <c r="CS468" s="4"/>
      <c r="CT468" s="4"/>
      <c r="CU468" s="4"/>
      <c r="CV468" s="4"/>
      <c r="CW468" s="4"/>
      <c r="CX468" s="4"/>
      <c r="CY468" s="4"/>
      <c r="CZ468" s="4"/>
      <c r="DA468" s="4"/>
      <c r="DB468" s="4"/>
      <c r="DC468" s="4"/>
      <c r="DD468" s="4"/>
      <c r="DE468" s="4"/>
      <c r="DF468" s="4"/>
      <c r="DG468" s="4"/>
      <c r="DH468" s="4"/>
      <c r="DI468" s="4"/>
      <c r="DJ468" s="4"/>
      <c r="DK468" s="4"/>
      <c r="DL468" s="4"/>
      <c r="DM468" s="4"/>
      <c r="DN468" s="4"/>
      <c r="DO468" s="4"/>
      <c r="DP468" s="4"/>
      <c r="DQ468" s="4"/>
      <c r="DR468" s="4"/>
      <c r="DS468" s="4"/>
      <c r="DT468" s="4"/>
      <c r="DU468" s="4"/>
      <c r="DV468" s="4"/>
      <c r="DW468" s="4"/>
      <c r="DX468" s="4"/>
      <c r="DY468" s="4"/>
      <c r="DZ468" s="4"/>
      <c r="EA468" s="4"/>
      <c r="EB468" s="4"/>
      <c r="EC468" s="4"/>
      <c r="ED468" s="4"/>
      <c r="EE468" s="4"/>
      <c r="EF468" s="4"/>
      <c r="EG468" s="4"/>
      <c r="EH468" s="4"/>
      <c r="EI468" s="4"/>
      <c r="EJ468" s="4"/>
      <c r="EK468" s="4"/>
      <c r="EL468" s="4"/>
      <c r="EM468" s="4"/>
      <c r="EN468" s="4"/>
      <c r="EO468" s="4"/>
      <c r="EP468" s="4"/>
      <c r="EQ468" s="4"/>
      <c r="ER468" s="4"/>
      <c r="ES468" s="4"/>
      <c r="ET468" s="4"/>
      <c r="EU468" s="4"/>
      <c r="EV468" s="4"/>
      <c r="EW468" s="4"/>
      <c r="EX468" s="4"/>
      <c r="EY468" s="4"/>
      <c r="EZ468" s="4"/>
      <c r="FA468" s="4"/>
      <c r="FB468" s="4"/>
      <c r="FC468" s="4"/>
      <c r="FD468" s="4"/>
      <c r="FE468" s="4"/>
      <c r="FF468" s="4"/>
    </row>
    <row r="469" spans="1:162" x14ac:dyDescent="0.2">
      <c r="A469" s="2"/>
      <c r="B469" s="2"/>
      <c r="C469" s="2"/>
      <c r="D469" s="4"/>
      <c r="E469" s="4"/>
      <c r="F469" s="4"/>
      <c r="G469" s="4"/>
      <c r="H469" s="4"/>
      <c r="I469" s="4"/>
      <c r="J469" s="4"/>
      <c r="K469" s="4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4"/>
      <c r="AM469" s="4"/>
      <c r="AN469" s="4"/>
      <c r="AO469" s="4"/>
      <c r="AP469" s="4"/>
      <c r="AQ469" s="4"/>
      <c r="AR469" s="4"/>
      <c r="AS469" s="4"/>
      <c r="AT469" s="4"/>
      <c r="AU469" s="4"/>
      <c r="AV469" s="4"/>
      <c r="AW469" s="4"/>
      <c r="AX469" s="4"/>
      <c r="AY469" s="4"/>
      <c r="AZ469" s="4"/>
      <c r="BA469" s="4"/>
      <c r="BB469" s="4"/>
      <c r="BC469" s="4"/>
      <c r="BD469" s="4"/>
      <c r="BE469" s="4"/>
      <c r="BF469" s="4"/>
      <c r="BG469" s="4"/>
      <c r="BH469" s="4"/>
      <c r="BI469" s="4"/>
      <c r="BJ469" s="4"/>
      <c r="BK469" s="4"/>
      <c r="BL469" s="4"/>
      <c r="BM469" s="4"/>
      <c r="BN469" s="4"/>
      <c r="BO469" s="4"/>
      <c r="BP469" s="4"/>
      <c r="BQ469" s="4"/>
      <c r="BR469" s="4"/>
      <c r="BS469" s="4"/>
      <c r="BT469" s="4"/>
      <c r="BU469" s="4"/>
      <c r="BV469" s="4"/>
      <c r="BW469" s="4"/>
      <c r="BX469" s="4"/>
      <c r="BY469" s="4"/>
      <c r="BZ469" s="4"/>
      <c r="CA469" s="4"/>
      <c r="CB469" s="4"/>
      <c r="CC469" s="4"/>
      <c r="CD469" s="4"/>
      <c r="CE469" s="4"/>
      <c r="CF469" s="4"/>
      <c r="CG469" s="4"/>
      <c r="CH469" s="4"/>
      <c r="CI469" s="4"/>
      <c r="CJ469" s="4"/>
      <c r="CK469" s="4"/>
      <c r="CL469" s="4"/>
      <c r="CM469" s="4"/>
      <c r="CN469" s="4"/>
      <c r="CO469" s="4"/>
      <c r="CP469" s="4"/>
      <c r="CQ469" s="4"/>
      <c r="CR469" s="4"/>
      <c r="CS469" s="4"/>
      <c r="CT469" s="4"/>
      <c r="CU469" s="4"/>
      <c r="CV469" s="4"/>
      <c r="CW469" s="4"/>
      <c r="CX469" s="4"/>
      <c r="CY469" s="4"/>
      <c r="CZ469" s="4"/>
      <c r="DA469" s="4"/>
      <c r="DB469" s="4"/>
      <c r="DC469" s="4"/>
      <c r="DD469" s="4"/>
      <c r="DE469" s="4"/>
      <c r="DF469" s="4"/>
      <c r="DG469" s="4"/>
      <c r="DH469" s="4"/>
      <c r="DI469" s="4"/>
      <c r="DJ469" s="4"/>
      <c r="DK469" s="4"/>
      <c r="DL469" s="4"/>
      <c r="DM469" s="4"/>
      <c r="DN469" s="4"/>
      <c r="DO469" s="4"/>
      <c r="DP469" s="4"/>
      <c r="DQ469" s="4"/>
      <c r="DR469" s="4"/>
      <c r="DS469" s="4"/>
      <c r="DT469" s="4"/>
      <c r="DU469" s="4"/>
      <c r="DV469" s="4"/>
      <c r="DW469" s="4"/>
      <c r="DX469" s="4"/>
      <c r="DY469" s="4"/>
      <c r="DZ469" s="4"/>
      <c r="EA469" s="4"/>
      <c r="EB469" s="4"/>
      <c r="EC469" s="4"/>
      <c r="ED469" s="4"/>
      <c r="EE469" s="4"/>
      <c r="EF469" s="4"/>
      <c r="EG469" s="4"/>
      <c r="EH469" s="4"/>
      <c r="EI469" s="4"/>
      <c r="EJ469" s="4"/>
      <c r="EK469" s="4"/>
      <c r="EL469" s="4"/>
      <c r="EM469" s="4"/>
      <c r="EN469" s="4"/>
      <c r="EO469" s="4"/>
      <c r="EP469" s="4"/>
      <c r="EQ469" s="4"/>
      <c r="ER469" s="4"/>
      <c r="ES469" s="4"/>
      <c r="ET469" s="4"/>
      <c r="EU469" s="4"/>
      <c r="EV469" s="4"/>
      <c r="EW469" s="4"/>
      <c r="EX469" s="4"/>
      <c r="EY469" s="4"/>
      <c r="EZ469" s="4"/>
      <c r="FA469" s="4"/>
      <c r="FB469" s="4"/>
      <c r="FC469" s="4"/>
      <c r="FD469" s="4"/>
      <c r="FE469" s="4"/>
      <c r="FF469" s="4"/>
    </row>
    <row r="470" spans="1:162" x14ac:dyDescent="0.2">
      <c r="A470" s="2"/>
      <c r="B470" s="2"/>
      <c r="C470" s="2"/>
      <c r="D470" s="4"/>
      <c r="E470" s="4"/>
      <c r="F470" s="4"/>
      <c r="G470" s="4"/>
      <c r="H470" s="4"/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  <c r="AA470" s="4"/>
      <c r="AB470" s="4"/>
      <c r="AC470" s="4"/>
      <c r="AD470" s="4"/>
      <c r="AE470" s="4"/>
      <c r="AF470" s="4"/>
      <c r="AG470" s="4"/>
      <c r="AH470" s="4"/>
      <c r="AI470" s="4"/>
      <c r="AJ470" s="4"/>
      <c r="AK470" s="4"/>
      <c r="AL470" s="4"/>
      <c r="AM470" s="4"/>
      <c r="AN470" s="4"/>
      <c r="AO470" s="4"/>
      <c r="AP470" s="4"/>
      <c r="AQ470" s="4"/>
      <c r="AR470" s="4"/>
      <c r="AS470" s="4"/>
      <c r="AT470" s="4"/>
      <c r="AU470" s="4"/>
      <c r="AV470" s="4"/>
      <c r="AW470" s="4"/>
      <c r="AX470" s="4"/>
      <c r="AY470" s="4"/>
      <c r="AZ470" s="4"/>
      <c r="BA470" s="4"/>
      <c r="BB470" s="4"/>
      <c r="BC470" s="4"/>
      <c r="BD470" s="4"/>
      <c r="BE470" s="4"/>
      <c r="BF470" s="4"/>
      <c r="BG470" s="4"/>
      <c r="BH470" s="4"/>
      <c r="BI470" s="4"/>
      <c r="BJ470" s="4"/>
      <c r="BK470" s="4"/>
      <c r="BL470" s="4"/>
      <c r="BM470" s="4"/>
      <c r="BN470" s="4"/>
      <c r="BO470" s="4"/>
      <c r="BP470" s="4"/>
      <c r="BQ470" s="4"/>
      <c r="BR470" s="4"/>
      <c r="BS470" s="4"/>
      <c r="BT470" s="4"/>
      <c r="BU470" s="4"/>
      <c r="BV470" s="4"/>
      <c r="BW470" s="4"/>
      <c r="BX470" s="4"/>
      <c r="BY470" s="4"/>
      <c r="BZ470" s="4"/>
      <c r="CA470" s="4"/>
      <c r="CB470" s="4"/>
      <c r="CC470" s="4"/>
      <c r="CD470" s="4"/>
      <c r="CE470" s="4"/>
      <c r="CF470" s="4"/>
      <c r="CG470" s="4"/>
      <c r="CH470" s="4"/>
      <c r="CI470" s="4"/>
      <c r="CJ470" s="4"/>
      <c r="CK470" s="4"/>
      <c r="CL470" s="4"/>
      <c r="CM470" s="4"/>
      <c r="CN470" s="4"/>
      <c r="CO470" s="4"/>
      <c r="CP470" s="4"/>
      <c r="CQ470" s="4"/>
      <c r="CR470" s="4"/>
      <c r="CS470" s="4"/>
      <c r="CT470" s="4"/>
      <c r="CU470" s="4"/>
      <c r="CV470" s="4"/>
      <c r="CW470" s="4"/>
      <c r="CX470" s="4"/>
      <c r="CY470" s="4"/>
      <c r="CZ470" s="4"/>
      <c r="DA470" s="4"/>
      <c r="DB470" s="4"/>
      <c r="DC470" s="4"/>
      <c r="DD470" s="4"/>
      <c r="DE470" s="4"/>
      <c r="DF470" s="4"/>
      <c r="DG470" s="4"/>
      <c r="DH470" s="4"/>
      <c r="DI470" s="4"/>
      <c r="DJ470" s="4"/>
      <c r="DK470" s="4"/>
      <c r="DL470" s="4"/>
      <c r="DM470" s="4"/>
      <c r="DN470" s="4"/>
      <c r="DO470" s="4"/>
      <c r="DP470" s="4"/>
      <c r="DQ470" s="4"/>
      <c r="DR470" s="4"/>
      <c r="DS470" s="4"/>
      <c r="DT470" s="4"/>
      <c r="DU470" s="4"/>
      <c r="DV470" s="4"/>
      <c r="DW470" s="4"/>
      <c r="DX470" s="4"/>
      <c r="DY470" s="4"/>
      <c r="DZ470" s="4"/>
      <c r="EA470" s="4"/>
      <c r="EB470" s="4"/>
      <c r="EC470" s="4"/>
      <c r="ED470" s="4"/>
      <c r="EE470" s="4"/>
      <c r="EF470" s="4"/>
      <c r="EG470" s="4"/>
      <c r="EH470" s="4"/>
      <c r="EI470" s="4"/>
      <c r="EJ470" s="4"/>
      <c r="EK470" s="4"/>
      <c r="EL470" s="4"/>
      <c r="EM470" s="4"/>
      <c r="EN470" s="4"/>
      <c r="EO470" s="4"/>
      <c r="EP470" s="4"/>
      <c r="EQ470" s="4"/>
      <c r="ER470" s="4"/>
      <c r="ES470" s="4"/>
      <c r="ET470" s="4"/>
      <c r="EU470" s="4"/>
      <c r="EV470" s="4"/>
      <c r="EW470" s="4"/>
      <c r="EX470" s="4"/>
      <c r="EY470" s="4"/>
      <c r="EZ470" s="4"/>
      <c r="FA470" s="4"/>
      <c r="FB470" s="4"/>
      <c r="FC470" s="4"/>
      <c r="FD470" s="4"/>
      <c r="FE470" s="4"/>
      <c r="FF470" s="4"/>
    </row>
    <row r="471" spans="1:162" x14ac:dyDescent="0.2">
      <c r="A471" s="2"/>
      <c r="B471" s="2"/>
      <c r="C471" s="2"/>
      <c r="D471" s="4"/>
      <c r="E471" s="4"/>
      <c r="F471" s="4"/>
      <c r="G471" s="4"/>
      <c r="H471" s="4"/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  <c r="AA471" s="4"/>
      <c r="AB471" s="4"/>
      <c r="AC471" s="4"/>
      <c r="AD471" s="4"/>
      <c r="AE471" s="4"/>
      <c r="AF471" s="4"/>
      <c r="AG471" s="4"/>
      <c r="AH471" s="4"/>
      <c r="AI471" s="4"/>
      <c r="AJ471" s="4"/>
      <c r="AK471" s="4"/>
      <c r="AL471" s="4"/>
      <c r="AM471" s="4"/>
      <c r="AN471" s="4"/>
      <c r="AO471" s="4"/>
      <c r="AP471" s="4"/>
      <c r="AQ471" s="4"/>
      <c r="AR471" s="4"/>
      <c r="AS471" s="4"/>
      <c r="AT471" s="4"/>
      <c r="AU471" s="4"/>
      <c r="AV471" s="4"/>
      <c r="AW471" s="4"/>
      <c r="AX471" s="4"/>
      <c r="AY471" s="4"/>
      <c r="AZ471" s="4"/>
      <c r="BA471" s="4"/>
      <c r="BB471" s="4"/>
      <c r="BC471" s="4"/>
      <c r="BD471" s="4"/>
      <c r="BE471" s="4"/>
      <c r="BF471" s="4"/>
      <c r="BG471" s="4"/>
      <c r="BH471" s="4"/>
      <c r="BI471" s="4"/>
      <c r="BJ471" s="4"/>
      <c r="BK471" s="4"/>
      <c r="BL471" s="4"/>
      <c r="BM471" s="4"/>
      <c r="BN471" s="4"/>
      <c r="BO471" s="4"/>
      <c r="BP471" s="4"/>
      <c r="BQ471" s="4"/>
      <c r="BR471" s="4"/>
      <c r="BS471" s="4"/>
      <c r="BT471" s="4"/>
      <c r="BU471" s="4"/>
      <c r="BV471" s="4"/>
      <c r="BW471" s="4"/>
      <c r="BX471" s="4"/>
      <c r="BY471" s="4"/>
      <c r="BZ471" s="4"/>
      <c r="CA471" s="4"/>
      <c r="CB471" s="4"/>
      <c r="CC471" s="4"/>
      <c r="CD471" s="4"/>
      <c r="CE471" s="4"/>
      <c r="CF471" s="4"/>
      <c r="CG471" s="4"/>
      <c r="CH471" s="4"/>
      <c r="CI471" s="4"/>
      <c r="CJ471" s="4"/>
      <c r="CK471" s="4"/>
      <c r="CL471" s="4"/>
      <c r="CM471" s="4"/>
      <c r="CN471" s="4"/>
      <c r="CO471" s="4"/>
      <c r="CP471" s="4"/>
      <c r="CQ471" s="4"/>
      <c r="CR471" s="4"/>
      <c r="CS471" s="4"/>
      <c r="CT471" s="4"/>
      <c r="CU471" s="4"/>
      <c r="CV471" s="4"/>
      <c r="CW471" s="4"/>
      <c r="CX471" s="4"/>
      <c r="CY471" s="4"/>
      <c r="CZ471" s="4"/>
      <c r="DA471" s="4"/>
      <c r="DB471" s="4"/>
      <c r="DC471" s="4"/>
      <c r="DD471" s="4"/>
      <c r="DE471" s="4"/>
      <c r="DF471" s="4"/>
      <c r="DG471" s="4"/>
      <c r="DH471" s="4"/>
      <c r="DI471" s="4"/>
      <c r="DJ471" s="4"/>
      <c r="DK471" s="4"/>
      <c r="DL471" s="4"/>
      <c r="DM471" s="4"/>
      <c r="DN471" s="4"/>
      <c r="DO471" s="4"/>
      <c r="DP471" s="4"/>
      <c r="DQ471" s="4"/>
      <c r="DR471" s="4"/>
      <c r="DS471" s="4"/>
      <c r="DT471" s="4"/>
      <c r="DU471" s="4"/>
      <c r="DV471" s="4"/>
      <c r="DW471" s="4"/>
      <c r="DX471" s="4"/>
      <c r="DY471" s="4"/>
      <c r="DZ471" s="4"/>
      <c r="EA471" s="4"/>
      <c r="EB471" s="4"/>
      <c r="EC471" s="4"/>
      <c r="ED471" s="4"/>
      <c r="EE471" s="4"/>
      <c r="EF471" s="4"/>
      <c r="EG471" s="4"/>
      <c r="EH471" s="4"/>
      <c r="EI471" s="4"/>
      <c r="EJ471" s="4"/>
      <c r="EK471" s="4"/>
      <c r="EL471" s="4"/>
      <c r="EM471" s="4"/>
      <c r="EN471" s="4"/>
      <c r="EO471" s="4"/>
      <c r="EP471" s="4"/>
      <c r="EQ471" s="4"/>
      <c r="ER471" s="4"/>
      <c r="ES471" s="4"/>
      <c r="ET471" s="4"/>
      <c r="EU471" s="4"/>
      <c r="EV471" s="4"/>
      <c r="EW471" s="4"/>
      <c r="EX471" s="4"/>
      <c r="EY471" s="4"/>
      <c r="EZ471" s="4"/>
      <c r="FA471" s="4"/>
      <c r="FB471" s="4"/>
      <c r="FC471" s="4"/>
      <c r="FD471" s="4"/>
      <c r="FE471" s="4"/>
      <c r="FF471" s="4"/>
    </row>
    <row r="472" spans="1:162" x14ac:dyDescent="0.2">
      <c r="A472" s="2"/>
      <c r="B472" s="2"/>
      <c r="C472" s="2"/>
      <c r="D472" s="4"/>
      <c r="E472" s="4"/>
      <c r="F472" s="4"/>
      <c r="G472" s="4"/>
      <c r="H472" s="4"/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  <c r="AA472" s="4"/>
      <c r="AB472" s="4"/>
      <c r="AC472" s="4"/>
      <c r="AD472" s="4"/>
      <c r="AE472" s="4"/>
      <c r="AF472" s="4"/>
      <c r="AG472" s="4"/>
      <c r="AH472" s="4"/>
      <c r="AI472" s="4"/>
      <c r="AJ472" s="4"/>
      <c r="AK472" s="4"/>
      <c r="AL472" s="4"/>
      <c r="AM472" s="4"/>
      <c r="AN472" s="4"/>
      <c r="AO472" s="4"/>
      <c r="AP472" s="4"/>
      <c r="AQ472" s="4"/>
      <c r="AR472" s="4"/>
      <c r="AS472" s="4"/>
      <c r="AT472" s="4"/>
      <c r="AU472" s="4"/>
      <c r="AV472" s="4"/>
      <c r="AW472" s="4"/>
      <c r="AX472" s="4"/>
      <c r="AY472" s="4"/>
      <c r="AZ472" s="4"/>
      <c r="BA472" s="4"/>
      <c r="BB472" s="4"/>
      <c r="BC472" s="4"/>
      <c r="BD472" s="4"/>
      <c r="BE472" s="4"/>
      <c r="BF472" s="4"/>
      <c r="BG472" s="4"/>
      <c r="BH472" s="4"/>
      <c r="BI472" s="4"/>
      <c r="BJ472" s="4"/>
      <c r="BK472" s="4"/>
      <c r="BL472" s="4"/>
      <c r="BM472" s="4"/>
      <c r="BN472" s="4"/>
      <c r="BO472" s="4"/>
      <c r="BP472" s="4"/>
      <c r="BQ472" s="4"/>
      <c r="BR472" s="4"/>
      <c r="BS472" s="4"/>
      <c r="BT472" s="4"/>
      <c r="BU472" s="4"/>
      <c r="BV472" s="4"/>
      <c r="BW472" s="4"/>
      <c r="BX472" s="4"/>
      <c r="BY472" s="4"/>
      <c r="BZ472" s="4"/>
      <c r="CA472" s="4"/>
      <c r="CB472" s="4"/>
      <c r="CC472" s="4"/>
      <c r="CD472" s="4"/>
      <c r="CE472" s="4"/>
      <c r="CF472" s="4"/>
      <c r="CG472" s="4"/>
      <c r="CH472" s="4"/>
      <c r="CI472" s="4"/>
      <c r="CJ472" s="4"/>
      <c r="CK472" s="4"/>
      <c r="CL472" s="4"/>
      <c r="CM472" s="4"/>
      <c r="CN472" s="4"/>
      <c r="CO472" s="4"/>
      <c r="CP472" s="4"/>
      <c r="CQ472" s="4"/>
      <c r="CR472" s="4"/>
      <c r="CS472" s="4"/>
      <c r="CT472" s="4"/>
      <c r="CU472" s="4"/>
      <c r="CV472" s="4"/>
      <c r="CW472" s="4"/>
      <c r="CX472" s="4"/>
      <c r="CY472" s="4"/>
      <c r="CZ472" s="4"/>
      <c r="DA472" s="4"/>
      <c r="DB472" s="4"/>
      <c r="DC472" s="4"/>
      <c r="DD472" s="4"/>
      <c r="DE472" s="4"/>
      <c r="DF472" s="4"/>
      <c r="DG472" s="4"/>
      <c r="DH472" s="4"/>
      <c r="DI472" s="4"/>
      <c r="DJ472" s="4"/>
      <c r="DK472" s="4"/>
      <c r="DL472" s="4"/>
      <c r="DM472" s="4"/>
      <c r="DN472" s="4"/>
      <c r="DO472" s="4"/>
      <c r="DP472" s="4"/>
      <c r="DQ472" s="4"/>
      <c r="DR472" s="4"/>
      <c r="DS472" s="4"/>
      <c r="DT472" s="4"/>
      <c r="DU472" s="4"/>
      <c r="DV472" s="4"/>
      <c r="DW472" s="4"/>
      <c r="DX472" s="4"/>
      <c r="DY472" s="4"/>
      <c r="DZ472" s="4"/>
      <c r="EA472" s="4"/>
      <c r="EB472" s="4"/>
      <c r="EC472" s="4"/>
      <c r="ED472" s="4"/>
      <c r="EE472" s="4"/>
      <c r="EF472" s="4"/>
      <c r="EG472" s="4"/>
      <c r="EH472" s="4"/>
      <c r="EI472" s="4"/>
      <c r="EJ472" s="4"/>
      <c r="EK472" s="4"/>
      <c r="EL472" s="4"/>
      <c r="EM472" s="4"/>
      <c r="EN472" s="4"/>
      <c r="EO472" s="4"/>
      <c r="EP472" s="4"/>
      <c r="EQ472" s="4"/>
      <c r="ER472" s="4"/>
      <c r="ES472" s="4"/>
      <c r="ET472" s="4"/>
      <c r="EU472" s="4"/>
      <c r="EV472" s="4"/>
      <c r="EW472" s="4"/>
      <c r="EX472" s="4"/>
      <c r="EY472" s="4"/>
      <c r="EZ472" s="4"/>
      <c r="FA472" s="4"/>
      <c r="FB472" s="4"/>
      <c r="FC472" s="4"/>
      <c r="FD472" s="4"/>
      <c r="FE472" s="4"/>
      <c r="FF472" s="4"/>
    </row>
    <row r="473" spans="1:162" x14ac:dyDescent="0.2">
      <c r="A473" s="2"/>
      <c r="B473" s="2"/>
      <c r="C473" s="2"/>
      <c r="D473" s="4"/>
      <c r="E473" s="4"/>
      <c r="F473" s="4"/>
      <c r="G473" s="4"/>
      <c r="H473" s="4"/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  <c r="AA473" s="4"/>
      <c r="AB473" s="4"/>
      <c r="AC473" s="4"/>
      <c r="AD473" s="4"/>
      <c r="AE473" s="4"/>
      <c r="AF473" s="4"/>
      <c r="AG473" s="4"/>
      <c r="AH473" s="4"/>
      <c r="AI473" s="4"/>
      <c r="AJ473" s="4"/>
      <c r="AK473" s="4"/>
      <c r="AL473" s="4"/>
      <c r="AM473" s="4"/>
      <c r="AN473" s="4"/>
      <c r="AO473" s="4"/>
      <c r="AP473" s="4"/>
      <c r="AQ473" s="4"/>
      <c r="AR473" s="4"/>
      <c r="AS473" s="4"/>
      <c r="AT473" s="4"/>
      <c r="AU473" s="4"/>
      <c r="AV473" s="4"/>
      <c r="AW473" s="4"/>
      <c r="AX473" s="4"/>
      <c r="AY473" s="4"/>
      <c r="AZ473" s="4"/>
      <c r="BA473" s="4"/>
      <c r="BB473" s="4"/>
      <c r="BC473" s="4"/>
      <c r="BD473" s="4"/>
      <c r="BE473" s="4"/>
      <c r="BF473" s="4"/>
      <c r="BG473" s="4"/>
      <c r="BH473" s="4"/>
      <c r="BI473" s="4"/>
      <c r="BJ473" s="4"/>
      <c r="BK473" s="4"/>
      <c r="BL473" s="4"/>
      <c r="BM473" s="4"/>
      <c r="BN473" s="4"/>
      <c r="BO473" s="4"/>
      <c r="BP473" s="4"/>
      <c r="BQ473" s="4"/>
      <c r="BR473" s="4"/>
      <c r="BS473" s="4"/>
      <c r="BT473" s="4"/>
      <c r="BU473" s="4"/>
      <c r="BV473" s="4"/>
      <c r="BW473" s="4"/>
      <c r="BX473" s="4"/>
      <c r="BY473" s="4"/>
      <c r="BZ473" s="4"/>
      <c r="CA473" s="4"/>
      <c r="CB473" s="4"/>
      <c r="CC473" s="4"/>
      <c r="CD473" s="4"/>
      <c r="CE473" s="4"/>
      <c r="CF473" s="4"/>
      <c r="CG473" s="4"/>
      <c r="CH473" s="4"/>
      <c r="CI473" s="4"/>
      <c r="CJ473" s="4"/>
      <c r="CK473" s="4"/>
      <c r="CL473" s="4"/>
      <c r="CM473" s="4"/>
      <c r="CN473" s="4"/>
      <c r="CO473" s="4"/>
      <c r="CP473" s="4"/>
      <c r="CQ473" s="4"/>
      <c r="CR473" s="4"/>
      <c r="CS473" s="4"/>
      <c r="CT473" s="4"/>
      <c r="CU473" s="4"/>
      <c r="CV473" s="4"/>
      <c r="CW473" s="4"/>
      <c r="CX473" s="4"/>
      <c r="CY473" s="4"/>
      <c r="CZ473" s="4"/>
      <c r="DA473" s="4"/>
      <c r="DB473" s="4"/>
      <c r="DC473" s="4"/>
      <c r="DD473" s="4"/>
      <c r="DE473" s="4"/>
      <c r="DF473" s="4"/>
      <c r="DG473" s="4"/>
      <c r="DH473" s="4"/>
      <c r="DI473" s="4"/>
      <c r="DJ473" s="4"/>
      <c r="DK473" s="4"/>
      <c r="DL473" s="4"/>
      <c r="DM473" s="4"/>
      <c r="DN473" s="4"/>
      <c r="DO473" s="4"/>
      <c r="DP473" s="4"/>
      <c r="DQ473" s="4"/>
      <c r="DR473" s="4"/>
      <c r="DS473" s="4"/>
      <c r="DT473" s="4"/>
      <c r="DU473" s="4"/>
      <c r="DV473" s="4"/>
      <c r="DW473" s="4"/>
      <c r="DX473" s="4"/>
      <c r="DY473" s="4"/>
      <c r="DZ473" s="4"/>
      <c r="EA473" s="4"/>
      <c r="EB473" s="4"/>
      <c r="EC473" s="4"/>
      <c r="ED473" s="4"/>
      <c r="EE473" s="4"/>
      <c r="EF473" s="4"/>
      <c r="EG473" s="4"/>
      <c r="EH473" s="4"/>
      <c r="EI473" s="4"/>
      <c r="EJ473" s="4"/>
      <c r="EK473" s="4"/>
      <c r="EL473" s="4"/>
      <c r="EM473" s="4"/>
      <c r="EN473" s="4"/>
      <c r="EO473" s="4"/>
      <c r="EP473" s="4"/>
      <c r="EQ473" s="4"/>
      <c r="ER473" s="4"/>
      <c r="ES473" s="4"/>
      <c r="ET473" s="4"/>
      <c r="EU473" s="4"/>
      <c r="EV473" s="4"/>
      <c r="EW473" s="4"/>
      <c r="EX473" s="4"/>
      <c r="EY473" s="4"/>
      <c r="EZ473" s="4"/>
      <c r="FA473" s="4"/>
      <c r="FB473" s="4"/>
      <c r="FC473" s="4"/>
      <c r="FD473" s="4"/>
      <c r="FE473" s="4"/>
      <c r="FF473" s="4"/>
    </row>
    <row r="474" spans="1:162" x14ac:dyDescent="0.2">
      <c r="A474" s="2"/>
      <c r="B474" s="2"/>
      <c r="C474" s="2"/>
      <c r="D474" s="4"/>
      <c r="E474" s="4"/>
      <c r="F474" s="4"/>
      <c r="G474" s="4"/>
      <c r="H474" s="4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  <c r="AA474" s="4"/>
      <c r="AB474" s="4"/>
      <c r="AC474" s="4"/>
      <c r="AD474" s="4"/>
      <c r="AE474" s="4"/>
      <c r="AF474" s="4"/>
      <c r="AG474" s="4"/>
      <c r="AH474" s="4"/>
      <c r="AI474" s="4"/>
      <c r="AJ474" s="4"/>
      <c r="AK474" s="4"/>
      <c r="AL474" s="4"/>
      <c r="AM474" s="4"/>
      <c r="AN474" s="4"/>
      <c r="AO474" s="4"/>
      <c r="AP474" s="4"/>
      <c r="AQ474" s="4"/>
      <c r="AR474" s="4"/>
      <c r="AS474" s="4"/>
      <c r="AT474" s="4"/>
      <c r="AU474" s="4"/>
      <c r="AV474" s="4"/>
      <c r="AW474" s="4"/>
      <c r="AX474" s="4"/>
      <c r="AY474" s="4"/>
      <c r="AZ474" s="4"/>
      <c r="BA474" s="4"/>
      <c r="BB474" s="4"/>
      <c r="BC474" s="4"/>
      <c r="BD474" s="4"/>
      <c r="BE474" s="4"/>
      <c r="BF474" s="4"/>
      <c r="BG474" s="4"/>
      <c r="BH474" s="4"/>
      <c r="BI474" s="4"/>
      <c r="BJ474" s="4"/>
      <c r="BK474" s="4"/>
      <c r="BL474" s="4"/>
      <c r="BM474" s="4"/>
      <c r="BN474" s="4"/>
      <c r="BO474" s="4"/>
      <c r="BP474" s="4"/>
      <c r="BQ474" s="4"/>
      <c r="BR474" s="4"/>
      <c r="BS474" s="4"/>
      <c r="BT474" s="4"/>
      <c r="BU474" s="4"/>
      <c r="BV474" s="4"/>
      <c r="BW474" s="4"/>
      <c r="BX474" s="4"/>
      <c r="BY474" s="4"/>
      <c r="BZ474" s="4"/>
      <c r="CA474" s="4"/>
      <c r="CB474" s="4"/>
      <c r="CC474" s="4"/>
      <c r="CD474" s="4"/>
      <c r="CE474" s="4"/>
      <c r="CF474" s="4"/>
      <c r="CG474" s="4"/>
      <c r="CH474" s="4"/>
      <c r="CI474" s="4"/>
      <c r="CJ474" s="4"/>
      <c r="CK474" s="4"/>
      <c r="CL474" s="4"/>
      <c r="CM474" s="4"/>
      <c r="CN474" s="4"/>
      <c r="CO474" s="4"/>
      <c r="CP474" s="4"/>
      <c r="CQ474" s="4"/>
      <c r="CR474" s="4"/>
      <c r="CS474" s="4"/>
      <c r="CT474" s="4"/>
      <c r="CU474" s="4"/>
      <c r="CV474" s="4"/>
      <c r="CW474" s="4"/>
      <c r="CX474" s="4"/>
      <c r="CY474" s="4"/>
      <c r="CZ474" s="4"/>
      <c r="DA474" s="4"/>
      <c r="DB474" s="4"/>
      <c r="DC474" s="4"/>
      <c r="DD474" s="4"/>
      <c r="DE474" s="4"/>
      <c r="DF474" s="4"/>
      <c r="DG474" s="4"/>
      <c r="DH474" s="4"/>
      <c r="DI474" s="4"/>
      <c r="DJ474" s="4"/>
      <c r="DK474" s="4"/>
      <c r="DL474" s="4"/>
      <c r="DM474" s="4"/>
      <c r="DN474" s="4"/>
      <c r="DO474" s="4"/>
      <c r="DP474" s="4"/>
      <c r="DQ474" s="4"/>
      <c r="DR474" s="4"/>
      <c r="DS474" s="4"/>
      <c r="DT474" s="4"/>
      <c r="DU474" s="4"/>
      <c r="DV474" s="4"/>
      <c r="DW474" s="4"/>
      <c r="DX474" s="4"/>
      <c r="DY474" s="4"/>
      <c r="DZ474" s="4"/>
      <c r="EA474" s="4"/>
      <c r="EB474" s="4"/>
      <c r="EC474" s="4"/>
      <c r="ED474" s="4"/>
      <c r="EE474" s="4"/>
      <c r="EF474" s="4"/>
      <c r="EG474" s="4"/>
      <c r="EH474" s="4"/>
      <c r="EI474" s="4"/>
      <c r="EJ474" s="4"/>
      <c r="EK474" s="4"/>
      <c r="EL474" s="4"/>
      <c r="EM474" s="4"/>
      <c r="EN474" s="4"/>
      <c r="EO474" s="4"/>
      <c r="EP474" s="4"/>
      <c r="EQ474" s="4"/>
      <c r="ER474" s="4"/>
      <c r="ES474" s="4"/>
      <c r="ET474" s="4"/>
      <c r="EU474" s="4"/>
      <c r="EV474" s="4"/>
      <c r="EW474" s="4"/>
      <c r="EX474" s="4"/>
      <c r="EY474" s="4"/>
      <c r="EZ474" s="4"/>
      <c r="FA474" s="4"/>
      <c r="FB474" s="4"/>
      <c r="FC474" s="4"/>
      <c r="FD474" s="4"/>
      <c r="FE474" s="4"/>
      <c r="FF474" s="4"/>
    </row>
    <row r="475" spans="1:162" x14ac:dyDescent="0.2">
      <c r="A475" s="2"/>
      <c r="B475" s="2"/>
      <c r="C475" s="2"/>
      <c r="D475" s="4"/>
      <c r="E475" s="4"/>
      <c r="F475" s="4"/>
      <c r="G475" s="4"/>
      <c r="H475" s="4"/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  <c r="AA475" s="4"/>
      <c r="AB475" s="4"/>
      <c r="AC475" s="4"/>
      <c r="AD475" s="4"/>
      <c r="AE475" s="4"/>
      <c r="AF475" s="4"/>
      <c r="AG475" s="4"/>
      <c r="AH475" s="4"/>
      <c r="AI475" s="4"/>
      <c r="AJ475" s="4"/>
      <c r="AK475" s="4"/>
      <c r="AL475" s="4"/>
      <c r="AM475" s="4"/>
      <c r="AN475" s="4"/>
      <c r="AO475" s="4"/>
      <c r="AP475" s="4"/>
      <c r="AQ475" s="4"/>
      <c r="AR475" s="4"/>
      <c r="AS475" s="4"/>
      <c r="AT475" s="4"/>
      <c r="AU475" s="4"/>
      <c r="AV475" s="4"/>
      <c r="AW475" s="4"/>
      <c r="AX475" s="4"/>
      <c r="AY475" s="4"/>
      <c r="AZ475" s="4"/>
      <c r="BA475" s="4"/>
      <c r="BB475" s="4"/>
      <c r="BC475" s="4"/>
      <c r="BD475" s="4"/>
      <c r="BE475" s="4"/>
      <c r="BF475" s="4"/>
      <c r="BG475" s="4"/>
      <c r="BH475" s="4"/>
      <c r="BI475" s="4"/>
      <c r="BJ475" s="4"/>
      <c r="BK475" s="4"/>
      <c r="BL475" s="4"/>
      <c r="BM475" s="4"/>
      <c r="BN475" s="4"/>
      <c r="BO475" s="4"/>
      <c r="BP475" s="4"/>
      <c r="BQ475" s="4"/>
      <c r="BR475" s="4"/>
      <c r="BS475" s="4"/>
      <c r="BT475" s="4"/>
      <c r="BU475" s="4"/>
      <c r="BV475" s="4"/>
      <c r="BW475" s="4"/>
      <c r="BX475" s="4"/>
      <c r="BY475" s="4"/>
      <c r="BZ475" s="4"/>
      <c r="CA475" s="4"/>
      <c r="CB475" s="4"/>
      <c r="CC475" s="4"/>
      <c r="CD475" s="4"/>
      <c r="CE475" s="4"/>
      <c r="CF475" s="4"/>
      <c r="CG475" s="4"/>
      <c r="CH475" s="4"/>
      <c r="CI475" s="4"/>
      <c r="CJ475" s="4"/>
      <c r="CK475" s="4"/>
      <c r="CL475" s="4"/>
      <c r="CM475" s="4"/>
      <c r="CN475" s="4"/>
      <c r="CO475" s="4"/>
      <c r="CP475" s="4"/>
      <c r="CQ475" s="4"/>
      <c r="CR475" s="4"/>
      <c r="CS475" s="4"/>
      <c r="CT475" s="4"/>
      <c r="CU475" s="4"/>
      <c r="CV475" s="4"/>
      <c r="CW475" s="4"/>
      <c r="CX475" s="4"/>
      <c r="CY475" s="4"/>
      <c r="CZ475" s="4"/>
      <c r="DA475" s="4"/>
      <c r="DB475" s="4"/>
      <c r="DC475" s="4"/>
      <c r="DD475" s="4"/>
      <c r="DE475" s="4"/>
      <c r="DF475" s="4"/>
      <c r="DG475" s="4"/>
      <c r="DH475" s="4"/>
      <c r="DI475" s="4"/>
      <c r="DJ475" s="4"/>
      <c r="DK475" s="4"/>
      <c r="DL475" s="4"/>
      <c r="DM475" s="4"/>
      <c r="DN475" s="4"/>
      <c r="DO475" s="4"/>
      <c r="DP475" s="4"/>
      <c r="DQ475" s="4"/>
      <c r="DR475" s="4"/>
      <c r="DS475" s="4"/>
      <c r="DT475" s="4"/>
      <c r="DU475" s="4"/>
      <c r="DV475" s="4"/>
      <c r="DW475" s="4"/>
      <c r="DX475" s="4"/>
      <c r="DY475" s="4"/>
      <c r="DZ475" s="4"/>
      <c r="EA475" s="4"/>
      <c r="EB475" s="4"/>
      <c r="EC475" s="4"/>
      <c r="ED475" s="4"/>
      <c r="EE475" s="4"/>
      <c r="EF475" s="4"/>
      <c r="EG475" s="4"/>
      <c r="EH475" s="4"/>
      <c r="EI475" s="4"/>
      <c r="EJ475" s="4"/>
      <c r="EK475" s="4"/>
      <c r="EL475" s="4"/>
      <c r="EM475" s="4"/>
      <c r="EN475" s="4"/>
      <c r="EO475" s="4"/>
      <c r="EP475" s="4"/>
      <c r="EQ475" s="4"/>
      <c r="ER475" s="4"/>
      <c r="ES475" s="4"/>
      <c r="ET475" s="4"/>
      <c r="EU475" s="4"/>
      <c r="EV475" s="4"/>
      <c r="EW475" s="4"/>
      <c r="EX475" s="4"/>
      <c r="EY475" s="4"/>
      <c r="EZ475" s="4"/>
      <c r="FA475" s="4"/>
      <c r="FB475" s="4"/>
      <c r="FC475" s="4"/>
      <c r="FD475" s="4"/>
      <c r="FE475" s="4"/>
      <c r="FF475" s="4"/>
    </row>
    <row r="476" spans="1:162" x14ac:dyDescent="0.2">
      <c r="A476" s="2"/>
      <c r="B476" s="2"/>
      <c r="C476" s="2"/>
      <c r="D476" s="4"/>
      <c r="E476" s="4"/>
      <c r="F476" s="4"/>
      <c r="G476" s="4"/>
      <c r="H476" s="4"/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  <c r="AA476" s="4"/>
      <c r="AB476" s="4"/>
      <c r="AC476" s="4"/>
      <c r="AD476" s="4"/>
      <c r="AE476" s="4"/>
      <c r="AF476" s="4"/>
      <c r="AG476" s="4"/>
      <c r="AH476" s="4"/>
      <c r="AI476" s="4"/>
      <c r="AJ476" s="4"/>
      <c r="AK476" s="4"/>
      <c r="AL476" s="4"/>
      <c r="AM476" s="4"/>
      <c r="AN476" s="4"/>
      <c r="AO476" s="4"/>
      <c r="AP476" s="4"/>
      <c r="AQ476" s="4"/>
      <c r="AR476" s="4"/>
      <c r="AS476" s="4"/>
      <c r="AT476" s="4"/>
      <c r="AU476" s="4"/>
      <c r="AV476" s="4"/>
      <c r="AW476" s="4"/>
      <c r="AX476" s="4"/>
      <c r="AY476" s="4"/>
      <c r="AZ476" s="4"/>
      <c r="BA476" s="4"/>
      <c r="BB476" s="4"/>
      <c r="BC476" s="4"/>
      <c r="BD476" s="4"/>
      <c r="BE476" s="4"/>
      <c r="BF476" s="4"/>
      <c r="BG476" s="4"/>
      <c r="BH476" s="4"/>
      <c r="BI476" s="4"/>
      <c r="BJ476" s="4"/>
      <c r="BK476" s="4"/>
      <c r="BL476" s="4"/>
      <c r="BM476" s="4"/>
      <c r="BN476" s="4"/>
      <c r="BO476" s="4"/>
      <c r="BP476" s="4"/>
      <c r="BQ476" s="4"/>
      <c r="BR476" s="4"/>
      <c r="BS476" s="4"/>
      <c r="BT476" s="4"/>
      <c r="BU476" s="4"/>
      <c r="BV476" s="4"/>
      <c r="BW476" s="4"/>
      <c r="BX476" s="4"/>
      <c r="BY476" s="4"/>
      <c r="BZ476" s="4"/>
      <c r="CA476" s="4"/>
      <c r="CB476" s="4"/>
      <c r="CC476" s="4"/>
      <c r="CD476" s="4"/>
      <c r="CE476" s="4"/>
      <c r="CF476" s="4"/>
      <c r="CG476" s="4"/>
      <c r="CH476" s="4"/>
      <c r="CI476" s="4"/>
      <c r="CJ476" s="4"/>
      <c r="CK476" s="4"/>
      <c r="CL476" s="4"/>
      <c r="CM476" s="4"/>
      <c r="CN476" s="4"/>
      <c r="CO476" s="4"/>
      <c r="CP476" s="4"/>
      <c r="CQ476" s="4"/>
      <c r="CR476" s="4"/>
      <c r="CS476" s="4"/>
      <c r="CT476" s="4"/>
      <c r="CU476" s="4"/>
      <c r="CV476" s="4"/>
      <c r="CW476" s="4"/>
      <c r="CX476" s="4"/>
      <c r="CY476" s="4"/>
      <c r="CZ476" s="4"/>
      <c r="DA476" s="4"/>
      <c r="DB476" s="4"/>
      <c r="DC476" s="4"/>
      <c r="DD476" s="4"/>
      <c r="DE476" s="4"/>
      <c r="DF476" s="4"/>
      <c r="DG476" s="4"/>
      <c r="DH476" s="4"/>
      <c r="DI476" s="4"/>
      <c r="DJ476" s="4"/>
      <c r="DK476" s="4"/>
      <c r="DL476" s="4"/>
      <c r="DM476" s="4"/>
      <c r="DN476" s="4"/>
      <c r="DO476" s="4"/>
      <c r="DP476" s="4"/>
      <c r="DQ476" s="4"/>
      <c r="DR476" s="4"/>
      <c r="DS476" s="4"/>
      <c r="DT476" s="4"/>
      <c r="DU476" s="4"/>
      <c r="DV476" s="4"/>
      <c r="DW476" s="4"/>
      <c r="DX476" s="4"/>
      <c r="DY476" s="4"/>
      <c r="DZ476" s="4"/>
      <c r="EA476" s="4"/>
      <c r="EB476" s="4"/>
      <c r="EC476" s="4"/>
      <c r="ED476" s="4"/>
      <c r="EE476" s="4"/>
      <c r="EF476" s="4"/>
      <c r="EG476" s="4"/>
      <c r="EH476" s="4"/>
      <c r="EI476" s="4"/>
      <c r="EJ476" s="4"/>
      <c r="EK476" s="4"/>
      <c r="EL476" s="4"/>
      <c r="EM476" s="4"/>
      <c r="EN476" s="4"/>
      <c r="EO476" s="4"/>
      <c r="EP476" s="4"/>
      <c r="EQ476" s="4"/>
      <c r="ER476" s="4"/>
      <c r="ES476" s="4"/>
      <c r="ET476" s="4"/>
      <c r="EU476" s="4"/>
      <c r="EV476" s="4"/>
      <c r="EW476" s="4"/>
      <c r="EX476" s="4"/>
      <c r="EY476" s="4"/>
      <c r="EZ476" s="4"/>
      <c r="FA476" s="4"/>
      <c r="FB476" s="4"/>
      <c r="FC476" s="4"/>
      <c r="FD476" s="4"/>
      <c r="FE476" s="4"/>
      <c r="FF476" s="4"/>
    </row>
    <row r="477" spans="1:162" x14ac:dyDescent="0.2">
      <c r="A477" s="2"/>
      <c r="B477" s="2"/>
      <c r="C477" s="2"/>
      <c r="D477" s="4"/>
      <c r="E477" s="4"/>
      <c r="F477" s="4"/>
      <c r="G477" s="4"/>
      <c r="H477" s="4"/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  <c r="AA477" s="4"/>
      <c r="AB477" s="4"/>
      <c r="AC477" s="4"/>
      <c r="AD477" s="4"/>
      <c r="AE477" s="4"/>
      <c r="AF477" s="4"/>
      <c r="AG477" s="4"/>
      <c r="AH477" s="4"/>
      <c r="AI477" s="4"/>
      <c r="AJ477" s="4"/>
      <c r="AK477" s="4"/>
      <c r="AL477" s="4"/>
      <c r="AM477" s="4"/>
      <c r="AN477" s="4"/>
      <c r="AO477" s="4"/>
      <c r="AP477" s="4"/>
      <c r="AQ477" s="4"/>
      <c r="AR477" s="4"/>
      <c r="AS477" s="4"/>
      <c r="AT477" s="4"/>
      <c r="AU477" s="4"/>
      <c r="AV477" s="4"/>
      <c r="AW477" s="4"/>
      <c r="AX477" s="4"/>
      <c r="AY477" s="4"/>
      <c r="AZ477" s="4"/>
      <c r="BA477" s="4"/>
      <c r="BB477" s="4"/>
      <c r="BC477" s="4"/>
      <c r="BD477" s="4"/>
      <c r="BE477" s="4"/>
      <c r="BF477" s="4"/>
      <c r="BG477" s="4"/>
      <c r="BH477" s="4"/>
      <c r="BI477" s="4"/>
      <c r="BJ477" s="4"/>
      <c r="BK477" s="4"/>
      <c r="BL477" s="4"/>
      <c r="BM477" s="4"/>
      <c r="BN477" s="4"/>
      <c r="BO477" s="4"/>
      <c r="BP477" s="4"/>
      <c r="BQ477" s="4"/>
      <c r="BR477" s="4"/>
      <c r="BS477" s="4"/>
      <c r="BT477" s="4"/>
      <c r="BU477" s="4"/>
      <c r="BV477" s="4"/>
      <c r="BW477" s="4"/>
      <c r="BX477" s="4"/>
      <c r="BY477" s="4"/>
      <c r="BZ477" s="4"/>
      <c r="CA477" s="4"/>
      <c r="CB477" s="4"/>
      <c r="CC477" s="4"/>
      <c r="CD477" s="4"/>
      <c r="CE477" s="4"/>
      <c r="CF477" s="4"/>
      <c r="CG477" s="4"/>
      <c r="CH477" s="4"/>
      <c r="CI477" s="4"/>
      <c r="CJ477" s="4"/>
      <c r="CK477" s="4"/>
      <c r="CL477" s="4"/>
      <c r="CM477" s="4"/>
      <c r="CN477" s="4"/>
      <c r="CO477" s="4"/>
      <c r="CP477" s="4"/>
      <c r="CQ477" s="4"/>
      <c r="CR477" s="4"/>
      <c r="CS477" s="4"/>
      <c r="CT477" s="4"/>
      <c r="CU477" s="4"/>
      <c r="CV477" s="4"/>
      <c r="CW477" s="4"/>
      <c r="CX477" s="4"/>
      <c r="CY477" s="4"/>
      <c r="CZ477" s="4"/>
      <c r="DA477" s="4"/>
      <c r="DB477" s="4"/>
      <c r="DC477" s="4"/>
      <c r="DD477" s="4"/>
      <c r="DE477" s="4"/>
      <c r="DF477" s="4"/>
      <c r="DG477" s="4"/>
      <c r="DH477" s="4"/>
      <c r="DI477" s="4"/>
      <c r="DJ477" s="4"/>
      <c r="DK477" s="4"/>
      <c r="DL477" s="4"/>
      <c r="DM477" s="4"/>
      <c r="DN477" s="4"/>
      <c r="DO477" s="4"/>
      <c r="DP477" s="4"/>
      <c r="DQ477" s="4"/>
      <c r="DR477" s="4"/>
      <c r="DS477" s="4"/>
      <c r="DT477" s="4"/>
      <c r="DU477" s="4"/>
      <c r="DV477" s="4"/>
      <c r="DW477" s="4"/>
      <c r="DX477" s="4"/>
      <c r="DY477" s="4"/>
      <c r="DZ477" s="4"/>
      <c r="EA477" s="4"/>
      <c r="EB477" s="4"/>
      <c r="EC477" s="4"/>
      <c r="ED477" s="4"/>
      <c r="EE477" s="4"/>
      <c r="EF477" s="4"/>
      <c r="EG477" s="4"/>
      <c r="EH477" s="4"/>
      <c r="EI477" s="4"/>
      <c r="EJ477" s="4"/>
      <c r="EK477" s="4"/>
      <c r="EL477" s="4"/>
      <c r="EM477" s="4"/>
      <c r="EN477" s="4"/>
      <c r="EO477" s="4"/>
      <c r="EP477" s="4"/>
      <c r="EQ477" s="4"/>
      <c r="ER477" s="4"/>
      <c r="ES477" s="4"/>
      <c r="ET477" s="4"/>
      <c r="EU477" s="4"/>
      <c r="EV477" s="4"/>
      <c r="EW477" s="4"/>
      <c r="EX477" s="4"/>
      <c r="EY477" s="4"/>
      <c r="EZ477" s="4"/>
      <c r="FA477" s="4"/>
      <c r="FB477" s="4"/>
      <c r="FC477" s="4"/>
      <c r="FD477" s="4"/>
      <c r="FE477" s="4"/>
      <c r="FF477" s="4"/>
    </row>
    <row r="478" spans="1:162" x14ac:dyDescent="0.2">
      <c r="A478" s="2"/>
      <c r="B478" s="2"/>
      <c r="C478" s="2"/>
      <c r="D478" s="4"/>
      <c r="E478" s="4"/>
      <c r="F478" s="4"/>
      <c r="G478" s="4"/>
      <c r="H478" s="4"/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  <c r="AA478" s="4"/>
      <c r="AB478" s="4"/>
      <c r="AC478" s="4"/>
      <c r="AD478" s="4"/>
      <c r="AE478" s="4"/>
      <c r="AF478" s="4"/>
      <c r="AG478" s="4"/>
      <c r="AH478" s="4"/>
      <c r="AI478" s="4"/>
      <c r="AJ478" s="4"/>
      <c r="AK478" s="4"/>
      <c r="AL478" s="4"/>
      <c r="AM478" s="4"/>
      <c r="AN478" s="4"/>
      <c r="AO478" s="4"/>
      <c r="AP478" s="4"/>
      <c r="AQ478" s="4"/>
      <c r="AR478" s="4"/>
      <c r="AS478" s="4"/>
      <c r="AT478" s="4"/>
      <c r="AU478" s="4"/>
      <c r="AV478" s="4"/>
      <c r="AW478" s="4"/>
      <c r="AX478" s="4"/>
      <c r="AY478" s="4"/>
      <c r="AZ478" s="4"/>
      <c r="BA478" s="4"/>
      <c r="BB478" s="4"/>
      <c r="BC478" s="4"/>
      <c r="BD478" s="4"/>
      <c r="BE478" s="4"/>
      <c r="BF478" s="4"/>
      <c r="BG478" s="4"/>
      <c r="BH478" s="4"/>
      <c r="BI478" s="4"/>
      <c r="BJ478" s="4"/>
      <c r="BK478" s="4"/>
      <c r="BL478" s="4"/>
      <c r="BM478" s="4"/>
      <c r="BN478" s="4"/>
      <c r="BO478" s="4"/>
      <c r="BP478" s="4"/>
      <c r="BQ478" s="4"/>
      <c r="BR478" s="4"/>
      <c r="BS478" s="4"/>
      <c r="BT478" s="4"/>
      <c r="BU478" s="4"/>
      <c r="BV478" s="4"/>
      <c r="BW478" s="4"/>
      <c r="BX478" s="4"/>
      <c r="BY478" s="4"/>
      <c r="BZ478" s="4"/>
      <c r="CA478" s="4"/>
      <c r="CB478" s="4"/>
      <c r="CC478" s="4"/>
      <c r="CD478" s="4"/>
      <c r="CE478" s="4"/>
      <c r="CF478" s="4"/>
      <c r="CG478" s="4"/>
      <c r="CH478" s="4"/>
      <c r="CI478" s="4"/>
      <c r="CJ478" s="4"/>
      <c r="CK478" s="4"/>
      <c r="CL478" s="4"/>
      <c r="CM478" s="4"/>
      <c r="CN478" s="4"/>
      <c r="CO478" s="4"/>
      <c r="CP478" s="4"/>
      <c r="CQ478" s="4"/>
      <c r="CR478" s="4"/>
      <c r="CS478" s="4"/>
      <c r="CT478" s="4"/>
      <c r="CU478" s="4"/>
      <c r="CV478" s="4"/>
      <c r="CW478" s="4"/>
      <c r="CX478" s="4"/>
      <c r="CY478" s="4"/>
      <c r="CZ478" s="4"/>
      <c r="DA478" s="4"/>
      <c r="DB478" s="4"/>
      <c r="DC478" s="4"/>
      <c r="DD478" s="4"/>
      <c r="DE478" s="4"/>
      <c r="DF478" s="4"/>
      <c r="DG478" s="4"/>
      <c r="DH478" s="4"/>
      <c r="DI478" s="4"/>
      <c r="DJ478" s="4"/>
      <c r="DK478" s="4"/>
      <c r="DL478" s="4"/>
      <c r="DM478" s="4"/>
      <c r="DN478" s="4"/>
      <c r="DO478" s="4"/>
      <c r="DP478" s="4"/>
      <c r="DQ478" s="4"/>
      <c r="DR478" s="4"/>
      <c r="DS478" s="4"/>
      <c r="DT478" s="4"/>
      <c r="DU478" s="4"/>
      <c r="DV478" s="4"/>
      <c r="DW478" s="4"/>
      <c r="DX478" s="4"/>
      <c r="DY478" s="4"/>
      <c r="DZ478" s="4"/>
      <c r="EA478" s="4"/>
      <c r="EB478" s="4"/>
      <c r="EC478" s="4"/>
      <c r="ED478" s="4"/>
      <c r="EE478" s="4"/>
      <c r="EF478" s="4"/>
      <c r="EG478" s="4"/>
      <c r="EH478" s="4"/>
      <c r="EI478" s="4"/>
      <c r="EJ478" s="4"/>
      <c r="EK478" s="4"/>
      <c r="EL478" s="4"/>
      <c r="EM478" s="4"/>
      <c r="EN478" s="4"/>
      <c r="EO478" s="4"/>
      <c r="EP478" s="4"/>
      <c r="EQ478" s="4"/>
      <c r="ER478" s="4"/>
      <c r="ES478" s="4"/>
      <c r="ET478" s="4"/>
      <c r="EU478" s="4"/>
      <c r="EV478" s="4"/>
      <c r="EW478" s="4"/>
      <c r="EX478" s="4"/>
      <c r="EY478" s="4"/>
      <c r="EZ478" s="4"/>
      <c r="FA478" s="4"/>
      <c r="FB478" s="4"/>
      <c r="FC478" s="4"/>
      <c r="FD478" s="4"/>
      <c r="FE478" s="4"/>
      <c r="FF478" s="4"/>
    </row>
    <row r="479" spans="1:162" x14ac:dyDescent="0.2">
      <c r="A479" s="2"/>
      <c r="B479" s="2"/>
      <c r="C479" s="2"/>
      <c r="D479" s="4"/>
      <c r="E479" s="4"/>
      <c r="F479" s="4"/>
      <c r="G479" s="4"/>
      <c r="H479" s="4"/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  <c r="AA479" s="4"/>
      <c r="AB479" s="4"/>
      <c r="AC479" s="4"/>
      <c r="AD479" s="4"/>
      <c r="AE479" s="4"/>
      <c r="AF479" s="4"/>
      <c r="AG479" s="4"/>
      <c r="AH479" s="4"/>
      <c r="AI479" s="4"/>
      <c r="AJ479" s="4"/>
      <c r="AK479" s="4"/>
      <c r="AL479" s="4"/>
      <c r="AM479" s="4"/>
      <c r="AN479" s="4"/>
      <c r="AO479" s="4"/>
      <c r="AP479" s="4"/>
      <c r="AQ479" s="4"/>
      <c r="AR479" s="4"/>
      <c r="AS479" s="4"/>
      <c r="AT479" s="4"/>
      <c r="AU479" s="4"/>
      <c r="AV479" s="4"/>
      <c r="AW479" s="4"/>
      <c r="AX479" s="4"/>
      <c r="AY479" s="4"/>
      <c r="AZ479" s="4"/>
      <c r="BA479" s="4"/>
      <c r="BB479" s="4"/>
      <c r="BC479" s="4"/>
      <c r="BD479" s="4"/>
      <c r="BE479" s="4"/>
      <c r="BF479" s="4"/>
      <c r="BG479" s="4"/>
      <c r="BH479" s="4"/>
      <c r="BI479" s="4"/>
      <c r="BJ479" s="4"/>
      <c r="BK479" s="4"/>
      <c r="BL479" s="4"/>
      <c r="BM479" s="4"/>
      <c r="BN479" s="4"/>
      <c r="BO479" s="4"/>
      <c r="BP479" s="4"/>
      <c r="BQ479" s="4"/>
      <c r="BR479" s="4"/>
      <c r="BS479" s="4"/>
      <c r="BT479" s="4"/>
      <c r="BU479" s="4"/>
      <c r="BV479" s="4"/>
      <c r="BW479" s="4"/>
      <c r="BX479" s="4"/>
      <c r="BY479" s="4"/>
      <c r="BZ479" s="4"/>
      <c r="CA479" s="4"/>
      <c r="CB479" s="4"/>
      <c r="CC479" s="4"/>
      <c r="CD479" s="4"/>
      <c r="CE479" s="4"/>
      <c r="CF479" s="4"/>
      <c r="CG479" s="4"/>
      <c r="CH479" s="4"/>
      <c r="CI479" s="4"/>
      <c r="CJ479" s="4"/>
      <c r="CK479" s="4"/>
      <c r="CL479" s="4"/>
      <c r="CM479" s="4"/>
      <c r="CN479" s="4"/>
      <c r="CO479" s="4"/>
      <c r="CP479" s="4"/>
      <c r="CQ479" s="4"/>
      <c r="CR479" s="4"/>
      <c r="CS479" s="4"/>
      <c r="CT479" s="4"/>
      <c r="CU479" s="4"/>
      <c r="CV479" s="4"/>
      <c r="CW479" s="4"/>
      <c r="CX479" s="4"/>
      <c r="CY479" s="4"/>
      <c r="CZ479" s="4"/>
      <c r="DA479" s="4"/>
      <c r="DB479" s="4"/>
      <c r="DC479" s="4"/>
      <c r="DD479" s="4"/>
      <c r="DE479" s="4"/>
      <c r="DF479" s="4"/>
      <c r="DG479" s="4"/>
      <c r="DH479" s="4"/>
      <c r="DI479" s="4"/>
      <c r="DJ479" s="4"/>
      <c r="DK479" s="4"/>
      <c r="DL479" s="4"/>
      <c r="DM479" s="4"/>
      <c r="DN479" s="4"/>
      <c r="DO479" s="4"/>
      <c r="DP479" s="4"/>
      <c r="DQ479" s="4"/>
      <c r="DR479" s="4"/>
      <c r="DS479" s="4"/>
      <c r="DT479" s="4"/>
      <c r="DU479" s="4"/>
      <c r="DV479" s="4"/>
      <c r="DW479" s="4"/>
      <c r="DX479" s="4"/>
      <c r="DY479" s="4"/>
      <c r="DZ479" s="4"/>
      <c r="EA479" s="4"/>
      <c r="EB479" s="4"/>
      <c r="EC479" s="4"/>
      <c r="ED479" s="4"/>
      <c r="EE479" s="4"/>
      <c r="EF479" s="4"/>
      <c r="EG479" s="4"/>
      <c r="EH479" s="4"/>
      <c r="EI479" s="4"/>
      <c r="EJ479" s="4"/>
      <c r="EK479" s="4"/>
      <c r="EL479" s="4"/>
      <c r="EM479" s="4"/>
      <c r="EN479" s="4"/>
      <c r="EO479" s="4"/>
      <c r="EP479" s="4"/>
      <c r="EQ479" s="4"/>
      <c r="ER479" s="4"/>
      <c r="ES479" s="4"/>
      <c r="ET479" s="4"/>
      <c r="EU479" s="4"/>
      <c r="EV479" s="4"/>
      <c r="EW479" s="4"/>
      <c r="EX479" s="4"/>
      <c r="EY479" s="4"/>
      <c r="EZ479" s="4"/>
      <c r="FA479" s="4"/>
      <c r="FB479" s="4"/>
      <c r="FC479" s="4"/>
      <c r="FD479" s="4"/>
      <c r="FE479" s="4"/>
      <c r="FF479" s="4"/>
    </row>
    <row r="480" spans="1:162" x14ac:dyDescent="0.2">
      <c r="A480" s="2"/>
      <c r="B480" s="2"/>
      <c r="C480" s="2"/>
      <c r="D480" s="4"/>
      <c r="E480" s="4"/>
      <c r="F480" s="4"/>
      <c r="G480" s="4"/>
      <c r="H480" s="4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  <c r="AA480" s="4"/>
      <c r="AB480" s="4"/>
      <c r="AC480" s="4"/>
      <c r="AD480" s="4"/>
      <c r="AE480" s="4"/>
      <c r="AF480" s="4"/>
      <c r="AG480" s="4"/>
      <c r="AH480" s="4"/>
      <c r="AI480" s="4"/>
      <c r="AJ480" s="4"/>
      <c r="AK480" s="4"/>
      <c r="AL480" s="4"/>
      <c r="AM480" s="4"/>
      <c r="AN480" s="4"/>
      <c r="AO480" s="4"/>
      <c r="AP480" s="4"/>
      <c r="AQ480" s="4"/>
      <c r="AR480" s="4"/>
      <c r="AS480" s="4"/>
      <c r="AT480" s="4"/>
      <c r="AU480" s="4"/>
      <c r="AV480" s="4"/>
      <c r="AW480" s="4"/>
      <c r="AX480" s="4"/>
      <c r="AY480" s="4"/>
      <c r="AZ480" s="4"/>
      <c r="BA480" s="4"/>
      <c r="BB480" s="4"/>
      <c r="BC480" s="4"/>
      <c r="BD480" s="4"/>
      <c r="BE480" s="4"/>
      <c r="BF480" s="4"/>
      <c r="BG480" s="4"/>
      <c r="BH480" s="4"/>
      <c r="BI480" s="4"/>
      <c r="BJ480" s="4"/>
      <c r="BK480" s="4"/>
      <c r="BL480" s="4"/>
      <c r="BM480" s="4"/>
      <c r="BN480" s="4"/>
      <c r="BO480" s="4"/>
      <c r="BP480" s="4"/>
      <c r="BQ480" s="4"/>
      <c r="BR480" s="4"/>
      <c r="BS480" s="4"/>
      <c r="BT480" s="4"/>
      <c r="BU480" s="4"/>
      <c r="BV480" s="4"/>
      <c r="BW480" s="4"/>
      <c r="BX480" s="4"/>
      <c r="BY480" s="4"/>
      <c r="BZ480" s="4"/>
      <c r="CA480" s="4"/>
      <c r="CB480" s="4"/>
      <c r="CC480" s="4"/>
      <c r="CD480" s="4"/>
      <c r="CE480" s="4"/>
      <c r="CF480" s="4"/>
      <c r="CG480" s="4"/>
      <c r="CH480" s="4"/>
      <c r="CI480" s="4"/>
      <c r="CJ480" s="4"/>
      <c r="CK480" s="4"/>
      <c r="CL480" s="4"/>
      <c r="CM480" s="4"/>
      <c r="CN480" s="4"/>
      <c r="CO480" s="4"/>
      <c r="CP480" s="4"/>
      <c r="CQ480" s="4"/>
      <c r="CR480" s="4"/>
      <c r="CS480" s="4"/>
      <c r="CT480" s="4"/>
      <c r="CU480" s="4"/>
      <c r="CV480" s="4"/>
      <c r="CW480" s="4"/>
      <c r="CX480" s="4"/>
      <c r="CY480" s="4"/>
      <c r="CZ480" s="4"/>
      <c r="DA480" s="4"/>
      <c r="DB480" s="4"/>
      <c r="DC480" s="4"/>
      <c r="DD480" s="4"/>
      <c r="DE480" s="4"/>
      <c r="DF480" s="4"/>
      <c r="DG480" s="4"/>
      <c r="DH480" s="4"/>
      <c r="DI480" s="4"/>
      <c r="DJ480" s="4"/>
      <c r="DK480" s="4"/>
      <c r="DL480" s="4"/>
      <c r="DM480" s="4"/>
      <c r="DN480" s="4"/>
      <c r="DO480" s="4"/>
      <c r="DP480" s="4"/>
      <c r="DQ480" s="4"/>
      <c r="DR480" s="4"/>
      <c r="DS480" s="4"/>
      <c r="DT480" s="4"/>
      <c r="DU480" s="4"/>
      <c r="DV480" s="4"/>
      <c r="DW480" s="4"/>
      <c r="DX480" s="4"/>
      <c r="DY480" s="4"/>
      <c r="DZ480" s="4"/>
      <c r="EA480" s="4"/>
      <c r="EB480" s="4"/>
      <c r="EC480" s="4"/>
      <c r="ED480" s="4"/>
      <c r="EE480" s="4"/>
      <c r="EF480" s="4"/>
      <c r="EG480" s="4"/>
      <c r="EH480" s="4"/>
      <c r="EI480" s="4"/>
      <c r="EJ480" s="4"/>
      <c r="EK480" s="4"/>
      <c r="EL480" s="4"/>
      <c r="EM480" s="4"/>
      <c r="EN480" s="4"/>
      <c r="EO480" s="4"/>
      <c r="EP480" s="4"/>
      <c r="EQ480" s="4"/>
      <c r="ER480" s="4"/>
      <c r="ES480" s="4"/>
      <c r="ET480" s="4"/>
      <c r="EU480" s="4"/>
      <c r="EV480" s="4"/>
      <c r="EW480" s="4"/>
      <c r="EX480" s="4"/>
      <c r="EY480" s="4"/>
      <c r="EZ480" s="4"/>
      <c r="FA480" s="4"/>
      <c r="FB480" s="4"/>
      <c r="FC480" s="4"/>
      <c r="FD480" s="4"/>
      <c r="FE480" s="4"/>
      <c r="FF480" s="4"/>
    </row>
    <row r="481" spans="1:162" x14ac:dyDescent="0.2">
      <c r="A481" s="2"/>
      <c r="B481" s="2"/>
      <c r="C481" s="2"/>
      <c r="D481" s="4"/>
      <c r="E481" s="4"/>
      <c r="F481" s="4"/>
      <c r="G481" s="4"/>
      <c r="H481" s="4"/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  <c r="AA481" s="4"/>
      <c r="AB481" s="4"/>
      <c r="AC481" s="4"/>
      <c r="AD481" s="4"/>
      <c r="AE481" s="4"/>
      <c r="AF481" s="4"/>
      <c r="AG481" s="4"/>
      <c r="AH481" s="4"/>
      <c r="AI481" s="4"/>
      <c r="AJ481" s="4"/>
      <c r="AK481" s="4"/>
      <c r="AL481" s="4"/>
      <c r="AM481" s="4"/>
      <c r="AN481" s="4"/>
      <c r="AO481" s="4"/>
      <c r="AP481" s="4"/>
      <c r="AQ481" s="4"/>
      <c r="AR481" s="4"/>
      <c r="AS481" s="4"/>
      <c r="AT481" s="4"/>
      <c r="AU481" s="4"/>
      <c r="AV481" s="4"/>
      <c r="AW481" s="4"/>
      <c r="AX481" s="4"/>
      <c r="AY481" s="4"/>
      <c r="AZ481" s="4"/>
      <c r="BA481" s="4"/>
      <c r="BB481" s="4"/>
      <c r="BC481" s="4"/>
      <c r="BD481" s="4"/>
      <c r="BE481" s="4"/>
      <c r="BF481" s="4"/>
      <c r="BG481" s="4"/>
      <c r="BH481" s="4"/>
      <c r="BI481" s="4"/>
      <c r="BJ481" s="4"/>
      <c r="BK481" s="4"/>
      <c r="BL481" s="4"/>
      <c r="BM481" s="4"/>
      <c r="BN481" s="4"/>
      <c r="BO481" s="4"/>
      <c r="BP481" s="4"/>
      <c r="BQ481" s="4"/>
      <c r="BR481" s="4"/>
      <c r="BS481" s="4"/>
      <c r="BT481" s="4"/>
      <c r="BU481" s="4"/>
      <c r="BV481" s="4"/>
      <c r="BW481" s="4"/>
      <c r="BX481" s="4"/>
      <c r="BY481" s="4"/>
      <c r="BZ481" s="4"/>
      <c r="CA481" s="4"/>
      <c r="CB481" s="4"/>
      <c r="CC481" s="4"/>
      <c r="CD481" s="4"/>
      <c r="CE481" s="4"/>
      <c r="CF481" s="4"/>
      <c r="CG481" s="4"/>
      <c r="CH481" s="4"/>
      <c r="CI481" s="4"/>
      <c r="CJ481" s="4"/>
      <c r="CK481" s="4"/>
      <c r="CL481" s="4"/>
      <c r="CM481" s="4"/>
      <c r="CN481" s="4"/>
      <c r="CO481" s="4"/>
      <c r="CP481" s="4"/>
      <c r="CQ481" s="4"/>
      <c r="CR481" s="4"/>
      <c r="CS481" s="4"/>
      <c r="CT481" s="4"/>
      <c r="CU481" s="4"/>
      <c r="CV481" s="4"/>
      <c r="CW481" s="4"/>
      <c r="CX481" s="4"/>
      <c r="CY481" s="4"/>
      <c r="CZ481" s="4"/>
      <c r="DA481" s="4"/>
      <c r="DB481" s="4"/>
      <c r="DC481" s="4"/>
      <c r="DD481" s="4"/>
      <c r="DE481" s="4"/>
      <c r="DF481" s="4"/>
      <c r="DG481" s="4"/>
      <c r="DH481" s="4"/>
      <c r="DI481" s="4"/>
      <c r="DJ481" s="4"/>
      <c r="DK481" s="4"/>
      <c r="DL481" s="4"/>
      <c r="DM481" s="4"/>
      <c r="DN481" s="4"/>
      <c r="DO481" s="4"/>
      <c r="DP481" s="4"/>
      <c r="DQ481" s="4"/>
      <c r="DR481" s="4"/>
      <c r="DS481" s="4"/>
      <c r="DT481" s="4"/>
      <c r="DU481" s="4"/>
      <c r="DV481" s="4"/>
      <c r="DW481" s="4"/>
      <c r="DX481" s="4"/>
      <c r="DY481" s="4"/>
      <c r="DZ481" s="4"/>
      <c r="EA481" s="4"/>
      <c r="EB481" s="4"/>
      <c r="EC481" s="4"/>
      <c r="ED481" s="4"/>
      <c r="EE481" s="4"/>
      <c r="EF481" s="4"/>
      <c r="EG481" s="4"/>
      <c r="EH481" s="4"/>
      <c r="EI481" s="4"/>
      <c r="EJ481" s="4"/>
      <c r="EK481" s="4"/>
      <c r="EL481" s="4"/>
      <c r="EM481" s="4"/>
      <c r="EN481" s="4"/>
      <c r="EO481" s="4"/>
      <c r="EP481" s="4"/>
      <c r="EQ481" s="4"/>
      <c r="ER481" s="4"/>
      <c r="ES481" s="4"/>
      <c r="ET481" s="4"/>
      <c r="EU481" s="4"/>
      <c r="EV481" s="4"/>
      <c r="EW481" s="4"/>
      <c r="EX481" s="4"/>
      <c r="EY481" s="4"/>
      <c r="EZ481" s="4"/>
      <c r="FA481" s="4"/>
      <c r="FB481" s="4"/>
      <c r="FC481" s="4"/>
      <c r="FD481" s="4"/>
      <c r="FE481" s="4"/>
      <c r="FF481" s="4"/>
    </row>
    <row r="482" spans="1:162" x14ac:dyDescent="0.2">
      <c r="A482" s="2"/>
      <c r="B482" s="2"/>
      <c r="C482" s="2"/>
      <c r="D482" s="4"/>
      <c r="E482" s="4"/>
      <c r="F482" s="4"/>
      <c r="G482" s="4"/>
      <c r="H482" s="4"/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  <c r="AA482" s="4"/>
      <c r="AB482" s="4"/>
      <c r="AC482" s="4"/>
      <c r="AD482" s="4"/>
      <c r="AE482" s="4"/>
      <c r="AF482" s="4"/>
      <c r="AG482" s="4"/>
      <c r="AH482" s="4"/>
      <c r="AI482" s="4"/>
      <c r="AJ482" s="4"/>
      <c r="AK482" s="4"/>
      <c r="AL482" s="4"/>
      <c r="AM482" s="4"/>
      <c r="AN482" s="4"/>
      <c r="AO482" s="4"/>
      <c r="AP482" s="4"/>
      <c r="AQ482" s="4"/>
      <c r="AR482" s="4"/>
      <c r="AS482" s="4"/>
      <c r="AT482" s="4"/>
      <c r="AU482" s="4"/>
      <c r="AV482" s="4"/>
      <c r="AW482" s="4"/>
      <c r="AX482" s="4"/>
      <c r="AY482" s="4"/>
      <c r="AZ482" s="4"/>
      <c r="BA482" s="4"/>
      <c r="BB482" s="4"/>
      <c r="BC482" s="4"/>
      <c r="BD482" s="4"/>
      <c r="BE482" s="4"/>
      <c r="BF482" s="4"/>
      <c r="BG482" s="4"/>
      <c r="BH482" s="4"/>
      <c r="BI482" s="4"/>
      <c r="BJ482" s="4"/>
      <c r="BK482" s="4"/>
      <c r="BL482" s="4"/>
      <c r="BM482" s="4"/>
      <c r="BN482" s="4"/>
      <c r="BO482" s="4"/>
      <c r="BP482" s="4"/>
      <c r="BQ482" s="4"/>
      <c r="BR482" s="4"/>
      <c r="BS482" s="4"/>
      <c r="BT482" s="4"/>
      <c r="BU482" s="4"/>
      <c r="BV482" s="4"/>
      <c r="BW482" s="4"/>
      <c r="BX482" s="4"/>
      <c r="BY482" s="4"/>
      <c r="BZ482" s="4"/>
      <c r="CA482" s="4"/>
      <c r="CB482" s="4"/>
      <c r="CC482" s="4"/>
      <c r="CD482" s="4"/>
      <c r="CE482" s="4"/>
      <c r="CF482" s="4"/>
      <c r="CG482" s="4"/>
      <c r="CH482" s="4"/>
      <c r="CI482" s="4"/>
      <c r="CJ482" s="4"/>
      <c r="CK482" s="4"/>
      <c r="CL482" s="4"/>
      <c r="CM482" s="4"/>
      <c r="CN482" s="4"/>
      <c r="CO482" s="4"/>
      <c r="CP482" s="4"/>
      <c r="CQ482" s="4"/>
      <c r="CR482" s="4"/>
      <c r="CS482" s="4"/>
      <c r="CT482" s="4"/>
      <c r="CU482" s="4"/>
      <c r="CV482" s="4"/>
      <c r="CW482" s="4"/>
      <c r="CX482" s="4"/>
      <c r="CY482" s="4"/>
      <c r="CZ482" s="4"/>
      <c r="DA482" s="4"/>
      <c r="DB482" s="4"/>
      <c r="DC482" s="4"/>
      <c r="DD482" s="4"/>
      <c r="DE482" s="4"/>
      <c r="DF482" s="4"/>
      <c r="DG482" s="4"/>
      <c r="DH482" s="4"/>
      <c r="DI482" s="4"/>
      <c r="DJ482" s="4"/>
      <c r="DK482" s="4"/>
      <c r="DL482" s="4"/>
      <c r="DM482" s="4"/>
      <c r="DN482" s="4"/>
      <c r="DO482" s="4"/>
      <c r="DP482" s="4"/>
      <c r="DQ482" s="4"/>
      <c r="DR482" s="4"/>
      <c r="DS482" s="4"/>
      <c r="DT482" s="4"/>
      <c r="DU482" s="4"/>
      <c r="DV482" s="4"/>
      <c r="DW482" s="4"/>
      <c r="DX482" s="4"/>
      <c r="DY482" s="4"/>
      <c r="DZ482" s="4"/>
      <c r="EA482" s="4"/>
      <c r="EB482" s="4"/>
      <c r="EC482" s="4"/>
      <c r="ED482" s="4"/>
      <c r="EE482" s="4"/>
      <c r="EF482" s="4"/>
      <c r="EG482" s="4"/>
      <c r="EH482" s="4"/>
      <c r="EI482" s="4"/>
      <c r="EJ482" s="4"/>
      <c r="EK482" s="4"/>
      <c r="EL482" s="4"/>
      <c r="EM482" s="4"/>
      <c r="EN482" s="4"/>
      <c r="EO482" s="4"/>
      <c r="EP482" s="4"/>
      <c r="EQ482" s="4"/>
      <c r="ER482" s="4"/>
      <c r="ES482" s="4"/>
      <c r="ET482" s="4"/>
      <c r="EU482" s="4"/>
      <c r="EV482" s="4"/>
      <c r="EW482" s="4"/>
      <c r="EX482" s="4"/>
      <c r="EY482" s="4"/>
      <c r="EZ482" s="4"/>
      <c r="FA482" s="4"/>
      <c r="FB482" s="4"/>
      <c r="FC482" s="4"/>
      <c r="FD482" s="4"/>
      <c r="FE482" s="4"/>
      <c r="FF482" s="4"/>
    </row>
    <row r="483" spans="1:162" x14ac:dyDescent="0.2">
      <c r="A483" s="2"/>
      <c r="B483" s="2"/>
      <c r="C483" s="2"/>
      <c r="D483" s="4"/>
      <c r="E483" s="4"/>
      <c r="F483" s="4"/>
      <c r="G483" s="4"/>
      <c r="H483" s="4"/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  <c r="AA483" s="4"/>
      <c r="AB483" s="4"/>
      <c r="AC483" s="4"/>
      <c r="AD483" s="4"/>
      <c r="AE483" s="4"/>
      <c r="AF483" s="4"/>
      <c r="AG483" s="4"/>
      <c r="AH483" s="4"/>
      <c r="AI483" s="4"/>
      <c r="AJ483" s="4"/>
      <c r="AK483" s="4"/>
      <c r="AL483" s="4"/>
      <c r="AM483" s="4"/>
      <c r="AN483" s="4"/>
      <c r="AO483" s="4"/>
      <c r="AP483" s="4"/>
      <c r="AQ483" s="4"/>
      <c r="AR483" s="4"/>
      <c r="AS483" s="4"/>
      <c r="AT483" s="4"/>
      <c r="AU483" s="4"/>
      <c r="AV483" s="4"/>
      <c r="AW483" s="4"/>
      <c r="AX483" s="4"/>
      <c r="AY483" s="4"/>
      <c r="AZ483" s="4"/>
      <c r="BA483" s="4"/>
      <c r="BB483" s="4"/>
      <c r="BC483" s="4"/>
      <c r="BD483" s="4"/>
      <c r="BE483" s="4"/>
      <c r="BF483" s="4"/>
      <c r="BG483" s="4"/>
      <c r="BH483" s="4"/>
      <c r="BI483" s="4"/>
      <c r="BJ483" s="4"/>
      <c r="BK483" s="4"/>
      <c r="BL483" s="4"/>
      <c r="BM483" s="4"/>
      <c r="BN483" s="4"/>
      <c r="BO483" s="4"/>
      <c r="BP483" s="4"/>
      <c r="BQ483" s="4"/>
      <c r="BR483" s="4"/>
      <c r="BS483" s="4"/>
      <c r="BT483" s="4"/>
      <c r="BU483" s="4"/>
      <c r="BV483" s="4"/>
      <c r="BW483" s="4"/>
      <c r="BX483" s="4"/>
      <c r="BY483" s="4"/>
      <c r="BZ483" s="4"/>
      <c r="CA483" s="4"/>
      <c r="CB483" s="4"/>
      <c r="CC483" s="4"/>
      <c r="CD483" s="4"/>
      <c r="CE483" s="4"/>
      <c r="CF483" s="4"/>
      <c r="CG483" s="4"/>
      <c r="CH483" s="4"/>
      <c r="CI483" s="4"/>
      <c r="CJ483" s="4"/>
      <c r="CK483" s="4"/>
      <c r="CL483" s="4"/>
      <c r="CM483" s="4"/>
      <c r="CN483" s="4"/>
      <c r="CO483" s="4"/>
      <c r="CP483" s="4"/>
      <c r="CQ483" s="4"/>
      <c r="CR483" s="4"/>
      <c r="CS483" s="4"/>
      <c r="CT483" s="4"/>
      <c r="CU483" s="4"/>
      <c r="CV483" s="4"/>
      <c r="CW483" s="4"/>
      <c r="CX483" s="4"/>
      <c r="CY483" s="4"/>
      <c r="CZ483" s="4"/>
      <c r="DA483" s="4"/>
      <c r="DB483" s="4"/>
      <c r="DC483" s="4"/>
      <c r="DD483" s="4"/>
      <c r="DE483" s="4"/>
      <c r="DF483" s="4"/>
      <c r="DG483" s="4"/>
      <c r="DH483" s="4"/>
      <c r="DI483" s="4"/>
      <c r="DJ483" s="4"/>
      <c r="DK483" s="4"/>
      <c r="DL483" s="4"/>
      <c r="DM483" s="4"/>
      <c r="DN483" s="4"/>
      <c r="DO483" s="4"/>
      <c r="DP483" s="4"/>
      <c r="DQ483" s="4"/>
      <c r="DR483" s="4"/>
      <c r="DS483" s="4"/>
      <c r="DT483" s="4"/>
      <c r="DU483" s="4"/>
      <c r="DV483" s="4"/>
      <c r="DW483" s="4"/>
      <c r="DX483" s="4"/>
      <c r="DY483" s="4"/>
      <c r="DZ483" s="4"/>
      <c r="EA483" s="4"/>
      <c r="EB483" s="4"/>
      <c r="EC483" s="4"/>
      <c r="ED483" s="4"/>
      <c r="EE483" s="4"/>
      <c r="EF483" s="4"/>
      <c r="EG483" s="4"/>
      <c r="EH483" s="4"/>
      <c r="EI483" s="4"/>
      <c r="EJ483" s="4"/>
      <c r="EK483" s="4"/>
      <c r="EL483" s="4"/>
      <c r="EM483" s="4"/>
      <c r="EN483" s="4"/>
      <c r="EO483" s="4"/>
      <c r="EP483" s="4"/>
      <c r="EQ483" s="4"/>
      <c r="ER483" s="4"/>
      <c r="ES483" s="4"/>
      <c r="ET483" s="4"/>
      <c r="EU483" s="4"/>
      <c r="EV483" s="4"/>
      <c r="EW483" s="4"/>
      <c r="EX483" s="4"/>
      <c r="EY483" s="4"/>
      <c r="EZ483" s="4"/>
      <c r="FA483" s="4"/>
      <c r="FB483" s="4"/>
      <c r="FC483" s="4"/>
      <c r="FD483" s="4"/>
      <c r="FE483" s="4"/>
      <c r="FF483" s="4"/>
    </row>
    <row r="484" spans="1:162" x14ac:dyDescent="0.2">
      <c r="A484" s="2"/>
      <c r="B484" s="2"/>
      <c r="C484" s="2"/>
      <c r="D484" s="4"/>
      <c r="E484" s="4"/>
      <c r="F484" s="4"/>
      <c r="G484" s="4"/>
      <c r="H484" s="4"/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  <c r="AA484" s="4"/>
      <c r="AB484" s="4"/>
      <c r="AC484" s="4"/>
      <c r="AD484" s="4"/>
      <c r="AE484" s="4"/>
      <c r="AF484" s="4"/>
      <c r="AG484" s="4"/>
      <c r="AH484" s="4"/>
      <c r="AI484" s="4"/>
      <c r="AJ484" s="4"/>
      <c r="AK484" s="4"/>
      <c r="AL484" s="4"/>
      <c r="AM484" s="4"/>
      <c r="AN484" s="4"/>
      <c r="AO484" s="4"/>
      <c r="AP484" s="4"/>
      <c r="AQ484" s="4"/>
      <c r="AR484" s="4"/>
      <c r="AS484" s="4"/>
      <c r="AT484" s="4"/>
      <c r="AU484" s="4"/>
      <c r="AV484" s="4"/>
      <c r="AW484" s="4"/>
      <c r="AX484" s="4"/>
      <c r="AY484" s="4"/>
      <c r="AZ484" s="4"/>
      <c r="BA484" s="4"/>
      <c r="BB484" s="4"/>
      <c r="BC484" s="4"/>
      <c r="BD484" s="4"/>
      <c r="BE484" s="4"/>
      <c r="BF484" s="4"/>
      <c r="BG484" s="4"/>
      <c r="BH484" s="4"/>
      <c r="BI484" s="4"/>
      <c r="BJ484" s="4"/>
      <c r="BK484" s="4"/>
      <c r="BL484" s="4"/>
      <c r="BM484" s="4"/>
      <c r="BN484" s="4"/>
      <c r="BO484" s="4"/>
      <c r="BP484" s="4"/>
      <c r="BQ484" s="4"/>
      <c r="BR484" s="4"/>
      <c r="BS484" s="4"/>
      <c r="BT484" s="4"/>
      <c r="BU484" s="4"/>
      <c r="BV484" s="4"/>
      <c r="BW484" s="4"/>
      <c r="BX484" s="4"/>
      <c r="BY484" s="4"/>
      <c r="BZ484" s="4"/>
      <c r="CA484" s="4"/>
      <c r="CB484" s="4"/>
      <c r="CC484" s="4"/>
      <c r="CD484" s="4"/>
      <c r="CE484" s="4"/>
      <c r="CF484" s="4"/>
      <c r="CG484" s="4"/>
      <c r="CH484" s="4"/>
      <c r="CI484" s="4"/>
      <c r="CJ484" s="4"/>
      <c r="CK484" s="4"/>
      <c r="CL484" s="4"/>
      <c r="CM484" s="4"/>
      <c r="CN484" s="4"/>
      <c r="CO484" s="4"/>
      <c r="CP484" s="4"/>
      <c r="CQ484" s="4"/>
      <c r="CR484" s="4"/>
      <c r="CS484" s="4"/>
      <c r="CT484" s="4"/>
      <c r="CU484" s="4"/>
      <c r="CV484" s="4"/>
      <c r="CW484" s="4"/>
      <c r="CX484" s="4"/>
      <c r="CY484" s="4"/>
      <c r="CZ484" s="4"/>
      <c r="DA484" s="4"/>
      <c r="DB484" s="4"/>
      <c r="DC484" s="4"/>
      <c r="DD484" s="4"/>
      <c r="DE484" s="4"/>
      <c r="DF484" s="4"/>
      <c r="DG484" s="4"/>
      <c r="DH484" s="4"/>
      <c r="DI484" s="4"/>
      <c r="DJ484" s="4"/>
      <c r="DK484" s="4"/>
      <c r="DL484" s="4"/>
      <c r="DM484" s="4"/>
      <c r="DN484" s="4"/>
      <c r="DO484" s="4"/>
      <c r="DP484" s="4"/>
      <c r="DQ484" s="4"/>
      <c r="DR484" s="4"/>
      <c r="DS484" s="4"/>
      <c r="DT484" s="4"/>
      <c r="DU484" s="4"/>
      <c r="DV484" s="4"/>
      <c r="DW484" s="4"/>
      <c r="DX484" s="4"/>
      <c r="DY484" s="4"/>
      <c r="DZ484" s="4"/>
      <c r="EA484" s="4"/>
      <c r="EB484" s="4"/>
      <c r="EC484" s="4"/>
      <c r="ED484" s="4"/>
      <c r="EE484" s="4"/>
      <c r="EF484" s="4"/>
      <c r="EG484" s="4"/>
      <c r="EH484" s="4"/>
      <c r="EI484" s="4"/>
      <c r="EJ484" s="4"/>
      <c r="EK484" s="4"/>
      <c r="EL484" s="4"/>
      <c r="EM484" s="4"/>
      <c r="EN484" s="4"/>
      <c r="EO484" s="4"/>
      <c r="EP484" s="4"/>
      <c r="EQ484" s="4"/>
      <c r="ER484" s="4"/>
      <c r="ES484" s="4"/>
      <c r="ET484" s="4"/>
      <c r="EU484" s="4"/>
      <c r="EV484" s="4"/>
      <c r="EW484" s="4"/>
      <c r="EX484" s="4"/>
      <c r="EY484" s="4"/>
      <c r="EZ484" s="4"/>
      <c r="FA484" s="4"/>
      <c r="FB484" s="4"/>
      <c r="FC484" s="4"/>
      <c r="FD484" s="4"/>
      <c r="FE484" s="4"/>
      <c r="FF484" s="4"/>
    </row>
    <row r="485" spans="1:162" x14ac:dyDescent="0.2">
      <c r="A485" s="2"/>
      <c r="B485" s="2"/>
      <c r="C485" s="2"/>
      <c r="D485" s="4"/>
      <c r="E485" s="4"/>
      <c r="F485" s="4"/>
      <c r="G485" s="4"/>
      <c r="H485" s="4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  <c r="AA485" s="4"/>
      <c r="AB485" s="4"/>
      <c r="AC485" s="4"/>
      <c r="AD485" s="4"/>
      <c r="AE485" s="4"/>
      <c r="AF485" s="4"/>
      <c r="AG485" s="4"/>
      <c r="AH485" s="4"/>
      <c r="AI485" s="4"/>
      <c r="AJ485" s="4"/>
      <c r="AK485" s="4"/>
      <c r="AL485" s="4"/>
      <c r="AM485" s="4"/>
      <c r="AN485" s="4"/>
      <c r="AO485" s="4"/>
      <c r="AP485" s="4"/>
      <c r="AQ485" s="4"/>
      <c r="AR485" s="4"/>
      <c r="AS485" s="4"/>
      <c r="AT485" s="4"/>
      <c r="AU485" s="4"/>
      <c r="AV485" s="4"/>
      <c r="AW485" s="4"/>
      <c r="AX485" s="4"/>
      <c r="AY485" s="4"/>
      <c r="AZ485" s="4"/>
      <c r="BA485" s="4"/>
      <c r="BB485" s="4"/>
      <c r="BC485" s="4"/>
      <c r="BD485" s="4"/>
      <c r="BE485" s="4"/>
      <c r="BF485" s="4"/>
      <c r="BG485" s="4"/>
      <c r="BH485" s="4"/>
      <c r="BI485" s="4"/>
      <c r="BJ485" s="4"/>
      <c r="BK485" s="4"/>
      <c r="BL485" s="4"/>
      <c r="BM485" s="4"/>
      <c r="BN485" s="4"/>
      <c r="BO485" s="4"/>
      <c r="BP485" s="4"/>
      <c r="BQ485" s="4"/>
      <c r="BR485" s="4"/>
      <c r="BS485" s="4"/>
      <c r="BT485" s="4"/>
      <c r="BU485" s="4"/>
      <c r="BV485" s="4"/>
      <c r="BW485" s="4"/>
      <c r="BX485" s="4"/>
      <c r="BY485" s="4"/>
      <c r="BZ485" s="4"/>
      <c r="CA485" s="4"/>
      <c r="CB485" s="4"/>
      <c r="CC485" s="4"/>
      <c r="CD485" s="4"/>
      <c r="CE485" s="4"/>
      <c r="CF485" s="4"/>
      <c r="CG485" s="4"/>
      <c r="CH485" s="4"/>
      <c r="CI485" s="4"/>
      <c r="CJ485" s="4"/>
      <c r="CK485" s="4"/>
      <c r="CL485" s="4"/>
      <c r="CM485" s="4"/>
      <c r="CN485" s="4"/>
      <c r="CO485" s="4"/>
      <c r="CP485" s="4"/>
      <c r="CQ485" s="4"/>
      <c r="CR485" s="4"/>
      <c r="CS485" s="4"/>
      <c r="CT485" s="4"/>
      <c r="CU485" s="4"/>
      <c r="CV485" s="4"/>
      <c r="CW485" s="4"/>
      <c r="CX485" s="4"/>
      <c r="CY485" s="4"/>
      <c r="CZ485" s="4"/>
      <c r="DA485" s="4"/>
      <c r="DB485" s="4"/>
      <c r="DC485" s="4"/>
      <c r="DD485" s="4"/>
      <c r="DE485" s="4"/>
      <c r="DF485" s="4"/>
      <c r="DG485" s="4"/>
      <c r="DH485" s="4"/>
      <c r="DI485" s="4"/>
      <c r="DJ485" s="4"/>
      <c r="DK485" s="4"/>
      <c r="DL485" s="4"/>
      <c r="DM485" s="4"/>
      <c r="DN485" s="4"/>
      <c r="DO485" s="4"/>
      <c r="DP485" s="4"/>
      <c r="DQ485" s="4"/>
      <c r="DR485" s="4"/>
      <c r="DS485" s="4"/>
      <c r="DT485" s="4"/>
      <c r="DU485" s="4"/>
      <c r="DV485" s="4"/>
      <c r="DW485" s="4"/>
      <c r="DX485" s="4"/>
      <c r="DY485" s="4"/>
      <c r="DZ485" s="4"/>
      <c r="EA485" s="4"/>
      <c r="EB485" s="4"/>
      <c r="EC485" s="4"/>
      <c r="ED485" s="4"/>
      <c r="EE485" s="4"/>
      <c r="EF485" s="4"/>
      <c r="EG485" s="4"/>
      <c r="EH485" s="4"/>
      <c r="EI485" s="4"/>
      <c r="EJ485" s="4"/>
      <c r="EK485" s="4"/>
      <c r="EL485" s="4"/>
      <c r="EM485" s="4"/>
      <c r="EN485" s="4"/>
      <c r="EO485" s="4"/>
      <c r="EP485" s="4"/>
      <c r="EQ485" s="4"/>
      <c r="ER485" s="4"/>
      <c r="ES485" s="4"/>
      <c r="ET485" s="4"/>
      <c r="EU485" s="4"/>
      <c r="EV485" s="4"/>
      <c r="EW485" s="4"/>
      <c r="EX485" s="4"/>
      <c r="EY485" s="4"/>
      <c r="EZ485" s="4"/>
      <c r="FA485" s="4"/>
      <c r="FB485" s="4"/>
      <c r="FC485" s="4"/>
      <c r="FD485" s="4"/>
      <c r="FE485" s="4"/>
      <c r="FF485" s="4"/>
    </row>
    <row r="486" spans="1:162" x14ac:dyDescent="0.2">
      <c r="A486" s="2"/>
      <c r="B486" s="2"/>
      <c r="C486" s="2"/>
      <c r="D486" s="4"/>
      <c r="E486" s="4"/>
      <c r="F486" s="4"/>
      <c r="G486" s="4"/>
      <c r="H486" s="4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  <c r="AA486" s="4"/>
      <c r="AB486" s="4"/>
      <c r="AC486" s="4"/>
      <c r="AD486" s="4"/>
      <c r="AE486" s="4"/>
      <c r="AF486" s="4"/>
      <c r="AG486" s="4"/>
      <c r="AH486" s="4"/>
      <c r="AI486" s="4"/>
      <c r="AJ486" s="4"/>
      <c r="AK486" s="4"/>
      <c r="AL486" s="4"/>
      <c r="AM486" s="4"/>
      <c r="AN486" s="4"/>
      <c r="AO486" s="4"/>
      <c r="AP486" s="4"/>
      <c r="AQ486" s="4"/>
      <c r="AR486" s="4"/>
      <c r="AS486" s="4"/>
      <c r="AT486" s="4"/>
      <c r="AU486" s="4"/>
      <c r="AV486" s="4"/>
      <c r="AW486" s="4"/>
      <c r="AX486" s="4"/>
      <c r="AY486" s="4"/>
      <c r="AZ486" s="4"/>
      <c r="BA486" s="4"/>
      <c r="BB486" s="4"/>
      <c r="BC486" s="4"/>
      <c r="BD486" s="4"/>
      <c r="BE486" s="4"/>
      <c r="BF486" s="4"/>
      <c r="BG486" s="4"/>
      <c r="BH486" s="4"/>
      <c r="BI486" s="4"/>
      <c r="BJ486" s="4"/>
      <c r="BK486" s="4"/>
      <c r="BL486" s="4"/>
      <c r="BM486" s="4"/>
      <c r="BN486" s="4"/>
      <c r="BO486" s="4"/>
      <c r="BP486" s="4"/>
      <c r="BQ486" s="4"/>
      <c r="BR486" s="4"/>
      <c r="BS486" s="4"/>
      <c r="BT486" s="4"/>
      <c r="BU486" s="4"/>
      <c r="BV486" s="4"/>
      <c r="BW486" s="4"/>
      <c r="BX486" s="4"/>
      <c r="BY486" s="4"/>
      <c r="BZ486" s="4"/>
      <c r="CA486" s="4"/>
      <c r="CB486" s="4"/>
      <c r="CC486" s="4"/>
      <c r="CD486" s="4"/>
      <c r="CE486" s="4"/>
      <c r="CF486" s="4"/>
      <c r="CG486" s="4"/>
      <c r="CH486" s="4"/>
      <c r="CI486" s="4"/>
      <c r="CJ486" s="4"/>
      <c r="CK486" s="4"/>
      <c r="CL486" s="4"/>
      <c r="CM486" s="4"/>
      <c r="CN486" s="4"/>
      <c r="CO486" s="4"/>
      <c r="CP486" s="4"/>
      <c r="CQ486" s="4"/>
      <c r="CR486" s="4"/>
      <c r="CS486" s="4"/>
      <c r="CT486" s="4"/>
      <c r="CU486" s="4"/>
      <c r="CV486" s="4"/>
      <c r="CW486" s="4"/>
      <c r="CX486" s="4"/>
      <c r="CY486" s="4"/>
      <c r="CZ486" s="4"/>
      <c r="DA486" s="4"/>
      <c r="DB486" s="4"/>
      <c r="DC486" s="4"/>
      <c r="DD486" s="4"/>
      <c r="DE486" s="4"/>
      <c r="DF486" s="4"/>
      <c r="DG486" s="4"/>
      <c r="DH486" s="4"/>
      <c r="DI486" s="4"/>
      <c r="DJ486" s="4"/>
      <c r="DK486" s="4"/>
      <c r="DL486" s="4"/>
      <c r="DM486" s="4"/>
      <c r="DN486" s="4"/>
      <c r="DO486" s="4"/>
      <c r="DP486" s="4"/>
      <c r="DQ486" s="4"/>
      <c r="DR486" s="4"/>
      <c r="DS486" s="4"/>
      <c r="DT486" s="4"/>
      <c r="DU486" s="4"/>
      <c r="DV486" s="4"/>
      <c r="DW486" s="4"/>
      <c r="DX486" s="4"/>
      <c r="DY486" s="4"/>
      <c r="DZ486" s="4"/>
      <c r="EA486" s="4"/>
      <c r="EB486" s="4"/>
      <c r="EC486" s="4"/>
      <c r="ED486" s="4"/>
      <c r="EE486" s="4"/>
      <c r="EF486" s="4"/>
      <c r="EG486" s="4"/>
      <c r="EH486" s="4"/>
      <c r="EI486" s="4"/>
      <c r="EJ486" s="4"/>
      <c r="EK486" s="4"/>
      <c r="EL486" s="4"/>
      <c r="EM486" s="4"/>
      <c r="EN486" s="4"/>
      <c r="EO486" s="4"/>
      <c r="EP486" s="4"/>
      <c r="EQ486" s="4"/>
      <c r="ER486" s="4"/>
      <c r="ES486" s="4"/>
      <c r="ET486" s="4"/>
      <c r="EU486" s="4"/>
      <c r="EV486" s="4"/>
      <c r="EW486" s="4"/>
      <c r="EX486" s="4"/>
      <c r="EY486" s="4"/>
      <c r="EZ486" s="4"/>
      <c r="FA486" s="4"/>
      <c r="FB486" s="4"/>
      <c r="FC486" s="4"/>
      <c r="FD486" s="4"/>
      <c r="FE486" s="4"/>
      <c r="FF486" s="4"/>
    </row>
    <row r="487" spans="1:162" x14ac:dyDescent="0.2">
      <c r="A487" s="2"/>
      <c r="B487" s="2"/>
      <c r="C487" s="2"/>
      <c r="D487" s="4"/>
      <c r="E487" s="4"/>
      <c r="F487" s="4"/>
      <c r="G487" s="4"/>
      <c r="H487" s="4"/>
      <c r="I487" s="4"/>
      <c r="J487" s="4"/>
      <c r="K487" s="4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  <c r="AA487" s="4"/>
      <c r="AB487" s="4"/>
      <c r="AC487" s="4"/>
      <c r="AD487" s="4"/>
      <c r="AE487" s="4"/>
      <c r="AF487" s="4"/>
      <c r="AG487" s="4"/>
      <c r="AH487" s="4"/>
      <c r="AI487" s="4"/>
      <c r="AJ487" s="4"/>
      <c r="AK487" s="4"/>
      <c r="AL487" s="4"/>
      <c r="AM487" s="4"/>
      <c r="AN487" s="4"/>
      <c r="AO487" s="4"/>
      <c r="AP487" s="4"/>
      <c r="AQ487" s="4"/>
      <c r="AR487" s="4"/>
      <c r="AS487" s="4"/>
      <c r="AT487" s="4"/>
      <c r="AU487" s="4"/>
      <c r="AV487" s="4"/>
      <c r="AW487" s="4"/>
      <c r="AX487" s="4"/>
      <c r="AY487" s="4"/>
      <c r="AZ487" s="4"/>
      <c r="BA487" s="4"/>
      <c r="BB487" s="4"/>
      <c r="BC487" s="4"/>
      <c r="BD487" s="4"/>
      <c r="BE487" s="4"/>
      <c r="BF487" s="4"/>
      <c r="BG487" s="4"/>
      <c r="BH487" s="4"/>
      <c r="BI487" s="4"/>
      <c r="BJ487" s="4"/>
      <c r="BK487" s="4"/>
      <c r="BL487" s="4"/>
      <c r="BM487" s="4"/>
      <c r="BN487" s="4"/>
      <c r="BO487" s="4"/>
      <c r="BP487" s="4"/>
      <c r="BQ487" s="4"/>
      <c r="BR487" s="4"/>
      <c r="BS487" s="4"/>
      <c r="BT487" s="4"/>
      <c r="BU487" s="4"/>
      <c r="BV487" s="4"/>
      <c r="BW487" s="4"/>
      <c r="BX487" s="4"/>
      <c r="BY487" s="4"/>
      <c r="BZ487" s="4"/>
      <c r="CA487" s="4"/>
      <c r="CB487" s="4"/>
      <c r="CC487" s="4"/>
      <c r="CD487" s="4"/>
      <c r="CE487" s="4"/>
      <c r="CF487" s="4"/>
      <c r="CG487" s="4"/>
      <c r="CH487" s="4"/>
      <c r="CI487" s="4"/>
      <c r="CJ487" s="4"/>
      <c r="CK487" s="4"/>
      <c r="CL487" s="4"/>
      <c r="CM487" s="4"/>
      <c r="CN487" s="4"/>
      <c r="CO487" s="4"/>
      <c r="CP487" s="4"/>
      <c r="CQ487" s="4"/>
      <c r="CR487" s="4"/>
      <c r="CS487" s="4"/>
      <c r="CT487" s="4"/>
      <c r="CU487" s="4"/>
      <c r="CV487" s="4"/>
      <c r="CW487" s="4"/>
      <c r="CX487" s="4"/>
      <c r="CY487" s="4"/>
      <c r="CZ487" s="4"/>
      <c r="DA487" s="4"/>
      <c r="DB487" s="4"/>
      <c r="DC487" s="4"/>
      <c r="DD487" s="4"/>
      <c r="DE487" s="4"/>
      <c r="DF487" s="4"/>
      <c r="DG487" s="4"/>
      <c r="DH487" s="4"/>
      <c r="DI487" s="4"/>
      <c r="DJ487" s="4"/>
      <c r="DK487" s="4"/>
      <c r="DL487" s="4"/>
      <c r="DM487" s="4"/>
      <c r="DN487" s="4"/>
      <c r="DO487" s="4"/>
      <c r="DP487" s="4"/>
      <c r="DQ487" s="4"/>
      <c r="DR487" s="4"/>
      <c r="DS487" s="4"/>
      <c r="DT487" s="4"/>
      <c r="DU487" s="4"/>
      <c r="DV487" s="4"/>
      <c r="DW487" s="4"/>
      <c r="DX487" s="4"/>
      <c r="DY487" s="4"/>
      <c r="DZ487" s="4"/>
      <c r="EA487" s="4"/>
      <c r="EB487" s="4"/>
      <c r="EC487" s="4"/>
      <c r="ED487" s="4"/>
      <c r="EE487" s="4"/>
      <c r="EF487" s="4"/>
      <c r="EG487" s="4"/>
      <c r="EH487" s="4"/>
      <c r="EI487" s="4"/>
      <c r="EJ487" s="4"/>
      <c r="EK487" s="4"/>
      <c r="EL487" s="4"/>
      <c r="EM487" s="4"/>
      <c r="EN487" s="4"/>
      <c r="EO487" s="4"/>
      <c r="EP487" s="4"/>
      <c r="EQ487" s="4"/>
      <c r="ER487" s="4"/>
      <c r="ES487" s="4"/>
      <c r="ET487" s="4"/>
      <c r="EU487" s="4"/>
      <c r="EV487" s="4"/>
      <c r="EW487" s="4"/>
      <c r="EX487" s="4"/>
      <c r="EY487" s="4"/>
      <c r="EZ487" s="4"/>
      <c r="FA487" s="4"/>
      <c r="FB487" s="4"/>
      <c r="FC487" s="4"/>
      <c r="FD487" s="4"/>
      <c r="FE487" s="4"/>
      <c r="FF487" s="4"/>
    </row>
    <row r="488" spans="1:162" x14ac:dyDescent="0.2">
      <c r="A488" s="2"/>
      <c r="B488" s="2"/>
      <c r="C488" s="2"/>
      <c r="D488" s="4"/>
      <c r="E488" s="4"/>
      <c r="F488" s="4"/>
      <c r="G488" s="4"/>
      <c r="H488" s="4"/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  <c r="AA488" s="4"/>
      <c r="AB488" s="4"/>
      <c r="AC488" s="4"/>
      <c r="AD488" s="4"/>
      <c r="AE488" s="4"/>
      <c r="AF488" s="4"/>
      <c r="AG488" s="4"/>
      <c r="AH488" s="4"/>
      <c r="AI488" s="4"/>
      <c r="AJ488" s="4"/>
      <c r="AK488" s="4"/>
      <c r="AL488" s="4"/>
      <c r="AM488" s="4"/>
      <c r="AN488" s="4"/>
      <c r="AO488" s="4"/>
      <c r="AP488" s="4"/>
      <c r="AQ488" s="4"/>
      <c r="AR488" s="4"/>
      <c r="AS488" s="4"/>
      <c r="AT488" s="4"/>
      <c r="AU488" s="4"/>
      <c r="AV488" s="4"/>
      <c r="AW488" s="4"/>
      <c r="AX488" s="4"/>
      <c r="AY488" s="4"/>
      <c r="AZ488" s="4"/>
      <c r="BA488" s="4"/>
      <c r="BB488" s="4"/>
      <c r="BC488" s="4"/>
      <c r="BD488" s="4"/>
      <c r="BE488" s="4"/>
      <c r="BF488" s="4"/>
      <c r="BG488" s="4"/>
      <c r="BH488" s="4"/>
      <c r="BI488" s="4"/>
      <c r="BJ488" s="4"/>
      <c r="BK488" s="4"/>
      <c r="BL488" s="4"/>
      <c r="BM488" s="4"/>
      <c r="BN488" s="4"/>
      <c r="BO488" s="4"/>
      <c r="BP488" s="4"/>
      <c r="BQ488" s="4"/>
      <c r="BR488" s="4"/>
      <c r="BS488" s="4"/>
      <c r="BT488" s="4"/>
      <c r="BU488" s="4"/>
      <c r="BV488" s="4"/>
      <c r="BW488" s="4"/>
      <c r="BX488" s="4"/>
      <c r="BY488" s="4"/>
      <c r="BZ488" s="4"/>
      <c r="CA488" s="4"/>
      <c r="CB488" s="4"/>
      <c r="CC488" s="4"/>
      <c r="CD488" s="4"/>
      <c r="CE488" s="4"/>
      <c r="CF488" s="4"/>
      <c r="CG488" s="4"/>
      <c r="CH488" s="4"/>
      <c r="CI488" s="4"/>
      <c r="CJ488" s="4"/>
      <c r="CK488" s="4"/>
      <c r="CL488" s="4"/>
      <c r="CM488" s="4"/>
      <c r="CN488" s="4"/>
      <c r="CO488" s="4"/>
      <c r="CP488" s="4"/>
      <c r="CQ488" s="4"/>
      <c r="CR488" s="4"/>
      <c r="CS488" s="4"/>
      <c r="CT488" s="4"/>
      <c r="CU488" s="4"/>
      <c r="CV488" s="4"/>
      <c r="CW488" s="4"/>
      <c r="CX488" s="4"/>
      <c r="CY488" s="4"/>
      <c r="CZ488" s="4"/>
      <c r="DA488" s="4"/>
      <c r="DB488" s="4"/>
      <c r="DC488" s="4"/>
      <c r="DD488" s="4"/>
      <c r="DE488" s="4"/>
      <c r="DF488" s="4"/>
      <c r="DG488" s="4"/>
      <c r="DH488" s="4"/>
      <c r="DI488" s="4"/>
      <c r="DJ488" s="4"/>
      <c r="DK488" s="4"/>
      <c r="DL488" s="4"/>
      <c r="DM488" s="4"/>
      <c r="DN488" s="4"/>
      <c r="DO488" s="4"/>
      <c r="DP488" s="4"/>
      <c r="DQ488" s="4"/>
      <c r="DR488" s="4"/>
      <c r="DS488" s="4"/>
      <c r="DT488" s="4"/>
      <c r="DU488" s="4"/>
      <c r="DV488" s="4"/>
      <c r="DW488" s="4"/>
      <c r="DX488" s="4"/>
      <c r="DY488" s="4"/>
      <c r="DZ488" s="4"/>
      <c r="EA488" s="4"/>
      <c r="EB488" s="4"/>
      <c r="EC488" s="4"/>
      <c r="ED488" s="4"/>
      <c r="EE488" s="4"/>
      <c r="EF488" s="4"/>
      <c r="EG488" s="4"/>
      <c r="EH488" s="4"/>
      <c r="EI488" s="4"/>
      <c r="EJ488" s="4"/>
      <c r="EK488" s="4"/>
      <c r="EL488" s="4"/>
      <c r="EM488" s="4"/>
      <c r="EN488" s="4"/>
      <c r="EO488" s="4"/>
      <c r="EP488" s="4"/>
      <c r="EQ488" s="4"/>
      <c r="ER488" s="4"/>
      <c r="ES488" s="4"/>
      <c r="ET488" s="4"/>
      <c r="EU488" s="4"/>
      <c r="EV488" s="4"/>
      <c r="EW488" s="4"/>
      <c r="EX488" s="4"/>
      <c r="EY488" s="4"/>
      <c r="EZ488" s="4"/>
      <c r="FA488" s="4"/>
      <c r="FB488" s="4"/>
      <c r="FC488" s="4"/>
      <c r="FD488" s="4"/>
      <c r="FE488" s="4"/>
      <c r="FF488" s="4"/>
    </row>
    <row r="489" spans="1:162" x14ac:dyDescent="0.2">
      <c r="A489" s="2"/>
      <c r="B489" s="2"/>
      <c r="C489" s="2"/>
      <c r="D489" s="4"/>
      <c r="E489" s="4"/>
      <c r="F489" s="4"/>
      <c r="G489" s="4"/>
      <c r="H489" s="4"/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  <c r="AA489" s="4"/>
      <c r="AB489" s="4"/>
      <c r="AC489" s="4"/>
      <c r="AD489" s="4"/>
      <c r="AE489" s="4"/>
      <c r="AF489" s="4"/>
      <c r="AG489" s="4"/>
      <c r="AH489" s="4"/>
      <c r="AI489" s="4"/>
      <c r="AJ489" s="4"/>
      <c r="AK489" s="4"/>
      <c r="AL489" s="4"/>
      <c r="AM489" s="4"/>
      <c r="AN489" s="4"/>
      <c r="AO489" s="4"/>
      <c r="AP489" s="4"/>
      <c r="AQ489" s="4"/>
      <c r="AR489" s="4"/>
      <c r="AS489" s="4"/>
      <c r="AT489" s="4"/>
      <c r="AU489" s="4"/>
      <c r="AV489" s="4"/>
      <c r="AW489" s="4"/>
      <c r="AX489" s="4"/>
      <c r="AY489" s="4"/>
      <c r="AZ489" s="4"/>
      <c r="BA489" s="4"/>
      <c r="BB489" s="4"/>
      <c r="BC489" s="4"/>
      <c r="BD489" s="4"/>
      <c r="BE489" s="4"/>
      <c r="BF489" s="4"/>
      <c r="BG489" s="4"/>
      <c r="BH489" s="4"/>
      <c r="BI489" s="4"/>
      <c r="BJ489" s="4"/>
      <c r="BK489" s="4"/>
      <c r="BL489" s="4"/>
      <c r="BM489" s="4"/>
      <c r="BN489" s="4"/>
      <c r="BO489" s="4"/>
      <c r="BP489" s="4"/>
      <c r="BQ489" s="4"/>
      <c r="BR489" s="4"/>
      <c r="BS489" s="4"/>
      <c r="BT489" s="4"/>
      <c r="BU489" s="4"/>
      <c r="BV489" s="4"/>
      <c r="BW489" s="4"/>
      <c r="BX489" s="4"/>
      <c r="BY489" s="4"/>
      <c r="BZ489" s="4"/>
      <c r="CA489" s="4"/>
      <c r="CB489" s="4"/>
      <c r="CC489" s="4"/>
      <c r="CD489" s="4"/>
      <c r="CE489" s="4"/>
      <c r="CF489" s="4"/>
      <c r="CG489" s="4"/>
      <c r="CH489" s="4"/>
      <c r="CI489" s="4"/>
      <c r="CJ489" s="4"/>
      <c r="CK489" s="4"/>
      <c r="CL489" s="4"/>
      <c r="CM489" s="4"/>
      <c r="CN489" s="4"/>
      <c r="CO489" s="4"/>
      <c r="CP489" s="4"/>
      <c r="CQ489" s="4"/>
      <c r="CR489" s="4"/>
      <c r="CS489" s="4"/>
      <c r="CT489" s="4"/>
      <c r="CU489" s="4"/>
      <c r="CV489" s="4"/>
      <c r="CW489" s="4"/>
      <c r="CX489" s="4"/>
      <c r="CY489" s="4"/>
      <c r="CZ489" s="4"/>
      <c r="DA489" s="4"/>
      <c r="DB489" s="4"/>
      <c r="DC489" s="4"/>
      <c r="DD489" s="4"/>
      <c r="DE489" s="4"/>
      <c r="DF489" s="4"/>
      <c r="DG489" s="4"/>
      <c r="DH489" s="4"/>
      <c r="DI489" s="4"/>
      <c r="DJ489" s="4"/>
      <c r="DK489" s="4"/>
      <c r="DL489" s="4"/>
      <c r="DM489" s="4"/>
      <c r="DN489" s="4"/>
      <c r="DO489" s="4"/>
      <c r="DP489" s="4"/>
      <c r="DQ489" s="4"/>
      <c r="DR489" s="4"/>
      <c r="DS489" s="4"/>
      <c r="DT489" s="4"/>
      <c r="DU489" s="4"/>
      <c r="DV489" s="4"/>
      <c r="DW489" s="4"/>
      <c r="DX489" s="4"/>
      <c r="DY489" s="4"/>
      <c r="DZ489" s="4"/>
      <c r="EA489" s="4"/>
      <c r="EB489" s="4"/>
      <c r="EC489" s="4"/>
      <c r="ED489" s="4"/>
      <c r="EE489" s="4"/>
      <c r="EF489" s="4"/>
      <c r="EG489" s="4"/>
      <c r="EH489" s="4"/>
      <c r="EI489" s="4"/>
      <c r="EJ489" s="4"/>
      <c r="EK489" s="4"/>
      <c r="EL489" s="4"/>
      <c r="EM489" s="4"/>
      <c r="EN489" s="4"/>
      <c r="EO489" s="4"/>
      <c r="EP489" s="4"/>
      <c r="EQ489" s="4"/>
      <c r="ER489" s="4"/>
      <c r="ES489" s="4"/>
      <c r="ET489" s="4"/>
      <c r="EU489" s="4"/>
      <c r="EV489" s="4"/>
      <c r="EW489" s="4"/>
      <c r="EX489" s="4"/>
      <c r="EY489" s="4"/>
      <c r="EZ489" s="4"/>
      <c r="FA489" s="4"/>
      <c r="FB489" s="4"/>
      <c r="FC489" s="4"/>
      <c r="FD489" s="4"/>
      <c r="FE489" s="4"/>
      <c r="FF489" s="4"/>
    </row>
    <row r="490" spans="1:162" x14ac:dyDescent="0.2">
      <c r="A490" s="2"/>
      <c r="B490" s="2"/>
      <c r="C490" s="2"/>
      <c r="D490" s="4"/>
      <c r="E490" s="4"/>
      <c r="F490" s="4"/>
      <c r="G490" s="4"/>
      <c r="H490" s="4"/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  <c r="AA490" s="4"/>
      <c r="AB490" s="4"/>
      <c r="AC490" s="4"/>
      <c r="AD490" s="4"/>
      <c r="AE490" s="4"/>
      <c r="AF490" s="4"/>
      <c r="AG490" s="4"/>
      <c r="AH490" s="4"/>
      <c r="AI490" s="4"/>
      <c r="AJ490" s="4"/>
      <c r="AK490" s="4"/>
      <c r="AL490" s="4"/>
      <c r="AM490" s="4"/>
      <c r="AN490" s="4"/>
      <c r="AO490" s="4"/>
      <c r="AP490" s="4"/>
      <c r="AQ490" s="4"/>
      <c r="AR490" s="4"/>
      <c r="AS490" s="4"/>
      <c r="AT490" s="4"/>
      <c r="AU490" s="4"/>
      <c r="AV490" s="4"/>
      <c r="AW490" s="4"/>
      <c r="AX490" s="4"/>
      <c r="AY490" s="4"/>
      <c r="AZ490" s="4"/>
      <c r="BA490" s="4"/>
      <c r="BB490" s="4"/>
      <c r="BC490" s="4"/>
      <c r="BD490" s="4"/>
      <c r="BE490" s="4"/>
      <c r="BF490" s="4"/>
      <c r="BG490" s="4"/>
      <c r="BH490" s="4"/>
      <c r="BI490" s="4"/>
      <c r="BJ490" s="4"/>
      <c r="BK490" s="4"/>
      <c r="BL490" s="4"/>
      <c r="BM490" s="4"/>
      <c r="BN490" s="4"/>
      <c r="BO490" s="4"/>
      <c r="BP490" s="4"/>
      <c r="BQ490" s="4"/>
      <c r="BR490" s="4"/>
      <c r="BS490" s="4"/>
      <c r="BT490" s="4"/>
      <c r="BU490" s="4"/>
      <c r="BV490" s="4"/>
      <c r="BW490" s="4"/>
      <c r="BX490" s="4"/>
      <c r="BY490" s="4"/>
      <c r="BZ490" s="4"/>
      <c r="CA490" s="4"/>
      <c r="CB490" s="4"/>
      <c r="CC490" s="4"/>
      <c r="CD490" s="4"/>
      <c r="CE490" s="4"/>
      <c r="CF490" s="4"/>
      <c r="CG490" s="4"/>
      <c r="CH490" s="4"/>
      <c r="CI490" s="4"/>
      <c r="CJ490" s="4"/>
      <c r="CK490" s="4"/>
      <c r="CL490" s="4"/>
      <c r="CM490" s="4"/>
      <c r="CN490" s="4"/>
      <c r="CO490" s="4"/>
      <c r="CP490" s="4"/>
      <c r="CQ490" s="4"/>
      <c r="CR490" s="4"/>
      <c r="CS490" s="4"/>
      <c r="CT490" s="4"/>
      <c r="CU490" s="4"/>
      <c r="CV490" s="4"/>
      <c r="CW490" s="4"/>
      <c r="CX490" s="4"/>
      <c r="CY490" s="4"/>
      <c r="CZ490" s="4"/>
      <c r="DA490" s="4"/>
      <c r="DB490" s="4"/>
      <c r="DC490" s="4"/>
      <c r="DD490" s="4"/>
      <c r="DE490" s="4"/>
      <c r="DF490" s="4"/>
      <c r="DG490" s="4"/>
      <c r="DH490" s="4"/>
      <c r="DI490" s="4"/>
      <c r="DJ490" s="4"/>
      <c r="DK490" s="4"/>
      <c r="DL490" s="4"/>
      <c r="DM490" s="4"/>
      <c r="DN490" s="4"/>
      <c r="DO490" s="4"/>
      <c r="DP490" s="4"/>
      <c r="DQ490" s="4"/>
      <c r="DR490" s="4"/>
      <c r="DS490" s="4"/>
      <c r="DT490" s="4"/>
      <c r="DU490" s="4"/>
      <c r="DV490" s="4"/>
      <c r="DW490" s="4"/>
      <c r="DX490" s="4"/>
      <c r="DY490" s="4"/>
      <c r="DZ490" s="4"/>
      <c r="EA490" s="4"/>
      <c r="EB490" s="4"/>
      <c r="EC490" s="4"/>
      <c r="ED490" s="4"/>
      <c r="EE490" s="4"/>
      <c r="EF490" s="4"/>
      <c r="EG490" s="4"/>
      <c r="EH490" s="4"/>
      <c r="EI490" s="4"/>
      <c r="EJ490" s="4"/>
      <c r="EK490" s="4"/>
      <c r="EL490" s="4"/>
      <c r="EM490" s="4"/>
      <c r="EN490" s="4"/>
      <c r="EO490" s="4"/>
      <c r="EP490" s="4"/>
      <c r="EQ490" s="4"/>
      <c r="ER490" s="4"/>
      <c r="ES490" s="4"/>
      <c r="ET490" s="4"/>
      <c r="EU490" s="4"/>
      <c r="EV490" s="4"/>
      <c r="EW490" s="4"/>
      <c r="EX490" s="4"/>
      <c r="EY490" s="4"/>
      <c r="EZ490" s="4"/>
      <c r="FA490" s="4"/>
      <c r="FB490" s="4"/>
      <c r="FC490" s="4"/>
      <c r="FD490" s="4"/>
      <c r="FE490" s="4"/>
      <c r="FF490" s="4"/>
    </row>
    <row r="491" spans="1:162" x14ac:dyDescent="0.2">
      <c r="A491" s="2"/>
      <c r="B491" s="2"/>
      <c r="C491" s="2"/>
      <c r="D491" s="4"/>
      <c r="E491" s="4"/>
      <c r="F491" s="4"/>
      <c r="G491" s="4"/>
      <c r="H491" s="4"/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  <c r="AA491" s="4"/>
      <c r="AB491" s="4"/>
      <c r="AC491" s="4"/>
      <c r="AD491" s="4"/>
      <c r="AE491" s="4"/>
      <c r="AF491" s="4"/>
      <c r="AG491" s="4"/>
      <c r="AH491" s="4"/>
      <c r="AI491" s="4"/>
      <c r="AJ491" s="4"/>
      <c r="AK491" s="4"/>
      <c r="AL491" s="4"/>
      <c r="AM491" s="4"/>
      <c r="AN491" s="4"/>
      <c r="AO491" s="4"/>
      <c r="AP491" s="4"/>
      <c r="AQ491" s="4"/>
      <c r="AR491" s="4"/>
      <c r="AS491" s="4"/>
      <c r="AT491" s="4"/>
      <c r="AU491" s="4"/>
      <c r="AV491" s="4"/>
      <c r="AW491" s="4"/>
      <c r="AX491" s="4"/>
      <c r="AY491" s="4"/>
      <c r="AZ491" s="4"/>
      <c r="BA491" s="4"/>
      <c r="BB491" s="4"/>
      <c r="BC491" s="4"/>
      <c r="BD491" s="4"/>
      <c r="BE491" s="4"/>
      <c r="BF491" s="4"/>
      <c r="BG491" s="4"/>
      <c r="BH491" s="4"/>
      <c r="BI491" s="4"/>
      <c r="BJ491" s="4"/>
      <c r="BK491" s="4"/>
      <c r="BL491" s="4"/>
      <c r="BM491" s="4"/>
      <c r="BN491" s="4"/>
      <c r="BO491" s="4"/>
      <c r="BP491" s="4"/>
      <c r="BQ491" s="4"/>
      <c r="BR491" s="4"/>
      <c r="BS491" s="4"/>
      <c r="BT491" s="4"/>
      <c r="BU491" s="4"/>
      <c r="BV491" s="4"/>
      <c r="BW491" s="4"/>
      <c r="BX491" s="4"/>
      <c r="BY491" s="4"/>
      <c r="BZ491" s="4"/>
      <c r="CA491" s="4"/>
      <c r="CB491" s="4"/>
      <c r="CC491" s="4"/>
      <c r="CD491" s="4"/>
      <c r="CE491" s="4"/>
      <c r="CF491" s="4"/>
      <c r="CG491" s="4"/>
      <c r="CH491" s="4"/>
      <c r="CI491" s="4"/>
      <c r="CJ491" s="4"/>
      <c r="CK491" s="4"/>
      <c r="CL491" s="4"/>
      <c r="CM491" s="4"/>
      <c r="CN491" s="4"/>
      <c r="CO491" s="4"/>
      <c r="CP491" s="4"/>
      <c r="CQ491" s="4"/>
      <c r="CR491" s="4"/>
      <c r="CS491" s="4"/>
      <c r="CT491" s="4"/>
      <c r="CU491" s="4"/>
      <c r="CV491" s="4"/>
      <c r="CW491" s="4"/>
      <c r="CX491" s="4"/>
      <c r="CY491" s="4"/>
      <c r="CZ491" s="4"/>
      <c r="DA491" s="4"/>
      <c r="DB491" s="4"/>
      <c r="DC491" s="4"/>
      <c r="DD491" s="4"/>
      <c r="DE491" s="4"/>
      <c r="DF491" s="4"/>
      <c r="DG491" s="4"/>
      <c r="DH491" s="4"/>
      <c r="DI491" s="4"/>
      <c r="DJ491" s="4"/>
      <c r="DK491" s="4"/>
      <c r="DL491" s="4"/>
      <c r="DM491" s="4"/>
      <c r="DN491" s="4"/>
      <c r="DO491" s="4"/>
      <c r="DP491" s="4"/>
      <c r="DQ491" s="4"/>
      <c r="DR491" s="4"/>
      <c r="DS491" s="4"/>
      <c r="DT491" s="4"/>
      <c r="DU491" s="4"/>
      <c r="DV491" s="4"/>
      <c r="DW491" s="4"/>
      <c r="DX491" s="4"/>
      <c r="DY491" s="4"/>
      <c r="DZ491" s="4"/>
      <c r="EA491" s="4"/>
      <c r="EB491" s="4"/>
      <c r="EC491" s="4"/>
      <c r="ED491" s="4"/>
      <c r="EE491" s="4"/>
      <c r="EF491" s="4"/>
      <c r="EG491" s="4"/>
      <c r="EH491" s="4"/>
      <c r="EI491" s="4"/>
      <c r="EJ491" s="4"/>
      <c r="EK491" s="4"/>
      <c r="EL491" s="4"/>
      <c r="EM491" s="4"/>
      <c r="EN491" s="4"/>
      <c r="EO491" s="4"/>
      <c r="EP491" s="4"/>
      <c r="EQ491" s="4"/>
      <c r="ER491" s="4"/>
      <c r="ES491" s="4"/>
      <c r="ET491" s="4"/>
      <c r="EU491" s="4"/>
      <c r="EV491" s="4"/>
      <c r="EW491" s="4"/>
      <c r="EX491" s="4"/>
      <c r="EY491" s="4"/>
      <c r="EZ491" s="4"/>
      <c r="FA491" s="4"/>
      <c r="FB491" s="4"/>
      <c r="FC491" s="4"/>
      <c r="FD491" s="4"/>
      <c r="FE491" s="4"/>
      <c r="FF491" s="4"/>
    </row>
    <row r="492" spans="1:162" x14ac:dyDescent="0.2">
      <c r="A492" s="2"/>
      <c r="B492" s="2"/>
      <c r="C492" s="2"/>
      <c r="D492" s="4"/>
      <c r="E492" s="4"/>
      <c r="F492" s="4"/>
      <c r="G492" s="4"/>
      <c r="H492" s="4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  <c r="AA492" s="4"/>
      <c r="AB492" s="4"/>
      <c r="AC492" s="4"/>
      <c r="AD492" s="4"/>
      <c r="AE492" s="4"/>
      <c r="AF492" s="4"/>
      <c r="AG492" s="4"/>
      <c r="AH492" s="4"/>
      <c r="AI492" s="4"/>
      <c r="AJ492" s="4"/>
      <c r="AK492" s="4"/>
      <c r="AL492" s="4"/>
      <c r="AM492" s="4"/>
      <c r="AN492" s="4"/>
      <c r="AO492" s="4"/>
      <c r="AP492" s="4"/>
      <c r="AQ492" s="4"/>
      <c r="AR492" s="4"/>
      <c r="AS492" s="4"/>
      <c r="AT492" s="4"/>
      <c r="AU492" s="4"/>
      <c r="AV492" s="4"/>
      <c r="AW492" s="4"/>
      <c r="AX492" s="4"/>
      <c r="AY492" s="4"/>
      <c r="AZ492" s="4"/>
      <c r="BA492" s="4"/>
      <c r="BB492" s="4"/>
      <c r="BC492" s="4"/>
      <c r="BD492" s="4"/>
      <c r="BE492" s="4"/>
      <c r="BF492" s="4"/>
      <c r="BG492" s="4"/>
      <c r="BH492" s="4"/>
      <c r="BI492" s="4"/>
      <c r="BJ492" s="4"/>
      <c r="BK492" s="4"/>
      <c r="BL492" s="4"/>
      <c r="BM492" s="4"/>
      <c r="BN492" s="4"/>
      <c r="BO492" s="4"/>
      <c r="BP492" s="4"/>
      <c r="BQ492" s="4"/>
      <c r="BR492" s="4"/>
      <c r="BS492" s="4"/>
      <c r="BT492" s="4"/>
      <c r="BU492" s="4"/>
      <c r="BV492" s="4"/>
      <c r="BW492" s="4"/>
      <c r="BX492" s="4"/>
      <c r="BY492" s="4"/>
      <c r="BZ492" s="4"/>
      <c r="CA492" s="4"/>
      <c r="CB492" s="4"/>
      <c r="CC492" s="4"/>
      <c r="CD492" s="4"/>
      <c r="CE492" s="4"/>
      <c r="CF492" s="4"/>
      <c r="CG492" s="4"/>
      <c r="CH492" s="4"/>
      <c r="CI492" s="4"/>
      <c r="CJ492" s="4"/>
      <c r="CK492" s="4"/>
      <c r="CL492" s="4"/>
      <c r="CM492" s="4"/>
      <c r="CN492" s="4"/>
      <c r="CO492" s="4"/>
      <c r="CP492" s="4"/>
      <c r="CQ492" s="4"/>
      <c r="CR492" s="4"/>
      <c r="CS492" s="4"/>
      <c r="CT492" s="4"/>
      <c r="CU492" s="4"/>
      <c r="CV492" s="4"/>
      <c r="CW492" s="4"/>
      <c r="CX492" s="4"/>
      <c r="CY492" s="4"/>
      <c r="CZ492" s="4"/>
      <c r="DA492" s="4"/>
      <c r="DB492" s="4"/>
      <c r="DC492" s="4"/>
      <c r="DD492" s="4"/>
      <c r="DE492" s="4"/>
      <c r="DF492" s="4"/>
      <c r="DG492" s="4"/>
      <c r="DH492" s="4"/>
      <c r="DI492" s="4"/>
      <c r="DJ492" s="4"/>
      <c r="DK492" s="4"/>
      <c r="DL492" s="4"/>
      <c r="DM492" s="4"/>
      <c r="DN492" s="4"/>
      <c r="DO492" s="4"/>
      <c r="DP492" s="4"/>
      <c r="DQ492" s="4"/>
      <c r="DR492" s="4"/>
      <c r="DS492" s="4"/>
      <c r="DT492" s="4"/>
      <c r="DU492" s="4"/>
      <c r="DV492" s="4"/>
      <c r="DW492" s="4"/>
      <c r="DX492" s="4"/>
      <c r="DY492" s="4"/>
      <c r="DZ492" s="4"/>
      <c r="EA492" s="4"/>
      <c r="EB492" s="4"/>
      <c r="EC492" s="4"/>
      <c r="ED492" s="4"/>
      <c r="EE492" s="4"/>
      <c r="EF492" s="4"/>
      <c r="EG492" s="4"/>
      <c r="EH492" s="4"/>
      <c r="EI492" s="4"/>
      <c r="EJ492" s="4"/>
      <c r="EK492" s="4"/>
      <c r="EL492" s="4"/>
      <c r="EM492" s="4"/>
      <c r="EN492" s="4"/>
      <c r="EO492" s="4"/>
      <c r="EP492" s="4"/>
      <c r="EQ492" s="4"/>
      <c r="ER492" s="4"/>
      <c r="ES492" s="4"/>
      <c r="ET492" s="4"/>
      <c r="EU492" s="4"/>
      <c r="EV492" s="4"/>
      <c r="EW492" s="4"/>
      <c r="EX492" s="4"/>
      <c r="EY492" s="4"/>
      <c r="EZ492" s="4"/>
      <c r="FA492" s="4"/>
      <c r="FB492" s="4"/>
      <c r="FC492" s="4"/>
      <c r="FD492" s="4"/>
      <c r="FE492" s="4"/>
      <c r="FF492" s="4"/>
    </row>
    <row r="493" spans="1:162" x14ac:dyDescent="0.2">
      <c r="A493" s="2"/>
      <c r="B493" s="2"/>
      <c r="C493" s="2"/>
      <c r="D493" s="4"/>
      <c r="E493" s="4"/>
      <c r="F493" s="4"/>
      <c r="G493" s="4"/>
      <c r="H493" s="4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  <c r="AA493" s="4"/>
      <c r="AB493" s="4"/>
      <c r="AC493" s="4"/>
      <c r="AD493" s="4"/>
      <c r="AE493" s="4"/>
      <c r="AF493" s="4"/>
      <c r="AG493" s="4"/>
      <c r="AH493" s="4"/>
      <c r="AI493" s="4"/>
      <c r="AJ493" s="4"/>
      <c r="AK493" s="4"/>
      <c r="AL493" s="4"/>
      <c r="AM493" s="4"/>
      <c r="AN493" s="4"/>
      <c r="AO493" s="4"/>
      <c r="AP493" s="4"/>
      <c r="AQ493" s="4"/>
      <c r="AR493" s="4"/>
      <c r="AS493" s="4"/>
      <c r="AT493" s="4"/>
      <c r="AU493" s="4"/>
      <c r="AV493" s="4"/>
      <c r="AW493" s="4"/>
      <c r="AX493" s="4"/>
      <c r="AY493" s="4"/>
      <c r="AZ493" s="4"/>
      <c r="BA493" s="4"/>
      <c r="BB493" s="4"/>
      <c r="BC493" s="4"/>
      <c r="BD493" s="4"/>
      <c r="BE493" s="4"/>
      <c r="BF493" s="4"/>
      <c r="BG493" s="4"/>
      <c r="BH493" s="4"/>
      <c r="BI493" s="4"/>
      <c r="BJ493" s="4"/>
      <c r="BK493" s="4"/>
      <c r="BL493" s="4"/>
      <c r="BM493" s="4"/>
      <c r="BN493" s="4"/>
      <c r="BO493" s="4"/>
      <c r="BP493" s="4"/>
      <c r="BQ493" s="4"/>
      <c r="BR493" s="4"/>
      <c r="BS493" s="4"/>
      <c r="BT493" s="4"/>
      <c r="BU493" s="4"/>
      <c r="BV493" s="4"/>
      <c r="BW493" s="4"/>
      <c r="BX493" s="4"/>
      <c r="BY493" s="4"/>
      <c r="BZ493" s="4"/>
      <c r="CA493" s="4"/>
      <c r="CB493" s="4"/>
      <c r="CC493" s="4"/>
      <c r="CD493" s="4"/>
      <c r="CE493" s="4"/>
      <c r="CF493" s="4"/>
      <c r="CG493" s="4"/>
      <c r="CH493" s="4"/>
      <c r="CI493" s="4"/>
      <c r="CJ493" s="4"/>
      <c r="CK493" s="4"/>
      <c r="CL493" s="4"/>
      <c r="CM493" s="4"/>
      <c r="CN493" s="4"/>
      <c r="CO493" s="4"/>
      <c r="CP493" s="4"/>
      <c r="CQ493" s="4"/>
      <c r="CR493" s="4"/>
      <c r="CS493" s="4"/>
      <c r="CT493" s="4"/>
      <c r="CU493" s="4"/>
      <c r="CV493" s="4"/>
      <c r="CW493" s="4"/>
      <c r="CX493" s="4"/>
      <c r="CY493" s="4"/>
      <c r="CZ493" s="4"/>
      <c r="DA493" s="4"/>
      <c r="DB493" s="4"/>
      <c r="DC493" s="4"/>
      <c r="DD493" s="4"/>
      <c r="DE493" s="4"/>
      <c r="DF493" s="4"/>
      <c r="DG493" s="4"/>
      <c r="DH493" s="4"/>
      <c r="DI493" s="4"/>
      <c r="DJ493" s="4"/>
      <c r="DK493" s="4"/>
      <c r="DL493" s="4"/>
      <c r="DM493" s="4"/>
      <c r="DN493" s="4"/>
      <c r="DO493" s="4"/>
      <c r="DP493" s="4"/>
      <c r="DQ493" s="4"/>
      <c r="DR493" s="4"/>
      <c r="DS493" s="4"/>
      <c r="DT493" s="4"/>
      <c r="DU493" s="4"/>
      <c r="DV493" s="4"/>
      <c r="DW493" s="4"/>
      <c r="DX493" s="4"/>
      <c r="DY493" s="4"/>
      <c r="DZ493" s="4"/>
      <c r="EA493" s="4"/>
      <c r="EB493" s="4"/>
      <c r="EC493" s="4"/>
      <c r="ED493" s="4"/>
      <c r="EE493" s="4"/>
      <c r="EF493" s="4"/>
      <c r="EG493" s="4"/>
      <c r="EH493" s="4"/>
      <c r="EI493" s="4"/>
      <c r="EJ493" s="4"/>
      <c r="EK493" s="4"/>
      <c r="EL493" s="4"/>
      <c r="EM493" s="4"/>
      <c r="EN493" s="4"/>
      <c r="EO493" s="4"/>
      <c r="EP493" s="4"/>
      <c r="EQ493" s="4"/>
      <c r="ER493" s="4"/>
      <c r="ES493" s="4"/>
      <c r="ET493" s="4"/>
      <c r="EU493" s="4"/>
      <c r="EV493" s="4"/>
      <c r="EW493" s="4"/>
      <c r="EX493" s="4"/>
      <c r="EY493" s="4"/>
      <c r="EZ493" s="4"/>
      <c r="FA493" s="4"/>
      <c r="FB493" s="4"/>
      <c r="FC493" s="4"/>
      <c r="FD493" s="4"/>
      <c r="FE493" s="4"/>
      <c r="FF493" s="4"/>
    </row>
    <row r="494" spans="1:162" x14ac:dyDescent="0.2">
      <c r="A494" s="2"/>
      <c r="B494" s="2"/>
      <c r="C494" s="2"/>
      <c r="D494" s="4"/>
      <c r="E494" s="4"/>
      <c r="F494" s="4"/>
      <c r="G494" s="4"/>
      <c r="H494" s="4"/>
      <c r="I494" s="4"/>
      <c r="J494" s="4"/>
      <c r="K494" s="4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  <c r="AA494" s="4"/>
      <c r="AB494" s="4"/>
      <c r="AC494" s="4"/>
      <c r="AD494" s="4"/>
      <c r="AE494" s="4"/>
      <c r="AF494" s="4"/>
      <c r="AG494" s="4"/>
      <c r="AH494" s="4"/>
      <c r="AI494" s="4"/>
      <c r="AJ494" s="4"/>
      <c r="AK494" s="4"/>
      <c r="AL494" s="4"/>
      <c r="AM494" s="4"/>
      <c r="AN494" s="4"/>
      <c r="AO494" s="4"/>
      <c r="AP494" s="4"/>
      <c r="AQ494" s="4"/>
      <c r="AR494" s="4"/>
      <c r="AS494" s="4"/>
      <c r="AT494" s="4"/>
      <c r="AU494" s="4"/>
      <c r="AV494" s="4"/>
      <c r="AW494" s="4"/>
      <c r="AX494" s="4"/>
      <c r="AY494" s="4"/>
      <c r="AZ494" s="4"/>
      <c r="BA494" s="4"/>
      <c r="BB494" s="4"/>
      <c r="BC494" s="4"/>
      <c r="BD494" s="4"/>
      <c r="BE494" s="4"/>
      <c r="BF494" s="4"/>
      <c r="BG494" s="4"/>
      <c r="BH494" s="4"/>
      <c r="BI494" s="4"/>
      <c r="BJ494" s="4"/>
      <c r="BK494" s="4"/>
      <c r="BL494" s="4"/>
      <c r="BM494" s="4"/>
      <c r="BN494" s="4"/>
      <c r="BO494" s="4"/>
      <c r="BP494" s="4"/>
      <c r="BQ494" s="4"/>
      <c r="BR494" s="4"/>
      <c r="BS494" s="4"/>
      <c r="BT494" s="4"/>
      <c r="BU494" s="4"/>
      <c r="BV494" s="4"/>
      <c r="BW494" s="4"/>
      <c r="BX494" s="4"/>
      <c r="BY494" s="4"/>
      <c r="BZ494" s="4"/>
      <c r="CA494" s="4"/>
      <c r="CB494" s="4"/>
      <c r="CC494" s="4"/>
      <c r="CD494" s="4"/>
      <c r="CE494" s="4"/>
      <c r="CF494" s="4"/>
      <c r="CG494" s="4"/>
      <c r="CH494" s="4"/>
      <c r="CI494" s="4"/>
      <c r="CJ494" s="4"/>
      <c r="CK494" s="4"/>
      <c r="CL494" s="4"/>
      <c r="CM494" s="4"/>
      <c r="CN494" s="4"/>
      <c r="CO494" s="4"/>
      <c r="CP494" s="4"/>
      <c r="CQ494" s="4"/>
      <c r="CR494" s="4"/>
      <c r="CS494" s="4"/>
      <c r="CT494" s="4"/>
      <c r="CU494" s="4"/>
      <c r="CV494" s="4"/>
      <c r="CW494" s="4"/>
      <c r="CX494" s="4"/>
      <c r="CY494" s="4"/>
      <c r="CZ494" s="4"/>
      <c r="DA494" s="4"/>
      <c r="DB494" s="4"/>
      <c r="DC494" s="4"/>
      <c r="DD494" s="4"/>
      <c r="DE494" s="4"/>
      <c r="DF494" s="4"/>
      <c r="DG494" s="4"/>
      <c r="DH494" s="4"/>
      <c r="DI494" s="4"/>
      <c r="DJ494" s="4"/>
      <c r="DK494" s="4"/>
      <c r="DL494" s="4"/>
      <c r="DM494" s="4"/>
      <c r="DN494" s="4"/>
      <c r="DO494" s="4"/>
      <c r="DP494" s="4"/>
      <c r="DQ494" s="4"/>
      <c r="DR494" s="4"/>
      <c r="DS494" s="4"/>
      <c r="DT494" s="4"/>
      <c r="DU494" s="4"/>
      <c r="DV494" s="4"/>
      <c r="DW494" s="4"/>
      <c r="DX494" s="4"/>
      <c r="DY494" s="4"/>
      <c r="DZ494" s="4"/>
      <c r="EA494" s="4"/>
      <c r="EB494" s="4"/>
      <c r="EC494" s="4"/>
      <c r="ED494" s="4"/>
      <c r="EE494" s="4"/>
      <c r="EF494" s="4"/>
      <c r="EG494" s="4"/>
      <c r="EH494" s="4"/>
      <c r="EI494" s="4"/>
      <c r="EJ494" s="4"/>
      <c r="EK494" s="4"/>
      <c r="EL494" s="4"/>
      <c r="EM494" s="4"/>
      <c r="EN494" s="4"/>
      <c r="EO494" s="4"/>
      <c r="EP494" s="4"/>
      <c r="EQ494" s="4"/>
      <c r="ER494" s="4"/>
      <c r="ES494" s="4"/>
      <c r="ET494" s="4"/>
      <c r="EU494" s="4"/>
      <c r="EV494" s="4"/>
      <c r="EW494" s="4"/>
      <c r="EX494" s="4"/>
      <c r="EY494" s="4"/>
      <c r="EZ494" s="4"/>
      <c r="FA494" s="4"/>
      <c r="FB494" s="4"/>
      <c r="FC494" s="4"/>
      <c r="FD494" s="4"/>
      <c r="FE494" s="4"/>
      <c r="FF494" s="4"/>
    </row>
    <row r="495" spans="1:162" x14ac:dyDescent="0.2">
      <c r="A495" s="2"/>
      <c r="B495" s="2"/>
      <c r="C495" s="2"/>
      <c r="D495" s="4"/>
      <c r="E495" s="4"/>
      <c r="F495" s="4"/>
      <c r="G495" s="4"/>
      <c r="H495" s="4"/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  <c r="AA495" s="4"/>
      <c r="AB495" s="4"/>
      <c r="AC495" s="4"/>
      <c r="AD495" s="4"/>
      <c r="AE495" s="4"/>
      <c r="AF495" s="4"/>
      <c r="AG495" s="4"/>
      <c r="AH495" s="4"/>
      <c r="AI495" s="4"/>
      <c r="AJ495" s="4"/>
      <c r="AK495" s="4"/>
      <c r="AL495" s="4"/>
      <c r="AM495" s="4"/>
      <c r="AN495" s="4"/>
      <c r="AO495" s="4"/>
      <c r="AP495" s="4"/>
      <c r="AQ495" s="4"/>
      <c r="AR495" s="4"/>
      <c r="AS495" s="4"/>
      <c r="AT495" s="4"/>
      <c r="AU495" s="4"/>
      <c r="AV495" s="4"/>
      <c r="AW495" s="4"/>
      <c r="AX495" s="4"/>
      <c r="AY495" s="4"/>
      <c r="AZ495" s="4"/>
      <c r="BA495" s="4"/>
      <c r="BB495" s="4"/>
      <c r="BC495" s="4"/>
      <c r="BD495" s="4"/>
      <c r="BE495" s="4"/>
      <c r="BF495" s="4"/>
      <c r="BG495" s="4"/>
      <c r="BH495" s="4"/>
      <c r="BI495" s="4"/>
      <c r="BJ495" s="4"/>
      <c r="BK495" s="4"/>
      <c r="BL495" s="4"/>
      <c r="BM495" s="4"/>
      <c r="BN495" s="4"/>
      <c r="BO495" s="4"/>
      <c r="BP495" s="4"/>
      <c r="BQ495" s="4"/>
      <c r="BR495" s="4"/>
      <c r="BS495" s="4"/>
      <c r="BT495" s="4"/>
      <c r="BU495" s="4"/>
      <c r="BV495" s="4"/>
      <c r="BW495" s="4"/>
      <c r="BX495" s="4"/>
      <c r="BY495" s="4"/>
      <c r="BZ495" s="4"/>
      <c r="CA495" s="4"/>
      <c r="CB495" s="4"/>
      <c r="CC495" s="4"/>
      <c r="CD495" s="4"/>
      <c r="CE495" s="4"/>
      <c r="CF495" s="4"/>
      <c r="CG495" s="4"/>
      <c r="CH495" s="4"/>
      <c r="CI495" s="4"/>
      <c r="CJ495" s="4"/>
      <c r="CK495" s="4"/>
      <c r="CL495" s="4"/>
      <c r="CM495" s="4"/>
      <c r="CN495" s="4"/>
      <c r="CO495" s="4"/>
      <c r="CP495" s="4"/>
      <c r="CQ495" s="4"/>
      <c r="CR495" s="4"/>
      <c r="CS495" s="4"/>
      <c r="CT495" s="4"/>
      <c r="CU495" s="4"/>
      <c r="CV495" s="4"/>
      <c r="CW495" s="4"/>
      <c r="CX495" s="4"/>
      <c r="CY495" s="4"/>
      <c r="CZ495" s="4"/>
      <c r="DA495" s="4"/>
      <c r="DB495" s="4"/>
      <c r="DC495" s="4"/>
      <c r="DD495" s="4"/>
      <c r="DE495" s="4"/>
      <c r="DF495" s="4"/>
      <c r="DG495" s="4"/>
      <c r="DH495" s="4"/>
      <c r="DI495" s="4"/>
      <c r="DJ495" s="4"/>
      <c r="DK495" s="4"/>
      <c r="DL495" s="4"/>
      <c r="DM495" s="4"/>
      <c r="DN495" s="4"/>
      <c r="DO495" s="4"/>
      <c r="DP495" s="4"/>
      <c r="DQ495" s="4"/>
      <c r="DR495" s="4"/>
      <c r="DS495" s="4"/>
      <c r="DT495" s="4"/>
      <c r="DU495" s="4"/>
      <c r="DV495" s="4"/>
      <c r="DW495" s="4"/>
      <c r="DX495" s="4"/>
      <c r="DY495" s="4"/>
      <c r="DZ495" s="4"/>
      <c r="EA495" s="4"/>
      <c r="EB495" s="4"/>
      <c r="EC495" s="4"/>
      <c r="ED495" s="4"/>
      <c r="EE495" s="4"/>
      <c r="EF495" s="4"/>
      <c r="EG495" s="4"/>
      <c r="EH495" s="4"/>
      <c r="EI495" s="4"/>
      <c r="EJ495" s="4"/>
      <c r="EK495" s="4"/>
      <c r="EL495" s="4"/>
      <c r="EM495" s="4"/>
      <c r="EN495" s="4"/>
      <c r="EO495" s="4"/>
      <c r="EP495" s="4"/>
      <c r="EQ495" s="4"/>
      <c r="ER495" s="4"/>
      <c r="ES495" s="4"/>
      <c r="ET495" s="4"/>
      <c r="EU495" s="4"/>
      <c r="EV495" s="4"/>
      <c r="EW495" s="4"/>
      <c r="EX495" s="4"/>
      <c r="EY495" s="4"/>
      <c r="EZ495" s="4"/>
      <c r="FA495" s="4"/>
      <c r="FB495" s="4"/>
      <c r="FC495" s="4"/>
      <c r="FD495" s="4"/>
      <c r="FE495" s="4"/>
      <c r="FF495" s="4"/>
    </row>
    <row r="496" spans="1:162" x14ac:dyDescent="0.2">
      <c r="A496" s="2"/>
      <c r="B496" s="2"/>
      <c r="C496" s="2"/>
      <c r="D496" s="4"/>
      <c r="E496" s="4"/>
      <c r="F496" s="4"/>
      <c r="G496" s="4"/>
      <c r="H496" s="4"/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  <c r="AA496" s="4"/>
      <c r="AB496" s="4"/>
      <c r="AC496" s="4"/>
      <c r="AD496" s="4"/>
      <c r="AE496" s="4"/>
      <c r="AF496" s="4"/>
      <c r="AG496" s="4"/>
      <c r="AH496" s="4"/>
      <c r="AI496" s="4"/>
      <c r="AJ496" s="4"/>
      <c r="AK496" s="4"/>
      <c r="AL496" s="4"/>
      <c r="AM496" s="4"/>
      <c r="AN496" s="4"/>
      <c r="AO496" s="4"/>
      <c r="AP496" s="4"/>
      <c r="AQ496" s="4"/>
      <c r="AR496" s="4"/>
      <c r="AS496" s="4"/>
      <c r="AT496" s="4"/>
      <c r="AU496" s="4"/>
      <c r="AV496" s="4"/>
      <c r="AW496" s="4"/>
      <c r="AX496" s="4"/>
      <c r="AY496" s="4"/>
      <c r="AZ496" s="4"/>
      <c r="BA496" s="4"/>
      <c r="BB496" s="4"/>
      <c r="BC496" s="4"/>
      <c r="BD496" s="4"/>
      <c r="BE496" s="4"/>
      <c r="BF496" s="4"/>
      <c r="BG496" s="4"/>
      <c r="BH496" s="4"/>
      <c r="BI496" s="4"/>
      <c r="BJ496" s="4"/>
      <c r="BK496" s="4"/>
      <c r="BL496" s="4"/>
      <c r="BM496" s="4"/>
      <c r="BN496" s="4"/>
      <c r="BO496" s="4"/>
      <c r="BP496" s="4"/>
      <c r="BQ496" s="4"/>
      <c r="BR496" s="4"/>
      <c r="BS496" s="4"/>
      <c r="BT496" s="4"/>
      <c r="BU496" s="4"/>
      <c r="BV496" s="4"/>
      <c r="BW496" s="4"/>
      <c r="BX496" s="4"/>
      <c r="BY496" s="4"/>
      <c r="BZ496" s="4"/>
      <c r="CA496" s="4"/>
      <c r="CB496" s="4"/>
      <c r="CC496" s="4"/>
      <c r="CD496" s="4"/>
      <c r="CE496" s="4"/>
      <c r="CF496" s="4"/>
      <c r="CG496" s="4"/>
      <c r="CH496" s="4"/>
      <c r="CI496" s="4"/>
      <c r="CJ496" s="4"/>
      <c r="CK496" s="4"/>
      <c r="CL496" s="4"/>
      <c r="CM496" s="4"/>
      <c r="CN496" s="4"/>
      <c r="CO496" s="4"/>
      <c r="CP496" s="4"/>
      <c r="CQ496" s="4"/>
      <c r="CR496" s="4"/>
      <c r="CS496" s="4"/>
      <c r="CT496" s="4"/>
      <c r="CU496" s="4"/>
      <c r="CV496" s="4"/>
      <c r="CW496" s="4"/>
      <c r="CX496" s="4"/>
      <c r="CY496" s="4"/>
      <c r="CZ496" s="4"/>
      <c r="DA496" s="4"/>
      <c r="DB496" s="4"/>
      <c r="DC496" s="4"/>
      <c r="DD496" s="4"/>
      <c r="DE496" s="4"/>
      <c r="DF496" s="4"/>
      <c r="DG496" s="4"/>
      <c r="DH496" s="4"/>
      <c r="DI496" s="4"/>
      <c r="DJ496" s="4"/>
      <c r="DK496" s="4"/>
      <c r="DL496" s="4"/>
      <c r="DM496" s="4"/>
      <c r="DN496" s="4"/>
      <c r="DO496" s="4"/>
      <c r="DP496" s="4"/>
      <c r="DQ496" s="4"/>
      <c r="DR496" s="4"/>
      <c r="DS496" s="4"/>
      <c r="DT496" s="4"/>
      <c r="DU496" s="4"/>
      <c r="DV496" s="4"/>
      <c r="DW496" s="4"/>
      <c r="DX496" s="4"/>
      <c r="DY496" s="4"/>
      <c r="DZ496" s="4"/>
      <c r="EA496" s="4"/>
      <c r="EB496" s="4"/>
      <c r="EC496" s="4"/>
      <c r="ED496" s="4"/>
      <c r="EE496" s="4"/>
      <c r="EF496" s="4"/>
      <c r="EG496" s="4"/>
      <c r="EH496" s="4"/>
      <c r="EI496" s="4"/>
      <c r="EJ496" s="4"/>
      <c r="EK496" s="4"/>
      <c r="EL496" s="4"/>
      <c r="EM496" s="4"/>
      <c r="EN496" s="4"/>
      <c r="EO496" s="4"/>
      <c r="EP496" s="4"/>
      <c r="EQ496" s="4"/>
      <c r="ER496" s="4"/>
      <c r="ES496" s="4"/>
      <c r="ET496" s="4"/>
      <c r="EU496" s="4"/>
      <c r="EV496" s="4"/>
      <c r="EW496" s="4"/>
      <c r="EX496" s="4"/>
      <c r="EY496" s="4"/>
      <c r="EZ496" s="4"/>
      <c r="FA496" s="4"/>
      <c r="FB496" s="4"/>
      <c r="FC496" s="4"/>
      <c r="FD496" s="4"/>
      <c r="FE496" s="4"/>
      <c r="FF496" s="4"/>
    </row>
    <row r="497" spans="1:162" x14ac:dyDescent="0.2">
      <c r="A497" s="2"/>
      <c r="B497" s="2"/>
      <c r="C497" s="2"/>
      <c r="D497" s="4"/>
      <c r="E497" s="4"/>
      <c r="F497" s="4"/>
      <c r="G497" s="4"/>
      <c r="H497" s="4"/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  <c r="AA497" s="4"/>
      <c r="AB497" s="4"/>
      <c r="AC497" s="4"/>
      <c r="AD497" s="4"/>
      <c r="AE497" s="4"/>
      <c r="AF497" s="4"/>
      <c r="AG497" s="4"/>
      <c r="AH497" s="4"/>
      <c r="AI497" s="4"/>
      <c r="AJ497" s="4"/>
      <c r="AK497" s="4"/>
      <c r="AL497" s="4"/>
      <c r="AM497" s="4"/>
      <c r="AN497" s="4"/>
      <c r="AO497" s="4"/>
      <c r="AP497" s="4"/>
      <c r="AQ497" s="4"/>
      <c r="AR497" s="4"/>
      <c r="AS497" s="4"/>
      <c r="AT497" s="4"/>
      <c r="AU497" s="4"/>
      <c r="AV497" s="4"/>
      <c r="AW497" s="4"/>
      <c r="AX497" s="4"/>
      <c r="AY497" s="4"/>
      <c r="AZ497" s="4"/>
      <c r="BA497" s="4"/>
      <c r="BB497" s="4"/>
      <c r="BC497" s="4"/>
      <c r="BD497" s="4"/>
      <c r="BE497" s="4"/>
      <c r="BF497" s="4"/>
      <c r="BG497" s="4"/>
      <c r="BH497" s="4"/>
      <c r="BI497" s="4"/>
      <c r="BJ497" s="4"/>
      <c r="BK497" s="4"/>
      <c r="BL497" s="4"/>
      <c r="BM497" s="4"/>
      <c r="BN497" s="4"/>
      <c r="BO497" s="4"/>
      <c r="BP497" s="4"/>
      <c r="BQ497" s="4"/>
      <c r="BR497" s="4"/>
      <c r="BS497" s="4"/>
      <c r="BT497" s="4"/>
      <c r="BU497" s="4"/>
      <c r="BV497" s="4"/>
      <c r="BW497" s="4"/>
      <c r="BX497" s="4"/>
      <c r="BY497" s="4"/>
      <c r="BZ497" s="4"/>
      <c r="CA497" s="4"/>
      <c r="CB497" s="4"/>
      <c r="CC497" s="4"/>
      <c r="CD497" s="4"/>
      <c r="CE497" s="4"/>
      <c r="CF497" s="4"/>
      <c r="CG497" s="4"/>
      <c r="CH497" s="4"/>
      <c r="CI497" s="4"/>
      <c r="CJ497" s="4"/>
      <c r="CK497" s="4"/>
      <c r="CL497" s="4"/>
      <c r="CM497" s="4"/>
      <c r="CN497" s="4"/>
      <c r="CO497" s="4"/>
      <c r="CP497" s="4"/>
      <c r="CQ497" s="4"/>
      <c r="CR497" s="4"/>
      <c r="CS497" s="4"/>
      <c r="CT497" s="4"/>
      <c r="CU497" s="4"/>
      <c r="CV497" s="4"/>
      <c r="CW497" s="4"/>
      <c r="CX497" s="4"/>
      <c r="CY497" s="4"/>
      <c r="CZ497" s="4"/>
      <c r="DA497" s="4"/>
      <c r="DB497" s="4"/>
      <c r="DC497" s="4"/>
      <c r="DD497" s="4"/>
      <c r="DE497" s="4"/>
      <c r="DF497" s="4"/>
      <c r="DG497" s="4"/>
      <c r="DH497" s="4"/>
      <c r="DI497" s="4"/>
      <c r="DJ497" s="4"/>
      <c r="DK497" s="4"/>
      <c r="DL497" s="4"/>
      <c r="DM497" s="4"/>
      <c r="DN497" s="4"/>
      <c r="DO497" s="4"/>
      <c r="DP497" s="4"/>
      <c r="DQ497" s="4"/>
      <c r="DR497" s="4"/>
      <c r="DS497" s="4"/>
      <c r="DT497" s="4"/>
      <c r="DU497" s="4"/>
      <c r="DV497" s="4"/>
      <c r="DW497" s="4"/>
      <c r="DX497" s="4"/>
      <c r="DY497" s="4"/>
      <c r="DZ497" s="4"/>
      <c r="EA497" s="4"/>
      <c r="EB497" s="4"/>
      <c r="EC497" s="4"/>
      <c r="ED497" s="4"/>
      <c r="EE497" s="4"/>
      <c r="EF497" s="4"/>
      <c r="EG497" s="4"/>
      <c r="EH497" s="4"/>
      <c r="EI497" s="4"/>
      <c r="EJ497" s="4"/>
      <c r="EK497" s="4"/>
      <c r="EL497" s="4"/>
      <c r="EM497" s="4"/>
      <c r="EN497" s="4"/>
      <c r="EO497" s="4"/>
      <c r="EP497" s="4"/>
      <c r="EQ497" s="4"/>
      <c r="ER497" s="4"/>
      <c r="ES497" s="4"/>
      <c r="ET497" s="4"/>
      <c r="EU497" s="4"/>
      <c r="EV497" s="4"/>
      <c r="EW497" s="4"/>
      <c r="EX497" s="4"/>
      <c r="EY497" s="4"/>
      <c r="EZ497" s="4"/>
      <c r="FA497" s="4"/>
      <c r="FB497" s="4"/>
      <c r="FC497" s="4"/>
      <c r="FD497" s="4"/>
      <c r="FE497" s="4"/>
      <c r="FF497" s="4"/>
    </row>
    <row r="498" spans="1:162" x14ac:dyDescent="0.2">
      <c r="A498" s="2"/>
      <c r="B498" s="2"/>
      <c r="C498" s="2"/>
      <c r="D498" s="4"/>
      <c r="E498" s="4"/>
      <c r="F498" s="4"/>
      <c r="G498" s="4"/>
      <c r="H498" s="4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  <c r="AA498" s="4"/>
      <c r="AB498" s="4"/>
      <c r="AC498" s="4"/>
      <c r="AD498" s="4"/>
      <c r="AE498" s="4"/>
      <c r="AF498" s="4"/>
      <c r="AG498" s="4"/>
      <c r="AH498" s="4"/>
      <c r="AI498" s="4"/>
      <c r="AJ498" s="4"/>
      <c r="AK498" s="4"/>
      <c r="AL498" s="4"/>
      <c r="AM498" s="4"/>
      <c r="AN498" s="4"/>
      <c r="AO498" s="4"/>
      <c r="AP498" s="4"/>
      <c r="AQ498" s="4"/>
      <c r="AR498" s="4"/>
      <c r="AS498" s="4"/>
      <c r="AT498" s="4"/>
      <c r="AU498" s="4"/>
      <c r="AV498" s="4"/>
      <c r="AW498" s="4"/>
      <c r="AX498" s="4"/>
      <c r="AY498" s="4"/>
      <c r="AZ498" s="4"/>
      <c r="BA498" s="4"/>
      <c r="BB498" s="4"/>
      <c r="BC498" s="4"/>
      <c r="BD498" s="4"/>
      <c r="BE498" s="4"/>
      <c r="BF498" s="4"/>
      <c r="BG498" s="4"/>
      <c r="BH498" s="4"/>
      <c r="BI498" s="4"/>
      <c r="BJ498" s="4"/>
      <c r="BK498" s="4"/>
      <c r="BL498" s="4"/>
      <c r="BM498" s="4"/>
      <c r="BN498" s="4"/>
      <c r="BO498" s="4"/>
      <c r="BP498" s="4"/>
      <c r="BQ498" s="4"/>
      <c r="BR498" s="4"/>
      <c r="BS498" s="4"/>
      <c r="BT498" s="4"/>
      <c r="BU498" s="4"/>
      <c r="BV498" s="4"/>
      <c r="BW498" s="4"/>
      <c r="BX498" s="4"/>
      <c r="BY498" s="4"/>
      <c r="BZ498" s="4"/>
      <c r="CA498" s="4"/>
      <c r="CB498" s="4"/>
      <c r="CC498" s="4"/>
      <c r="CD498" s="4"/>
      <c r="CE498" s="4"/>
      <c r="CF498" s="4"/>
      <c r="CG498" s="4"/>
      <c r="CH498" s="4"/>
      <c r="CI498" s="4"/>
      <c r="CJ498" s="4"/>
      <c r="CK498" s="4"/>
      <c r="CL498" s="4"/>
      <c r="CM498" s="4"/>
      <c r="CN498" s="4"/>
      <c r="CO498" s="4"/>
      <c r="CP498" s="4"/>
      <c r="CQ498" s="4"/>
      <c r="CR498" s="4"/>
      <c r="CS498" s="4"/>
      <c r="CT498" s="4"/>
      <c r="CU498" s="4"/>
      <c r="CV498" s="4"/>
      <c r="CW498" s="4"/>
      <c r="CX498" s="4"/>
      <c r="CY498" s="4"/>
      <c r="CZ498" s="4"/>
      <c r="DA498" s="4"/>
      <c r="DB498" s="4"/>
      <c r="DC498" s="4"/>
      <c r="DD498" s="4"/>
      <c r="DE498" s="4"/>
      <c r="DF498" s="4"/>
      <c r="DG498" s="4"/>
      <c r="DH498" s="4"/>
      <c r="DI498" s="4"/>
      <c r="DJ498" s="4"/>
      <c r="DK498" s="4"/>
      <c r="DL498" s="4"/>
      <c r="DM498" s="4"/>
      <c r="DN498" s="4"/>
      <c r="DO498" s="4"/>
      <c r="DP498" s="4"/>
      <c r="DQ498" s="4"/>
      <c r="DR498" s="4"/>
      <c r="DS498" s="4"/>
      <c r="DT498" s="4"/>
      <c r="DU498" s="4"/>
      <c r="DV498" s="4"/>
      <c r="DW498" s="4"/>
      <c r="DX498" s="4"/>
      <c r="DY498" s="4"/>
      <c r="DZ498" s="4"/>
      <c r="EA498" s="4"/>
      <c r="EB498" s="4"/>
      <c r="EC498" s="4"/>
      <c r="ED498" s="4"/>
      <c r="EE498" s="4"/>
      <c r="EF498" s="4"/>
      <c r="EG498" s="4"/>
      <c r="EH498" s="4"/>
      <c r="EI498" s="4"/>
      <c r="EJ498" s="4"/>
      <c r="EK498" s="4"/>
      <c r="EL498" s="4"/>
      <c r="EM498" s="4"/>
      <c r="EN498" s="4"/>
      <c r="EO498" s="4"/>
      <c r="EP498" s="4"/>
      <c r="EQ498" s="4"/>
      <c r="ER498" s="4"/>
      <c r="ES498" s="4"/>
      <c r="ET498" s="4"/>
      <c r="EU498" s="4"/>
      <c r="EV498" s="4"/>
      <c r="EW498" s="4"/>
      <c r="EX498" s="4"/>
      <c r="EY498" s="4"/>
      <c r="EZ498" s="4"/>
      <c r="FA498" s="4"/>
      <c r="FB498" s="4"/>
      <c r="FC498" s="4"/>
      <c r="FD498" s="4"/>
      <c r="FE498" s="4"/>
      <c r="FF498" s="4"/>
    </row>
    <row r="499" spans="1:162" x14ac:dyDescent="0.2">
      <c r="A499" s="2"/>
      <c r="B499" s="2"/>
      <c r="C499" s="2"/>
      <c r="D499" s="4"/>
      <c r="E499" s="4"/>
      <c r="F499" s="4"/>
      <c r="G499" s="4"/>
      <c r="H499" s="4"/>
      <c r="I499" s="4"/>
      <c r="J499" s="4"/>
      <c r="K499" s="4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  <c r="AA499" s="4"/>
      <c r="AB499" s="4"/>
      <c r="AC499" s="4"/>
      <c r="AD499" s="4"/>
      <c r="AE499" s="4"/>
      <c r="AF499" s="4"/>
      <c r="AG499" s="4"/>
      <c r="AH499" s="4"/>
      <c r="AI499" s="4"/>
      <c r="AJ499" s="4"/>
      <c r="AK499" s="4"/>
      <c r="AL499" s="4"/>
      <c r="AM499" s="4"/>
      <c r="AN499" s="4"/>
      <c r="AO499" s="4"/>
      <c r="AP499" s="4"/>
      <c r="AQ499" s="4"/>
      <c r="AR499" s="4"/>
      <c r="AS499" s="4"/>
      <c r="AT499" s="4"/>
      <c r="AU499" s="4"/>
      <c r="AV499" s="4"/>
      <c r="AW499" s="4"/>
      <c r="AX499" s="4"/>
      <c r="AY499" s="4"/>
      <c r="AZ499" s="4"/>
      <c r="BA499" s="4"/>
      <c r="BB499" s="4"/>
      <c r="BC499" s="4"/>
      <c r="BD499" s="4"/>
      <c r="BE499" s="4"/>
      <c r="BF499" s="4"/>
      <c r="BG499" s="4"/>
      <c r="BH499" s="4"/>
      <c r="BI499" s="4"/>
      <c r="BJ499" s="4"/>
      <c r="BK499" s="4"/>
      <c r="BL499" s="4"/>
      <c r="BM499" s="4"/>
      <c r="BN499" s="4"/>
      <c r="BO499" s="4"/>
      <c r="BP499" s="4"/>
      <c r="BQ499" s="4"/>
      <c r="BR499" s="4"/>
      <c r="BS499" s="4"/>
      <c r="BT499" s="4"/>
      <c r="BU499" s="4"/>
      <c r="BV499" s="4"/>
      <c r="BW499" s="4"/>
      <c r="BX499" s="4"/>
      <c r="BY499" s="4"/>
      <c r="BZ499" s="4"/>
      <c r="CA499" s="4"/>
      <c r="CB499" s="4"/>
      <c r="CC499" s="4"/>
      <c r="CD499" s="4"/>
      <c r="CE499" s="4"/>
      <c r="CF499" s="4"/>
      <c r="CG499" s="4"/>
      <c r="CH499" s="4"/>
      <c r="CI499" s="4"/>
      <c r="CJ499" s="4"/>
      <c r="CK499" s="4"/>
      <c r="CL499" s="4"/>
      <c r="CM499" s="4"/>
      <c r="CN499" s="4"/>
      <c r="CO499" s="4"/>
      <c r="CP499" s="4"/>
      <c r="CQ499" s="4"/>
      <c r="CR499" s="4"/>
      <c r="CS499" s="4"/>
      <c r="CT499" s="4"/>
      <c r="CU499" s="4"/>
      <c r="CV499" s="4"/>
      <c r="CW499" s="4"/>
      <c r="CX499" s="4"/>
      <c r="CY499" s="4"/>
      <c r="CZ499" s="4"/>
      <c r="DA499" s="4"/>
      <c r="DB499" s="4"/>
      <c r="DC499" s="4"/>
      <c r="DD499" s="4"/>
      <c r="DE499" s="4"/>
      <c r="DF499" s="4"/>
      <c r="DG499" s="4"/>
      <c r="DH499" s="4"/>
      <c r="DI499" s="4"/>
      <c r="DJ499" s="4"/>
      <c r="DK499" s="4"/>
      <c r="DL499" s="4"/>
      <c r="DM499" s="4"/>
      <c r="DN499" s="4"/>
      <c r="DO499" s="4"/>
      <c r="DP499" s="4"/>
      <c r="DQ499" s="4"/>
      <c r="DR499" s="4"/>
      <c r="DS499" s="4"/>
      <c r="DT499" s="4"/>
      <c r="DU499" s="4"/>
      <c r="DV499" s="4"/>
      <c r="DW499" s="4"/>
      <c r="DX499" s="4"/>
      <c r="DY499" s="4"/>
      <c r="DZ499" s="4"/>
      <c r="EA499" s="4"/>
      <c r="EB499" s="4"/>
      <c r="EC499" s="4"/>
      <c r="ED499" s="4"/>
      <c r="EE499" s="4"/>
      <c r="EF499" s="4"/>
      <c r="EG499" s="4"/>
      <c r="EH499" s="4"/>
      <c r="EI499" s="4"/>
      <c r="EJ499" s="4"/>
      <c r="EK499" s="4"/>
      <c r="EL499" s="4"/>
      <c r="EM499" s="4"/>
      <c r="EN499" s="4"/>
      <c r="EO499" s="4"/>
      <c r="EP499" s="4"/>
      <c r="EQ499" s="4"/>
      <c r="ER499" s="4"/>
      <c r="ES499" s="4"/>
      <c r="ET499" s="4"/>
      <c r="EU499" s="4"/>
      <c r="EV499" s="4"/>
      <c r="EW499" s="4"/>
      <c r="EX499" s="4"/>
      <c r="EY499" s="4"/>
      <c r="EZ499" s="4"/>
      <c r="FA499" s="4"/>
      <c r="FB499" s="4"/>
      <c r="FC499" s="4"/>
      <c r="FD499" s="4"/>
      <c r="FE499" s="4"/>
      <c r="FF499" s="4"/>
    </row>
    <row r="500" spans="1:162" x14ac:dyDescent="0.2">
      <c r="A500" s="2"/>
      <c r="B500" s="2"/>
      <c r="C500" s="2"/>
      <c r="D500" s="4"/>
      <c r="E500" s="4"/>
      <c r="F500" s="4"/>
      <c r="G500" s="4"/>
      <c r="H500" s="4"/>
      <c r="I500" s="4"/>
      <c r="J500" s="4"/>
      <c r="K500" s="4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  <c r="AA500" s="4"/>
      <c r="AB500" s="4"/>
      <c r="AC500" s="4"/>
      <c r="AD500" s="4"/>
      <c r="AE500" s="4"/>
      <c r="AF500" s="4"/>
      <c r="AG500" s="4"/>
      <c r="AH500" s="4"/>
      <c r="AI500" s="4"/>
      <c r="AJ500" s="4"/>
      <c r="AK500" s="4"/>
      <c r="AL500" s="4"/>
      <c r="AM500" s="4"/>
      <c r="AN500" s="4"/>
      <c r="AO500" s="4"/>
      <c r="AP500" s="4"/>
      <c r="AQ500" s="4"/>
      <c r="AR500" s="4"/>
      <c r="AS500" s="4"/>
      <c r="AT500" s="4"/>
      <c r="AU500" s="4"/>
      <c r="AV500" s="4"/>
      <c r="AW500" s="4"/>
      <c r="AX500" s="4"/>
      <c r="AY500" s="4"/>
      <c r="AZ500" s="4"/>
      <c r="BA500" s="4"/>
      <c r="BB500" s="4"/>
      <c r="BC500" s="4"/>
      <c r="BD500" s="4"/>
      <c r="BE500" s="4"/>
      <c r="BF500" s="4"/>
      <c r="BG500" s="4"/>
      <c r="BH500" s="4"/>
      <c r="BI500" s="4"/>
      <c r="BJ500" s="4"/>
      <c r="BK500" s="4"/>
      <c r="BL500" s="4"/>
      <c r="BM500" s="4"/>
      <c r="BN500" s="4"/>
      <c r="BO500" s="4"/>
      <c r="BP500" s="4"/>
      <c r="BQ500" s="4"/>
      <c r="BR500" s="4"/>
      <c r="BS500" s="4"/>
      <c r="BT500" s="4"/>
      <c r="BU500" s="4"/>
      <c r="BV500" s="4"/>
      <c r="BW500" s="4"/>
      <c r="BX500" s="4"/>
      <c r="BY500" s="4"/>
      <c r="BZ500" s="4"/>
      <c r="CA500" s="4"/>
      <c r="CB500" s="4"/>
      <c r="CC500" s="4"/>
      <c r="CD500" s="4"/>
      <c r="CE500" s="4"/>
      <c r="CF500" s="4"/>
      <c r="CG500" s="4"/>
      <c r="CH500" s="4"/>
      <c r="CI500" s="4"/>
      <c r="CJ500" s="4"/>
      <c r="CK500" s="4"/>
      <c r="CL500" s="4"/>
      <c r="CM500" s="4"/>
      <c r="CN500" s="4"/>
      <c r="CO500" s="4"/>
      <c r="CP500" s="4"/>
      <c r="CQ500" s="4"/>
      <c r="CR500" s="4"/>
      <c r="CS500" s="4"/>
      <c r="CT500" s="4"/>
      <c r="CU500" s="4"/>
      <c r="CV500" s="4"/>
      <c r="CW500" s="4"/>
      <c r="CX500" s="4"/>
      <c r="CY500" s="4"/>
      <c r="CZ500" s="4"/>
      <c r="DA500" s="4"/>
      <c r="DB500" s="4"/>
      <c r="DC500" s="4"/>
      <c r="DD500" s="4"/>
      <c r="DE500" s="4"/>
      <c r="DF500" s="4"/>
      <c r="DG500" s="4"/>
      <c r="DH500" s="4"/>
      <c r="DI500" s="4"/>
      <c r="DJ500" s="4"/>
      <c r="DK500" s="4"/>
      <c r="DL500" s="4"/>
      <c r="DM500" s="4"/>
      <c r="DN500" s="4"/>
      <c r="DO500" s="4"/>
      <c r="DP500" s="4"/>
      <c r="DQ500" s="4"/>
      <c r="DR500" s="4"/>
      <c r="DS500" s="4"/>
      <c r="DT500" s="4"/>
      <c r="DU500" s="4"/>
      <c r="DV500" s="4"/>
      <c r="DW500" s="4"/>
      <c r="DX500" s="4"/>
      <c r="DY500" s="4"/>
      <c r="DZ500" s="4"/>
      <c r="EA500" s="4"/>
      <c r="EB500" s="4"/>
      <c r="EC500" s="4"/>
      <c r="ED500" s="4"/>
      <c r="EE500" s="4"/>
      <c r="EF500" s="4"/>
      <c r="EG500" s="4"/>
      <c r="EH500" s="4"/>
      <c r="EI500" s="4"/>
      <c r="EJ500" s="4"/>
      <c r="EK500" s="4"/>
      <c r="EL500" s="4"/>
      <c r="EM500" s="4"/>
      <c r="EN500" s="4"/>
      <c r="EO500" s="4"/>
      <c r="EP500" s="4"/>
      <c r="EQ500" s="4"/>
      <c r="ER500" s="4"/>
      <c r="ES500" s="4"/>
      <c r="ET500" s="4"/>
      <c r="EU500" s="4"/>
      <c r="EV500" s="4"/>
      <c r="EW500" s="4"/>
      <c r="EX500" s="4"/>
      <c r="EY500" s="4"/>
      <c r="EZ500" s="4"/>
      <c r="FA500" s="4"/>
      <c r="FB500" s="4"/>
      <c r="FC500" s="4"/>
      <c r="FD500" s="4"/>
      <c r="FE500" s="4"/>
      <c r="FF500" s="4"/>
    </row>
    <row r="501" spans="1:162" x14ac:dyDescent="0.2">
      <c r="A501" s="2"/>
      <c r="B501" s="2"/>
      <c r="C501" s="2"/>
      <c r="D501" s="4"/>
      <c r="E501" s="4"/>
      <c r="F501" s="4"/>
      <c r="G501" s="4"/>
      <c r="H501" s="4"/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  <c r="AA501" s="4"/>
      <c r="AB501" s="4"/>
      <c r="AC501" s="4"/>
      <c r="AD501" s="4"/>
      <c r="AE501" s="4"/>
      <c r="AF501" s="4"/>
      <c r="AG501" s="4"/>
      <c r="AH501" s="4"/>
      <c r="AI501" s="4"/>
      <c r="AJ501" s="4"/>
      <c r="AK501" s="4"/>
      <c r="AL501" s="4"/>
      <c r="AM501" s="4"/>
      <c r="AN501" s="4"/>
      <c r="AO501" s="4"/>
      <c r="AP501" s="4"/>
      <c r="AQ501" s="4"/>
      <c r="AR501" s="4"/>
      <c r="AS501" s="4"/>
      <c r="AT501" s="4"/>
      <c r="AU501" s="4"/>
      <c r="AV501" s="4"/>
      <c r="AW501" s="4"/>
      <c r="AX501" s="4"/>
      <c r="AY501" s="4"/>
      <c r="AZ501" s="4"/>
      <c r="BA501" s="4"/>
      <c r="BB501" s="4"/>
      <c r="BC501" s="4"/>
      <c r="BD501" s="4"/>
      <c r="BE501" s="4"/>
      <c r="BF501" s="4"/>
      <c r="BG501" s="4"/>
      <c r="BH501" s="4"/>
      <c r="BI501" s="4"/>
      <c r="BJ501" s="4"/>
      <c r="BK501" s="4"/>
      <c r="BL501" s="4"/>
      <c r="BM501" s="4"/>
      <c r="BN501" s="4"/>
      <c r="BO501" s="4"/>
      <c r="BP501" s="4"/>
      <c r="BQ501" s="4"/>
      <c r="BR501" s="4"/>
      <c r="BS501" s="4"/>
      <c r="BT501" s="4"/>
      <c r="BU501" s="4"/>
      <c r="BV501" s="4"/>
      <c r="BW501" s="4"/>
      <c r="BX501" s="4"/>
      <c r="BY501" s="4"/>
      <c r="BZ501" s="4"/>
      <c r="CA501" s="4"/>
      <c r="CB501" s="4"/>
      <c r="CC501" s="4"/>
      <c r="CD501" s="4"/>
      <c r="CE501" s="4"/>
      <c r="CF501" s="4"/>
      <c r="CG501" s="4"/>
      <c r="CH501" s="4"/>
      <c r="CI501" s="4"/>
      <c r="CJ501" s="4"/>
      <c r="CK501" s="4"/>
      <c r="CL501" s="4"/>
      <c r="CM501" s="4"/>
      <c r="CN501" s="4"/>
      <c r="CO501" s="4"/>
      <c r="CP501" s="4"/>
      <c r="CQ501" s="4"/>
      <c r="CR501" s="4"/>
      <c r="CS501" s="4"/>
      <c r="CT501" s="4"/>
      <c r="CU501" s="4"/>
      <c r="CV501" s="4"/>
      <c r="CW501" s="4"/>
      <c r="CX501" s="4"/>
      <c r="CY501" s="4"/>
      <c r="CZ501" s="4"/>
      <c r="DA501" s="4"/>
      <c r="DB501" s="4"/>
      <c r="DC501" s="4"/>
      <c r="DD501" s="4"/>
      <c r="DE501" s="4"/>
      <c r="DF501" s="4"/>
      <c r="DG501" s="4"/>
      <c r="DH501" s="4"/>
      <c r="DI501" s="4"/>
      <c r="DJ501" s="4"/>
      <c r="DK501" s="4"/>
      <c r="DL501" s="4"/>
      <c r="DM501" s="4"/>
      <c r="DN501" s="4"/>
      <c r="DO501" s="4"/>
      <c r="DP501" s="4"/>
      <c r="DQ501" s="4"/>
      <c r="DR501" s="4"/>
      <c r="DS501" s="4"/>
      <c r="DT501" s="4"/>
      <c r="DU501" s="4"/>
      <c r="DV501" s="4"/>
      <c r="DW501" s="4"/>
      <c r="DX501" s="4"/>
      <c r="DY501" s="4"/>
      <c r="DZ501" s="4"/>
      <c r="EA501" s="4"/>
      <c r="EB501" s="4"/>
      <c r="EC501" s="4"/>
      <c r="ED501" s="4"/>
      <c r="EE501" s="4"/>
      <c r="EF501" s="4"/>
      <c r="EG501" s="4"/>
      <c r="EH501" s="4"/>
      <c r="EI501" s="4"/>
      <c r="EJ501" s="4"/>
      <c r="EK501" s="4"/>
      <c r="EL501" s="4"/>
      <c r="EM501" s="4"/>
      <c r="EN501" s="4"/>
      <c r="EO501" s="4"/>
      <c r="EP501" s="4"/>
      <c r="EQ501" s="4"/>
      <c r="ER501" s="4"/>
      <c r="ES501" s="4"/>
      <c r="ET501" s="4"/>
      <c r="EU501" s="4"/>
      <c r="EV501" s="4"/>
      <c r="EW501" s="4"/>
      <c r="EX501" s="4"/>
      <c r="EY501" s="4"/>
      <c r="EZ501" s="4"/>
      <c r="FA501" s="4"/>
      <c r="FB501" s="4"/>
      <c r="FC501" s="4"/>
      <c r="FD501" s="4"/>
      <c r="FE501" s="4"/>
      <c r="FF501" s="4"/>
    </row>
    <row r="502" spans="1:162" x14ac:dyDescent="0.2">
      <c r="A502" s="2"/>
      <c r="B502" s="2"/>
      <c r="C502" s="2"/>
      <c r="D502" s="4"/>
      <c r="E502" s="4"/>
      <c r="F502" s="4"/>
      <c r="G502" s="4"/>
      <c r="H502" s="4"/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  <c r="AA502" s="4"/>
      <c r="AB502" s="4"/>
      <c r="AC502" s="4"/>
      <c r="AD502" s="4"/>
      <c r="AE502" s="4"/>
      <c r="AF502" s="4"/>
      <c r="AG502" s="4"/>
      <c r="AH502" s="4"/>
      <c r="AI502" s="4"/>
      <c r="AJ502" s="4"/>
      <c r="AK502" s="4"/>
      <c r="AL502" s="4"/>
      <c r="AM502" s="4"/>
      <c r="AN502" s="4"/>
      <c r="AO502" s="4"/>
      <c r="AP502" s="4"/>
      <c r="AQ502" s="4"/>
      <c r="AR502" s="4"/>
      <c r="AS502" s="4"/>
      <c r="AT502" s="4"/>
      <c r="AU502" s="4"/>
      <c r="AV502" s="4"/>
      <c r="AW502" s="4"/>
      <c r="AX502" s="4"/>
      <c r="AY502" s="4"/>
      <c r="AZ502" s="4"/>
      <c r="BA502" s="4"/>
      <c r="BB502" s="4"/>
      <c r="BC502" s="4"/>
      <c r="BD502" s="4"/>
      <c r="BE502" s="4"/>
      <c r="BF502" s="4"/>
      <c r="BG502" s="4"/>
      <c r="BH502" s="4"/>
      <c r="BI502" s="4"/>
      <c r="BJ502" s="4"/>
      <c r="BK502" s="4"/>
      <c r="BL502" s="4"/>
      <c r="BM502" s="4"/>
      <c r="BN502" s="4"/>
      <c r="BO502" s="4"/>
      <c r="BP502" s="4"/>
      <c r="BQ502" s="4"/>
      <c r="BR502" s="4"/>
      <c r="BS502" s="4"/>
      <c r="BT502" s="4"/>
      <c r="BU502" s="4"/>
      <c r="BV502" s="4"/>
      <c r="BW502" s="4"/>
      <c r="BX502" s="4"/>
      <c r="BY502" s="4"/>
      <c r="BZ502" s="4"/>
      <c r="CA502" s="4"/>
      <c r="CB502" s="4"/>
      <c r="CC502" s="4"/>
      <c r="CD502" s="4"/>
      <c r="CE502" s="4"/>
      <c r="CF502" s="4"/>
      <c r="CG502" s="4"/>
      <c r="CH502" s="4"/>
      <c r="CI502" s="4"/>
      <c r="CJ502" s="4"/>
      <c r="CK502" s="4"/>
      <c r="CL502" s="4"/>
      <c r="CM502" s="4"/>
      <c r="CN502" s="4"/>
      <c r="CO502" s="4"/>
      <c r="CP502" s="4"/>
      <c r="CQ502" s="4"/>
      <c r="CR502" s="4"/>
      <c r="CS502" s="4"/>
      <c r="CT502" s="4"/>
      <c r="CU502" s="4"/>
      <c r="CV502" s="4"/>
      <c r="CW502" s="4"/>
      <c r="CX502" s="4"/>
      <c r="CY502" s="4"/>
      <c r="CZ502" s="4"/>
      <c r="DA502" s="4"/>
      <c r="DB502" s="4"/>
      <c r="DC502" s="4"/>
      <c r="DD502" s="4"/>
      <c r="DE502" s="4"/>
      <c r="DF502" s="4"/>
      <c r="DG502" s="4"/>
      <c r="DH502" s="4"/>
      <c r="DI502" s="4"/>
      <c r="DJ502" s="4"/>
      <c r="DK502" s="4"/>
      <c r="DL502" s="4"/>
      <c r="DM502" s="4"/>
      <c r="DN502" s="4"/>
      <c r="DO502" s="4"/>
      <c r="DP502" s="4"/>
      <c r="DQ502" s="4"/>
      <c r="DR502" s="4"/>
      <c r="DS502" s="4"/>
      <c r="DT502" s="4"/>
      <c r="DU502" s="4"/>
      <c r="DV502" s="4"/>
      <c r="DW502" s="4"/>
      <c r="DX502" s="4"/>
      <c r="DY502" s="4"/>
      <c r="DZ502" s="4"/>
      <c r="EA502" s="4"/>
      <c r="EB502" s="4"/>
      <c r="EC502" s="4"/>
      <c r="ED502" s="4"/>
      <c r="EE502" s="4"/>
      <c r="EF502" s="4"/>
      <c r="EG502" s="4"/>
      <c r="EH502" s="4"/>
      <c r="EI502" s="4"/>
      <c r="EJ502" s="4"/>
      <c r="EK502" s="4"/>
      <c r="EL502" s="4"/>
      <c r="EM502" s="4"/>
      <c r="EN502" s="4"/>
      <c r="EO502" s="4"/>
      <c r="EP502" s="4"/>
      <c r="EQ502" s="4"/>
      <c r="ER502" s="4"/>
      <c r="ES502" s="4"/>
      <c r="ET502" s="4"/>
      <c r="EU502" s="4"/>
      <c r="EV502" s="4"/>
      <c r="EW502" s="4"/>
      <c r="EX502" s="4"/>
      <c r="EY502" s="4"/>
      <c r="EZ502" s="4"/>
      <c r="FA502" s="4"/>
      <c r="FB502" s="4"/>
      <c r="FC502" s="4"/>
      <c r="FD502" s="4"/>
      <c r="FE502" s="4"/>
      <c r="FF502" s="4"/>
    </row>
    <row r="503" spans="1:162" x14ac:dyDescent="0.2">
      <c r="A503" s="2"/>
      <c r="B503" s="2"/>
      <c r="C503" s="2"/>
      <c r="D503" s="4"/>
      <c r="E503" s="4"/>
      <c r="F503" s="4"/>
      <c r="G503" s="4"/>
      <c r="H503" s="4"/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  <c r="AA503" s="4"/>
      <c r="AB503" s="4"/>
      <c r="AC503" s="4"/>
      <c r="AD503" s="4"/>
      <c r="AE503" s="4"/>
      <c r="AF503" s="4"/>
      <c r="AG503" s="4"/>
      <c r="AH503" s="4"/>
      <c r="AI503" s="4"/>
      <c r="AJ503" s="4"/>
      <c r="AK503" s="4"/>
      <c r="AL503" s="4"/>
      <c r="AM503" s="4"/>
      <c r="AN503" s="4"/>
      <c r="AO503" s="4"/>
      <c r="AP503" s="4"/>
      <c r="AQ503" s="4"/>
      <c r="AR503" s="4"/>
      <c r="AS503" s="4"/>
      <c r="AT503" s="4"/>
      <c r="AU503" s="4"/>
      <c r="AV503" s="4"/>
      <c r="AW503" s="4"/>
      <c r="AX503" s="4"/>
      <c r="AY503" s="4"/>
      <c r="AZ503" s="4"/>
      <c r="BA503" s="4"/>
      <c r="BB503" s="4"/>
      <c r="BC503" s="4"/>
      <c r="BD503" s="4"/>
      <c r="BE503" s="4"/>
      <c r="BF503" s="4"/>
      <c r="BG503" s="4"/>
      <c r="BH503" s="4"/>
      <c r="BI503" s="4"/>
      <c r="BJ503" s="4"/>
      <c r="BK503" s="4"/>
      <c r="BL503" s="4"/>
      <c r="BM503" s="4"/>
      <c r="BN503" s="4"/>
      <c r="BO503" s="4"/>
      <c r="BP503" s="4"/>
      <c r="BQ503" s="4"/>
      <c r="BR503" s="4"/>
      <c r="BS503" s="4"/>
      <c r="BT503" s="4"/>
      <c r="BU503" s="4"/>
      <c r="BV503" s="4"/>
      <c r="BW503" s="4"/>
      <c r="BX503" s="4"/>
      <c r="BY503" s="4"/>
      <c r="BZ503" s="4"/>
      <c r="CA503" s="4"/>
      <c r="CB503" s="4"/>
      <c r="CC503" s="4"/>
      <c r="CD503" s="4"/>
      <c r="CE503" s="4"/>
      <c r="CF503" s="4"/>
      <c r="CG503" s="4"/>
      <c r="CH503" s="4"/>
      <c r="CI503" s="4"/>
      <c r="CJ503" s="4"/>
      <c r="CK503" s="4"/>
      <c r="CL503" s="4"/>
      <c r="CM503" s="4"/>
      <c r="CN503" s="4"/>
      <c r="CO503" s="4"/>
      <c r="CP503" s="4"/>
      <c r="CQ503" s="4"/>
      <c r="CR503" s="4"/>
      <c r="CS503" s="4"/>
      <c r="CT503" s="4"/>
      <c r="CU503" s="4"/>
      <c r="CV503" s="4"/>
      <c r="CW503" s="4"/>
      <c r="CX503" s="4"/>
      <c r="CY503" s="4"/>
      <c r="CZ503" s="4"/>
      <c r="DA503" s="4"/>
      <c r="DB503" s="4"/>
      <c r="DC503" s="4"/>
      <c r="DD503" s="4"/>
      <c r="DE503" s="4"/>
      <c r="DF503" s="4"/>
      <c r="DG503" s="4"/>
      <c r="DH503" s="4"/>
      <c r="DI503" s="4"/>
      <c r="DJ503" s="4"/>
      <c r="DK503" s="4"/>
      <c r="DL503" s="4"/>
      <c r="DM503" s="4"/>
      <c r="DN503" s="4"/>
      <c r="DO503" s="4"/>
      <c r="DP503" s="4"/>
      <c r="DQ503" s="4"/>
      <c r="DR503" s="4"/>
      <c r="DS503" s="4"/>
      <c r="DT503" s="4"/>
      <c r="DU503" s="4"/>
      <c r="DV503" s="4"/>
      <c r="DW503" s="4"/>
      <c r="DX503" s="4"/>
      <c r="DY503" s="4"/>
      <c r="DZ503" s="4"/>
      <c r="EA503" s="4"/>
      <c r="EB503" s="4"/>
      <c r="EC503" s="4"/>
      <c r="ED503" s="4"/>
      <c r="EE503" s="4"/>
      <c r="EF503" s="4"/>
      <c r="EG503" s="4"/>
      <c r="EH503" s="4"/>
      <c r="EI503" s="4"/>
      <c r="EJ503" s="4"/>
      <c r="EK503" s="4"/>
      <c r="EL503" s="4"/>
      <c r="EM503" s="4"/>
      <c r="EN503" s="4"/>
      <c r="EO503" s="4"/>
      <c r="EP503" s="4"/>
      <c r="EQ503" s="4"/>
      <c r="ER503" s="4"/>
      <c r="ES503" s="4"/>
      <c r="ET503" s="4"/>
      <c r="EU503" s="4"/>
      <c r="EV503" s="4"/>
      <c r="EW503" s="4"/>
      <c r="EX503" s="4"/>
      <c r="EY503" s="4"/>
      <c r="EZ503" s="4"/>
      <c r="FA503" s="4"/>
      <c r="FB503" s="4"/>
      <c r="FC503" s="4"/>
      <c r="FD503" s="4"/>
      <c r="FE503" s="4"/>
      <c r="FF503" s="4"/>
    </row>
    <row r="504" spans="1:162" x14ac:dyDescent="0.2">
      <c r="A504" s="2"/>
      <c r="B504" s="2"/>
      <c r="C504" s="2"/>
      <c r="D504" s="4"/>
      <c r="E504" s="4"/>
      <c r="F504" s="4"/>
      <c r="G504" s="4"/>
      <c r="H504" s="4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  <c r="AA504" s="4"/>
      <c r="AB504" s="4"/>
      <c r="AC504" s="4"/>
      <c r="AD504" s="4"/>
      <c r="AE504" s="4"/>
      <c r="AF504" s="4"/>
      <c r="AG504" s="4"/>
      <c r="AH504" s="4"/>
      <c r="AI504" s="4"/>
      <c r="AJ504" s="4"/>
      <c r="AK504" s="4"/>
      <c r="AL504" s="4"/>
      <c r="AM504" s="4"/>
      <c r="AN504" s="4"/>
      <c r="AO504" s="4"/>
      <c r="AP504" s="4"/>
      <c r="AQ504" s="4"/>
      <c r="AR504" s="4"/>
      <c r="AS504" s="4"/>
      <c r="AT504" s="4"/>
      <c r="AU504" s="4"/>
      <c r="AV504" s="4"/>
      <c r="AW504" s="4"/>
      <c r="AX504" s="4"/>
      <c r="AY504" s="4"/>
      <c r="AZ504" s="4"/>
      <c r="BA504" s="4"/>
      <c r="BB504" s="4"/>
      <c r="BC504" s="4"/>
      <c r="BD504" s="4"/>
      <c r="BE504" s="4"/>
      <c r="BF504" s="4"/>
      <c r="BG504" s="4"/>
      <c r="BH504" s="4"/>
      <c r="BI504" s="4"/>
      <c r="BJ504" s="4"/>
      <c r="BK504" s="4"/>
      <c r="BL504" s="4"/>
      <c r="BM504" s="4"/>
      <c r="BN504" s="4"/>
      <c r="BO504" s="4"/>
      <c r="BP504" s="4"/>
      <c r="BQ504" s="4"/>
      <c r="BR504" s="4"/>
      <c r="BS504" s="4"/>
      <c r="BT504" s="4"/>
      <c r="BU504" s="4"/>
      <c r="BV504" s="4"/>
      <c r="BW504" s="4"/>
      <c r="BX504" s="4"/>
      <c r="BY504" s="4"/>
      <c r="BZ504" s="4"/>
      <c r="CA504" s="4"/>
      <c r="CB504" s="4"/>
      <c r="CC504" s="4"/>
      <c r="CD504" s="4"/>
      <c r="CE504" s="4"/>
      <c r="CF504" s="4"/>
      <c r="CG504" s="4"/>
      <c r="CH504" s="4"/>
      <c r="CI504" s="4"/>
      <c r="CJ504" s="4"/>
      <c r="CK504" s="4"/>
      <c r="CL504" s="4"/>
      <c r="CM504" s="4"/>
      <c r="CN504" s="4"/>
      <c r="CO504" s="4"/>
      <c r="CP504" s="4"/>
      <c r="CQ504" s="4"/>
      <c r="CR504" s="4"/>
      <c r="CS504" s="4"/>
      <c r="CT504" s="4"/>
      <c r="CU504" s="4"/>
      <c r="CV504" s="4"/>
      <c r="CW504" s="4"/>
      <c r="CX504" s="4"/>
      <c r="CY504" s="4"/>
      <c r="CZ504" s="4"/>
      <c r="DA504" s="4"/>
      <c r="DB504" s="4"/>
      <c r="DC504" s="4"/>
      <c r="DD504" s="4"/>
      <c r="DE504" s="4"/>
      <c r="DF504" s="4"/>
      <c r="DG504" s="4"/>
      <c r="DH504" s="4"/>
      <c r="DI504" s="4"/>
      <c r="DJ504" s="4"/>
      <c r="DK504" s="4"/>
      <c r="DL504" s="4"/>
      <c r="DM504" s="4"/>
      <c r="DN504" s="4"/>
      <c r="DO504" s="4"/>
      <c r="DP504" s="4"/>
      <c r="DQ504" s="4"/>
      <c r="DR504" s="4"/>
      <c r="DS504" s="4"/>
      <c r="DT504" s="4"/>
      <c r="DU504" s="4"/>
      <c r="DV504" s="4"/>
      <c r="DW504" s="4"/>
      <c r="DX504" s="4"/>
      <c r="DY504" s="4"/>
      <c r="DZ504" s="4"/>
      <c r="EA504" s="4"/>
      <c r="EB504" s="4"/>
      <c r="EC504" s="4"/>
      <c r="ED504" s="4"/>
      <c r="EE504" s="4"/>
      <c r="EF504" s="4"/>
      <c r="EG504" s="4"/>
      <c r="EH504" s="4"/>
      <c r="EI504" s="4"/>
      <c r="EJ504" s="4"/>
      <c r="EK504" s="4"/>
      <c r="EL504" s="4"/>
      <c r="EM504" s="4"/>
      <c r="EN504" s="4"/>
      <c r="EO504" s="4"/>
      <c r="EP504" s="4"/>
      <c r="EQ504" s="4"/>
      <c r="ER504" s="4"/>
      <c r="ES504" s="4"/>
      <c r="ET504" s="4"/>
      <c r="EU504" s="4"/>
      <c r="EV504" s="4"/>
      <c r="EW504" s="4"/>
      <c r="EX504" s="4"/>
      <c r="EY504" s="4"/>
      <c r="EZ504" s="4"/>
      <c r="FA504" s="4"/>
      <c r="FB504" s="4"/>
      <c r="FC504" s="4"/>
      <c r="FD504" s="4"/>
      <c r="FE504" s="4"/>
      <c r="FF504" s="4"/>
    </row>
    <row r="505" spans="1:162" x14ac:dyDescent="0.2">
      <c r="A505" s="2"/>
      <c r="B505" s="2"/>
      <c r="C505" s="2"/>
      <c r="D505" s="4"/>
      <c r="E505" s="4"/>
      <c r="F505" s="4"/>
      <c r="G505" s="4"/>
      <c r="H505" s="4"/>
      <c r="I505" s="4"/>
      <c r="J505" s="4"/>
      <c r="K505" s="4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  <c r="AA505" s="4"/>
      <c r="AB505" s="4"/>
      <c r="AC505" s="4"/>
      <c r="AD505" s="4"/>
      <c r="AE505" s="4"/>
      <c r="AF505" s="4"/>
      <c r="AG505" s="4"/>
      <c r="AH505" s="4"/>
      <c r="AI505" s="4"/>
      <c r="AJ505" s="4"/>
      <c r="AK505" s="4"/>
      <c r="AL505" s="4"/>
      <c r="AM505" s="4"/>
      <c r="AN505" s="4"/>
      <c r="AO505" s="4"/>
      <c r="AP505" s="4"/>
      <c r="AQ505" s="4"/>
      <c r="AR505" s="4"/>
      <c r="AS505" s="4"/>
      <c r="AT505" s="4"/>
      <c r="AU505" s="4"/>
      <c r="AV505" s="4"/>
      <c r="AW505" s="4"/>
      <c r="AX505" s="4"/>
      <c r="AY505" s="4"/>
      <c r="AZ505" s="4"/>
      <c r="BA505" s="4"/>
      <c r="BB505" s="4"/>
      <c r="BC505" s="4"/>
      <c r="BD505" s="4"/>
      <c r="BE505" s="4"/>
      <c r="BF505" s="4"/>
      <c r="BG505" s="4"/>
      <c r="BH505" s="4"/>
      <c r="BI505" s="4"/>
      <c r="BJ505" s="4"/>
      <c r="BK505" s="4"/>
      <c r="BL505" s="4"/>
      <c r="BM505" s="4"/>
      <c r="BN505" s="4"/>
      <c r="BO505" s="4"/>
      <c r="BP505" s="4"/>
      <c r="BQ505" s="4"/>
      <c r="BR505" s="4"/>
      <c r="BS505" s="4"/>
      <c r="BT505" s="4"/>
      <c r="BU505" s="4"/>
      <c r="BV505" s="4"/>
      <c r="BW505" s="4"/>
      <c r="BX505" s="4"/>
      <c r="BY505" s="4"/>
      <c r="BZ505" s="4"/>
      <c r="CA505" s="4"/>
      <c r="CB505" s="4"/>
      <c r="CC505" s="4"/>
      <c r="CD505" s="4"/>
      <c r="CE505" s="4"/>
      <c r="CF505" s="4"/>
      <c r="CG505" s="4"/>
      <c r="CH505" s="4"/>
      <c r="CI505" s="4"/>
      <c r="CJ505" s="4"/>
      <c r="CK505" s="4"/>
      <c r="CL505" s="4"/>
      <c r="CM505" s="4"/>
      <c r="CN505" s="4"/>
      <c r="CO505" s="4"/>
      <c r="CP505" s="4"/>
      <c r="CQ505" s="4"/>
      <c r="CR505" s="4"/>
      <c r="CS505" s="4"/>
      <c r="CT505" s="4"/>
      <c r="CU505" s="4"/>
      <c r="CV505" s="4"/>
      <c r="CW505" s="4"/>
      <c r="CX505" s="4"/>
      <c r="CY505" s="4"/>
      <c r="CZ505" s="4"/>
      <c r="DA505" s="4"/>
      <c r="DB505" s="4"/>
      <c r="DC505" s="4"/>
      <c r="DD505" s="4"/>
      <c r="DE505" s="4"/>
      <c r="DF505" s="4"/>
      <c r="DG505" s="4"/>
      <c r="DH505" s="4"/>
      <c r="DI505" s="4"/>
      <c r="DJ505" s="4"/>
      <c r="DK505" s="4"/>
      <c r="DL505" s="4"/>
      <c r="DM505" s="4"/>
      <c r="DN505" s="4"/>
      <c r="DO505" s="4"/>
      <c r="DP505" s="4"/>
      <c r="DQ505" s="4"/>
      <c r="DR505" s="4"/>
      <c r="DS505" s="4"/>
      <c r="DT505" s="4"/>
      <c r="DU505" s="4"/>
      <c r="DV505" s="4"/>
      <c r="DW505" s="4"/>
      <c r="DX505" s="4"/>
      <c r="DY505" s="4"/>
      <c r="DZ505" s="4"/>
      <c r="EA505" s="4"/>
      <c r="EB505" s="4"/>
      <c r="EC505" s="4"/>
      <c r="ED505" s="4"/>
      <c r="EE505" s="4"/>
      <c r="EF505" s="4"/>
      <c r="EG505" s="4"/>
      <c r="EH505" s="4"/>
      <c r="EI505" s="4"/>
      <c r="EJ505" s="4"/>
      <c r="EK505" s="4"/>
      <c r="EL505" s="4"/>
      <c r="EM505" s="4"/>
      <c r="EN505" s="4"/>
      <c r="EO505" s="4"/>
      <c r="EP505" s="4"/>
      <c r="EQ505" s="4"/>
      <c r="ER505" s="4"/>
      <c r="ES505" s="4"/>
      <c r="ET505" s="4"/>
      <c r="EU505" s="4"/>
      <c r="EV505" s="4"/>
      <c r="EW505" s="4"/>
      <c r="EX505" s="4"/>
      <c r="EY505" s="4"/>
      <c r="EZ505" s="4"/>
      <c r="FA505" s="4"/>
      <c r="FB505" s="4"/>
      <c r="FC505" s="4"/>
      <c r="FD505" s="4"/>
      <c r="FE505" s="4"/>
      <c r="FF505" s="4"/>
    </row>
    <row r="506" spans="1:162" x14ac:dyDescent="0.2">
      <c r="A506" s="2"/>
      <c r="B506" s="2"/>
      <c r="C506" s="2"/>
      <c r="D506" s="4"/>
      <c r="E506" s="4"/>
      <c r="F506" s="4"/>
      <c r="G506" s="4"/>
      <c r="H506" s="4"/>
      <c r="I506" s="4"/>
      <c r="J506" s="4"/>
      <c r="K506" s="4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  <c r="Z506" s="4"/>
      <c r="AA506" s="4"/>
      <c r="AB506" s="4"/>
      <c r="AC506" s="4"/>
      <c r="AD506" s="4"/>
      <c r="AE506" s="4"/>
      <c r="AF506" s="4"/>
      <c r="AG506" s="4"/>
      <c r="AH506" s="4"/>
      <c r="AI506" s="4"/>
      <c r="AJ506" s="4"/>
      <c r="AK506" s="4"/>
      <c r="AL506" s="4"/>
      <c r="AM506" s="4"/>
      <c r="AN506" s="4"/>
      <c r="AO506" s="4"/>
      <c r="AP506" s="4"/>
      <c r="AQ506" s="4"/>
      <c r="AR506" s="4"/>
      <c r="AS506" s="4"/>
      <c r="AT506" s="4"/>
      <c r="AU506" s="4"/>
      <c r="AV506" s="4"/>
      <c r="AW506" s="4"/>
      <c r="AX506" s="4"/>
      <c r="AY506" s="4"/>
      <c r="AZ506" s="4"/>
      <c r="BA506" s="4"/>
      <c r="BB506" s="4"/>
      <c r="BC506" s="4"/>
      <c r="BD506" s="4"/>
      <c r="BE506" s="4"/>
      <c r="BF506" s="4"/>
      <c r="BG506" s="4"/>
      <c r="BH506" s="4"/>
      <c r="BI506" s="4"/>
      <c r="BJ506" s="4"/>
      <c r="BK506" s="4"/>
      <c r="BL506" s="4"/>
      <c r="BM506" s="4"/>
      <c r="BN506" s="4"/>
      <c r="BO506" s="4"/>
      <c r="BP506" s="4"/>
      <c r="BQ506" s="4"/>
      <c r="BR506" s="4"/>
      <c r="BS506" s="4"/>
      <c r="BT506" s="4"/>
      <c r="BU506" s="4"/>
      <c r="BV506" s="4"/>
      <c r="BW506" s="4"/>
      <c r="BX506" s="4"/>
      <c r="BY506" s="4"/>
      <c r="BZ506" s="4"/>
      <c r="CA506" s="4"/>
      <c r="CB506" s="4"/>
      <c r="CC506" s="4"/>
      <c r="CD506" s="4"/>
      <c r="CE506" s="4"/>
      <c r="CF506" s="4"/>
      <c r="CG506" s="4"/>
      <c r="CH506" s="4"/>
      <c r="CI506" s="4"/>
      <c r="CJ506" s="4"/>
      <c r="CK506" s="4"/>
      <c r="CL506" s="4"/>
      <c r="CM506" s="4"/>
      <c r="CN506" s="4"/>
      <c r="CO506" s="4"/>
      <c r="CP506" s="4"/>
      <c r="CQ506" s="4"/>
      <c r="CR506" s="4"/>
      <c r="CS506" s="4"/>
      <c r="CT506" s="4"/>
      <c r="CU506" s="4"/>
      <c r="CV506" s="4"/>
      <c r="CW506" s="4"/>
      <c r="CX506" s="4"/>
      <c r="CY506" s="4"/>
      <c r="CZ506" s="4"/>
      <c r="DA506" s="4"/>
      <c r="DB506" s="4"/>
      <c r="DC506" s="4"/>
      <c r="DD506" s="4"/>
      <c r="DE506" s="4"/>
      <c r="DF506" s="4"/>
      <c r="DG506" s="4"/>
      <c r="DH506" s="4"/>
      <c r="DI506" s="4"/>
      <c r="DJ506" s="4"/>
      <c r="DK506" s="4"/>
      <c r="DL506" s="4"/>
      <c r="DM506" s="4"/>
      <c r="DN506" s="4"/>
      <c r="DO506" s="4"/>
      <c r="DP506" s="4"/>
      <c r="DQ506" s="4"/>
      <c r="DR506" s="4"/>
      <c r="DS506" s="4"/>
      <c r="DT506" s="4"/>
      <c r="DU506" s="4"/>
      <c r="DV506" s="4"/>
      <c r="DW506" s="4"/>
      <c r="DX506" s="4"/>
      <c r="DY506" s="4"/>
      <c r="DZ506" s="4"/>
      <c r="EA506" s="4"/>
      <c r="EB506" s="4"/>
      <c r="EC506" s="4"/>
      <c r="ED506" s="4"/>
      <c r="EE506" s="4"/>
      <c r="EF506" s="4"/>
      <c r="EG506" s="4"/>
      <c r="EH506" s="4"/>
      <c r="EI506" s="4"/>
      <c r="EJ506" s="4"/>
      <c r="EK506" s="4"/>
      <c r="EL506" s="4"/>
      <c r="EM506" s="4"/>
      <c r="EN506" s="4"/>
      <c r="EO506" s="4"/>
      <c r="EP506" s="4"/>
      <c r="EQ506" s="4"/>
      <c r="ER506" s="4"/>
      <c r="ES506" s="4"/>
      <c r="ET506" s="4"/>
      <c r="EU506" s="4"/>
      <c r="EV506" s="4"/>
      <c r="EW506" s="4"/>
      <c r="EX506" s="4"/>
      <c r="EY506" s="4"/>
      <c r="EZ506" s="4"/>
      <c r="FA506" s="4"/>
      <c r="FB506" s="4"/>
      <c r="FC506" s="4"/>
      <c r="FD506" s="4"/>
      <c r="FE506" s="4"/>
      <c r="FF506" s="4"/>
    </row>
    <row r="507" spans="1:162" x14ac:dyDescent="0.2">
      <c r="A507" s="2"/>
      <c r="B507" s="2"/>
      <c r="C507" s="2"/>
      <c r="D507" s="4"/>
      <c r="E507" s="4"/>
      <c r="F507" s="4"/>
      <c r="G507" s="4"/>
      <c r="H507" s="4"/>
      <c r="I507" s="4"/>
      <c r="J507" s="4"/>
      <c r="K507" s="4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  <c r="AA507" s="4"/>
      <c r="AB507" s="4"/>
      <c r="AC507" s="4"/>
      <c r="AD507" s="4"/>
      <c r="AE507" s="4"/>
      <c r="AF507" s="4"/>
      <c r="AG507" s="4"/>
      <c r="AH507" s="4"/>
      <c r="AI507" s="4"/>
      <c r="AJ507" s="4"/>
      <c r="AK507" s="4"/>
      <c r="AL507" s="4"/>
      <c r="AM507" s="4"/>
      <c r="AN507" s="4"/>
      <c r="AO507" s="4"/>
      <c r="AP507" s="4"/>
      <c r="AQ507" s="4"/>
      <c r="AR507" s="4"/>
      <c r="AS507" s="4"/>
      <c r="AT507" s="4"/>
      <c r="AU507" s="4"/>
      <c r="AV507" s="4"/>
      <c r="AW507" s="4"/>
      <c r="AX507" s="4"/>
      <c r="AY507" s="4"/>
      <c r="AZ507" s="4"/>
      <c r="BA507" s="4"/>
      <c r="BB507" s="4"/>
      <c r="BC507" s="4"/>
      <c r="BD507" s="4"/>
      <c r="BE507" s="4"/>
      <c r="BF507" s="4"/>
      <c r="BG507" s="4"/>
      <c r="BH507" s="4"/>
      <c r="BI507" s="4"/>
      <c r="BJ507" s="4"/>
      <c r="BK507" s="4"/>
      <c r="BL507" s="4"/>
      <c r="BM507" s="4"/>
      <c r="BN507" s="4"/>
      <c r="BO507" s="4"/>
      <c r="BP507" s="4"/>
      <c r="BQ507" s="4"/>
      <c r="BR507" s="4"/>
      <c r="BS507" s="4"/>
      <c r="BT507" s="4"/>
      <c r="BU507" s="4"/>
      <c r="BV507" s="4"/>
      <c r="BW507" s="4"/>
      <c r="BX507" s="4"/>
      <c r="BY507" s="4"/>
      <c r="BZ507" s="4"/>
      <c r="CA507" s="4"/>
      <c r="CB507" s="4"/>
      <c r="CC507" s="4"/>
      <c r="CD507" s="4"/>
      <c r="CE507" s="4"/>
      <c r="CF507" s="4"/>
      <c r="CG507" s="4"/>
      <c r="CH507" s="4"/>
      <c r="CI507" s="4"/>
      <c r="CJ507" s="4"/>
      <c r="CK507" s="4"/>
      <c r="CL507" s="4"/>
      <c r="CM507" s="4"/>
      <c r="CN507" s="4"/>
      <c r="CO507" s="4"/>
      <c r="CP507" s="4"/>
      <c r="CQ507" s="4"/>
      <c r="CR507" s="4"/>
      <c r="CS507" s="4"/>
      <c r="CT507" s="4"/>
      <c r="CU507" s="4"/>
      <c r="CV507" s="4"/>
      <c r="CW507" s="4"/>
      <c r="CX507" s="4"/>
      <c r="CY507" s="4"/>
      <c r="CZ507" s="4"/>
      <c r="DA507" s="4"/>
      <c r="DB507" s="4"/>
      <c r="DC507" s="4"/>
      <c r="DD507" s="4"/>
      <c r="DE507" s="4"/>
      <c r="DF507" s="4"/>
      <c r="DG507" s="4"/>
      <c r="DH507" s="4"/>
      <c r="DI507" s="4"/>
      <c r="DJ507" s="4"/>
      <c r="DK507" s="4"/>
      <c r="DL507" s="4"/>
      <c r="DM507" s="4"/>
      <c r="DN507" s="4"/>
      <c r="DO507" s="4"/>
      <c r="DP507" s="4"/>
      <c r="DQ507" s="4"/>
      <c r="DR507" s="4"/>
      <c r="DS507" s="4"/>
      <c r="DT507" s="4"/>
      <c r="DU507" s="4"/>
      <c r="DV507" s="4"/>
      <c r="DW507" s="4"/>
      <c r="DX507" s="4"/>
      <c r="DY507" s="4"/>
      <c r="DZ507" s="4"/>
      <c r="EA507" s="4"/>
      <c r="EB507" s="4"/>
      <c r="EC507" s="4"/>
      <c r="ED507" s="4"/>
      <c r="EE507" s="4"/>
      <c r="EF507" s="4"/>
      <c r="EG507" s="4"/>
      <c r="EH507" s="4"/>
      <c r="EI507" s="4"/>
      <c r="EJ507" s="4"/>
      <c r="EK507" s="4"/>
      <c r="EL507" s="4"/>
      <c r="EM507" s="4"/>
      <c r="EN507" s="4"/>
      <c r="EO507" s="4"/>
      <c r="EP507" s="4"/>
      <c r="EQ507" s="4"/>
      <c r="ER507" s="4"/>
      <c r="ES507" s="4"/>
      <c r="ET507" s="4"/>
      <c r="EU507" s="4"/>
      <c r="EV507" s="4"/>
      <c r="EW507" s="4"/>
      <c r="EX507" s="4"/>
      <c r="EY507" s="4"/>
      <c r="EZ507" s="4"/>
      <c r="FA507" s="4"/>
      <c r="FB507" s="4"/>
      <c r="FC507" s="4"/>
      <c r="FD507" s="4"/>
      <c r="FE507" s="4"/>
      <c r="FF507" s="4"/>
    </row>
    <row r="508" spans="1:162" x14ac:dyDescent="0.2">
      <c r="A508" s="2"/>
      <c r="B508" s="2"/>
      <c r="C508" s="2"/>
      <c r="D508" s="4"/>
      <c r="E508" s="4"/>
      <c r="F508" s="4"/>
      <c r="G508" s="4"/>
      <c r="H508" s="4"/>
      <c r="I508" s="4"/>
      <c r="J508" s="4"/>
      <c r="K508" s="4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  <c r="AA508" s="4"/>
      <c r="AB508" s="4"/>
      <c r="AC508" s="4"/>
      <c r="AD508" s="4"/>
      <c r="AE508" s="4"/>
      <c r="AF508" s="4"/>
      <c r="AG508" s="4"/>
      <c r="AH508" s="4"/>
      <c r="AI508" s="4"/>
      <c r="AJ508" s="4"/>
      <c r="AK508" s="4"/>
      <c r="AL508" s="4"/>
      <c r="AM508" s="4"/>
      <c r="AN508" s="4"/>
      <c r="AO508" s="4"/>
      <c r="AP508" s="4"/>
      <c r="AQ508" s="4"/>
      <c r="AR508" s="4"/>
      <c r="AS508" s="4"/>
      <c r="AT508" s="4"/>
      <c r="AU508" s="4"/>
      <c r="AV508" s="4"/>
      <c r="AW508" s="4"/>
      <c r="AX508" s="4"/>
      <c r="AY508" s="4"/>
      <c r="AZ508" s="4"/>
      <c r="BA508" s="4"/>
      <c r="BB508" s="4"/>
      <c r="BC508" s="4"/>
      <c r="BD508" s="4"/>
      <c r="BE508" s="4"/>
      <c r="BF508" s="4"/>
      <c r="BG508" s="4"/>
      <c r="BH508" s="4"/>
      <c r="BI508" s="4"/>
      <c r="BJ508" s="4"/>
      <c r="BK508" s="4"/>
      <c r="BL508" s="4"/>
      <c r="BM508" s="4"/>
      <c r="BN508" s="4"/>
      <c r="BO508" s="4"/>
      <c r="BP508" s="4"/>
      <c r="BQ508" s="4"/>
      <c r="BR508" s="4"/>
      <c r="BS508" s="4"/>
      <c r="BT508" s="4"/>
      <c r="BU508" s="4"/>
      <c r="BV508" s="4"/>
      <c r="BW508" s="4"/>
      <c r="BX508" s="4"/>
      <c r="BY508" s="4"/>
      <c r="BZ508" s="4"/>
      <c r="CA508" s="4"/>
      <c r="CB508" s="4"/>
      <c r="CC508" s="4"/>
      <c r="CD508" s="4"/>
      <c r="CE508" s="4"/>
      <c r="CF508" s="4"/>
      <c r="CG508" s="4"/>
      <c r="CH508" s="4"/>
      <c r="CI508" s="4"/>
      <c r="CJ508" s="4"/>
      <c r="CK508" s="4"/>
      <c r="CL508" s="4"/>
      <c r="CM508" s="4"/>
      <c r="CN508" s="4"/>
      <c r="CO508" s="4"/>
      <c r="CP508" s="4"/>
      <c r="CQ508" s="4"/>
      <c r="CR508" s="4"/>
      <c r="CS508" s="4"/>
      <c r="CT508" s="4"/>
      <c r="CU508" s="4"/>
      <c r="CV508" s="4"/>
      <c r="CW508" s="4"/>
      <c r="CX508" s="4"/>
      <c r="CY508" s="4"/>
      <c r="CZ508" s="4"/>
      <c r="DA508" s="4"/>
      <c r="DB508" s="4"/>
      <c r="DC508" s="4"/>
      <c r="DD508" s="4"/>
      <c r="DE508" s="4"/>
      <c r="DF508" s="4"/>
      <c r="DG508" s="4"/>
      <c r="DH508" s="4"/>
      <c r="DI508" s="4"/>
      <c r="DJ508" s="4"/>
      <c r="DK508" s="4"/>
      <c r="DL508" s="4"/>
      <c r="DM508" s="4"/>
      <c r="DN508" s="4"/>
      <c r="DO508" s="4"/>
      <c r="DP508" s="4"/>
      <c r="DQ508" s="4"/>
      <c r="DR508" s="4"/>
      <c r="DS508" s="4"/>
      <c r="DT508" s="4"/>
      <c r="DU508" s="4"/>
      <c r="DV508" s="4"/>
      <c r="DW508" s="4"/>
      <c r="DX508" s="4"/>
      <c r="DY508" s="4"/>
      <c r="DZ508" s="4"/>
      <c r="EA508" s="4"/>
      <c r="EB508" s="4"/>
      <c r="EC508" s="4"/>
      <c r="ED508" s="4"/>
      <c r="EE508" s="4"/>
      <c r="EF508" s="4"/>
      <c r="EG508" s="4"/>
      <c r="EH508" s="4"/>
      <c r="EI508" s="4"/>
      <c r="EJ508" s="4"/>
      <c r="EK508" s="4"/>
      <c r="EL508" s="4"/>
      <c r="EM508" s="4"/>
      <c r="EN508" s="4"/>
      <c r="EO508" s="4"/>
      <c r="EP508" s="4"/>
      <c r="EQ508" s="4"/>
      <c r="ER508" s="4"/>
      <c r="ES508" s="4"/>
      <c r="ET508" s="4"/>
      <c r="EU508" s="4"/>
      <c r="EV508" s="4"/>
      <c r="EW508" s="4"/>
      <c r="EX508" s="4"/>
      <c r="EY508" s="4"/>
      <c r="EZ508" s="4"/>
      <c r="FA508" s="4"/>
      <c r="FB508" s="4"/>
      <c r="FC508" s="4"/>
      <c r="FD508" s="4"/>
      <c r="FE508" s="4"/>
      <c r="FF508" s="4"/>
    </row>
    <row r="509" spans="1:162" x14ac:dyDescent="0.2">
      <c r="A509" s="2"/>
      <c r="B509" s="2"/>
      <c r="C509" s="2"/>
      <c r="D509" s="4"/>
      <c r="E509" s="4"/>
      <c r="F509" s="4"/>
      <c r="G509" s="4"/>
      <c r="H509" s="4"/>
      <c r="I509" s="4"/>
      <c r="J509" s="4"/>
      <c r="K509" s="4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  <c r="AA509" s="4"/>
      <c r="AB509" s="4"/>
      <c r="AC509" s="4"/>
      <c r="AD509" s="4"/>
      <c r="AE509" s="4"/>
      <c r="AF509" s="4"/>
      <c r="AG509" s="4"/>
      <c r="AH509" s="4"/>
      <c r="AI509" s="4"/>
      <c r="AJ509" s="4"/>
      <c r="AK509" s="4"/>
      <c r="AL509" s="4"/>
      <c r="AM509" s="4"/>
      <c r="AN509" s="4"/>
      <c r="AO509" s="4"/>
      <c r="AP509" s="4"/>
      <c r="AQ509" s="4"/>
      <c r="AR509" s="4"/>
      <c r="AS509" s="4"/>
      <c r="AT509" s="4"/>
      <c r="AU509" s="4"/>
      <c r="AV509" s="4"/>
      <c r="AW509" s="4"/>
      <c r="AX509" s="4"/>
      <c r="AY509" s="4"/>
      <c r="AZ509" s="4"/>
      <c r="BA509" s="4"/>
      <c r="BB509" s="4"/>
      <c r="BC509" s="4"/>
      <c r="BD509" s="4"/>
      <c r="BE509" s="4"/>
      <c r="BF509" s="4"/>
      <c r="BG509" s="4"/>
      <c r="BH509" s="4"/>
      <c r="BI509" s="4"/>
      <c r="BJ509" s="4"/>
      <c r="BK509" s="4"/>
      <c r="BL509" s="4"/>
      <c r="BM509" s="4"/>
      <c r="BN509" s="4"/>
      <c r="BO509" s="4"/>
      <c r="BP509" s="4"/>
      <c r="BQ509" s="4"/>
      <c r="BR509" s="4"/>
      <c r="BS509" s="4"/>
      <c r="BT509" s="4"/>
      <c r="BU509" s="4"/>
      <c r="BV509" s="4"/>
      <c r="BW509" s="4"/>
      <c r="BX509" s="4"/>
      <c r="BY509" s="4"/>
      <c r="BZ509" s="4"/>
      <c r="CA509" s="4"/>
      <c r="CB509" s="4"/>
      <c r="CC509" s="4"/>
      <c r="CD509" s="4"/>
      <c r="CE509" s="4"/>
      <c r="CF509" s="4"/>
      <c r="CG509" s="4"/>
      <c r="CH509" s="4"/>
      <c r="CI509" s="4"/>
      <c r="CJ509" s="4"/>
      <c r="CK509" s="4"/>
      <c r="CL509" s="4"/>
      <c r="CM509" s="4"/>
      <c r="CN509" s="4"/>
      <c r="CO509" s="4"/>
      <c r="CP509" s="4"/>
      <c r="CQ509" s="4"/>
      <c r="CR509" s="4"/>
      <c r="CS509" s="4"/>
      <c r="CT509" s="4"/>
      <c r="CU509" s="4"/>
      <c r="CV509" s="4"/>
      <c r="CW509" s="4"/>
      <c r="CX509" s="4"/>
      <c r="CY509" s="4"/>
      <c r="CZ509" s="4"/>
      <c r="DA509" s="4"/>
      <c r="DB509" s="4"/>
      <c r="DC509" s="4"/>
      <c r="DD509" s="4"/>
      <c r="DE509" s="4"/>
      <c r="DF509" s="4"/>
      <c r="DG509" s="4"/>
      <c r="DH509" s="4"/>
      <c r="DI509" s="4"/>
      <c r="DJ509" s="4"/>
      <c r="DK509" s="4"/>
      <c r="DL509" s="4"/>
      <c r="DM509" s="4"/>
      <c r="DN509" s="4"/>
      <c r="DO509" s="4"/>
      <c r="DP509" s="4"/>
      <c r="DQ509" s="4"/>
      <c r="DR509" s="4"/>
      <c r="DS509" s="4"/>
      <c r="DT509" s="4"/>
      <c r="DU509" s="4"/>
      <c r="DV509" s="4"/>
      <c r="DW509" s="4"/>
      <c r="DX509" s="4"/>
      <c r="DY509" s="4"/>
      <c r="DZ509" s="4"/>
      <c r="EA509" s="4"/>
      <c r="EB509" s="4"/>
      <c r="EC509" s="4"/>
      <c r="ED509" s="4"/>
      <c r="EE509" s="4"/>
      <c r="EF509" s="4"/>
      <c r="EG509" s="4"/>
      <c r="EH509" s="4"/>
      <c r="EI509" s="4"/>
      <c r="EJ509" s="4"/>
      <c r="EK509" s="4"/>
      <c r="EL509" s="4"/>
      <c r="EM509" s="4"/>
      <c r="EN509" s="4"/>
      <c r="EO509" s="4"/>
      <c r="EP509" s="4"/>
      <c r="EQ509" s="4"/>
      <c r="ER509" s="4"/>
      <c r="ES509" s="4"/>
      <c r="ET509" s="4"/>
      <c r="EU509" s="4"/>
      <c r="EV509" s="4"/>
      <c r="EW509" s="4"/>
      <c r="EX509" s="4"/>
      <c r="EY509" s="4"/>
      <c r="EZ509" s="4"/>
      <c r="FA509" s="4"/>
      <c r="FB509" s="4"/>
      <c r="FC509" s="4"/>
      <c r="FD509" s="4"/>
      <c r="FE509" s="4"/>
      <c r="FF509" s="4"/>
    </row>
    <row r="510" spans="1:162" x14ac:dyDescent="0.2">
      <c r="A510" s="2"/>
      <c r="B510" s="2"/>
      <c r="C510" s="2"/>
      <c r="D510" s="4"/>
      <c r="E510" s="4"/>
      <c r="F510" s="4"/>
      <c r="G510" s="4"/>
      <c r="H510" s="4"/>
      <c r="I510" s="4"/>
      <c r="J510" s="4"/>
      <c r="K510" s="4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  <c r="AA510" s="4"/>
      <c r="AB510" s="4"/>
      <c r="AC510" s="4"/>
      <c r="AD510" s="4"/>
      <c r="AE510" s="4"/>
      <c r="AF510" s="4"/>
      <c r="AG510" s="4"/>
      <c r="AH510" s="4"/>
      <c r="AI510" s="4"/>
      <c r="AJ510" s="4"/>
      <c r="AK510" s="4"/>
      <c r="AL510" s="4"/>
      <c r="AM510" s="4"/>
      <c r="AN510" s="4"/>
      <c r="AO510" s="4"/>
      <c r="AP510" s="4"/>
      <c r="AQ510" s="4"/>
      <c r="AR510" s="4"/>
      <c r="AS510" s="4"/>
      <c r="AT510" s="4"/>
      <c r="AU510" s="4"/>
      <c r="AV510" s="4"/>
      <c r="AW510" s="4"/>
      <c r="AX510" s="4"/>
      <c r="AY510" s="4"/>
      <c r="AZ510" s="4"/>
      <c r="BA510" s="4"/>
      <c r="BB510" s="4"/>
      <c r="BC510" s="4"/>
      <c r="BD510" s="4"/>
      <c r="BE510" s="4"/>
      <c r="BF510" s="4"/>
      <c r="BG510" s="4"/>
      <c r="BH510" s="4"/>
      <c r="BI510" s="4"/>
      <c r="BJ510" s="4"/>
      <c r="BK510" s="4"/>
      <c r="BL510" s="4"/>
      <c r="BM510" s="4"/>
      <c r="BN510" s="4"/>
      <c r="BO510" s="4"/>
      <c r="BP510" s="4"/>
      <c r="BQ510" s="4"/>
      <c r="BR510" s="4"/>
      <c r="BS510" s="4"/>
      <c r="BT510" s="4"/>
      <c r="BU510" s="4"/>
      <c r="BV510" s="4"/>
      <c r="BW510" s="4"/>
      <c r="BX510" s="4"/>
      <c r="BY510" s="4"/>
      <c r="BZ510" s="4"/>
      <c r="CA510" s="4"/>
      <c r="CB510" s="4"/>
      <c r="CC510" s="4"/>
      <c r="CD510" s="4"/>
      <c r="CE510" s="4"/>
      <c r="CF510" s="4"/>
      <c r="CG510" s="4"/>
      <c r="CH510" s="4"/>
      <c r="CI510" s="4"/>
      <c r="CJ510" s="4"/>
      <c r="CK510" s="4"/>
      <c r="CL510" s="4"/>
      <c r="CM510" s="4"/>
      <c r="CN510" s="4"/>
      <c r="CO510" s="4"/>
      <c r="CP510" s="4"/>
      <c r="CQ510" s="4"/>
      <c r="CR510" s="4"/>
      <c r="CS510" s="4"/>
      <c r="CT510" s="4"/>
      <c r="CU510" s="4"/>
      <c r="CV510" s="4"/>
      <c r="CW510" s="4"/>
      <c r="CX510" s="4"/>
      <c r="CY510" s="4"/>
      <c r="CZ510" s="4"/>
      <c r="DA510" s="4"/>
      <c r="DB510" s="4"/>
      <c r="DC510" s="4"/>
      <c r="DD510" s="4"/>
      <c r="DE510" s="4"/>
      <c r="DF510" s="4"/>
      <c r="DG510" s="4"/>
      <c r="DH510" s="4"/>
      <c r="DI510" s="4"/>
      <c r="DJ510" s="4"/>
      <c r="DK510" s="4"/>
      <c r="DL510" s="4"/>
      <c r="DM510" s="4"/>
      <c r="DN510" s="4"/>
      <c r="DO510" s="4"/>
      <c r="DP510" s="4"/>
      <c r="DQ510" s="4"/>
      <c r="DR510" s="4"/>
      <c r="DS510" s="4"/>
      <c r="DT510" s="4"/>
      <c r="DU510" s="4"/>
      <c r="DV510" s="4"/>
      <c r="DW510" s="4"/>
      <c r="DX510" s="4"/>
      <c r="DY510" s="4"/>
      <c r="DZ510" s="4"/>
      <c r="EA510" s="4"/>
      <c r="EB510" s="4"/>
      <c r="EC510" s="4"/>
      <c r="ED510" s="4"/>
      <c r="EE510" s="4"/>
      <c r="EF510" s="4"/>
      <c r="EG510" s="4"/>
      <c r="EH510" s="4"/>
      <c r="EI510" s="4"/>
      <c r="EJ510" s="4"/>
      <c r="EK510" s="4"/>
      <c r="EL510" s="4"/>
      <c r="EM510" s="4"/>
      <c r="EN510" s="4"/>
      <c r="EO510" s="4"/>
      <c r="EP510" s="4"/>
      <c r="EQ510" s="4"/>
      <c r="ER510" s="4"/>
      <c r="ES510" s="4"/>
      <c r="ET510" s="4"/>
      <c r="EU510" s="4"/>
      <c r="EV510" s="4"/>
      <c r="EW510" s="4"/>
      <c r="EX510" s="4"/>
      <c r="EY510" s="4"/>
      <c r="EZ510" s="4"/>
      <c r="FA510" s="4"/>
      <c r="FB510" s="4"/>
      <c r="FC510" s="4"/>
      <c r="FD510" s="4"/>
      <c r="FE510" s="4"/>
      <c r="FF510" s="4"/>
    </row>
    <row r="511" spans="1:162" x14ac:dyDescent="0.2">
      <c r="A511" s="2"/>
      <c r="B511" s="2"/>
      <c r="C511" s="2"/>
      <c r="D511" s="4"/>
      <c r="E511" s="4"/>
      <c r="F511" s="4"/>
      <c r="G511" s="4"/>
      <c r="H511" s="4"/>
      <c r="I511" s="4"/>
      <c r="J511" s="4"/>
      <c r="K511" s="4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  <c r="Z511" s="4"/>
      <c r="AA511" s="4"/>
      <c r="AB511" s="4"/>
      <c r="AC511" s="4"/>
      <c r="AD511" s="4"/>
      <c r="AE511" s="4"/>
      <c r="AF511" s="4"/>
      <c r="AG511" s="4"/>
      <c r="AH511" s="4"/>
      <c r="AI511" s="4"/>
      <c r="AJ511" s="4"/>
      <c r="AK511" s="4"/>
      <c r="AL511" s="4"/>
      <c r="AM511" s="4"/>
      <c r="AN511" s="4"/>
      <c r="AO511" s="4"/>
      <c r="AP511" s="4"/>
      <c r="AQ511" s="4"/>
      <c r="AR511" s="4"/>
      <c r="AS511" s="4"/>
      <c r="AT511" s="4"/>
      <c r="AU511" s="4"/>
      <c r="AV511" s="4"/>
      <c r="AW511" s="4"/>
      <c r="AX511" s="4"/>
      <c r="AY511" s="4"/>
      <c r="AZ511" s="4"/>
      <c r="BA511" s="4"/>
      <c r="BB511" s="4"/>
      <c r="BC511" s="4"/>
      <c r="BD511" s="4"/>
      <c r="BE511" s="4"/>
      <c r="BF511" s="4"/>
      <c r="BG511" s="4"/>
      <c r="BH511" s="4"/>
      <c r="BI511" s="4"/>
      <c r="BJ511" s="4"/>
      <c r="BK511" s="4"/>
      <c r="BL511" s="4"/>
      <c r="BM511" s="4"/>
      <c r="BN511" s="4"/>
      <c r="BO511" s="4"/>
      <c r="BP511" s="4"/>
      <c r="BQ511" s="4"/>
      <c r="BR511" s="4"/>
      <c r="BS511" s="4"/>
      <c r="BT511" s="4"/>
      <c r="BU511" s="4"/>
      <c r="BV511" s="4"/>
      <c r="BW511" s="4"/>
      <c r="BX511" s="4"/>
      <c r="BY511" s="4"/>
      <c r="BZ511" s="4"/>
      <c r="CA511" s="4"/>
      <c r="CB511" s="4"/>
      <c r="CC511" s="4"/>
      <c r="CD511" s="4"/>
      <c r="CE511" s="4"/>
      <c r="CF511" s="4"/>
      <c r="CG511" s="4"/>
      <c r="CH511" s="4"/>
      <c r="CI511" s="4"/>
      <c r="CJ511" s="4"/>
      <c r="CK511" s="4"/>
      <c r="CL511" s="4"/>
      <c r="CM511" s="4"/>
      <c r="CN511" s="4"/>
      <c r="CO511" s="4"/>
      <c r="CP511" s="4"/>
      <c r="CQ511" s="4"/>
      <c r="CR511" s="4"/>
      <c r="CS511" s="4"/>
      <c r="CT511" s="4"/>
      <c r="CU511" s="4"/>
      <c r="CV511" s="4"/>
      <c r="CW511" s="4"/>
      <c r="CX511" s="4"/>
      <c r="CY511" s="4"/>
      <c r="CZ511" s="4"/>
      <c r="DA511" s="4"/>
      <c r="DB511" s="4"/>
      <c r="DC511" s="4"/>
      <c r="DD511" s="4"/>
      <c r="DE511" s="4"/>
      <c r="DF511" s="4"/>
      <c r="DG511" s="4"/>
      <c r="DH511" s="4"/>
      <c r="DI511" s="4"/>
      <c r="DJ511" s="4"/>
      <c r="DK511" s="4"/>
      <c r="DL511" s="4"/>
      <c r="DM511" s="4"/>
      <c r="DN511" s="4"/>
      <c r="DO511" s="4"/>
      <c r="DP511" s="4"/>
      <c r="DQ511" s="4"/>
      <c r="DR511" s="4"/>
      <c r="DS511" s="4"/>
      <c r="DT511" s="4"/>
      <c r="DU511" s="4"/>
      <c r="DV511" s="4"/>
      <c r="DW511" s="4"/>
      <c r="DX511" s="4"/>
      <c r="DY511" s="4"/>
      <c r="DZ511" s="4"/>
      <c r="EA511" s="4"/>
      <c r="EB511" s="4"/>
      <c r="EC511" s="4"/>
      <c r="ED511" s="4"/>
      <c r="EE511" s="4"/>
      <c r="EF511" s="4"/>
      <c r="EG511" s="4"/>
      <c r="EH511" s="4"/>
      <c r="EI511" s="4"/>
      <c r="EJ511" s="4"/>
      <c r="EK511" s="4"/>
      <c r="EL511" s="4"/>
      <c r="EM511" s="4"/>
      <c r="EN511" s="4"/>
      <c r="EO511" s="4"/>
      <c r="EP511" s="4"/>
      <c r="EQ511" s="4"/>
      <c r="ER511" s="4"/>
      <c r="ES511" s="4"/>
      <c r="ET511" s="4"/>
      <c r="EU511" s="4"/>
      <c r="EV511" s="4"/>
      <c r="EW511" s="4"/>
      <c r="EX511" s="4"/>
      <c r="EY511" s="4"/>
      <c r="EZ511" s="4"/>
      <c r="FA511" s="4"/>
      <c r="FB511" s="4"/>
      <c r="FC511" s="4"/>
      <c r="FD511" s="4"/>
      <c r="FE511" s="4"/>
      <c r="FF511" s="4"/>
    </row>
    <row r="512" spans="1:162" x14ac:dyDescent="0.2">
      <c r="A512" s="2"/>
      <c r="B512" s="2"/>
      <c r="C512" s="2"/>
      <c r="D512" s="4"/>
      <c r="E512" s="4"/>
      <c r="F512" s="4"/>
      <c r="G512" s="4"/>
      <c r="H512" s="4"/>
      <c r="I512" s="4"/>
      <c r="J512" s="4"/>
      <c r="K512" s="4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  <c r="Z512" s="4"/>
      <c r="AA512" s="4"/>
      <c r="AB512" s="4"/>
      <c r="AC512" s="4"/>
      <c r="AD512" s="4"/>
      <c r="AE512" s="4"/>
      <c r="AF512" s="4"/>
      <c r="AG512" s="4"/>
      <c r="AH512" s="4"/>
      <c r="AI512" s="4"/>
      <c r="AJ512" s="4"/>
      <c r="AK512" s="4"/>
      <c r="AL512" s="4"/>
      <c r="AM512" s="4"/>
      <c r="AN512" s="4"/>
      <c r="AO512" s="4"/>
      <c r="AP512" s="4"/>
      <c r="AQ512" s="4"/>
      <c r="AR512" s="4"/>
      <c r="AS512" s="4"/>
      <c r="AT512" s="4"/>
      <c r="AU512" s="4"/>
      <c r="AV512" s="4"/>
      <c r="AW512" s="4"/>
      <c r="AX512" s="4"/>
      <c r="AY512" s="4"/>
      <c r="AZ512" s="4"/>
      <c r="BA512" s="4"/>
      <c r="BB512" s="4"/>
      <c r="BC512" s="4"/>
      <c r="BD512" s="4"/>
      <c r="BE512" s="4"/>
      <c r="BF512" s="4"/>
      <c r="BG512" s="4"/>
      <c r="BH512" s="4"/>
      <c r="BI512" s="4"/>
      <c r="BJ512" s="4"/>
      <c r="BK512" s="4"/>
      <c r="BL512" s="4"/>
      <c r="BM512" s="4"/>
      <c r="BN512" s="4"/>
      <c r="BO512" s="4"/>
      <c r="BP512" s="4"/>
      <c r="BQ512" s="4"/>
      <c r="BR512" s="4"/>
      <c r="BS512" s="4"/>
      <c r="BT512" s="4"/>
      <c r="BU512" s="4"/>
      <c r="BV512" s="4"/>
      <c r="BW512" s="4"/>
      <c r="BX512" s="4"/>
      <c r="BY512" s="4"/>
      <c r="BZ512" s="4"/>
      <c r="CA512" s="4"/>
      <c r="CB512" s="4"/>
      <c r="CC512" s="4"/>
      <c r="CD512" s="4"/>
      <c r="CE512" s="4"/>
      <c r="CF512" s="4"/>
      <c r="CG512" s="4"/>
      <c r="CH512" s="4"/>
      <c r="CI512" s="4"/>
      <c r="CJ512" s="4"/>
      <c r="CK512" s="4"/>
      <c r="CL512" s="4"/>
      <c r="CM512" s="4"/>
      <c r="CN512" s="4"/>
      <c r="CO512" s="4"/>
      <c r="CP512" s="4"/>
      <c r="CQ512" s="4"/>
      <c r="CR512" s="4"/>
      <c r="CS512" s="4"/>
      <c r="CT512" s="4"/>
      <c r="CU512" s="4"/>
      <c r="CV512" s="4"/>
      <c r="CW512" s="4"/>
      <c r="CX512" s="4"/>
      <c r="CY512" s="4"/>
      <c r="CZ512" s="4"/>
      <c r="DA512" s="4"/>
      <c r="DB512" s="4"/>
      <c r="DC512" s="4"/>
      <c r="DD512" s="4"/>
      <c r="DE512" s="4"/>
      <c r="DF512" s="4"/>
      <c r="DG512" s="4"/>
      <c r="DH512" s="4"/>
      <c r="DI512" s="4"/>
      <c r="DJ512" s="4"/>
      <c r="DK512" s="4"/>
      <c r="DL512" s="4"/>
      <c r="DM512" s="4"/>
      <c r="DN512" s="4"/>
      <c r="DO512" s="4"/>
      <c r="DP512" s="4"/>
      <c r="DQ512" s="4"/>
      <c r="DR512" s="4"/>
      <c r="DS512" s="4"/>
      <c r="DT512" s="4"/>
      <c r="DU512" s="4"/>
      <c r="DV512" s="4"/>
      <c r="DW512" s="4"/>
      <c r="DX512" s="4"/>
      <c r="DY512" s="4"/>
      <c r="DZ512" s="4"/>
      <c r="EA512" s="4"/>
      <c r="EB512" s="4"/>
      <c r="EC512" s="4"/>
      <c r="ED512" s="4"/>
      <c r="EE512" s="4"/>
      <c r="EF512" s="4"/>
      <c r="EG512" s="4"/>
      <c r="EH512" s="4"/>
      <c r="EI512" s="4"/>
      <c r="EJ512" s="4"/>
      <c r="EK512" s="4"/>
      <c r="EL512" s="4"/>
      <c r="EM512" s="4"/>
      <c r="EN512" s="4"/>
      <c r="EO512" s="4"/>
      <c r="EP512" s="4"/>
      <c r="EQ512" s="4"/>
      <c r="ER512" s="4"/>
      <c r="ES512" s="4"/>
      <c r="ET512" s="4"/>
      <c r="EU512" s="4"/>
      <c r="EV512" s="4"/>
      <c r="EW512" s="4"/>
      <c r="EX512" s="4"/>
      <c r="EY512" s="4"/>
      <c r="EZ512" s="4"/>
      <c r="FA512" s="4"/>
      <c r="FB512" s="4"/>
      <c r="FC512" s="4"/>
      <c r="FD512" s="4"/>
      <c r="FE512" s="4"/>
      <c r="FF512" s="4"/>
    </row>
    <row r="513" spans="1:162" x14ac:dyDescent="0.2">
      <c r="A513" s="2"/>
      <c r="B513" s="2"/>
      <c r="C513" s="2"/>
      <c r="D513" s="4"/>
      <c r="E513" s="4"/>
      <c r="F513" s="4"/>
      <c r="G513" s="4"/>
      <c r="H513" s="4"/>
      <c r="I513" s="4"/>
      <c r="J513" s="4"/>
      <c r="K513" s="4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  <c r="AA513" s="4"/>
      <c r="AB513" s="4"/>
      <c r="AC513" s="4"/>
      <c r="AD513" s="4"/>
      <c r="AE513" s="4"/>
      <c r="AF513" s="4"/>
      <c r="AG513" s="4"/>
      <c r="AH513" s="4"/>
      <c r="AI513" s="4"/>
      <c r="AJ513" s="4"/>
      <c r="AK513" s="4"/>
      <c r="AL513" s="4"/>
      <c r="AM513" s="4"/>
      <c r="AN513" s="4"/>
      <c r="AO513" s="4"/>
      <c r="AP513" s="4"/>
      <c r="AQ513" s="4"/>
      <c r="AR513" s="4"/>
      <c r="AS513" s="4"/>
      <c r="AT513" s="4"/>
      <c r="AU513" s="4"/>
      <c r="AV513" s="4"/>
      <c r="AW513" s="4"/>
      <c r="AX513" s="4"/>
      <c r="AY513" s="4"/>
      <c r="AZ513" s="4"/>
      <c r="BA513" s="4"/>
      <c r="BB513" s="4"/>
      <c r="BC513" s="4"/>
      <c r="BD513" s="4"/>
      <c r="BE513" s="4"/>
      <c r="BF513" s="4"/>
      <c r="BG513" s="4"/>
      <c r="BH513" s="4"/>
      <c r="BI513" s="4"/>
      <c r="BJ513" s="4"/>
      <c r="BK513" s="4"/>
      <c r="BL513" s="4"/>
      <c r="BM513" s="4"/>
      <c r="BN513" s="4"/>
      <c r="BO513" s="4"/>
      <c r="BP513" s="4"/>
      <c r="BQ513" s="4"/>
      <c r="BR513" s="4"/>
      <c r="BS513" s="4"/>
      <c r="BT513" s="4"/>
      <c r="BU513" s="4"/>
      <c r="BV513" s="4"/>
      <c r="BW513" s="4"/>
      <c r="BX513" s="4"/>
      <c r="BY513" s="4"/>
      <c r="BZ513" s="4"/>
      <c r="CA513" s="4"/>
      <c r="CB513" s="4"/>
      <c r="CC513" s="4"/>
      <c r="CD513" s="4"/>
      <c r="CE513" s="4"/>
      <c r="CF513" s="4"/>
      <c r="CG513" s="4"/>
      <c r="CH513" s="4"/>
      <c r="CI513" s="4"/>
      <c r="CJ513" s="4"/>
      <c r="CK513" s="4"/>
      <c r="CL513" s="4"/>
      <c r="CM513" s="4"/>
      <c r="CN513" s="4"/>
      <c r="CO513" s="4"/>
      <c r="CP513" s="4"/>
      <c r="CQ513" s="4"/>
      <c r="CR513" s="4"/>
      <c r="CS513" s="4"/>
      <c r="CT513" s="4"/>
      <c r="CU513" s="4"/>
      <c r="CV513" s="4"/>
      <c r="CW513" s="4"/>
      <c r="CX513" s="4"/>
      <c r="CY513" s="4"/>
      <c r="CZ513" s="4"/>
      <c r="DA513" s="4"/>
      <c r="DB513" s="4"/>
      <c r="DC513" s="4"/>
      <c r="DD513" s="4"/>
      <c r="DE513" s="4"/>
      <c r="DF513" s="4"/>
      <c r="DG513" s="4"/>
      <c r="DH513" s="4"/>
      <c r="DI513" s="4"/>
      <c r="DJ513" s="4"/>
      <c r="DK513" s="4"/>
      <c r="DL513" s="4"/>
      <c r="DM513" s="4"/>
      <c r="DN513" s="4"/>
      <c r="DO513" s="4"/>
      <c r="DP513" s="4"/>
      <c r="DQ513" s="4"/>
      <c r="DR513" s="4"/>
      <c r="DS513" s="4"/>
      <c r="DT513" s="4"/>
      <c r="DU513" s="4"/>
      <c r="DV513" s="4"/>
      <c r="DW513" s="4"/>
      <c r="DX513" s="4"/>
      <c r="DY513" s="4"/>
      <c r="DZ513" s="4"/>
      <c r="EA513" s="4"/>
      <c r="EB513" s="4"/>
      <c r="EC513" s="4"/>
      <c r="ED513" s="4"/>
      <c r="EE513" s="4"/>
      <c r="EF513" s="4"/>
      <c r="EG513" s="4"/>
      <c r="EH513" s="4"/>
      <c r="EI513" s="4"/>
      <c r="EJ513" s="4"/>
      <c r="EK513" s="4"/>
      <c r="EL513" s="4"/>
      <c r="EM513" s="4"/>
      <c r="EN513" s="4"/>
      <c r="EO513" s="4"/>
      <c r="EP513" s="4"/>
      <c r="EQ513" s="4"/>
      <c r="ER513" s="4"/>
      <c r="ES513" s="4"/>
      <c r="ET513" s="4"/>
      <c r="EU513" s="4"/>
      <c r="EV513" s="4"/>
      <c r="EW513" s="4"/>
      <c r="EX513" s="4"/>
      <c r="EY513" s="4"/>
      <c r="EZ513" s="4"/>
      <c r="FA513" s="4"/>
      <c r="FB513" s="4"/>
      <c r="FC513" s="4"/>
      <c r="FD513" s="4"/>
      <c r="FE513" s="4"/>
      <c r="FF513" s="4"/>
    </row>
    <row r="514" spans="1:162" x14ac:dyDescent="0.2">
      <c r="A514" s="2"/>
      <c r="B514" s="2"/>
      <c r="C514" s="2"/>
      <c r="D514" s="4"/>
      <c r="E514" s="4"/>
      <c r="F514" s="4"/>
      <c r="G514" s="4"/>
      <c r="H514" s="4"/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  <c r="AA514" s="4"/>
      <c r="AB514" s="4"/>
      <c r="AC514" s="4"/>
      <c r="AD514" s="4"/>
      <c r="AE514" s="4"/>
      <c r="AF514" s="4"/>
      <c r="AG514" s="4"/>
      <c r="AH514" s="4"/>
      <c r="AI514" s="4"/>
      <c r="AJ514" s="4"/>
      <c r="AK514" s="4"/>
      <c r="AL514" s="4"/>
      <c r="AM514" s="4"/>
      <c r="AN514" s="4"/>
      <c r="AO514" s="4"/>
      <c r="AP514" s="4"/>
      <c r="AQ514" s="4"/>
      <c r="AR514" s="4"/>
      <c r="AS514" s="4"/>
      <c r="AT514" s="4"/>
      <c r="AU514" s="4"/>
      <c r="AV514" s="4"/>
      <c r="AW514" s="4"/>
      <c r="AX514" s="4"/>
      <c r="AY514" s="4"/>
      <c r="AZ514" s="4"/>
      <c r="BA514" s="4"/>
      <c r="BB514" s="4"/>
      <c r="BC514" s="4"/>
      <c r="BD514" s="4"/>
      <c r="BE514" s="4"/>
      <c r="BF514" s="4"/>
      <c r="BG514" s="4"/>
      <c r="BH514" s="4"/>
      <c r="BI514" s="4"/>
      <c r="BJ514" s="4"/>
      <c r="BK514" s="4"/>
      <c r="BL514" s="4"/>
      <c r="BM514" s="4"/>
      <c r="BN514" s="4"/>
      <c r="BO514" s="4"/>
      <c r="BP514" s="4"/>
      <c r="BQ514" s="4"/>
      <c r="BR514" s="4"/>
      <c r="BS514" s="4"/>
      <c r="BT514" s="4"/>
      <c r="BU514" s="4"/>
      <c r="BV514" s="4"/>
      <c r="BW514" s="4"/>
      <c r="BX514" s="4"/>
      <c r="BY514" s="4"/>
      <c r="BZ514" s="4"/>
      <c r="CA514" s="4"/>
      <c r="CB514" s="4"/>
      <c r="CC514" s="4"/>
      <c r="CD514" s="4"/>
      <c r="CE514" s="4"/>
      <c r="CF514" s="4"/>
      <c r="CG514" s="4"/>
      <c r="CH514" s="4"/>
      <c r="CI514" s="4"/>
      <c r="CJ514" s="4"/>
      <c r="CK514" s="4"/>
      <c r="CL514" s="4"/>
      <c r="CM514" s="4"/>
      <c r="CN514" s="4"/>
      <c r="CO514" s="4"/>
      <c r="CP514" s="4"/>
      <c r="CQ514" s="4"/>
      <c r="CR514" s="4"/>
      <c r="CS514" s="4"/>
      <c r="CT514" s="4"/>
      <c r="CU514" s="4"/>
      <c r="CV514" s="4"/>
      <c r="CW514" s="4"/>
      <c r="CX514" s="4"/>
      <c r="CY514" s="4"/>
      <c r="CZ514" s="4"/>
      <c r="DA514" s="4"/>
      <c r="DB514" s="4"/>
      <c r="DC514" s="4"/>
      <c r="DD514" s="4"/>
      <c r="DE514" s="4"/>
      <c r="DF514" s="4"/>
      <c r="DG514" s="4"/>
      <c r="DH514" s="4"/>
      <c r="DI514" s="4"/>
      <c r="DJ514" s="4"/>
      <c r="DK514" s="4"/>
      <c r="DL514" s="4"/>
      <c r="DM514" s="4"/>
      <c r="DN514" s="4"/>
      <c r="DO514" s="4"/>
      <c r="DP514" s="4"/>
      <c r="DQ514" s="4"/>
      <c r="DR514" s="4"/>
      <c r="DS514" s="4"/>
      <c r="DT514" s="4"/>
      <c r="DU514" s="4"/>
      <c r="DV514" s="4"/>
      <c r="DW514" s="4"/>
      <c r="DX514" s="4"/>
      <c r="DY514" s="4"/>
      <c r="DZ514" s="4"/>
      <c r="EA514" s="4"/>
      <c r="EB514" s="4"/>
      <c r="EC514" s="4"/>
      <c r="ED514" s="4"/>
      <c r="EE514" s="4"/>
      <c r="EF514" s="4"/>
      <c r="EG514" s="4"/>
      <c r="EH514" s="4"/>
      <c r="EI514" s="4"/>
      <c r="EJ514" s="4"/>
      <c r="EK514" s="4"/>
      <c r="EL514" s="4"/>
      <c r="EM514" s="4"/>
      <c r="EN514" s="4"/>
      <c r="EO514" s="4"/>
      <c r="EP514" s="4"/>
      <c r="EQ514" s="4"/>
      <c r="ER514" s="4"/>
      <c r="ES514" s="4"/>
      <c r="ET514" s="4"/>
      <c r="EU514" s="4"/>
      <c r="EV514" s="4"/>
      <c r="EW514" s="4"/>
      <c r="EX514" s="4"/>
      <c r="EY514" s="4"/>
      <c r="EZ514" s="4"/>
      <c r="FA514" s="4"/>
      <c r="FB514" s="4"/>
      <c r="FC514" s="4"/>
      <c r="FD514" s="4"/>
      <c r="FE514" s="4"/>
      <c r="FF514" s="4"/>
    </row>
    <row r="515" spans="1:162" x14ac:dyDescent="0.2">
      <c r="A515" s="2"/>
      <c r="B515" s="2"/>
      <c r="C515" s="2"/>
      <c r="D515" s="4"/>
      <c r="E515" s="4"/>
      <c r="F515" s="4"/>
      <c r="G515" s="4"/>
      <c r="H515" s="4"/>
      <c r="I515" s="4"/>
      <c r="J515" s="4"/>
      <c r="K515" s="4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  <c r="AA515" s="4"/>
      <c r="AB515" s="4"/>
      <c r="AC515" s="4"/>
      <c r="AD515" s="4"/>
      <c r="AE515" s="4"/>
      <c r="AF515" s="4"/>
      <c r="AG515" s="4"/>
      <c r="AH515" s="4"/>
      <c r="AI515" s="4"/>
      <c r="AJ515" s="4"/>
      <c r="AK515" s="4"/>
      <c r="AL515" s="4"/>
      <c r="AM515" s="4"/>
      <c r="AN515" s="4"/>
      <c r="AO515" s="4"/>
      <c r="AP515" s="4"/>
      <c r="AQ515" s="4"/>
      <c r="AR515" s="4"/>
      <c r="AS515" s="4"/>
      <c r="AT515" s="4"/>
      <c r="AU515" s="4"/>
      <c r="AV515" s="4"/>
      <c r="AW515" s="4"/>
      <c r="AX515" s="4"/>
      <c r="AY515" s="4"/>
      <c r="AZ515" s="4"/>
      <c r="BA515" s="4"/>
      <c r="BB515" s="4"/>
      <c r="BC515" s="4"/>
      <c r="BD515" s="4"/>
      <c r="BE515" s="4"/>
      <c r="BF515" s="4"/>
      <c r="BG515" s="4"/>
      <c r="BH515" s="4"/>
      <c r="BI515" s="4"/>
      <c r="BJ515" s="4"/>
      <c r="BK515" s="4"/>
      <c r="BL515" s="4"/>
      <c r="BM515" s="4"/>
      <c r="BN515" s="4"/>
      <c r="BO515" s="4"/>
      <c r="BP515" s="4"/>
      <c r="BQ515" s="4"/>
      <c r="BR515" s="4"/>
      <c r="BS515" s="4"/>
      <c r="BT515" s="4"/>
      <c r="BU515" s="4"/>
      <c r="BV515" s="4"/>
      <c r="BW515" s="4"/>
      <c r="BX515" s="4"/>
      <c r="BY515" s="4"/>
      <c r="BZ515" s="4"/>
      <c r="CA515" s="4"/>
      <c r="CB515" s="4"/>
      <c r="CC515" s="4"/>
      <c r="CD515" s="4"/>
      <c r="CE515" s="4"/>
      <c r="CF515" s="4"/>
      <c r="CG515" s="4"/>
      <c r="CH515" s="4"/>
      <c r="CI515" s="4"/>
      <c r="CJ515" s="4"/>
      <c r="CK515" s="4"/>
      <c r="CL515" s="4"/>
      <c r="CM515" s="4"/>
      <c r="CN515" s="4"/>
      <c r="CO515" s="4"/>
      <c r="CP515" s="4"/>
      <c r="CQ515" s="4"/>
      <c r="CR515" s="4"/>
      <c r="CS515" s="4"/>
      <c r="CT515" s="4"/>
      <c r="CU515" s="4"/>
      <c r="CV515" s="4"/>
      <c r="CW515" s="4"/>
      <c r="CX515" s="4"/>
      <c r="CY515" s="4"/>
      <c r="CZ515" s="4"/>
      <c r="DA515" s="4"/>
      <c r="DB515" s="4"/>
      <c r="DC515" s="4"/>
      <c r="DD515" s="4"/>
      <c r="DE515" s="4"/>
      <c r="DF515" s="4"/>
      <c r="DG515" s="4"/>
      <c r="DH515" s="4"/>
      <c r="DI515" s="4"/>
      <c r="DJ515" s="4"/>
      <c r="DK515" s="4"/>
      <c r="DL515" s="4"/>
      <c r="DM515" s="4"/>
      <c r="DN515" s="4"/>
      <c r="DO515" s="4"/>
      <c r="DP515" s="4"/>
      <c r="DQ515" s="4"/>
      <c r="DR515" s="4"/>
      <c r="DS515" s="4"/>
      <c r="DT515" s="4"/>
      <c r="DU515" s="4"/>
      <c r="DV515" s="4"/>
      <c r="DW515" s="4"/>
      <c r="DX515" s="4"/>
      <c r="DY515" s="4"/>
      <c r="DZ515" s="4"/>
      <c r="EA515" s="4"/>
      <c r="EB515" s="4"/>
      <c r="EC515" s="4"/>
      <c r="ED515" s="4"/>
      <c r="EE515" s="4"/>
      <c r="EF515" s="4"/>
      <c r="EG515" s="4"/>
      <c r="EH515" s="4"/>
      <c r="EI515" s="4"/>
      <c r="EJ515" s="4"/>
      <c r="EK515" s="4"/>
      <c r="EL515" s="4"/>
      <c r="EM515" s="4"/>
      <c r="EN515" s="4"/>
      <c r="EO515" s="4"/>
      <c r="EP515" s="4"/>
      <c r="EQ515" s="4"/>
      <c r="ER515" s="4"/>
      <c r="ES515" s="4"/>
      <c r="ET515" s="4"/>
      <c r="EU515" s="4"/>
      <c r="EV515" s="4"/>
      <c r="EW515" s="4"/>
      <c r="EX515" s="4"/>
      <c r="EY515" s="4"/>
      <c r="EZ515" s="4"/>
      <c r="FA515" s="4"/>
      <c r="FB515" s="4"/>
      <c r="FC515" s="4"/>
      <c r="FD515" s="4"/>
      <c r="FE515" s="4"/>
      <c r="FF515" s="4"/>
    </row>
    <row r="516" spans="1:162" x14ac:dyDescent="0.2">
      <c r="A516" s="2"/>
      <c r="B516" s="2"/>
      <c r="C516" s="2"/>
      <c r="D516" s="4"/>
      <c r="E516" s="4"/>
      <c r="F516" s="4"/>
      <c r="G516" s="4"/>
      <c r="H516" s="4"/>
      <c r="I516" s="4"/>
      <c r="J516" s="4"/>
      <c r="K516" s="4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  <c r="AA516" s="4"/>
      <c r="AB516" s="4"/>
      <c r="AC516" s="4"/>
      <c r="AD516" s="4"/>
      <c r="AE516" s="4"/>
      <c r="AF516" s="4"/>
      <c r="AG516" s="4"/>
      <c r="AH516" s="4"/>
      <c r="AI516" s="4"/>
      <c r="AJ516" s="4"/>
      <c r="AK516" s="4"/>
      <c r="AL516" s="4"/>
      <c r="AM516" s="4"/>
      <c r="AN516" s="4"/>
      <c r="AO516" s="4"/>
      <c r="AP516" s="4"/>
      <c r="AQ516" s="4"/>
      <c r="AR516" s="4"/>
      <c r="AS516" s="4"/>
      <c r="AT516" s="4"/>
      <c r="AU516" s="4"/>
      <c r="AV516" s="4"/>
      <c r="AW516" s="4"/>
      <c r="AX516" s="4"/>
      <c r="AY516" s="4"/>
      <c r="AZ516" s="4"/>
      <c r="BA516" s="4"/>
      <c r="BB516" s="4"/>
      <c r="BC516" s="4"/>
      <c r="BD516" s="4"/>
      <c r="BE516" s="4"/>
      <c r="BF516" s="4"/>
      <c r="BG516" s="4"/>
      <c r="BH516" s="4"/>
      <c r="BI516" s="4"/>
      <c r="BJ516" s="4"/>
      <c r="BK516" s="4"/>
      <c r="BL516" s="4"/>
      <c r="BM516" s="4"/>
      <c r="BN516" s="4"/>
      <c r="BO516" s="4"/>
      <c r="BP516" s="4"/>
      <c r="BQ516" s="4"/>
      <c r="BR516" s="4"/>
      <c r="BS516" s="4"/>
      <c r="BT516" s="4"/>
      <c r="BU516" s="4"/>
      <c r="BV516" s="4"/>
      <c r="BW516" s="4"/>
      <c r="BX516" s="4"/>
      <c r="BY516" s="4"/>
      <c r="BZ516" s="4"/>
      <c r="CA516" s="4"/>
      <c r="CB516" s="4"/>
      <c r="CC516" s="4"/>
      <c r="CD516" s="4"/>
      <c r="CE516" s="4"/>
      <c r="CF516" s="4"/>
      <c r="CG516" s="4"/>
      <c r="CH516" s="4"/>
      <c r="CI516" s="4"/>
      <c r="CJ516" s="4"/>
      <c r="CK516" s="4"/>
      <c r="CL516" s="4"/>
      <c r="CM516" s="4"/>
      <c r="CN516" s="4"/>
      <c r="CO516" s="4"/>
      <c r="CP516" s="4"/>
      <c r="CQ516" s="4"/>
      <c r="CR516" s="4"/>
      <c r="CS516" s="4"/>
      <c r="CT516" s="4"/>
      <c r="CU516" s="4"/>
      <c r="CV516" s="4"/>
      <c r="CW516" s="4"/>
      <c r="CX516" s="4"/>
      <c r="CY516" s="4"/>
      <c r="CZ516" s="4"/>
      <c r="DA516" s="4"/>
      <c r="DB516" s="4"/>
      <c r="DC516" s="4"/>
      <c r="DD516" s="4"/>
      <c r="DE516" s="4"/>
      <c r="DF516" s="4"/>
      <c r="DG516" s="4"/>
      <c r="DH516" s="4"/>
      <c r="DI516" s="4"/>
      <c r="DJ516" s="4"/>
      <c r="DK516" s="4"/>
      <c r="DL516" s="4"/>
      <c r="DM516" s="4"/>
      <c r="DN516" s="4"/>
      <c r="DO516" s="4"/>
      <c r="DP516" s="4"/>
      <c r="DQ516" s="4"/>
      <c r="DR516" s="4"/>
      <c r="DS516" s="4"/>
      <c r="DT516" s="4"/>
      <c r="DU516" s="4"/>
      <c r="DV516" s="4"/>
      <c r="DW516" s="4"/>
      <c r="DX516" s="4"/>
      <c r="DY516" s="4"/>
      <c r="DZ516" s="4"/>
      <c r="EA516" s="4"/>
      <c r="EB516" s="4"/>
      <c r="EC516" s="4"/>
      <c r="ED516" s="4"/>
      <c r="EE516" s="4"/>
      <c r="EF516" s="4"/>
      <c r="EG516" s="4"/>
      <c r="EH516" s="4"/>
      <c r="EI516" s="4"/>
      <c r="EJ516" s="4"/>
      <c r="EK516" s="4"/>
      <c r="EL516" s="4"/>
      <c r="EM516" s="4"/>
      <c r="EN516" s="4"/>
      <c r="EO516" s="4"/>
      <c r="EP516" s="4"/>
      <c r="EQ516" s="4"/>
      <c r="ER516" s="4"/>
      <c r="ES516" s="4"/>
      <c r="ET516" s="4"/>
      <c r="EU516" s="4"/>
      <c r="EV516" s="4"/>
      <c r="EW516" s="4"/>
      <c r="EX516" s="4"/>
      <c r="EY516" s="4"/>
      <c r="EZ516" s="4"/>
      <c r="FA516" s="4"/>
      <c r="FB516" s="4"/>
      <c r="FC516" s="4"/>
      <c r="FD516" s="4"/>
      <c r="FE516" s="4"/>
      <c r="FF516" s="4"/>
    </row>
    <row r="517" spans="1:162" x14ac:dyDescent="0.2">
      <c r="A517" s="2"/>
      <c r="B517" s="2"/>
      <c r="C517" s="2"/>
      <c r="D517" s="4"/>
      <c r="E517" s="4"/>
      <c r="F517" s="4"/>
      <c r="G517" s="4"/>
      <c r="H517" s="4"/>
      <c r="I517" s="4"/>
      <c r="J517" s="4"/>
      <c r="K517" s="4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  <c r="Z517" s="4"/>
      <c r="AA517" s="4"/>
      <c r="AB517" s="4"/>
      <c r="AC517" s="4"/>
      <c r="AD517" s="4"/>
      <c r="AE517" s="4"/>
      <c r="AF517" s="4"/>
      <c r="AG517" s="4"/>
      <c r="AH517" s="4"/>
      <c r="AI517" s="4"/>
      <c r="AJ517" s="4"/>
      <c r="AK517" s="4"/>
      <c r="AL517" s="4"/>
      <c r="AM517" s="4"/>
      <c r="AN517" s="4"/>
      <c r="AO517" s="4"/>
      <c r="AP517" s="4"/>
      <c r="AQ517" s="4"/>
      <c r="AR517" s="4"/>
      <c r="AS517" s="4"/>
      <c r="AT517" s="4"/>
      <c r="AU517" s="4"/>
      <c r="AV517" s="4"/>
      <c r="AW517" s="4"/>
      <c r="AX517" s="4"/>
      <c r="AY517" s="4"/>
      <c r="AZ517" s="4"/>
      <c r="BA517" s="4"/>
      <c r="BB517" s="4"/>
      <c r="BC517" s="4"/>
      <c r="BD517" s="4"/>
      <c r="BE517" s="4"/>
      <c r="BF517" s="4"/>
      <c r="BG517" s="4"/>
      <c r="BH517" s="4"/>
      <c r="BI517" s="4"/>
      <c r="BJ517" s="4"/>
      <c r="BK517" s="4"/>
      <c r="BL517" s="4"/>
      <c r="BM517" s="4"/>
      <c r="BN517" s="4"/>
      <c r="BO517" s="4"/>
      <c r="BP517" s="4"/>
      <c r="BQ517" s="4"/>
      <c r="BR517" s="4"/>
      <c r="BS517" s="4"/>
      <c r="BT517" s="4"/>
      <c r="BU517" s="4"/>
      <c r="BV517" s="4"/>
      <c r="BW517" s="4"/>
      <c r="BX517" s="4"/>
      <c r="BY517" s="4"/>
      <c r="BZ517" s="4"/>
      <c r="CA517" s="4"/>
      <c r="CB517" s="4"/>
      <c r="CC517" s="4"/>
      <c r="CD517" s="4"/>
      <c r="CE517" s="4"/>
      <c r="CF517" s="4"/>
      <c r="CG517" s="4"/>
      <c r="CH517" s="4"/>
      <c r="CI517" s="4"/>
      <c r="CJ517" s="4"/>
      <c r="CK517" s="4"/>
      <c r="CL517" s="4"/>
      <c r="CM517" s="4"/>
      <c r="CN517" s="4"/>
      <c r="CO517" s="4"/>
      <c r="CP517" s="4"/>
      <c r="CQ517" s="4"/>
      <c r="CR517" s="4"/>
      <c r="CS517" s="4"/>
      <c r="CT517" s="4"/>
      <c r="CU517" s="4"/>
      <c r="CV517" s="4"/>
      <c r="CW517" s="4"/>
      <c r="CX517" s="4"/>
      <c r="CY517" s="4"/>
      <c r="CZ517" s="4"/>
      <c r="DA517" s="4"/>
      <c r="DB517" s="4"/>
      <c r="DC517" s="4"/>
      <c r="DD517" s="4"/>
      <c r="DE517" s="4"/>
      <c r="DF517" s="4"/>
      <c r="DG517" s="4"/>
      <c r="DH517" s="4"/>
      <c r="DI517" s="4"/>
      <c r="DJ517" s="4"/>
      <c r="DK517" s="4"/>
      <c r="DL517" s="4"/>
      <c r="DM517" s="4"/>
      <c r="DN517" s="4"/>
      <c r="DO517" s="4"/>
      <c r="DP517" s="4"/>
      <c r="DQ517" s="4"/>
      <c r="DR517" s="4"/>
      <c r="DS517" s="4"/>
      <c r="DT517" s="4"/>
      <c r="DU517" s="4"/>
      <c r="DV517" s="4"/>
      <c r="DW517" s="4"/>
      <c r="DX517" s="4"/>
      <c r="DY517" s="4"/>
      <c r="DZ517" s="4"/>
      <c r="EA517" s="4"/>
      <c r="EB517" s="4"/>
      <c r="EC517" s="4"/>
      <c r="ED517" s="4"/>
      <c r="EE517" s="4"/>
      <c r="EF517" s="4"/>
      <c r="EG517" s="4"/>
      <c r="EH517" s="4"/>
      <c r="EI517" s="4"/>
      <c r="EJ517" s="4"/>
      <c r="EK517" s="4"/>
      <c r="EL517" s="4"/>
      <c r="EM517" s="4"/>
      <c r="EN517" s="4"/>
      <c r="EO517" s="4"/>
      <c r="EP517" s="4"/>
      <c r="EQ517" s="4"/>
      <c r="ER517" s="4"/>
      <c r="ES517" s="4"/>
      <c r="ET517" s="4"/>
      <c r="EU517" s="4"/>
      <c r="EV517" s="4"/>
      <c r="EW517" s="4"/>
      <c r="EX517" s="4"/>
      <c r="EY517" s="4"/>
      <c r="EZ517" s="4"/>
      <c r="FA517" s="4"/>
      <c r="FB517" s="4"/>
      <c r="FC517" s="4"/>
      <c r="FD517" s="4"/>
      <c r="FE517" s="4"/>
      <c r="FF517" s="4"/>
    </row>
    <row r="518" spans="1:162" x14ac:dyDescent="0.2">
      <c r="A518" s="2"/>
      <c r="B518" s="2"/>
      <c r="C518" s="2"/>
      <c r="D518" s="4"/>
      <c r="E518" s="4"/>
      <c r="F518" s="4"/>
      <c r="G518" s="4"/>
      <c r="H518" s="4"/>
      <c r="I518" s="4"/>
      <c r="J518" s="4"/>
      <c r="K518" s="4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  <c r="Z518" s="4"/>
      <c r="AA518" s="4"/>
      <c r="AB518" s="4"/>
      <c r="AC518" s="4"/>
      <c r="AD518" s="4"/>
      <c r="AE518" s="4"/>
      <c r="AF518" s="4"/>
      <c r="AG518" s="4"/>
      <c r="AH518" s="4"/>
      <c r="AI518" s="4"/>
      <c r="AJ518" s="4"/>
      <c r="AK518" s="4"/>
      <c r="AL518" s="4"/>
      <c r="AM518" s="4"/>
      <c r="AN518" s="4"/>
      <c r="AO518" s="4"/>
      <c r="AP518" s="4"/>
      <c r="AQ518" s="4"/>
      <c r="AR518" s="4"/>
      <c r="AS518" s="4"/>
      <c r="AT518" s="4"/>
      <c r="AU518" s="4"/>
      <c r="AV518" s="4"/>
      <c r="AW518" s="4"/>
      <c r="AX518" s="4"/>
      <c r="AY518" s="4"/>
      <c r="AZ518" s="4"/>
      <c r="BA518" s="4"/>
      <c r="BB518" s="4"/>
      <c r="BC518" s="4"/>
      <c r="BD518" s="4"/>
      <c r="BE518" s="4"/>
      <c r="BF518" s="4"/>
      <c r="BG518" s="4"/>
      <c r="BH518" s="4"/>
      <c r="BI518" s="4"/>
      <c r="BJ518" s="4"/>
      <c r="BK518" s="4"/>
      <c r="BL518" s="4"/>
      <c r="BM518" s="4"/>
      <c r="BN518" s="4"/>
      <c r="BO518" s="4"/>
      <c r="BP518" s="4"/>
      <c r="BQ518" s="4"/>
      <c r="BR518" s="4"/>
      <c r="BS518" s="4"/>
      <c r="BT518" s="4"/>
      <c r="BU518" s="4"/>
      <c r="BV518" s="4"/>
      <c r="BW518" s="4"/>
      <c r="BX518" s="4"/>
      <c r="BY518" s="4"/>
      <c r="BZ518" s="4"/>
      <c r="CA518" s="4"/>
      <c r="CB518" s="4"/>
      <c r="CC518" s="4"/>
      <c r="CD518" s="4"/>
      <c r="CE518" s="4"/>
      <c r="CF518" s="4"/>
      <c r="CG518" s="4"/>
      <c r="CH518" s="4"/>
      <c r="CI518" s="4"/>
      <c r="CJ518" s="4"/>
      <c r="CK518" s="4"/>
      <c r="CL518" s="4"/>
      <c r="CM518" s="4"/>
      <c r="CN518" s="4"/>
      <c r="CO518" s="4"/>
      <c r="CP518" s="4"/>
      <c r="CQ518" s="4"/>
      <c r="CR518" s="4"/>
      <c r="CS518" s="4"/>
      <c r="CT518" s="4"/>
      <c r="CU518" s="4"/>
      <c r="CV518" s="4"/>
      <c r="CW518" s="4"/>
      <c r="CX518" s="4"/>
      <c r="CY518" s="4"/>
      <c r="CZ518" s="4"/>
      <c r="DA518" s="4"/>
      <c r="DB518" s="4"/>
      <c r="DC518" s="4"/>
      <c r="DD518" s="4"/>
      <c r="DE518" s="4"/>
      <c r="DF518" s="4"/>
      <c r="DG518" s="4"/>
      <c r="DH518" s="4"/>
      <c r="DI518" s="4"/>
      <c r="DJ518" s="4"/>
      <c r="DK518" s="4"/>
      <c r="DL518" s="4"/>
      <c r="DM518" s="4"/>
      <c r="DN518" s="4"/>
      <c r="DO518" s="4"/>
      <c r="DP518" s="4"/>
      <c r="DQ518" s="4"/>
      <c r="DR518" s="4"/>
      <c r="DS518" s="4"/>
      <c r="DT518" s="4"/>
      <c r="DU518" s="4"/>
      <c r="DV518" s="4"/>
      <c r="DW518" s="4"/>
      <c r="DX518" s="4"/>
      <c r="DY518" s="4"/>
      <c r="DZ518" s="4"/>
      <c r="EA518" s="4"/>
      <c r="EB518" s="4"/>
      <c r="EC518" s="4"/>
      <c r="ED518" s="4"/>
      <c r="EE518" s="4"/>
      <c r="EF518" s="4"/>
      <c r="EG518" s="4"/>
      <c r="EH518" s="4"/>
      <c r="EI518" s="4"/>
      <c r="EJ518" s="4"/>
      <c r="EK518" s="4"/>
      <c r="EL518" s="4"/>
      <c r="EM518" s="4"/>
      <c r="EN518" s="4"/>
      <c r="EO518" s="4"/>
      <c r="EP518" s="4"/>
      <c r="EQ518" s="4"/>
      <c r="ER518" s="4"/>
      <c r="ES518" s="4"/>
      <c r="ET518" s="4"/>
      <c r="EU518" s="4"/>
      <c r="EV518" s="4"/>
      <c r="EW518" s="4"/>
      <c r="EX518" s="4"/>
      <c r="EY518" s="4"/>
      <c r="EZ518" s="4"/>
      <c r="FA518" s="4"/>
      <c r="FB518" s="4"/>
      <c r="FC518" s="4"/>
      <c r="FD518" s="4"/>
      <c r="FE518" s="4"/>
      <c r="FF518" s="4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E6D9E-122B-41ED-B280-8A2638094E7B}">
  <sheetPr codeName="Sheet4"/>
  <dimension ref="B1:AD502"/>
  <sheetViews>
    <sheetView topLeftCell="K20" zoomScale="90" zoomScaleNormal="90" workbookViewId="0">
      <selection activeCell="Z5" sqref="Z5"/>
    </sheetView>
  </sheetViews>
  <sheetFormatPr defaultColWidth="9" defaultRowHeight="12.75" x14ac:dyDescent="0.2"/>
  <cols>
    <col min="1" max="1" width="4.625" style="13" customWidth="1"/>
    <col min="2" max="2" width="16.625" style="11" customWidth="1"/>
    <col min="3" max="3" width="3.375" style="13" customWidth="1"/>
    <col min="4" max="5" width="9" style="11"/>
    <col min="6" max="6" width="4.125" style="13" customWidth="1"/>
    <col min="7" max="8" width="9" style="13"/>
    <col min="9" max="9" width="4.125" style="13" customWidth="1"/>
    <col min="10" max="10" width="12.375" style="13" customWidth="1"/>
    <col min="11" max="11" width="10.375" style="13" customWidth="1"/>
    <col min="12" max="12" width="9" style="13"/>
    <col min="13" max="14" width="10.625" style="13" customWidth="1"/>
    <col min="15" max="17" width="9" style="13"/>
    <col min="18" max="18" width="11.625" style="13" customWidth="1"/>
    <col min="19" max="19" width="12.125" style="13" bestFit="1" customWidth="1"/>
    <col min="20" max="20" width="9" style="13"/>
    <col min="21" max="21" width="5.625" style="13" customWidth="1"/>
    <col min="22" max="22" width="13.125" style="13" customWidth="1"/>
    <col min="23" max="24" width="9" style="13"/>
    <col min="25" max="25" width="13.5" style="13" bestFit="1" customWidth="1"/>
    <col min="26" max="26" width="14.875" style="13" customWidth="1"/>
    <col min="27" max="27" width="9" style="13"/>
    <col min="28" max="28" width="10.125" style="13" customWidth="1"/>
    <col min="29" max="29" width="10.625" style="13" customWidth="1"/>
    <col min="30" max="16384" width="9" style="13"/>
  </cols>
  <sheetData>
    <row r="1" spans="2:30" x14ac:dyDescent="0.2">
      <c r="V1" s="34">
        <f ca="1">IF(MATCH("",headers[Headers],0)-1&lt;1,1,MATCH("",headers[Headers],0)-1)</f>
        <v>22</v>
      </c>
    </row>
    <row r="2" spans="2:30" x14ac:dyDescent="0.2">
      <c r="B2" s="16" t="s">
        <v>762</v>
      </c>
      <c r="D2" s="16" t="s">
        <v>762</v>
      </c>
      <c r="G2" s="15" t="str">
        <f>Viewer!$C$3</f>
        <v>Yearly</v>
      </c>
      <c r="H2" s="15"/>
      <c r="J2" s="17" t="s">
        <v>763</v>
      </c>
      <c r="K2" s="14" t="str">
        <f t="array" aca="1" ref="K2" ca="1">CONCATENATE(INDEX(INDIRECT(CONCATENATE("data[period_",LEFT($G$2,1),"]")),1))</f>
        <v>2000</v>
      </c>
      <c r="M2" s="21" t="str">
        <f>SUBSTITUTE(ADDRESS(1,COLUMN()+MATCH($G$2,$O$2:$Q$2,0)+1,4,1),1,"")</f>
        <v>Q</v>
      </c>
      <c r="N2" s="21" t="s">
        <v>780</v>
      </c>
      <c r="O2" s="14" t="str">
        <f>B5</f>
        <v>Monthly</v>
      </c>
      <c r="P2" s="14" t="str">
        <f>B4</f>
        <v>Quarterly</v>
      </c>
      <c r="Q2" s="14" t="str">
        <f>B3</f>
        <v>Yearly</v>
      </c>
      <c r="S2" s="33" t="s">
        <v>793</v>
      </c>
      <c r="T2" s="21" t="str">
        <f>IF(Viewer!$C$3=technicals!$B$3,"",CONCATENATE(Viewer!C4))</f>
        <v/>
      </c>
      <c r="V2" s="37" t="s">
        <v>791</v>
      </c>
      <c r="Y2" s="40"/>
      <c r="Z2" s="40"/>
      <c r="AB2" s="13" t="s">
        <v>809</v>
      </c>
    </row>
    <row r="3" spans="2:30" x14ac:dyDescent="0.2">
      <c r="B3" s="14" t="s">
        <v>740</v>
      </c>
      <c r="D3" s="14" t="s">
        <v>741</v>
      </c>
      <c r="E3" s="14" t="s">
        <v>744</v>
      </c>
      <c r="G3" s="14" t="s">
        <v>765</v>
      </c>
      <c r="H3" s="14" t="s">
        <v>766</v>
      </c>
      <c r="J3" s="17" t="s">
        <v>764</v>
      </c>
      <c r="K3" s="14" t="str">
        <f t="array" aca="1" ref="K3" ca="1">CONCATENATE(INDEX(INDIRECT(CONCATENATE("data[period_",LEFT($G$2,1),"]")),MAX(ROW(INDIRECT(CONCATENATE("data[period_",LEFT($G$2,1),"]"))))-1))</f>
        <v>2021</v>
      </c>
      <c r="M3" s="19" t="s">
        <v>769</v>
      </c>
      <c r="N3" s="20"/>
      <c r="O3" s="20"/>
      <c r="P3" s="20"/>
      <c r="Q3" s="18"/>
      <c r="S3" s="33" t="s">
        <v>794</v>
      </c>
      <c r="T3" s="14" t="str">
        <f>IFERROR(VALUE(RIGHT($T$2,IF($G$2=$B$4,1,IF($G$2=$B$5,2,"")))),"")</f>
        <v/>
      </c>
      <c r="V3" s="22" t="str">
        <f ca="1">IF(NOT($T$2=""),IF($T$9="","",CONCATENATE($T$9,$T$2)),CONCATENATE($N$4,$N$5))</f>
        <v>2000</v>
      </c>
      <c r="Y3" s="41" t="s">
        <v>804</v>
      </c>
      <c r="Z3" s="42" t="s">
        <v>805</v>
      </c>
      <c r="AB3" s="52" t="s">
        <v>811</v>
      </c>
      <c r="AC3" s="52" t="s">
        <v>812</v>
      </c>
      <c r="AD3" s="52" t="s">
        <v>813</v>
      </c>
    </row>
    <row r="4" spans="2:30" x14ac:dyDescent="0.2">
      <c r="B4" s="14" t="s">
        <v>741</v>
      </c>
      <c r="D4" s="14" t="s">
        <v>741</v>
      </c>
      <c r="E4" s="14" t="s">
        <v>745</v>
      </c>
      <c r="G4" s="14" t="str">
        <f ca="1">K5</f>
        <v>2000</v>
      </c>
      <c r="H4" s="14" t="str">
        <f ca="1">K11</f>
        <v>2000</v>
      </c>
      <c r="M4" s="17" t="s">
        <v>778</v>
      </c>
      <c r="N4" s="14" t="str">
        <f ca="1">K11</f>
        <v>2000</v>
      </c>
      <c r="O4" s="14" t="str">
        <f ca="1">N4</f>
        <v>2000</v>
      </c>
      <c r="P4" s="14" t="str">
        <f ca="1">O4</f>
        <v>2000</v>
      </c>
      <c r="Q4" s="14" t="str">
        <f ca="1">P4</f>
        <v>2000</v>
      </c>
      <c r="S4" s="33" t="s">
        <v>795</v>
      </c>
      <c r="T4" s="14" t="str">
        <f>IFERROR(VALUE(RIGHT($N$5,IF($G$2=$B$4,1,IF($G$2=$B$5,2,"")))),"")</f>
        <v/>
      </c>
      <c r="V4" s="36" t="str">
        <f ca="1">IFERROR(IF(V3="","",IF(NOT($T$2=""),IF(AND(VALUE(LEFT(V3,4))+1+$T$3/100&gt;=$T$6,VALUE(LEFT(V3,4))+1+$T$3/100&lt;=$T$7),CONCATENATE(VALUE(LEFT(V3,4))+1,$T$2),""),IF(next_period(V3)=next_period(CONCATENATE($N$7,$N$8)),"",next_period(V3)))),"")</f>
        <v>2001</v>
      </c>
      <c r="Y4" s="14" t="str">
        <f>CONCATENATE("C",$T$13,":","G",$T$14)</f>
        <v>C11:G11</v>
      </c>
      <c r="Z4" s="17" t="str">
        <f ca="1">IFERROR(INDEX(INDIRECT(CONCATENATE("meta[",Z$10,"]")),MATCH($B4,meta[VARIABLE],0)),"")</f>
        <v/>
      </c>
      <c r="AB4" s="17" t="s">
        <v>810</v>
      </c>
      <c r="AC4" s="14" t="s">
        <v>831</v>
      </c>
      <c r="AD4" s="14" t="str">
        <f ca="1">CONCATENATE("B11:B",11+COUNTA(INDIRECT(CONCATENATE("meta!",AC4)))-1)</f>
        <v>B11:B21</v>
      </c>
    </row>
    <row r="5" spans="2:30" x14ac:dyDescent="0.2">
      <c r="B5" s="14" t="s">
        <v>742</v>
      </c>
      <c r="D5" s="14" t="s">
        <v>741</v>
      </c>
      <c r="E5" s="14" t="s">
        <v>746</v>
      </c>
      <c r="G5" s="14" t="str">
        <f ca="1">IF(OR(G4="",G4=$K$6),"",CONCATENATE(VALUE(G4)+1))</f>
        <v>2001</v>
      </c>
      <c r="H5" s="14" t="str">
        <f ca="1">IF(OR(H4="",H4=$K$6),"",CONCATENATE(VALUE(H4)+1))</f>
        <v>2001</v>
      </c>
      <c r="J5" s="17" t="s">
        <v>767</v>
      </c>
      <c r="K5" s="14" t="str">
        <f ca="1">LEFT(K2,4)</f>
        <v>2000</v>
      </c>
      <c r="M5" s="17" t="s">
        <v>779</v>
      </c>
      <c r="N5" s="14" t="str">
        <f>K15</f>
        <v/>
      </c>
      <c r="O5" s="14" t="str">
        <f ca="1">IF(O4="","",IF(LEFT($N5,1)="Q",INDEX($Q$17:$Q$20,MATCH($N5,$P$17:$P$20,0)),IF(LEFT($N5,1)="M",$N5,$N$26)))</f>
        <v>M01</v>
      </c>
      <c r="P5" s="14" t="str">
        <f ca="1">IF(P4="","",IF(LEFT($N5,1)="Q",$N5,IF(LEFT($N5,1)="M",INDEX($N$12:$N$23,MATCH($N5,$M$12:$M$23,0)),$O$26)))</f>
        <v>Q1</v>
      </c>
      <c r="Q5" s="17"/>
      <c r="S5" s="33" t="s">
        <v>796</v>
      </c>
      <c r="T5" s="14" t="str">
        <f>IFERROR(VALUE(RIGHT($N$8,IF($G$2=$B$4,1,IF($G$2=$B$5,2,"")))),"")</f>
        <v/>
      </c>
      <c r="V5" s="36" t="str">
        <f ca="1">IFERROR(IF(V4="","",IF(NOT($T$2=""),IF(AND(VALUE(LEFT(V4,4))+1+$T$3/100&gt;=$T$6,VALUE(LEFT(V4,4))+1+$T$3/100&lt;=$T$7),CONCATENATE(VALUE(LEFT(V4,4))+1,$T$2),""),IF(next_period(V4)=next_period(CONCATENATE($N$7,$N$8)),"",next_period(V4)))),"")</f>
        <v>2002</v>
      </c>
      <c r="Y5" s="14" t="str">
        <f t="array" aca="1" ref="Y5" ca="1">CONCATENATE(SUBSTITUTE(ADDRESS(1,MIN(COLUMN(INDIRECT($T$11))),4,1),"1",""),$T$13,":",SUBSTITUTE(ADDRESS(1,MAX(COLUMN(INDIRECT($T$11))),4,1),"1",""),$T$14)</f>
        <v>H11:AC11</v>
      </c>
      <c r="Z5" s="17" t="str">
        <f ca="1">IFERROR(SUM(OFFSET(data[[#Headers],[period_y]],MATCH(IFERROR(VALUE(Z$10),Z$10),INDIRECT(CONCATENATE("data[",cperiod,"]")),0)+IF(INDEX(meta[TYPE],MATCH($B5,meta[VARIABLE],0))=cum,IF(cperiod=y,11,IF(cperiod=q,2,0)),0),MATCH($B5,data[#Headers],0)-1,IF(AND(cperiod=y,NOT(INDEX(meta[TYPE],MATCH($B5,meta[VARIABLE],0))=cum)),12,IF(AND(cperiod=q,NOT(INDEX(meta[TYPE],MATCH($B5,meta[VARIABLE],0))=cum)),3,1))))/IFERROR(IF(INDEX(meta[TYPE],MATCH($B5,meta[VARIABLE],0))=avg,COUNT(OFFSET(data[[#Headers],[period_y]],MATCH(IFERROR(VALUE(Z$10),Z$10),INDIRECT(CONCATENATE("data[",cperiod,"]")),0)+IF(INDEX(meta[TYPE],MATCH($B5,meta[VARIABLE],0))=cum,IF(cperiod=y,11,IF(cperiod=q,2,0)),0),MATCH($B5,data[#Headers],0)-1,IF(AND(cperiod=y,NOT(INDEX(meta[TYPE],MATCH($B5,meta[VARIABLE],0))=cum)),12,IF(AND(cperiod=q,NOT(INDEX(meta[TYPE],MATCH($B5,meta[VARIABLE],0))=cum)),3,1)))),1),1),"")</f>
        <v/>
      </c>
      <c r="AB5" s="17" t="s">
        <v>814</v>
      </c>
      <c r="AC5" s="14" t="s">
        <v>832</v>
      </c>
      <c r="AD5" s="14" t="str">
        <f t="shared" ref="AD5:AD21" ca="1" si="0">CONCATENATE("B11:B",11+COUNTA(INDIRECT(CONCATENATE("meta!",AC5)))-1)</f>
        <v>B11:B21</v>
      </c>
    </row>
    <row r="6" spans="2:30" x14ac:dyDescent="0.2">
      <c r="D6" s="14" t="s">
        <v>741</v>
      </c>
      <c r="E6" s="14" t="s">
        <v>747</v>
      </c>
      <c r="G6" s="14" t="str">
        <f t="shared" ref="G6:G56" ca="1" si="1">IF(OR(G5="",G5=$K$6),"",CONCATENATE(VALUE(G5)+1))</f>
        <v>2002</v>
      </c>
      <c r="H6" s="14" t="str">
        <f t="shared" ref="H6:H56" ca="1" si="2">IF(OR(H5="",H5=$K$6),"",CONCATENATE(VALUE(H5)+1))</f>
        <v>2002</v>
      </c>
      <c r="J6" s="17" t="s">
        <v>768</v>
      </c>
      <c r="K6" s="14" t="str">
        <f ca="1">LEFT(K3,4)</f>
        <v>2021</v>
      </c>
      <c r="M6" s="19" t="s">
        <v>774</v>
      </c>
      <c r="N6" s="22"/>
      <c r="O6" s="20"/>
      <c r="P6" s="20"/>
      <c r="Q6" s="18"/>
      <c r="S6" s="33" t="s">
        <v>795</v>
      </c>
      <c r="T6" s="14" t="e">
        <f ca="1">VALUE($N$4)+$T$4/100</f>
        <v>#VALUE!</v>
      </c>
      <c r="V6" s="36" t="str">
        <f ca="1">IFERROR(IF(V5="","",IF(NOT($T$2=""),IF(AND(VALUE(LEFT(V5,4))+1+$T$3/100&gt;=$T$6,VALUE(LEFT(V5,4))+1+$T$3/100&lt;=$T$7),CONCATENATE(VALUE(LEFT(V5,4))+1,$T$2),""),IF(next_period(V5)=next_period(CONCATENATE($N$7,$N$8)),"",next_period(V5)))),"")</f>
        <v>2003</v>
      </c>
      <c r="AB6" s="17" t="s">
        <v>815</v>
      </c>
      <c r="AC6" s="14" t="s">
        <v>833</v>
      </c>
      <c r="AD6" s="14" t="str">
        <f t="shared" ca="1" si="0"/>
        <v>B11:B17</v>
      </c>
    </row>
    <row r="7" spans="2:30" x14ac:dyDescent="0.2">
      <c r="D7" s="14" t="s">
        <v>742</v>
      </c>
      <c r="E7" s="14" t="s">
        <v>748</v>
      </c>
      <c r="G7" s="14" t="str">
        <f t="shared" ca="1" si="1"/>
        <v>2003</v>
      </c>
      <c r="H7" s="14" t="str">
        <f t="shared" ca="1" si="2"/>
        <v>2003</v>
      </c>
      <c r="M7" s="17" t="s">
        <v>778</v>
      </c>
      <c r="N7" s="14" t="str">
        <f ca="1">K12</f>
        <v>2021</v>
      </c>
      <c r="O7" s="14" t="str">
        <f ca="1">N7</f>
        <v>2021</v>
      </c>
      <c r="P7" s="14" t="str">
        <f ca="1">O7</f>
        <v>2021</v>
      </c>
      <c r="Q7" s="14" t="str">
        <f ca="1">P7</f>
        <v>2021</v>
      </c>
      <c r="S7" s="33" t="s">
        <v>796</v>
      </c>
      <c r="T7" s="14" t="e">
        <f ca="1">VALUE($N$7)+$T$5/100</f>
        <v>#VALUE!</v>
      </c>
      <c r="V7" s="36" t="str">
        <f ca="1">IFERROR(IF(V6="","",IF(NOT($T$2=""),IF(AND(VALUE(LEFT(V6,4))+1+$T$3/100&gt;=$T$6,VALUE(LEFT(V6,4))+1+$T$3/100&lt;=$T$7),CONCATENATE(VALUE(LEFT(V6,4))+1,$T$2),""),IF(next_period(V6)=next_period(CONCATENATE($N$7,$N$8)),"",next_period(V6)))),"")</f>
        <v>2004</v>
      </c>
      <c r="Y7" s="17" t="s">
        <v>862</v>
      </c>
      <c r="Z7" s="59" t="s">
        <v>863</v>
      </c>
      <c r="AB7" s="17" t="s">
        <v>816</v>
      </c>
      <c r="AC7" s="14" t="s">
        <v>834</v>
      </c>
      <c r="AD7" s="14" t="str">
        <f t="shared" ca="1" si="0"/>
        <v>B11:B17</v>
      </c>
    </row>
    <row r="8" spans="2:30" x14ac:dyDescent="0.2">
      <c r="D8" s="14" t="s">
        <v>742</v>
      </c>
      <c r="E8" s="14" t="s">
        <v>749</v>
      </c>
      <c r="G8" s="14" t="str">
        <f t="shared" ca="1" si="1"/>
        <v>2004</v>
      </c>
      <c r="H8" s="14" t="str">
        <f t="shared" ca="1" si="2"/>
        <v>2004</v>
      </c>
      <c r="J8" s="17" t="s">
        <v>772</v>
      </c>
      <c r="K8" s="14" t="str">
        <f>IF($G$2=$B$4,RIGHT($K$2,2),IF($G$2=$B$5,RIGHT($K$2,3),""))</f>
        <v/>
      </c>
      <c r="M8" s="17" t="s">
        <v>779</v>
      </c>
      <c r="N8" s="14" t="str">
        <f>K16</f>
        <v/>
      </c>
      <c r="O8" s="14" t="str">
        <f ca="1">IF(O7="","",IF(LEFT($N8,1)="Q",INDEX($Q$12:$Q$15,MATCH($N8,$P$12:$P$15,0)),IF(LEFT($N8,1)="M",$N8,$N$27)))</f>
        <v>M12</v>
      </c>
      <c r="P8" s="14" t="str">
        <f ca="1">IF(P7="","",IF(LEFT($N8,1)="Q",$N8,IF(LEFT($N8,1)="M",INDEX($N$12:$N$23,MATCH($N8,$M$12:$M$23,0)),$O$27)))</f>
        <v>Q4</v>
      </c>
      <c r="Q8" s="17"/>
      <c r="V8" s="36" t="str">
        <f ca="1">IFERROR(IF(V7="","",IF(NOT($T$2=""),IF(AND(VALUE(LEFT(V7,4))+1+$T$3/100&gt;=$T$6,VALUE(LEFT(V7,4))+1+$T$3/100&lt;=$T$7),CONCATENATE(VALUE(LEFT(V7,4))+1,$T$2),""),IF(next_period(V7)=next_period(CONCATENATE($N$7,$N$8)),"",next_period(V7)))),"")</f>
        <v>2005</v>
      </c>
      <c r="AB8" s="17" t="s">
        <v>817</v>
      </c>
      <c r="AC8" s="14" t="s">
        <v>835</v>
      </c>
      <c r="AD8" s="14" t="str">
        <f t="shared" ca="1" si="0"/>
        <v>B11:B19</v>
      </c>
    </row>
    <row r="9" spans="2:30" x14ac:dyDescent="0.2">
      <c r="D9" s="14" t="s">
        <v>742</v>
      </c>
      <c r="E9" s="14" t="s">
        <v>750</v>
      </c>
      <c r="G9" s="14" t="str">
        <f t="shared" ca="1" si="1"/>
        <v>2005</v>
      </c>
      <c r="H9" s="14" t="str">
        <f t="shared" ca="1" si="2"/>
        <v>2005</v>
      </c>
      <c r="J9" s="17" t="s">
        <v>773</v>
      </c>
      <c r="K9" s="14" t="str">
        <f>IF($G$2=$B$4,RIGHT($K$3,2),IF($G$2=$B$5,RIGHT($K$3,3),""))</f>
        <v/>
      </c>
      <c r="S9" s="33" t="s">
        <v>797</v>
      </c>
      <c r="T9" s="35" t="e">
        <f ca="1">IF(AND(VALUE($N$4)+$T$3/100&gt;=$T$6,VALUE($N$4)+$T$3/100&lt;=$T$7),$N$4,IF(AND(VALUE($N$4)+1+$T$3/100&gt;=$T$6,VALUE($N$4)+1+$T$3/100&lt;=$T$7),CONCATENATE(VALUE($N$4)+1),""))</f>
        <v>#VALUE!</v>
      </c>
      <c r="V9" s="36" t="str">
        <f ca="1">IFERROR(IF(V8="","",IF(NOT($T$2=""),IF(AND(VALUE(LEFT(V8,4))+1+$T$3/100&gt;=$T$6,VALUE(LEFT(V8,4))+1+$T$3/100&lt;=$T$7),CONCATENATE(VALUE(LEFT(V8,4))+1,$T$2),""),IF(next_period(V8)=next_period(CONCATENATE($N$7,$N$8)),"",next_period(V8)))),"")</f>
        <v>2006</v>
      </c>
      <c r="AB9" s="17" t="s">
        <v>818</v>
      </c>
      <c r="AC9" s="14" t="s">
        <v>836</v>
      </c>
      <c r="AD9" s="14" t="str">
        <f t="shared" ca="1" si="0"/>
        <v>B11:B27</v>
      </c>
    </row>
    <row r="10" spans="2:30" x14ac:dyDescent="0.2">
      <c r="D10" s="14" t="s">
        <v>742</v>
      </c>
      <c r="E10" s="14" t="s">
        <v>751</v>
      </c>
      <c r="G10" s="14" t="str">
        <f t="shared" ca="1" si="1"/>
        <v>2006</v>
      </c>
      <c r="H10" s="14" t="str">
        <f t="shared" ca="1" si="2"/>
        <v>2006</v>
      </c>
      <c r="V10" s="36" t="str">
        <f ca="1">IFERROR(IF(V9="","",IF(NOT($T$2=""),IF(AND(VALUE(LEFT(V9,4))+1+$T$3/100&gt;=$T$6,VALUE(LEFT(V9,4))+1+$T$3/100&lt;=$T$7),CONCATENATE(VALUE(LEFT(V9,4))+1,$T$2),""),IF(next_period(V9)=next_period(CONCATENATE($N$7,$N$8)),"",next_period(V9)))),"")</f>
        <v>2007</v>
      </c>
      <c r="Y10" s="53" t="s">
        <v>849</v>
      </c>
      <c r="AB10" s="17" t="s">
        <v>819</v>
      </c>
      <c r="AC10" s="14" t="s">
        <v>837</v>
      </c>
      <c r="AD10" s="14" t="str">
        <f t="shared" ca="1" si="0"/>
        <v>B11:B28</v>
      </c>
    </row>
    <row r="11" spans="2:30" x14ac:dyDescent="0.2">
      <c r="D11" s="14" t="s">
        <v>742</v>
      </c>
      <c r="E11" s="14" t="s">
        <v>752</v>
      </c>
      <c r="G11" s="14" t="str">
        <f t="shared" ca="1" si="1"/>
        <v>2007</v>
      </c>
      <c r="H11" s="14" t="str">
        <f t="shared" ca="1" si="2"/>
        <v>2007</v>
      </c>
      <c r="J11" s="17" t="s">
        <v>769</v>
      </c>
      <c r="K11" s="14" t="str">
        <f ca="1">CONCATENATE(IF(Viewer!$C$5=technicals!$G$3,technicals!$K$5,Viewer!$C$5))</f>
        <v>2000</v>
      </c>
      <c r="M11" s="14" t="str">
        <f>B5</f>
        <v>Monthly</v>
      </c>
      <c r="N11" s="14" t="str">
        <f>B4</f>
        <v>Quarterly</v>
      </c>
      <c r="P11" s="14" t="str">
        <f>B4</f>
        <v>Quarterly</v>
      </c>
      <c r="Q11" s="14" t="str">
        <f>B5</f>
        <v>Monthly</v>
      </c>
      <c r="S11" s="33" t="s">
        <v>798</v>
      </c>
      <c r="T11" s="14" t="str">
        <f ca="1">IFERROR(CONCATENATE("H10",":",SUBSTITUTE(ADDRESS(1,8+$V$1-1,4,1),"1",""),ROW(Viewer!$H$10)),"H10")</f>
        <v>H10:AC10</v>
      </c>
      <c r="V11" s="36" t="str">
        <f ca="1">IFERROR(IF(V10="","",IF(NOT($T$2=""),IF(AND(VALUE(LEFT(V10,4))+1+$T$3/100&gt;=$T$6,VALUE(LEFT(V10,4))+1+$T$3/100&lt;=$T$7),CONCATENATE(VALUE(LEFT(V10,4))+1,$T$2),""),IF(next_period(V10)=next_period(CONCATENATE($N$7,$N$8)),"",next_period(V10)))),"")</f>
        <v>2008</v>
      </c>
      <c r="Y11" s="17" t="s">
        <v>850</v>
      </c>
      <c r="Z11" s="17" t="str">
        <f ca="1">LEFT(CELL("filename"),SEARCH("[",CELL("filename"))-1)</f>
        <v>D:\Other\Apps\</v>
      </c>
      <c r="AB11" s="17" t="s">
        <v>820</v>
      </c>
      <c r="AC11" s="14" t="s">
        <v>838</v>
      </c>
      <c r="AD11" s="14" t="str">
        <f t="shared" ca="1" si="0"/>
        <v>B11:B23</v>
      </c>
    </row>
    <row r="12" spans="2:30" x14ac:dyDescent="0.2">
      <c r="B12" s="14" t="s">
        <v>799</v>
      </c>
      <c r="D12" s="14" t="s">
        <v>742</v>
      </c>
      <c r="E12" s="14" t="s">
        <v>753</v>
      </c>
      <c r="G12" s="14" t="str">
        <f t="shared" ca="1" si="1"/>
        <v>2008</v>
      </c>
      <c r="H12" s="14" t="str">
        <f t="shared" ca="1" si="2"/>
        <v>2008</v>
      </c>
      <c r="J12" s="17" t="s">
        <v>774</v>
      </c>
      <c r="K12" s="14" t="str">
        <f ca="1">CONCATENATE(IF(Viewer!$C$6=technicals!$H$3,technicals!$K$6,Viewer!$C$6))</f>
        <v>2021</v>
      </c>
      <c r="M12" s="14" t="s">
        <v>748</v>
      </c>
      <c r="N12" s="14" t="s">
        <v>744</v>
      </c>
      <c r="P12" s="14" t="s">
        <v>744</v>
      </c>
      <c r="Q12" s="14" t="s">
        <v>750</v>
      </c>
      <c r="V12" s="36" t="str">
        <f ca="1">IFERROR(IF(V11="","",IF(NOT($T$2=""),IF(AND(VALUE(LEFT(V11,4))+1+$T$3/100&gt;=$T$6,VALUE(LEFT(V11,4))+1+$T$3/100&lt;=$T$7),CONCATENATE(VALUE(LEFT(V11,4))+1,$T$2),""),IF(next_period(V11)=next_period(CONCATENATE($N$7,$N$8)),"",next_period(V11)))),"")</f>
        <v>2009</v>
      </c>
      <c r="Y12" s="17" t="s">
        <v>851</v>
      </c>
      <c r="Z12" s="17" t="s">
        <v>852</v>
      </c>
      <c r="AB12" s="17" t="s">
        <v>821</v>
      </c>
      <c r="AC12" s="14" t="s">
        <v>839</v>
      </c>
      <c r="AD12" s="14" t="str">
        <f t="shared" ca="1" si="0"/>
        <v>B11:B37</v>
      </c>
    </row>
    <row r="13" spans="2:30" x14ac:dyDescent="0.2">
      <c r="B13" s="14" t="s">
        <v>800</v>
      </c>
      <c r="D13" s="14" t="s">
        <v>742</v>
      </c>
      <c r="E13" s="14" t="s">
        <v>754</v>
      </c>
      <c r="G13" s="14" t="str">
        <f t="shared" ca="1" si="1"/>
        <v>2009</v>
      </c>
      <c r="H13" s="14" t="str">
        <f t="shared" ca="1" si="2"/>
        <v>2009</v>
      </c>
      <c r="J13" s="17" t="s">
        <v>770</v>
      </c>
      <c r="K13" s="14">
        <f ca="1">VALUE(K6)-VALUE(K5)+2</f>
        <v>23</v>
      </c>
      <c r="M13" s="14" t="s">
        <v>749</v>
      </c>
      <c r="N13" s="14" t="s">
        <v>744</v>
      </c>
      <c r="P13" s="14" t="s">
        <v>745</v>
      </c>
      <c r="Q13" s="14" t="s">
        <v>753</v>
      </c>
      <c r="S13" s="33" t="s">
        <v>806</v>
      </c>
      <c r="T13" s="14">
        <f>ROW(Viewer!$B$10)+1</f>
        <v>11</v>
      </c>
      <c r="V13" s="36" t="str">
        <f ca="1">IFERROR(IF(V12="","",IF(NOT($T$2=""),IF(AND(VALUE(LEFT(V12,4))+1+$T$3/100&gt;=$T$6,VALUE(LEFT(V12,4))+1+$T$3/100&lt;=$T$7),CONCATENATE(VALUE(LEFT(V12,4))+1,$T$2),""),IF(next_period(V12)=next_period(CONCATENATE($N$7,$N$8)),"",next_period(V12)))),"")</f>
        <v>2010</v>
      </c>
      <c r="Y13" s="17" t="s">
        <v>853</v>
      </c>
      <c r="Z13" s="14" t="str">
        <f ca="1">CONCATENATE("B10:",RIGHT($Y$5,LEN($Y$5)-SEARCH(":",$Y$5)))</f>
        <v>B10:AC11</v>
      </c>
      <c r="AB13" s="17" t="s">
        <v>822</v>
      </c>
      <c r="AC13" s="14" t="s">
        <v>840</v>
      </c>
      <c r="AD13" s="14" t="str">
        <f t="shared" ca="1" si="0"/>
        <v>B11:B23</v>
      </c>
    </row>
    <row r="14" spans="2:30" x14ac:dyDescent="0.2">
      <c r="B14" s="14" t="s">
        <v>801</v>
      </c>
      <c r="D14" s="14" t="s">
        <v>742</v>
      </c>
      <c r="E14" s="14" t="s">
        <v>755</v>
      </c>
      <c r="G14" s="14" t="str">
        <f t="shared" ca="1" si="1"/>
        <v>2010</v>
      </c>
      <c r="H14" s="14" t="str">
        <f t="shared" ca="1" si="2"/>
        <v>2010</v>
      </c>
      <c r="J14" s="17" t="s">
        <v>771</v>
      </c>
      <c r="K14" s="14">
        <f ca="1">VALUE($K$6)-VALUE($K$11)+2</f>
        <v>23</v>
      </c>
      <c r="M14" s="14" t="s">
        <v>750</v>
      </c>
      <c r="N14" s="14" t="s">
        <v>744</v>
      </c>
      <c r="P14" s="14" t="s">
        <v>746</v>
      </c>
      <c r="Q14" s="14" t="s">
        <v>756</v>
      </c>
      <c r="S14" s="33" t="s">
        <v>807</v>
      </c>
      <c r="T14" s="14">
        <f t="array" ref="T14">IF(MATCH(1,--(ISBLANK(Viewer!$B$11:$B$200)),0)+ROW(Viewer!$B$10)-1&lt;T13,T13,MATCH(1,--(ISBLANK(Viewer!$B$11:$B$200)),0)+ROW(Viewer!$B$10)-1)</f>
        <v>11</v>
      </c>
      <c r="V14" s="36" t="str">
        <f ca="1">IFERROR(IF(V13="","",IF(NOT($T$2=""),IF(AND(VALUE(LEFT(V13,4))+1+$T$3/100&gt;=$T$6,VALUE(LEFT(V13,4))+1+$T$3/100&lt;=$T$7),CONCATENATE(VALUE(LEFT(V13,4))+1,$T$2),""),IF(next_period(V13)=next_period(CONCATENATE($N$7,$N$8)),"",next_period(V13)))),"")</f>
        <v>2011</v>
      </c>
      <c r="Y14" s="17"/>
      <c r="Z14" s="17"/>
      <c r="AB14" s="17" t="s">
        <v>823</v>
      </c>
      <c r="AC14" s="14" t="s">
        <v>841</v>
      </c>
      <c r="AD14" s="14" t="str">
        <f t="shared" ca="1" si="0"/>
        <v>B11:B15</v>
      </c>
    </row>
    <row r="15" spans="2:30" x14ac:dyDescent="0.2">
      <c r="B15" s="14" t="s">
        <v>802</v>
      </c>
      <c r="D15" s="14" t="s">
        <v>742</v>
      </c>
      <c r="E15" s="14" t="s">
        <v>756</v>
      </c>
      <c r="G15" s="14" t="str">
        <f t="shared" ca="1" si="1"/>
        <v>2011</v>
      </c>
      <c r="H15" s="14" t="str">
        <f t="shared" ca="1" si="2"/>
        <v>2011</v>
      </c>
      <c r="J15" s="17" t="s">
        <v>777</v>
      </c>
      <c r="K15" s="14" t="str">
        <f>CONCATENATE(IF(Viewer!$C$5=technicals!$G$3,technicals!$K$8,Viewer!$D$5))</f>
        <v/>
      </c>
      <c r="M15" s="14" t="s">
        <v>751</v>
      </c>
      <c r="N15" s="14" t="s">
        <v>745</v>
      </c>
      <c r="P15" s="14" t="s">
        <v>747</v>
      </c>
      <c r="Q15" s="14" t="s">
        <v>759</v>
      </c>
      <c r="V15" s="36" t="str">
        <f ca="1">IFERROR(IF(V14="","",IF(NOT($T$2=""),IF(AND(VALUE(LEFT(V14,4))+1+$T$3/100&gt;=$T$6,VALUE(LEFT(V14,4))+1+$T$3/100&lt;=$T$7),CONCATENATE(VALUE(LEFT(V14,4))+1,$T$2),""),IF(next_period(V14)=next_period(CONCATENATE($N$7,$N$8)),"",next_period(V14)))),"")</f>
        <v>2012</v>
      </c>
      <c r="Y15" s="17"/>
      <c r="Z15" s="17"/>
      <c r="AB15" s="17" t="s">
        <v>824</v>
      </c>
      <c r="AC15" s="14" t="s">
        <v>842</v>
      </c>
      <c r="AD15" s="14" t="str">
        <f t="shared" ca="1" si="0"/>
        <v>B11:B15</v>
      </c>
    </row>
    <row r="16" spans="2:30" x14ac:dyDescent="0.2">
      <c r="D16" s="14" t="s">
        <v>742</v>
      </c>
      <c r="E16" s="14" t="s">
        <v>757</v>
      </c>
      <c r="G16" s="14" t="str">
        <f t="shared" ca="1" si="1"/>
        <v>2012</v>
      </c>
      <c r="H16" s="14" t="str">
        <f t="shared" ca="1" si="2"/>
        <v>2012</v>
      </c>
      <c r="J16" s="17" t="s">
        <v>781</v>
      </c>
      <c r="K16" s="14" t="str">
        <f>CONCATENATE(IF(Viewer!$C$6=technicals!$H$3,technicals!$K$9,Viewer!$D$6))</f>
        <v/>
      </c>
      <c r="M16" s="14" t="s">
        <v>752</v>
      </c>
      <c r="N16" s="14" t="s">
        <v>745</v>
      </c>
      <c r="P16" s="14" t="str">
        <f>P11</f>
        <v>Quarterly</v>
      </c>
      <c r="Q16" s="14" t="str">
        <f>Q11</f>
        <v>Monthly</v>
      </c>
      <c r="V16" s="36" t="str">
        <f ca="1">IFERROR(IF(V15="","",IF(NOT($T$2=""),IF(AND(VALUE(LEFT(V15,4))+1+$T$3/100&gt;=$T$6,VALUE(LEFT(V15,4))+1+$T$3/100&lt;=$T$7),CONCATENATE(VALUE(LEFT(V15,4))+1,$T$2),""),IF(next_period(V15)=next_period(CONCATENATE($N$7,$N$8)),"",next_period(V15)))),"")</f>
        <v>2013</v>
      </c>
      <c r="Y16" s="17"/>
      <c r="Z16" s="17"/>
      <c r="AB16" s="17" t="s">
        <v>825</v>
      </c>
      <c r="AC16" s="14" t="s">
        <v>843</v>
      </c>
      <c r="AD16" s="14" t="str">
        <f t="shared" ca="1" si="0"/>
        <v>B11:B17</v>
      </c>
    </row>
    <row r="17" spans="2:30" x14ac:dyDescent="0.2">
      <c r="D17" s="14" t="s">
        <v>742</v>
      </c>
      <c r="E17" s="14" t="s">
        <v>758</v>
      </c>
      <c r="G17" s="14" t="str">
        <f t="shared" ca="1" si="1"/>
        <v>2013</v>
      </c>
      <c r="H17" s="14" t="str">
        <f t="shared" ca="1" si="2"/>
        <v>2013</v>
      </c>
      <c r="M17" s="14" t="s">
        <v>753</v>
      </c>
      <c r="N17" s="14" t="s">
        <v>745</v>
      </c>
      <c r="P17" s="14" t="s">
        <v>744</v>
      </c>
      <c r="Q17" s="14" t="s">
        <v>748</v>
      </c>
      <c r="V17" s="36" t="str">
        <f ca="1">IFERROR(IF(V16="","",IF(NOT($T$2=""),IF(AND(VALUE(LEFT(V16,4))+1+$T$3/100&gt;=$T$6,VALUE(LEFT(V16,4))+1+$T$3/100&lt;=$T$7),CONCATENATE(VALUE(LEFT(V16,4))+1,$T$2),""),IF(next_period(V16)=next_period(CONCATENATE($N$7,$N$8)),"",next_period(V16)))),"")</f>
        <v>2014</v>
      </c>
      <c r="Y17" s="17"/>
      <c r="Z17" s="17"/>
      <c r="AB17" s="17" t="s">
        <v>826</v>
      </c>
      <c r="AC17" s="14" t="s">
        <v>844</v>
      </c>
      <c r="AD17" s="14" t="str">
        <f t="shared" ca="1" si="0"/>
        <v>B11:B30</v>
      </c>
    </row>
    <row r="18" spans="2:30" x14ac:dyDescent="0.2">
      <c r="B18" s="14" t="s">
        <v>803</v>
      </c>
      <c r="D18" s="14" t="s">
        <v>742</v>
      </c>
      <c r="E18" s="14" t="s">
        <v>759</v>
      </c>
      <c r="G18" s="14" t="str">
        <f t="shared" ca="1" si="1"/>
        <v>2014</v>
      </c>
      <c r="H18" s="14" t="str">
        <f t="shared" ca="1" si="2"/>
        <v>2014</v>
      </c>
      <c r="J18" s="11">
        <f ca="1">IFERROR(MATCH("",$J$20:$J$33,0),0)-1</f>
        <v>0</v>
      </c>
      <c r="K18" s="11">
        <f ca="1">IFERROR(MATCH("",$K$20:$K$33,0),1)-1</f>
        <v>0</v>
      </c>
      <c r="M18" s="14" t="s">
        <v>754</v>
      </c>
      <c r="N18" s="14" t="s">
        <v>746</v>
      </c>
      <c r="P18" s="14" t="s">
        <v>745</v>
      </c>
      <c r="Q18" s="14" t="s">
        <v>751</v>
      </c>
      <c r="V18" s="36" t="str">
        <f ca="1">IFERROR(IF(V17="","",IF(NOT($T$2=""),IF(AND(VALUE(LEFT(V17,4))+1+$T$3/100&gt;=$T$6,VALUE(LEFT(V17,4))+1+$T$3/100&lt;=$T$7),CONCATENATE(VALUE(LEFT(V17,4))+1,$T$2),""),IF(next_period(V17)=next_period(CONCATENATE($N$7,$N$8)),"",next_period(V17)))),"")</f>
        <v>2015</v>
      </c>
      <c r="AB18" s="17" t="s">
        <v>827</v>
      </c>
      <c r="AC18" s="14" t="s">
        <v>845</v>
      </c>
      <c r="AD18" s="14" t="str">
        <f t="shared" ca="1" si="0"/>
        <v>B11:B20</v>
      </c>
    </row>
    <row r="19" spans="2:30" x14ac:dyDescent="0.2">
      <c r="G19" s="14" t="str">
        <f t="shared" ca="1" si="1"/>
        <v>2015</v>
      </c>
      <c r="H19" s="14" t="str">
        <f t="shared" ca="1" si="2"/>
        <v>2015</v>
      </c>
      <c r="J19" s="11" t="s">
        <v>775</v>
      </c>
      <c r="K19" s="11" t="s">
        <v>776</v>
      </c>
      <c r="M19" s="14" t="s">
        <v>755</v>
      </c>
      <c r="N19" s="14" t="s">
        <v>746</v>
      </c>
      <c r="P19" s="14" t="s">
        <v>746</v>
      </c>
      <c r="Q19" s="14" t="s">
        <v>754</v>
      </c>
      <c r="V19" s="36" t="str">
        <f ca="1">IFERROR(IF(V18="","",IF(NOT($T$2=""),IF(AND(VALUE(LEFT(V18,4))+1+$T$3/100&gt;=$T$6,VALUE(LEFT(V18,4))+1+$T$3/100&lt;=$T$7),CONCATENATE(VALUE(LEFT(V18,4))+1,$T$2),""),IF(next_period(V18)=next_period(CONCATENATE($N$7,$N$8)),"",next_period(V18)))),"")</f>
        <v>2016</v>
      </c>
      <c r="AB19" s="17" t="s">
        <v>828</v>
      </c>
      <c r="AC19" s="14" t="s">
        <v>846</v>
      </c>
      <c r="AD19" s="14" t="str">
        <f t="shared" ca="1" si="0"/>
        <v>B11:B12</v>
      </c>
    </row>
    <row r="20" spans="2:30" x14ac:dyDescent="0.2">
      <c r="G20" s="14" t="str">
        <f t="shared" ca="1" si="1"/>
        <v>2016</v>
      </c>
      <c r="H20" s="14" t="str">
        <f t="shared" ca="1" si="2"/>
        <v>2016</v>
      </c>
      <c r="J20" s="14" t="str">
        <f t="shared" ref="J20:J31" ca="1" si="3">IFERROR(IF(OR(J19="",AND($K$11=$K$6,J19=$K$9)),"",INDEX(OFFSET($E$2,MATCH($G$2,$D$3:$D$18,0),0,COUNTIFS($D$3:$D$18,$G$2)),ROW()-ROW($J$19))),"")</f>
        <v/>
      </c>
      <c r="K20" s="14" t="str">
        <f t="shared" ref="K20:K31" ca="1" si="4">IFERROR(IF(OR(K19="",AND($K$12=$K$6,K19=$K$9)),"",IF($K$12=$K$11,INDEX(OFFSET($E$2,MATCH($G$2,$D$3:$D$18,0),0,COUNTIFS($D$3:$D$18,$G$2)),MATCH($K$15,OFFSET($E$2,MATCH($G$2,$D$3:$D$18,0),0,COUNTIFS($D$3:$D$18,$G$2)),0)+ROW()-ROW($K$19)-1),INDEX(OFFSET($E$2,MATCH($G$2,$D$3:$D$18,0),0,COUNTIFS($D$3:$D$18,$G$2)),ROW()-ROW($K$19)))),"")</f>
        <v/>
      </c>
      <c r="M20" s="14" t="s">
        <v>756</v>
      </c>
      <c r="N20" s="14" t="s">
        <v>746</v>
      </c>
      <c r="P20" s="14" t="s">
        <v>747</v>
      </c>
      <c r="Q20" s="14" t="s">
        <v>757</v>
      </c>
      <c r="V20" s="36" t="str">
        <f ca="1">IFERROR(IF(V19="","",IF(NOT($T$2=""),IF(AND(VALUE(LEFT(V19,4))+1+$T$3/100&gt;=$T$6,VALUE(LEFT(V19,4))+1+$T$3/100&lt;=$T$7),CONCATENATE(VALUE(LEFT(V19,4))+1,$T$2),""),IF(next_period(V19)=next_period(CONCATENATE($N$7,$N$8)),"",next_period(V19)))),"")</f>
        <v>2017</v>
      </c>
      <c r="AB20" s="17" t="s">
        <v>829</v>
      </c>
      <c r="AC20" s="14" t="s">
        <v>847</v>
      </c>
      <c r="AD20" s="14" t="str">
        <f t="shared" ca="1" si="0"/>
        <v>B11:B16</v>
      </c>
    </row>
    <row r="21" spans="2:30" x14ac:dyDescent="0.2">
      <c r="G21" s="14" t="str">
        <f t="shared" ca="1" si="1"/>
        <v>2017</v>
      </c>
      <c r="H21" s="14" t="str">
        <f t="shared" ca="1" si="2"/>
        <v>2017</v>
      </c>
      <c r="J21" s="14" t="str">
        <f t="shared" ca="1" si="3"/>
        <v/>
      </c>
      <c r="K21" s="14" t="str">
        <f t="shared" ca="1" si="4"/>
        <v/>
      </c>
      <c r="M21" s="14" t="s">
        <v>757</v>
      </c>
      <c r="N21" s="14" t="s">
        <v>747</v>
      </c>
      <c r="P21" s="14"/>
      <c r="Q21" s="14"/>
      <c r="V21" s="36" t="str">
        <f ca="1">IFERROR(IF(V20="","",IF(NOT($T$2=""),IF(AND(VALUE(LEFT(V20,4))+1+$T$3/100&gt;=$T$6,VALUE(LEFT(V20,4))+1+$T$3/100&lt;=$T$7),CONCATENATE(VALUE(LEFT(V20,4))+1,$T$2),""),IF(next_period(V20)=next_period(CONCATENATE($N$7,$N$8)),"",next_period(V20)))),"")</f>
        <v>2018</v>
      </c>
      <c r="AB21" s="17" t="s">
        <v>830</v>
      </c>
      <c r="AC21" s="14" t="s">
        <v>848</v>
      </c>
      <c r="AD21" s="14" t="str">
        <f t="shared" ca="1" si="0"/>
        <v>B11:B12</v>
      </c>
    </row>
    <row r="22" spans="2:30" x14ac:dyDescent="0.2">
      <c r="G22" s="14" t="str">
        <f t="shared" ca="1" si="1"/>
        <v>2018</v>
      </c>
      <c r="H22" s="14" t="str">
        <f t="shared" ca="1" si="2"/>
        <v>2018</v>
      </c>
      <c r="J22" s="14" t="str">
        <f t="shared" ca="1" si="3"/>
        <v/>
      </c>
      <c r="K22" s="14" t="str">
        <f t="shared" ca="1" si="4"/>
        <v/>
      </c>
      <c r="M22" s="14" t="s">
        <v>758</v>
      </c>
      <c r="N22" s="14" t="s">
        <v>747</v>
      </c>
      <c r="P22" s="14"/>
      <c r="Q22" s="14"/>
      <c r="V22" s="36" t="str">
        <f ca="1">IFERROR(IF(V21="","",IF(NOT($T$2=""),IF(AND(VALUE(LEFT(V21,4))+1+$T$3/100&gt;=$T$6,VALUE(LEFT(V21,4))+1+$T$3/100&lt;=$T$7),CONCATENATE(VALUE(LEFT(V21,4))+1,$T$2),""),IF(next_period(V21)=next_period(CONCATENATE($N$7,$N$8)),"",next_period(V21)))),"")</f>
        <v>2019</v>
      </c>
      <c r="AB22" s="17"/>
      <c r="AC22" s="14"/>
      <c r="AD22" s="14"/>
    </row>
    <row r="23" spans="2:30" x14ac:dyDescent="0.2">
      <c r="G23" s="14" t="str">
        <f t="shared" ca="1" si="1"/>
        <v>2019</v>
      </c>
      <c r="H23" s="14" t="str">
        <f t="shared" ca="1" si="2"/>
        <v>2019</v>
      </c>
      <c r="J23" s="14" t="str">
        <f t="shared" ca="1" si="3"/>
        <v/>
      </c>
      <c r="K23" s="14" t="str">
        <f t="shared" ca="1" si="4"/>
        <v/>
      </c>
      <c r="M23" s="14" t="s">
        <v>759</v>
      </c>
      <c r="N23" s="14" t="s">
        <v>747</v>
      </c>
      <c r="P23" s="14"/>
      <c r="Q23" s="14"/>
      <c r="V23" s="36" t="str">
        <f ca="1">IFERROR(IF(V22="","",IF(NOT($T$2=""),IF(AND(VALUE(LEFT(V22,4))+1+$T$3/100&gt;=$T$6,VALUE(LEFT(V22,4))+1+$T$3/100&lt;=$T$7),CONCATENATE(VALUE(LEFT(V22,4))+1,$T$2),""),IF(next_period(V22)=next_period(CONCATENATE($N$7,$N$8)),"",next_period(V22)))),"")</f>
        <v>2020</v>
      </c>
      <c r="Z23" s="11" t="str">
        <f>IFERROR(CONCATENATE("Z",MATCH(Viewer!$C$7,technicals!$Y$24:$Y$31,0)+ROW(Y23)),"Z24")</f>
        <v>Z24</v>
      </c>
      <c r="AB23" s="17"/>
      <c r="AC23" s="14"/>
      <c r="AD23" s="14"/>
    </row>
    <row r="24" spans="2:30" x14ac:dyDescent="0.2">
      <c r="B24" s="14" t="s">
        <v>554</v>
      </c>
      <c r="G24" s="14" t="str">
        <f t="shared" ca="1" si="1"/>
        <v>2020</v>
      </c>
      <c r="H24" s="14" t="str">
        <f t="shared" ca="1" si="2"/>
        <v>2020</v>
      </c>
      <c r="J24" s="14" t="str">
        <f t="shared" ca="1" si="3"/>
        <v/>
      </c>
      <c r="K24" s="14" t="str">
        <f t="shared" ca="1" si="4"/>
        <v/>
      </c>
      <c r="V24" s="36" t="str">
        <f ca="1">IFERROR(IF(V23="","",IF(NOT($T$2=""),IF(AND(VALUE(LEFT(V23,4))+1+$T$3/100&gt;=$T$6,VALUE(LEFT(V23,4))+1+$T$3/100&lt;=$T$7),CONCATENATE(VALUE(LEFT(V23,4))+1,$T$2),""),IF(next_period(V23)=next_period(CONCATENATE($N$7,$N$8)),"",next_period(V23)))),"")</f>
        <v>2021</v>
      </c>
      <c r="Y24" s="17" t="s">
        <v>799</v>
      </c>
      <c r="Z24" s="59" t="str">
        <f ca="1">IFERROR(SUM(OFFSET(data[[#Headers],[period_y]],MATCH(IFERROR(VALUE(Z$10),Z$10),INDIRECT(CONCATENATE("data[",cperiod,"]")),0)+IF(INDEX(meta[TYPE],MATCH($B24,meta[VARIABLE],0))=cum,IF(cperiod=y,11,IF(cperiod=q,2,0)),0),MATCH($B24,data[#Headers],0)-1,IF(AND(cperiod=y,NOT(INDEX(meta[TYPE],MATCH($B24,meta[VARIABLE],0))=cum)),12,IF(AND(cperiod=q,NOT(INDEX(meta[TYPE],MATCH($B24,meta[VARIABLE],0))=cum)),3,1))))/IFERROR(IF(INDEX(meta[TYPE],MATCH($B24,meta[VARIABLE],0))=avg,COUNT(OFFSET(data[[#Headers],[period_y]],MATCH(IFERROR(VALUE(Z$10),Z$10),INDIRECT(CONCATENATE("data[",cperiod,"]")),0)+IF(INDEX(meta[TYPE],MATCH($B24,meta[VARIABLE],0))=cum,IF(cperiod=y,11,IF(cperiod=q,2,0)),0),MATCH($B24,data[#Headers],0)-1,IF(AND(cperiod=y,NOT(INDEX(meta[TYPE],MATCH($B24,meta[VARIABLE],0))=cum)),12,IF(AND(cperiod=q,NOT(INDEX(meta[TYPE],MATCH($B24,meta[VARIABLE],0))=cum)),3,1)))),1),1),"")</f>
        <v/>
      </c>
      <c r="AB24" s="17"/>
      <c r="AC24" s="14"/>
      <c r="AD24" s="14"/>
    </row>
    <row r="25" spans="2:30" x14ac:dyDescent="0.2">
      <c r="B25" s="14" t="s">
        <v>620</v>
      </c>
      <c r="G25" s="14" t="str">
        <f t="shared" ca="1" si="1"/>
        <v>2021</v>
      </c>
      <c r="H25" s="14" t="str">
        <f t="shared" ca="1" si="2"/>
        <v>2021</v>
      </c>
      <c r="J25" s="14" t="str">
        <f t="shared" ca="1" si="3"/>
        <v/>
      </c>
      <c r="K25" s="14" t="str">
        <f t="shared" ca="1" si="4"/>
        <v/>
      </c>
      <c r="M25" s="14" t="s">
        <v>778</v>
      </c>
      <c r="N25" s="14" t="s">
        <v>742</v>
      </c>
      <c r="O25" s="14" t="s">
        <v>741</v>
      </c>
      <c r="V25" s="36" t="str">
        <f ca="1">IFERROR(IF(V24="","",IF(NOT($T$2=""),IF(AND(VALUE(LEFT(V24,4))+1+$T$3/100&gt;=$T$6,VALUE(LEFT(V24,4))+1+$T$3/100&lt;=$T$7),CONCATENATE(VALUE(LEFT(V24,4))+1,$T$2),""),IF(next_period(V24)=next_period(CONCATENATE($N$7,$N$8)),"",next_period(V24)))),"")</f>
        <v/>
      </c>
      <c r="Y25" s="17" t="s">
        <v>801</v>
      </c>
      <c r="Z25" s="17" t="str">
        <f ca="1">IFERROR(SUM(OFFSET(data[[#Headers],[period_y]],MATCH(VALUE(LEFT(Z$10,4)),data[period_y],0)+IF(INDEX(meta[TYPE],MATCH($B25,meta[VARIABLE],0))=cum,IF(cperiod=y,11,IF(cperiod=q,(VALUE(RIGHT(Z$10,1))-1)*3+2,IF(cperiod=m,VALUE(RIGHT(Z$10,2))-1,0))),0),MATCH($B25,data[#Headers],0)-1,IF(NOT(INDEX(meta[TYPE],MATCH($B25,meta[VARIABLE],0))=cum),IF(cperiod=y,12,IF(cperiod=q,VALUE(RIGHT(Z$10,1))*3,IF(cperiod=m,VALUE(RIGHT(Z$10,2)),1))),1)))/IFERROR(IF(INDEX(meta[TYPE],MATCH($B25,meta[VARIABLE],0))=avg,COUNT(OFFSET(data[[#Headers],[period_y]],MATCH(VALUE(LEFT(Z$10,4)),data[period_y],0)+IF(INDEX(meta[TYPE],MATCH($B25,meta[VARIABLE],0))=cum,IF(cperiod=y,11,IF(cperiod=q,(VALUE(RIGHT(Z$10,1))-1)*3+2,IF(cperiod=m,VALUE(RIGHT(Z$10,2))-1,0))),0),MATCH($B25,data[#Headers],0)-1,IF(NOT(INDEX(meta[TYPE],MATCH($B25,meta[VARIABLE],0))=cum),IF(cperiod=y,12,IF(cperiod=q,VALUE(RIGHT(Z$10,1))*3,IF(cperiod=m,VALUE(RIGHT(Z$10,2)),1))),1))),1),1),"")</f>
        <v/>
      </c>
      <c r="AB25" s="17"/>
      <c r="AC25" s="14"/>
      <c r="AD25" s="14"/>
    </row>
    <row r="26" spans="2:30" x14ac:dyDescent="0.2">
      <c r="B26" s="14" t="s">
        <v>583</v>
      </c>
      <c r="G26" s="14" t="str">
        <f t="shared" ca="1" si="1"/>
        <v/>
      </c>
      <c r="H26" s="14" t="str">
        <f t="shared" ca="1" si="2"/>
        <v/>
      </c>
      <c r="J26" s="14" t="str">
        <f t="shared" ca="1" si="3"/>
        <v/>
      </c>
      <c r="K26" s="14" t="str">
        <f t="shared" ca="1" si="4"/>
        <v/>
      </c>
      <c r="M26" s="17"/>
      <c r="N26" s="14" t="s">
        <v>748</v>
      </c>
      <c r="O26" s="14" t="s">
        <v>744</v>
      </c>
      <c r="V26" s="36" t="str">
        <f ca="1">IFERROR(IF(V25="","",IF(NOT($T$2=""),IF(AND(VALUE(LEFT(V25,4))+1+$T$3/100&gt;=$T$6,VALUE(LEFT(V25,4))+1+$T$3/100&lt;=$T$7),CONCATENATE(VALUE(LEFT(V25,4))+1,$T$2),""),IF(next_period(V25)=next_period(CONCATENATE($N$7,$N$8)),"",next_period(V25)))),"")</f>
        <v/>
      </c>
      <c r="Y26" s="17" t="s">
        <v>858</v>
      </c>
      <c r="Z26" s="17" t="str">
        <f ca="1">IFERROR((SUM(OFFSET(data[[#Headers],[period_y]],MATCH(IFERROR(VALUE(Z$10),Z$10),INDIRECT(CONCATENATE("data[",cperiod,"]")),0)+IF(INDEX(meta[TYPE],MATCH($B26,meta[VARIABLE],0))=cum,IF(cperiod=y,11,IF(cperiod=q,2,0)),0),MATCH($B26,data[#Headers],0)-1,IF(AND(cperiod=y,NOT(INDEX(meta[TYPE],MATCH($B26,meta[VARIABLE],0))=cum)),12,IF(AND(cperiod=q,NOT(INDEX(meta[TYPE],MATCH($B26,meta[VARIABLE],0))=cum)),3,1))))/IFERROR(IF(INDEX(meta[TYPE],MATCH($B26,meta[VARIABLE],0))=avg,COUNT(OFFSET(data[[#Headers],[period_y]],MATCH(IFERROR(VALUE(Z$10),Z$10),INDIRECT(CONCATENATE("data[",cperiod,"]")),0)+IF(INDEX(meta[TYPE],MATCH($B26,meta[VARIABLE],0))=cum,IF(cperiod=y,11,IF(cperiod=q,2,0)),0),MATCH($B26,data[#Headers],0)-1,IF(AND(cperiod=y,NOT(INDEX(meta[TYPE],MATCH($B26,meta[VARIABLE],0))=cum)),12,IF(AND(cperiod=q,NOT(INDEX(meta[TYPE],MATCH($B26,meta[VARIABLE],0))=cum)),3,1)))),1),1))/(SUM(OFFSET(data[[#Headers],[period_y]],MATCH(IFERROR(VALUE(prev_period(Z$10)),prev_period(Z$10)),INDIRECT(CONCATENATE("data[",cperiod,"]")),0)+IF(INDEX(meta[TYPE],MATCH($B26,meta[VARIABLE],0))=cum,IF(cperiod=y,11,IF(cperiod=q,2,0)),0),MATCH($B26,data[#Headers],0)-1,IF(AND(cperiod=y,NOT(INDEX(meta[TYPE],MATCH($B26,meta[VARIABLE],0))=cum)),12,IF(AND(cperiod=q,NOT(INDEX(meta[TYPE],MATCH($B26,meta[VARIABLE],0))=cum)),3,1))))/IFERROR(IF(INDEX(meta[TYPE],MATCH($B26,meta[VARIABLE],0))=avg,COUNT(OFFSET(data[[#Headers],[period_y]],MATCH(IFERROR(VALUE(prev_period(Z$10)),prev_period(Z$10)),INDIRECT(CONCATENATE("data[",cperiod,"]")),0)+IF(INDEX(meta[TYPE],MATCH($B26,meta[VARIABLE],0))=cum,IF(cperiod=y,11,IF(cperiod=q,2,0)),0),MATCH($B26,data[#Headers],0)-1,IF(AND(cperiod=y,NOT(INDEX(meta[TYPE],MATCH($B26,meta[VARIABLE],0))=cum)),12,IF(AND(cperiod=q,NOT(INDEX(meta[TYPE],MATCH($B26,meta[VARIABLE],0))=cum)),3,1)))),1),1))-1,"")</f>
        <v/>
      </c>
      <c r="AB26" s="17"/>
      <c r="AC26" s="14"/>
      <c r="AD26" s="14"/>
    </row>
    <row r="27" spans="2:30" x14ac:dyDescent="0.2">
      <c r="G27" s="14" t="str">
        <f t="shared" ca="1" si="1"/>
        <v/>
      </c>
      <c r="H27" s="14" t="str">
        <f t="shared" ca="1" si="2"/>
        <v/>
      </c>
      <c r="J27" s="14" t="str">
        <f t="shared" ca="1" si="3"/>
        <v/>
      </c>
      <c r="K27" s="14" t="str">
        <f t="shared" ca="1" si="4"/>
        <v/>
      </c>
      <c r="M27" s="17"/>
      <c r="N27" s="14" t="s">
        <v>759</v>
      </c>
      <c r="O27" s="14" t="s">
        <v>747</v>
      </c>
      <c r="V27" s="36" t="str">
        <f ca="1">IFERROR(IF(V26="","",IF(NOT($T$2=""),IF(AND(VALUE(LEFT(V26,4))+1+$T$3/100&gt;=$T$6,VALUE(LEFT(V26,4))+1+$T$3/100&lt;=$T$7),CONCATENATE(VALUE(LEFT(V26,4))+1,$T$2),""),IF(next_period(V26)=next_period(CONCATENATE($N$7,$N$8)),"",next_period(V26)))),"")</f>
        <v/>
      </c>
      <c r="Y27" s="17" t="s">
        <v>859</v>
      </c>
      <c r="Z27" s="17" t="str">
        <f ca="1">IFERROR((SUM(OFFSET(data[[#Headers],[period_y]],MATCH(VALUE(LEFT(Z$10,4)),data[period_y],0)+IF(INDEX(meta[TYPE],MATCH($B27,meta[VARIABLE],0))=cum,IF(cperiod=y,11,IF(cperiod=q,(VALUE(RIGHT(Z$10,1))-1)*3+2,IF(cperiod=m,VALUE(RIGHT(Z$10,2))-1,0))),0),MATCH($B27,data[#Headers],0)-1,IF(NOT(INDEX(meta[TYPE],MATCH($B27,meta[VARIABLE],0))=cum),IF(cperiod=y,12,IF(cperiod=q,VALUE(RIGHT(Z$10,1))*3,IF(cperiod=m,VALUE(RIGHT(Z$10,2)),1))),1)))/IFERROR(IF(INDEX(meta[TYPE],MATCH($B27,meta[VARIABLE],0))=avg,COUNT(OFFSET(data[[#Headers],[period_y]],MATCH(VALUE(LEFT(Z$10,4)),data[period_y],0)+IF(INDEX(meta[TYPE],MATCH($B27,meta[VARIABLE],0))=cum,IF(cperiod=y,11,IF(cperiod=q,(VALUE(RIGHT(Z$10,1))-1)*3+2,IF(cperiod=m,VALUE(RIGHT(Z$10,2))-1,0))),0),MATCH($B27,data[#Headers],0)-1,IF(NOT(INDEX(meta[TYPE],MATCH($B27,meta[VARIABLE],0))=cum),IF(cperiod=y,12,IF(cperiod=q,VALUE(RIGHT(Z$10,1))*3,IF(cperiod=m,VALUE(RIGHT(Z$10,2)),1))),1))),1),1))/(SUM(OFFSET(data[[#Headers],[period_y]],MATCH(VALUE(LEFT(prev_period(Z$10),4)),data[period_y],0)+IF(INDEX(meta[TYPE],MATCH($B27,meta[VARIABLE],0))=cum,IF(cperiod=y,11,IF(cperiod=q,(VALUE(RIGHT(prev_period(Z$10),1))-1)*3+2,IF(cperiod=m,VALUE(RIGHT(prev_period(Z$10),2))-1,0))),0),MATCH($B27,data[#Headers],0)-1,IF(NOT(INDEX(meta[TYPE],MATCH($B27,meta[VARIABLE],0))=cum),IF(cperiod=y,12,IF(cperiod=q,VALUE(RIGHT(prev_period(Z$10),1))*3,IF(cperiod=m,VALUE(RIGHT(prev_period(Z$10),2)),1))),1)))/IFERROR(IF(INDEX(meta[TYPE],MATCH($B27,meta[VARIABLE],0))=avg,COUNT(OFFSET(data[[#Headers],[period_y]],MATCH(VALUE(LEFT(prev_period(Z$10),4)),data[period_y],0)+IF(INDEX(meta[TYPE],MATCH($B27,meta[VARIABLE],0))=cum,IF(cperiod=y,11,IF(cperiod=q,(VALUE(RIGHT(prev_period(Z$10),1))-1)*3+2,IF(cperiod=m,VALUE(RIGHT(prev_period(Z$10),2))-1,0))),0),MATCH($B27,data[#Headers],0)-1,IF(NOT(INDEX(meta[TYPE],MATCH($B27,meta[VARIABLE],0))=cum),IF(cperiod=y,12,IF(cperiod=q,VALUE(RIGHT(prev_period(Z$10),1))*3,IF(cperiod=m,VALUE(RIGHT(prev_period(Z$10),2)),1))),1))),1),1))-1,"")</f>
        <v/>
      </c>
      <c r="AB27" s="17"/>
      <c r="AC27" s="14"/>
      <c r="AD27" s="14"/>
    </row>
    <row r="28" spans="2:30" x14ac:dyDescent="0.2">
      <c r="G28" s="14" t="str">
        <f t="shared" ca="1" si="1"/>
        <v/>
      </c>
      <c r="H28" s="14" t="str">
        <f t="shared" ca="1" si="2"/>
        <v/>
      </c>
      <c r="J28" s="14" t="str">
        <f t="shared" ca="1" si="3"/>
        <v/>
      </c>
      <c r="K28" s="14" t="str">
        <f t="shared" ca="1" si="4"/>
        <v/>
      </c>
      <c r="V28" s="36" t="str">
        <f ca="1">IFERROR(IF(V27="","",IF(NOT($T$2=""),IF(AND(VALUE(LEFT(V27,4))+1+$T$3/100&gt;=$T$6,VALUE(LEFT(V27,4))+1+$T$3/100&lt;=$T$7),CONCATENATE(VALUE(LEFT(V27,4))+1,$T$2),""),IF(next_period(V27)=next_period(CONCATENATE($N$7,$N$8)),"",next_period(V27)))),"")</f>
        <v/>
      </c>
      <c r="Y28" s="17" t="s">
        <v>860</v>
      </c>
      <c r="Z28" s="17" t="str">
        <f ca="1">IFERROR((SUM(OFFSET(data[[#Headers],[period_y]],MATCH(IFERROR(VALUE(Z$10),Z$10),INDIRECT(CONCATENATE("data[",cperiod,"]")),0)+IF(INDEX(meta[TYPE],MATCH($B28,meta[VARIABLE],0))=cum,IF(cperiod=y,11,IF(cperiod=q,2,0)),0),MATCH($B28,data[#Headers],0)-1,IF(AND(cperiod=y,NOT(INDEX(meta[TYPE],MATCH($B28,meta[VARIABLE],0))=cum)),12,IF(AND(cperiod=q,NOT(INDEX(meta[TYPE],MATCH($B28,meta[VARIABLE],0))=cum)),3,1))))/IFERROR(IF(INDEX(meta[TYPE],MATCH($B28,meta[VARIABLE],0))=avg,COUNT(OFFSET(data[[#Headers],[period_y]],MATCH(IFERROR(VALUE(Z$10),Z$10),INDIRECT(CONCATENATE("data[",cperiod,"]")),0)+IF(INDEX(meta[TYPE],MATCH($B28,meta[VARIABLE],0))=cum,IF(cperiod=y,11,IF(cperiod=q,2,0)),0),MATCH($B28,data[#Headers],0)-1,IF(AND(cperiod=y,NOT(INDEX(meta[TYPE],MATCH($B28,meta[VARIABLE],0))=cum)),12,IF(AND(cperiod=q,NOT(INDEX(meta[TYPE],MATCH($B28,meta[VARIABLE],0))=cum)),3,1)))),1),1))/(SUM(OFFSET(data[[#Headers],[period_y]],MATCH(IFERROR(VALUE(yoy_period(Z$10)),yoy_period(Z$10)),INDIRECT(CONCATENATE("data[",cperiod,"]")),0)+IF(INDEX(meta[TYPE],MATCH($B28,meta[VARIABLE],0))=cum,IF(cperiod=y,11,IF(cperiod=q,2,0)),0),MATCH($B28,data[#Headers],0)-1,IF(AND(cperiod=y,NOT(INDEX(meta[TYPE],MATCH($B28,meta[VARIABLE],0))=cum)),12,IF(AND(cperiod=q,NOT(INDEX(meta[TYPE],MATCH($B28,meta[VARIABLE],0))=cum)),3,1))))/IFERROR(IF(INDEX(meta[TYPE],MATCH($B28,meta[VARIABLE],0))=avg,COUNT(OFFSET(data[[#Headers],[period_y]],MATCH(IFERROR(VALUE(yoy_period(Z$10)),yoy_period(Z$10)),INDIRECT(CONCATENATE("data[",cperiod,"]")),0)+IF(INDEX(meta[TYPE],MATCH($B28,meta[VARIABLE],0))=cum,IF(cperiod=y,11,IF(cperiod=q,2,0)),0),MATCH($B28,data[#Headers],0)-1,IF(AND(cperiod=y,NOT(INDEX(meta[TYPE],MATCH($B28,meta[VARIABLE],0))=cum)),12,IF(AND(cperiod=q,NOT(INDEX(meta[TYPE],MATCH($B28,meta[VARIABLE],0))=cum)),3,1)))),1),1))-1,"")</f>
        <v/>
      </c>
    </row>
    <row r="29" spans="2:30" x14ac:dyDescent="0.2">
      <c r="G29" s="14" t="str">
        <f t="shared" ca="1" si="1"/>
        <v/>
      </c>
      <c r="H29" s="14" t="str">
        <f t="shared" ca="1" si="2"/>
        <v/>
      </c>
      <c r="J29" s="14" t="str">
        <f t="shared" ca="1" si="3"/>
        <v/>
      </c>
      <c r="K29" s="14" t="str">
        <f t="shared" ca="1" si="4"/>
        <v/>
      </c>
      <c r="N29" s="28" t="s">
        <v>787</v>
      </c>
      <c r="O29" s="28" t="s">
        <v>788</v>
      </c>
      <c r="P29" s="28" t="s">
        <v>789</v>
      </c>
      <c r="Q29" s="28" t="s">
        <v>623</v>
      </c>
      <c r="R29" s="28" t="s">
        <v>790</v>
      </c>
      <c r="V29" s="36" t="str">
        <f ca="1">IFERROR(IF(V28="","",IF(NOT($T$2=""),IF(AND(VALUE(LEFT(V28,4))+1+$T$3/100&gt;=$T$6,VALUE(LEFT(V28,4))+1+$T$3/100&lt;=$T$7),CONCATENATE(VALUE(LEFT(V28,4))+1,$T$2),""),IF(next_period(V28)=next_period(CONCATENATE($N$7,$N$8)),"",next_period(V28)))),"")</f>
        <v/>
      </c>
      <c r="Y29" s="17" t="s">
        <v>861</v>
      </c>
      <c r="Z29" s="17" t="str">
        <f ca="1">IFERROR((SUM(OFFSET(data[[#Headers],[period_y]],MATCH(VALUE(LEFT(Z$10,4)),data[period_y],0)+IF(INDEX(meta[TYPE],MATCH($B29,meta[VARIABLE],0))=cum,IF(cperiod=y,11,IF(cperiod=q,(VALUE(RIGHT(Z$10,1))-1)*3+2,IF(cperiod=m,VALUE(RIGHT(Z$10,2))-1,0))),0),MATCH($B29,data[#Headers],0)-1,IF(NOT(INDEX(meta[TYPE],MATCH($B29,meta[VARIABLE],0))=cum),IF(cperiod=y,12,IF(cperiod=q,VALUE(RIGHT(Z$10,1))*3,IF(cperiod=m,VALUE(RIGHT(Z$10,2)),1))),1)))/IFERROR(IF(INDEX(meta[TYPE],MATCH($B29,meta[VARIABLE],0))=avg,COUNT(OFFSET(data[[#Headers],[period_y]],MATCH(VALUE(LEFT(Z$10,4)),data[period_y],0)+IF(INDEX(meta[TYPE],MATCH($B29,meta[VARIABLE],0))=cum,IF(cperiod=y,11,IF(cperiod=q,(VALUE(RIGHT(Z$10,1))-1)*3+2,IF(cperiod=m,VALUE(RIGHT(Z$10,2))-1,0))),0),MATCH($B29,data[#Headers],0)-1,IF(NOT(INDEX(meta[TYPE],MATCH($B29,meta[VARIABLE],0))=cum),IF(cperiod=y,12,IF(cperiod=q,VALUE(RIGHT(Z$10,1))*3,IF(cperiod=m,VALUE(RIGHT(Z$10,2)),1))),1))),1),1))/(SUM(OFFSET(data[[#Headers],[period_y]],MATCH(VALUE(LEFT(yoy_period(Z$10),4)),data[period_y],0)+IF(INDEX(meta[TYPE],MATCH($B29,meta[VARIABLE],0))=cum,IF(cperiod=y,11,IF(cperiod=q,(VALUE(RIGHT(yoy_period(Z$10),1))-1)*3+2,IF(cperiod=m,VALUE(RIGHT(yoy_period(Z$10),2))-1,0))),0),MATCH($B29,data[#Headers],0)-1,IF(NOT(INDEX(meta[TYPE],MATCH($B29,meta[VARIABLE],0))=cum),IF(cperiod=y,12,IF(cperiod=q,VALUE(RIGHT(yoy_period(Z$10),1))*3,IF(cperiod=m,VALUE(RIGHT(yoy_period(Z$10),2)),1))),1)))/IFERROR(IF(INDEX(meta[TYPE],MATCH($B29,meta[VARIABLE],0))=avg,COUNT(OFFSET(data[[#Headers],[period_y]],MATCH(VALUE(LEFT(yoy_period(Z$10),4)),data[period_y],0)+IF(INDEX(meta[TYPE],MATCH($B29,meta[VARIABLE],0))=cum,IF(cperiod=y,11,IF(cperiod=q,(VALUE(RIGHT(yoy_period(Z$10),1))-1)*3+2,IF(cperiod=m,VALUE(RIGHT(yoy_period(Z$10),2))-1,0))),0),MATCH($B29,data[#Headers],0)-1,IF(NOT(INDEX(meta[TYPE],MATCH($B29,meta[VARIABLE],0))=cum),IF(cperiod=y,12,IF(cperiod=q,VALUE(RIGHT(yoy_period(Z$10),1))*3,IF(cperiod=m,VALUE(RIGHT(yoy_period(Z$10),2)),1))),1))),1),1))-1,"")</f>
        <v/>
      </c>
    </row>
    <row r="30" spans="2:30" x14ac:dyDescent="0.2">
      <c r="G30" s="14" t="str">
        <f t="shared" ca="1" si="1"/>
        <v/>
      </c>
      <c r="H30" s="14" t="str">
        <f t="shared" ca="1" si="2"/>
        <v/>
      </c>
      <c r="J30" s="14" t="str">
        <f t="shared" ca="1" si="3"/>
        <v/>
      </c>
      <c r="K30" s="14" t="str">
        <f t="shared" ca="1" si="4"/>
        <v/>
      </c>
      <c r="M30" s="27" t="s">
        <v>784</v>
      </c>
      <c r="N30" s="14" t="str">
        <f t="array" ref="N30">INDEX(data[period_m],MAX(ROW(data[period_m]))-1)</f>
        <v>2021M08</v>
      </c>
      <c r="O30" s="14">
        <f ca="1">COUNTA(OFFSET(data[[#Headers],[period_y]],MATCH($N30,data[period_m],0),0,1,COUNTA(data[#Headers])))</f>
        <v>107</v>
      </c>
      <c r="P30" s="14">
        <f>COUNTA(data[#Headers])-IF(MOD(VALUE(RIGHT($N30,2)),3)=0,0,COUNTIFS(meta[FREQUENCY],"Q")-1)</f>
        <v>127</v>
      </c>
      <c r="Q30" s="29">
        <f ca="1">O30/P30</f>
        <v>0.84251968503937003</v>
      </c>
      <c r="R30" s="14" t="str">
        <f ca="1">CONCATENATE(TEXT(O30,"0"),"/",TEXT(P30,"0")," (",TEXT(Q30,"0%"),")")</f>
        <v>107/127 (84%)</v>
      </c>
      <c r="V30" s="36" t="str">
        <f ca="1">IFERROR(IF(V29="","",IF(NOT($T$2=""),IF(AND(VALUE(LEFT(V29,4))+1+$T$3/100&gt;=$T$6,VALUE(LEFT(V29,4))+1+$T$3/100&lt;=$T$7),CONCATENATE(VALUE(LEFT(V29,4))+1,$T$2),""),IF(next_period(V29)=next_period(CONCATENATE($N$7,$N$8)),"",next_period(V29)))),"")</f>
        <v/>
      </c>
      <c r="Y30" s="17" t="s">
        <v>881</v>
      </c>
      <c r="Z30" s="17" t="str">
        <f ca="1">IFERROR((SUM(OFFSET(data[[#Headers],[period_y]],MATCH(IFERROR(VALUE(Z$10),Z$10),INDIRECT(CONCATENATE("data[",cperiod,"]")),0)+IF(INDEX(meta[TYPE],MATCH($B30,meta[VARIABLE],0))=cum,IF(cperiod=y,11,IF(cperiod=q,2,0)),0),MATCH($B30,data[#Headers],0)-1,IF(AND(cperiod=y,NOT(INDEX(meta[TYPE],MATCH($B30,meta[VARIABLE],0))=cum)),12,IF(AND(cperiod=q,NOT(INDEX(meta[TYPE],MATCH($B30,meta[VARIABLE],0))=cum)),3,1))))/IFERROR(IF(INDEX(meta[TYPE],MATCH($B30,meta[VARIABLE],0))=avg,COUNT(OFFSET(data[[#Headers],[period_y]],MATCH(IFERROR(VALUE(Z$10),Z$10),INDIRECT(CONCATENATE("data[",cperiod,"]")),0)+IF(INDEX(meta[TYPE],MATCH($B30,meta[VARIABLE],0))=cum,IF(cperiod=y,11,IF(cperiod=q,2,0)),0),MATCH($B30,data[#Headers],0)-1,IF(AND(cperiod=y,NOT(INDEX(meta[TYPE],MATCH($B30,meta[VARIABLE],0))=cum)),12,IF(AND(cperiod=q,NOT(INDEX(meta[TYPE],MATCH($B30,meta[VARIABLE],0))=cum)),3,1)))),1),1))/(SUM(OFFSET(data[[#Headers],[period_y]],MATCH(IFERROR(VALUE(ytd_period(Z$10)),ytd_period(Z$10)),INDIRECT(CONCATENATE("data[",cperiod,"]")),0)+IF(INDEX(meta[TYPE],MATCH($B30,meta[VARIABLE],0))=cum,IF(cperiod=y,11,IF(cperiod=q,2,0)),0),MATCH($B30,data[#Headers],0)-1,IF(AND(cperiod=y,NOT(INDEX(meta[TYPE],MATCH($B30,meta[VARIABLE],0))=cum)),12,IF(AND(cperiod=q,NOT(INDEX(meta[TYPE],MATCH($B30,meta[VARIABLE],0))=cum)),3,1))))/IFERROR(IF(INDEX(meta[TYPE],MATCH($B30,meta[VARIABLE],0))=avg,COUNT(OFFSET(data[[#Headers],[period_y]],MATCH(IFERROR(VALUE(ytd_period(Z$10)),ytd_period(Z$10)),INDIRECT(CONCATENATE("data[",cperiod,"]")),0)+IF(INDEX(meta[TYPE],MATCH($B30,meta[VARIABLE],0))=cum,IF(cperiod=y,11,IF(cperiod=q,2,0)),0),MATCH($B30,data[#Headers],0)-1,IF(AND(cperiod=y,NOT(INDEX(meta[TYPE],MATCH($B30,meta[VARIABLE],0))=cum)),12,IF(AND(cperiod=q,NOT(INDEX(meta[TYPE],MATCH($B30,meta[VARIABLE],0))=cum)),3,1)))),1),1))-1,"")</f>
        <v/>
      </c>
    </row>
    <row r="31" spans="2:30" x14ac:dyDescent="0.2">
      <c r="G31" s="14" t="str">
        <f t="shared" ca="1" si="1"/>
        <v/>
      </c>
      <c r="H31" s="14" t="str">
        <f t="shared" ca="1" si="2"/>
        <v/>
      </c>
      <c r="J31" s="14" t="str">
        <f t="shared" ca="1" si="3"/>
        <v/>
      </c>
      <c r="K31" s="14" t="str">
        <f t="shared" ca="1" si="4"/>
        <v/>
      </c>
      <c r="M31" s="27" t="s">
        <v>785</v>
      </c>
      <c r="N31" s="14" t="str">
        <f t="array" ref="N31">INDEX(data[period_m],MAX(ROW(data[period_m]))-2)</f>
        <v>2021M07</v>
      </c>
      <c r="O31" s="14">
        <f ca="1">COUNTA(OFFSET(data[[#Headers],[period_y]],MATCH($N31,data[period_m],0),0,1,COUNTA(data[#Headers])))</f>
        <v>127</v>
      </c>
      <c r="P31" s="14">
        <f>COUNTA(data[#Headers])-IF(MOD(VALUE(RIGHT($N31,2)),3)=0,0,COUNTIFS(meta[FREQUENCY],"Q")-1)</f>
        <v>127</v>
      </c>
      <c r="Q31" s="29">
        <f t="shared" ref="Q31:Q32" ca="1" si="5">O31/P31</f>
        <v>1</v>
      </c>
      <c r="R31" s="14" t="str">
        <f t="shared" ref="R31:R32" ca="1" si="6">CONCATENATE(TEXT(O31,"0"),"/",TEXT(P31,"0")," (",TEXT(Q31,"0%"),")")</f>
        <v>127/127 (100%)</v>
      </c>
      <c r="V31" s="36" t="str">
        <f ca="1">IFERROR(IF(V30="","",IF(NOT($T$2=""),IF(AND(VALUE(LEFT(V30,4))+1+$T$3/100&gt;=$T$6,VALUE(LEFT(V30,4))+1+$T$3/100&lt;=$T$7),CONCATENATE(VALUE(LEFT(V30,4))+1,$T$2),""),IF(next_period(V30)=next_period(CONCATENATE($N$7,$N$8)),"",next_period(V30)))),"")</f>
        <v/>
      </c>
      <c r="Y31" s="17" t="s">
        <v>882</v>
      </c>
      <c r="Z31" s="17" t="str">
        <f ca="1">IFERROR((SUM(OFFSET(data[[#Headers],[period_y]],MATCH(VALUE(LEFT(Z$10,4)),data[period_y],0)+IF(INDEX(meta[TYPE],MATCH($B31,meta[VARIABLE],0))=cum,IF(cperiod=y,11,IF(cperiod=q,(VALUE(RIGHT(Z$10,1))-1)*3+2,IF(cperiod=m,VALUE(RIGHT(Z$10,2))-1,0))),0),MATCH($B31,data[#Headers],0)-1,IF(NOT(INDEX(meta[TYPE],MATCH($B31,meta[VARIABLE],0))=cum),IF(cperiod=y,12,IF(cperiod=q,VALUE(RIGHT(Z$10,1))*3,IF(cperiod=m,VALUE(RIGHT(Z$10,2)),1))),1)))/IFERROR(IF(INDEX(meta[TYPE],MATCH($B31,meta[VARIABLE],0))=avg,COUNT(OFFSET(data[[#Headers],[period_y]],MATCH(VALUE(LEFT(Z$10,4)),data[period_y],0)+IF(INDEX(meta[TYPE],MATCH($B31,meta[VARIABLE],0))=cum,IF(cperiod=y,11,IF(cperiod=q,(VALUE(RIGHT(Z$10,1))-1)*3+2,IF(cperiod=m,VALUE(RIGHT(Z$10,2))-1,0))),0),MATCH($B31,data[#Headers],0)-1,IF(NOT(INDEX(meta[TYPE],MATCH($B31,meta[VARIABLE],0))=cum),IF(cperiod=y,12,IF(cperiod=q,VALUE(RIGHT(Z$10,1))*3,IF(cperiod=m,VALUE(RIGHT(Z$10,2)),1))),1))),1),1))/(SUM(OFFSET(data[[#Headers],[period_y]],MATCH(VALUE(LEFT(ytd_period(Z$10),4)),data[period_y],0)+IF(INDEX(meta[TYPE],MATCH($B31,meta[VARIABLE],0))=cum,IF(cperiod=y,11,IF(cperiod=q,(VALUE(RIGHT(ytd_period(Z$10),1))-1)*3+2,IF(cperiod=m,VALUE(RIGHT(ytd_period(Z$10),2))-1,0))),0),MATCH($B31,data[#Headers],0)-1,IF(NOT(INDEX(meta[TYPE],MATCH($B31,meta[VARIABLE],0))=cum),IF(cperiod=y,12,IF(cperiod=q,VALUE(RIGHT(ytd_period(Z$10),1))*3,IF(cperiod=m,VALUE(RIGHT(ytd_period(Z$10),2)),1))),1)))/IFERROR(IF(INDEX(meta[TYPE],MATCH($B31,meta[VARIABLE],0))=avg,COUNT(OFFSET(data[[#Headers],[period_y]],MATCH(VALUE(LEFT(ytd_period(Z$10),4)),data[period_y],0)+IF(INDEX(meta[TYPE],MATCH($B31,meta[VARIABLE],0))=cum,IF(cperiod=y,11,IF(cperiod=q,(VALUE(RIGHT(ytd_period(Z$10),1))-1)*3+2,IF(cperiod=m,VALUE(RIGHT(ytd_period(Z$10),2))-1,0))),0),MATCH($B31,data[#Headers],0)-1,IF(NOT(INDEX(meta[TYPE],MATCH($B31,meta[VARIABLE],0))=cum),IF(cperiod=y,12,IF(cperiod=q,VALUE(RIGHT(ytd_period(Z$10),1))*3,IF(cperiod=m,VALUE(RIGHT(ytd_period(Z$10),2)),1))),1))),1),1))-1,"")</f>
        <v/>
      </c>
    </row>
    <row r="32" spans="2:30" x14ac:dyDescent="0.2">
      <c r="G32" s="14" t="str">
        <f t="shared" ca="1" si="1"/>
        <v/>
      </c>
      <c r="H32" s="14" t="str">
        <f t="shared" ca="1" si="2"/>
        <v/>
      </c>
      <c r="J32" s="14" t="str">
        <f>""</f>
        <v/>
      </c>
      <c r="K32" s="14" t="str">
        <f>""</f>
        <v/>
      </c>
      <c r="M32" s="27" t="s">
        <v>786</v>
      </c>
      <c r="N32" s="14" t="str">
        <f t="array" ref="N32">INDEX(data[period_m],MAX(ROW(data[period_m]))-3)</f>
        <v>2021M06</v>
      </c>
      <c r="O32" s="14">
        <f ca="1">COUNTA(OFFSET(data[[#Headers],[period_y]],MATCH($N32,data[period_m],0),0,1,COUNTA(data[#Headers])))</f>
        <v>195</v>
      </c>
      <c r="P32" s="14">
        <f>COUNTA(data[#Headers])-IF(MOD(VALUE(RIGHT($N32,2)),3)=0,0,COUNTIFS(meta[FREQUENCY],"Q")-1)</f>
        <v>195</v>
      </c>
      <c r="Q32" s="29">
        <f t="shared" ca="1" si="5"/>
        <v>1</v>
      </c>
      <c r="R32" s="14" t="str">
        <f t="shared" ca="1" si="6"/>
        <v>195/195 (100%)</v>
      </c>
      <c r="V32" s="36" t="str">
        <f ca="1">IFERROR(IF(V31="","",IF(NOT($T$2=""),IF(AND(VALUE(LEFT(V31,4))+1+$T$3/100&gt;=$T$6,VALUE(LEFT(V31,4))+1+$T$3/100&lt;=$T$7),CONCATENATE(VALUE(LEFT(V31,4))+1,$T$2),""),IF(next_period(V31)=next_period(CONCATENATE($N$7,$N$8)),"",next_period(V31)))),"")</f>
        <v/>
      </c>
    </row>
    <row r="33" spans="2:22" x14ac:dyDescent="0.2">
      <c r="G33" s="14" t="str">
        <f t="shared" ca="1" si="1"/>
        <v/>
      </c>
      <c r="H33" s="14" t="str">
        <f t="shared" ca="1" si="2"/>
        <v/>
      </c>
      <c r="V33" s="36" t="str">
        <f ca="1">IFERROR(IF(V32="","",IF(NOT($T$2=""),IF(AND(VALUE(LEFT(V32,4))+1+$T$3/100&gt;=$T$6,VALUE(LEFT(V32,4))+1+$T$3/100&lt;=$T$7),CONCATENATE(VALUE(LEFT(V32,4))+1,$T$2),""),IF(next_period(V32)=next_period(CONCATENATE($N$7,$N$8)),"",next_period(V32)))),"")</f>
        <v/>
      </c>
    </row>
    <row r="34" spans="2:22" x14ac:dyDescent="0.2">
      <c r="G34" s="14" t="str">
        <f t="shared" ca="1" si="1"/>
        <v/>
      </c>
      <c r="H34" s="14" t="str">
        <f t="shared" ca="1" si="2"/>
        <v/>
      </c>
      <c r="V34" s="36" t="str">
        <f ca="1">IFERROR(IF(V33="","",IF(NOT($T$2=""),IF(AND(VALUE(LEFT(V33,4))+1+$T$3/100&gt;=$T$6,VALUE(LEFT(V33,4))+1+$T$3/100&lt;=$T$7),CONCATENATE(VALUE(LEFT(V33,4))+1,$T$2),""),IF(next_period(V33)=next_period(CONCATENATE($N$7,$N$8)),"",next_period(V33)))),"")</f>
        <v/>
      </c>
    </row>
    <row r="35" spans="2:22" x14ac:dyDescent="0.2">
      <c r="B35" s="15" t="s">
        <v>808</v>
      </c>
      <c r="G35" s="14" t="str">
        <f t="shared" ca="1" si="1"/>
        <v/>
      </c>
      <c r="H35" s="14" t="str">
        <f t="shared" ca="1" si="2"/>
        <v/>
      </c>
      <c r="V35" s="36" t="str">
        <f ca="1">IFERROR(IF(V34="","",IF(NOT($T$2=""),IF(AND(VALUE(LEFT(V34,4))+1+$T$3/100&gt;=$T$6,VALUE(LEFT(V34,4))+1+$T$3/100&lt;=$T$7),CONCATENATE(VALUE(LEFT(V34,4))+1,$T$2),""),IF(next_period(V34)=next_period(CONCATENATE($N$7,$N$8)),"",next_period(V34)))),"")</f>
        <v/>
      </c>
    </row>
    <row r="36" spans="2:22" x14ac:dyDescent="0.2">
      <c r="B36" s="50" t="s">
        <v>740</v>
      </c>
      <c r="C36" s="51"/>
      <c r="G36" s="14" t="str">
        <f t="shared" ca="1" si="1"/>
        <v/>
      </c>
      <c r="H36" s="14" t="str">
        <f t="shared" ca="1" si="2"/>
        <v/>
      </c>
      <c r="V36" s="36" t="str">
        <f ca="1">IFERROR(IF(V35="","",IF(NOT($T$2=""),IF(AND(VALUE(LEFT(V35,4))+1+$T$3/100&gt;=$T$6,VALUE(LEFT(V35,4))+1+$T$3/100&lt;=$T$7),CONCATENATE(VALUE(LEFT(V35,4))+1,$T$2),""),IF(next_period(V35)=next_period(CONCATENATE($N$7,$N$8)),"",next_period(V35)))),"")</f>
        <v/>
      </c>
    </row>
    <row r="37" spans="2:22" x14ac:dyDescent="0.2">
      <c r="B37" s="50"/>
      <c r="C37" s="51"/>
      <c r="G37" s="14" t="str">
        <f t="shared" ca="1" si="1"/>
        <v/>
      </c>
      <c r="H37" s="14" t="str">
        <f t="shared" ca="1" si="2"/>
        <v/>
      </c>
      <c r="V37" s="36" t="str">
        <f ca="1">IFERROR(IF(V36="","",IF(NOT($T$2=""),IF(AND(VALUE(LEFT(V36,4))+1+$T$3/100&gt;=$T$6,VALUE(LEFT(V36,4))+1+$T$3/100&lt;=$T$7),CONCATENATE(VALUE(LEFT(V36,4))+1,$T$2),""),IF(next_period(V36)=next_period(CONCATENATE($N$7,$N$8)),"",next_period(V36)))),"")</f>
        <v/>
      </c>
    </row>
    <row r="38" spans="2:22" x14ac:dyDescent="0.2">
      <c r="B38" s="50" t="s">
        <v>765</v>
      </c>
      <c r="C38" s="51"/>
      <c r="G38" s="14" t="str">
        <f t="shared" ca="1" si="1"/>
        <v/>
      </c>
      <c r="H38" s="14" t="str">
        <f t="shared" ca="1" si="2"/>
        <v/>
      </c>
      <c r="V38" s="36" t="str">
        <f ca="1">IFERROR(IF(V37="","",IF(NOT($T$2=""),IF(AND(VALUE(LEFT(V37,4))+1+$T$3/100&gt;=$T$6,VALUE(LEFT(V37,4))+1+$T$3/100&lt;=$T$7),CONCATENATE(VALUE(LEFT(V37,4))+1,$T$2),""),IF(next_period(V37)=next_period(CONCATENATE($N$7,$N$8)),"",next_period(V37)))),"")</f>
        <v/>
      </c>
    </row>
    <row r="39" spans="2:22" x14ac:dyDescent="0.2">
      <c r="B39" s="50" t="s">
        <v>766</v>
      </c>
      <c r="C39" s="51"/>
      <c r="G39" s="14" t="str">
        <f t="shared" ca="1" si="1"/>
        <v/>
      </c>
      <c r="H39" s="14" t="str">
        <f t="shared" ca="1" si="2"/>
        <v/>
      </c>
      <c r="V39" s="36" t="str">
        <f ca="1">IFERROR(IF(V38="","",IF(NOT($T$2=""),IF(AND(VALUE(LEFT(V38,4))+1+$T$3/100&gt;=$T$6,VALUE(LEFT(V38,4))+1+$T$3/100&lt;=$T$7),CONCATENATE(VALUE(LEFT(V38,4))+1,$T$2),""),IF(next_period(V38)=next_period(CONCATENATE($N$7,$N$8)),"",next_period(V38)))),"")</f>
        <v/>
      </c>
    </row>
    <row r="40" spans="2:22" x14ac:dyDescent="0.2">
      <c r="B40" s="50" t="s">
        <v>799</v>
      </c>
      <c r="C40" s="51"/>
      <c r="G40" s="14" t="str">
        <f t="shared" ca="1" si="1"/>
        <v/>
      </c>
      <c r="H40" s="14" t="str">
        <f t="shared" ca="1" si="2"/>
        <v/>
      </c>
      <c r="V40" s="36" t="str">
        <f ca="1">IFERROR(IF(V39="","",IF(NOT($T$2=""),IF(AND(VALUE(LEFT(V39,4))+1+$T$3/100&gt;=$T$6,VALUE(LEFT(V39,4))+1+$T$3/100&lt;=$T$7),CONCATENATE(VALUE(LEFT(V39,4))+1,$T$2),""),IF(next_period(V39)=next_period(CONCATENATE($N$7,$N$8)),"",next_period(V39)))),"")</f>
        <v/>
      </c>
    </row>
    <row r="41" spans="2:22" x14ac:dyDescent="0.2">
      <c r="G41" s="14" t="str">
        <f t="shared" ca="1" si="1"/>
        <v/>
      </c>
      <c r="H41" s="14" t="str">
        <f t="shared" ca="1" si="2"/>
        <v/>
      </c>
      <c r="V41" s="36" t="str">
        <f ca="1">IFERROR(IF(V40="","",IF(NOT($T$2=""),IF(AND(VALUE(LEFT(V40,4))+1+$T$3/100&gt;=$T$6,VALUE(LEFT(V40,4))+1+$T$3/100&lt;=$T$7),CONCATENATE(VALUE(LEFT(V40,4))+1,$T$2),""),IF(next_period(V40)=next_period(CONCATENATE($N$7,$N$8)),"",next_period(V40)))),"")</f>
        <v/>
      </c>
    </row>
    <row r="42" spans="2:22" x14ac:dyDescent="0.2">
      <c r="G42" s="14" t="str">
        <f t="shared" ca="1" si="1"/>
        <v/>
      </c>
      <c r="H42" s="14" t="str">
        <f t="shared" ca="1" si="2"/>
        <v/>
      </c>
      <c r="V42" s="36" t="str">
        <f ca="1">IFERROR(IF(V41="","",IF(NOT($T$2=""),IF(AND(VALUE(LEFT(V41,4))+1+$T$3/100&gt;=$T$6,VALUE(LEFT(V41,4))+1+$T$3/100&lt;=$T$7),CONCATENATE(VALUE(LEFT(V41,4))+1,$T$2),""),IF(next_period(V41)=next_period(CONCATENATE($N$7,$N$8)),"",next_period(V41)))),"")</f>
        <v/>
      </c>
    </row>
    <row r="43" spans="2:22" x14ac:dyDescent="0.2">
      <c r="G43" s="14" t="str">
        <f t="shared" ca="1" si="1"/>
        <v/>
      </c>
      <c r="H43" s="14" t="str">
        <f t="shared" ca="1" si="2"/>
        <v/>
      </c>
      <c r="V43" s="36" t="str">
        <f ca="1">IFERROR(IF(V42="","",IF(NOT($T$2=""),IF(AND(VALUE(LEFT(V42,4))+1+$T$3/100&gt;=$T$6,VALUE(LEFT(V42,4))+1+$T$3/100&lt;=$T$7),CONCATENATE(VALUE(LEFT(V42,4))+1,$T$2),""),IF(next_period(V42)=next_period(CONCATENATE($N$7,$N$8)),"",next_period(V42)))),"")</f>
        <v/>
      </c>
    </row>
    <row r="44" spans="2:22" x14ac:dyDescent="0.2">
      <c r="G44" s="14" t="str">
        <f t="shared" ca="1" si="1"/>
        <v/>
      </c>
      <c r="H44" s="14" t="str">
        <f t="shared" ca="1" si="2"/>
        <v/>
      </c>
      <c r="V44" s="36" t="str">
        <f ca="1">IFERROR(IF(V43="","",IF(NOT($T$2=""),IF(AND(VALUE(LEFT(V43,4))+1+$T$3/100&gt;=$T$6,VALUE(LEFT(V43,4))+1+$T$3/100&lt;=$T$7),CONCATENATE(VALUE(LEFT(V43,4))+1,$T$2),""),IF(next_period(V43)=next_period(CONCATENATE($N$7,$N$8)),"",next_period(V43)))),"")</f>
        <v/>
      </c>
    </row>
    <row r="45" spans="2:22" x14ac:dyDescent="0.2">
      <c r="G45" s="14" t="str">
        <f t="shared" ca="1" si="1"/>
        <v/>
      </c>
      <c r="H45" s="14" t="str">
        <f t="shared" ca="1" si="2"/>
        <v/>
      </c>
      <c r="V45" s="36" t="str">
        <f ca="1">IFERROR(IF(V44="","",IF(NOT($T$2=""),IF(AND(VALUE(LEFT(V44,4))+1+$T$3/100&gt;=$T$6,VALUE(LEFT(V44,4))+1+$T$3/100&lt;=$T$7),CONCATENATE(VALUE(LEFT(V44,4))+1,$T$2),""),IF(next_period(V44)=next_period(CONCATENATE($N$7,$N$8)),"",next_period(V44)))),"")</f>
        <v/>
      </c>
    </row>
    <row r="46" spans="2:22" x14ac:dyDescent="0.2">
      <c r="G46" s="14" t="str">
        <f t="shared" ca="1" si="1"/>
        <v/>
      </c>
      <c r="H46" s="14" t="str">
        <f t="shared" ca="1" si="2"/>
        <v/>
      </c>
      <c r="V46" s="36" t="str">
        <f ca="1">IFERROR(IF(V45="","",IF(NOT($T$2=""),IF(AND(VALUE(LEFT(V45,4))+1+$T$3/100&gt;=$T$6,VALUE(LEFT(V45,4))+1+$T$3/100&lt;=$T$7),CONCATENATE(VALUE(LEFT(V45,4))+1,$T$2),""),IF(next_period(V45)=next_period(CONCATENATE($N$7,$N$8)),"",next_period(V45)))),"")</f>
        <v/>
      </c>
    </row>
    <row r="47" spans="2:22" x14ac:dyDescent="0.2">
      <c r="G47" s="14" t="str">
        <f t="shared" ca="1" si="1"/>
        <v/>
      </c>
      <c r="H47" s="14" t="str">
        <f t="shared" ca="1" si="2"/>
        <v/>
      </c>
      <c r="V47" s="36" t="str">
        <f ca="1">IFERROR(IF(V46="","",IF(NOT($T$2=""),IF(AND(VALUE(LEFT(V46,4))+1+$T$3/100&gt;=$T$6,VALUE(LEFT(V46,4))+1+$T$3/100&lt;=$T$7),CONCATENATE(VALUE(LEFT(V46,4))+1,$T$2),""),IF(next_period(V46)=next_period(CONCATENATE($N$7,$N$8)),"",next_period(V46)))),"")</f>
        <v/>
      </c>
    </row>
    <row r="48" spans="2:22" x14ac:dyDescent="0.2">
      <c r="G48" s="14" t="str">
        <f t="shared" ca="1" si="1"/>
        <v/>
      </c>
      <c r="H48" s="14" t="str">
        <f t="shared" ca="1" si="2"/>
        <v/>
      </c>
      <c r="V48" s="36" t="str">
        <f ca="1">IFERROR(IF(V47="","",IF(NOT($T$2=""),IF(AND(VALUE(LEFT(V47,4))+1+$T$3/100&gt;=$T$6,VALUE(LEFT(V47,4))+1+$T$3/100&lt;=$T$7),CONCATENATE(VALUE(LEFT(V47,4))+1,$T$2),""),IF(next_period(V47)=next_period(CONCATENATE($N$7,$N$8)),"",next_period(V47)))),"")</f>
        <v/>
      </c>
    </row>
    <row r="49" spans="2:22" x14ac:dyDescent="0.2">
      <c r="G49" s="14" t="str">
        <f t="shared" ca="1" si="1"/>
        <v/>
      </c>
      <c r="H49" s="14" t="str">
        <f t="shared" ca="1" si="2"/>
        <v/>
      </c>
      <c r="V49" s="36" t="str">
        <f ca="1">IFERROR(IF(V48="","",IF(NOT($T$2=""),IF(AND(VALUE(LEFT(V48,4))+1+$T$3/100&gt;=$T$6,VALUE(LEFT(V48,4))+1+$T$3/100&lt;=$T$7),CONCATENATE(VALUE(LEFT(V48,4))+1,$T$2),""),IF(next_period(V48)=next_period(CONCATENATE($N$7,$N$8)),"",next_period(V48)))),"")</f>
        <v/>
      </c>
    </row>
    <row r="50" spans="2:22" x14ac:dyDescent="0.2">
      <c r="G50" s="14" t="str">
        <f t="shared" ca="1" si="1"/>
        <v/>
      </c>
      <c r="H50" s="14" t="str">
        <f t="shared" ca="1" si="2"/>
        <v/>
      </c>
      <c r="V50" s="36" t="str">
        <f ca="1">IFERROR(IF(V49="","",IF(NOT($T$2=""),IF(AND(VALUE(LEFT(V49,4))+1+$T$3/100&gt;=$T$6,VALUE(LEFT(V49,4))+1+$T$3/100&lt;=$T$7),CONCATENATE(VALUE(LEFT(V49,4))+1,$T$2),""),IF(next_period(V49)=next_period(CONCATENATE($N$7,$N$8)),"",next_period(V49)))),"")</f>
        <v/>
      </c>
    </row>
    <row r="51" spans="2:22" x14ac:dyDescent="0.2">
      <c r="G51" s="14" t="str">
        <f t="shared" ca="1" si="1"/>
        <v/>
      </c>
      <c r="H51" s="14" t="str">
        <f t="shared" ca="1" si="2"/>
        <v/>
      </c>
      <c r="V51" s="36" t="str">
        <f ca="1">IFERROR(IF(V50="","",IF(NOT($T$2=""),IF(AND(VALUE(LEFT(V50,4))+1+$T$3/100&gt;=$T$6,VALUE(LEFT(V50,4))+1+$T$3/100&lt;=$T$7),CONCATENATE(VALUE(LEFT(V50,4))+1,$T$2),""),IF(next_period(V50)=next_period(CONCATENATE($N$7,$N$8)),"",next_period(V50)))),"")</f>
        <v/>
      </c>
    </row>
    <row r="52" spans="2:22" x14ac:dyDescent="0.2">
      <c r="G52" s="14" t="str">
        <f t="shared" ca="1" si="1"/>
        <v/>
      </c>
      <c r="H52" s="14" t="str">
        <f t="shared" ca="1" si="2"/>
        <v/>
      </c>
      <c r="V52" s="36" t="str">
        <f ca="1">IFERROR(IF(V51="","",IF(NOT($T$2=""),IF(AND(VALUE(LEFT(V51,4))+1+$T$3/100&gt;=$T$6,VALUE(LEFT(V51,4))+1+$T$3/100&lt;=$T$7),CONCATENATE(VALUE(LEFT(V51,4))+1,$T$2),""),IF(next_period(V51)=next_period(CONCATENATE($N$7,$N$8)),"",next_period(V51)))),"")</f>
        <v/>
      </c>
    </row>
    <row r="53" spans="2:22" x14ac:dyDescent="0.2">
      <c r="G53" s="14" t="str">
        <f t="shared" ca="1" si="1"/>
        <v/>
      </c>
      <c r="H53" s="14" t="str">
        <f t="shared" ca="1" si="2"/>
        <v/>
      </c>
      <c r="V53" s="36" t="str">
        <f ca="1">IFERROR(IF(V52="","",IF(NOT($T$2=""),IF(AND(VALUE(LEFT(V52,4))+1+$T$3/100&gt;=$T$6,VALUE(LEFT(V52,4))+1+$T$3/100&lt;=$T$7),CONCATENATE(VALUE(LEFT(V52,4))+1,$T$2),""),IF(next_period(V52)=next_period(CONCATENATE($N$7,$N$8)),"",next_period(V52)))),"")</f>
        <v/>
      </c>
    </row>
    <row r="54" spans="2:22" x14ac:dyDescent="0.2">
      <c r="B54" s="14" t="s">
        <v>6</v>
      </c>
      <c r="G54" s="14" t="str">
        <f t="shared" ca="1" si="1"/>
        <v/>
      </c>
      <c r="H54" s="14" t="str">
        <f t="shared" ca="1" si="2"/>
        <v/>
      </c>
      <c r="V54" s="36" t="str">
        <f ca="1">IFERROR(IF(V53="","",IF(NOT($T$2=""),IF(AND(VALUE(LEFT(V53,4))+1+$T$3/100&gt;=$T$6,VALUE(LEFT(V53,4))+1+$T$3/100&lt;=$T$7),CONCATENATE(VALUE(LEFT(V53,4))+1,$T$2),""),IF(next_period(V53)=next_period(CONCATENATE($N$7,$N$8)),"",next_period(V53)))),"")</f>
        <v/>
      </c>
    </row>
    <row r="55" spans="2:22" x14ac:dyDescent="0.2">
      <c r="B55" s="14" t="s">
        <v>7</v>
      </c>
      <c r="G55" s="14" t="str">
        <f t="shared" ca="1" si="1"/>
        <v/>
      </c>
      <c r="H55" s="14" t="str">
        <f t="shared" ca="1" si="2"/>
        <v/>
      </c>
      <c r="V55" s="36" t="str">
        <f ca="1">IFERROR(IF(V54="","",IF(NOT($T$2=""),IF(AND(VALUE(LEFT(V54,4))+1+$T$3/100&gt;=$T$6,VALUE(LEFT(V54,4))+1+$T$3/100&lt;=$T$7),CONCATENATE(VALUE(LEFT(V54,4))+1,$T$2),""),IF(next_period(V54)=next_period(CONCATENATE($N$7,$N$8)),"",next_period(V54)))),"")</f>
        <v/>
      </c>
    </row>
    <row r="56" spans="2:22" x14ac:dyDescent="0.2">
      <c r="B56" s="14" t="s">
        <v>8</v>
      </c>
      <c r="G56" s="14" t="str">
        <f t="shared" ca="1" si="1"/>
        <v/>
      </c>
      <c r="H56" s="14" t="str">
        <f t="shared" ca="1" si="2"/>
        <v/>
      </c>
      <c r="V56" s="36" t="str">
        <f ca="1">IFERROR(IF(V55="","",IF(NOT($T$2=""),IF(AND(VALUE(LEFT(V55,4))+1+$T$3/100&gt;=$T$6,VALUE(LEFT(V55,4))+1+$T$3/100&lt;=$T$7),CONCATENATE(VALUE(LEFT(V55,4))+1,$T$2),""),IF(next_period(V55)=next_period(CONCATENATE($N$7,$N$8)),"",next_period(V55)))),"")</f>
        <v/>
      </c>
    </row>
    <row r="57" spans="2:22" x14ac:dyDescent="0.2">
      <c r="V57" s="36" t="str">
        <f ca="1">IFERROR(IF(V56="","",IF(NOT($T$2=""),IF(AND(VALUE(LEFT(V56,4))+1+$T$3/100&gt;=$T$6,VALUE(LEFT(V56,4))+1+$T$3/100&lt;=$T$7),CONCATENATE(VALUE(LEFT(V56,4))+1,$T$2),""),IF(next_period(V56)=next_period(CONCATENATE($N$7,$N$8)),"",next_period(V56)))),"")</f>
        <v/>
      </c>
    </row>
    <row r="58" spans="2:22" x14ac:dyDescent="0.2">
      <c r="V58" s="36" t="str">
        <f ca="1">IFERROR(IF(V57="","",IF(NOT($T$2=""),IF(AND(VALUE(LEFT(V57,4))+1+$T$3/100&gt;=$T$6,VALUE(LEFT(V57,4))+1+$T$3/100&lt;=$T$7),CONCATENATE(VALUE(LEFT(V57,4))+1,$T$2),""),IF(next_period(V57)=next_period(CONCATENATE($N$7,$N$8)),"",next_period(V57)))),"")</f>
        <v/>
      </c>
    </row>
    <row r="59" spans="2:22" x14ac:dyDescent="0.2">
      <c r="V59" s="36" t="str">
        <f ca="1">IFERROR(IF(V58="","",IF(NOT($T$2=""),IF(AND(VALUE(LEFT(V58,4))+1+$T$3/100&gt;=$T$6,VALUE(LEFT(V58,4))+1+$T$3/100&lt;=$T$7),CONCATENATE(VALUE(LEFT(V58,4))+1,$T$2),""),IF(next_period(V58)=next_period(CONCATENATE($N$7,$N$8)),"",next_period(V58)))),"")</f>
        <v/>
      </c>
    </row>
    <row r="60" spans="2:22" x14ac:dyDescent="0.2">
      <c r="V60" s="36" t="str">
        <f ca="1">IFERROR(IF(V59="","",IF(NOT($T$2=""),IF(AND(VALUE(LEFT(V59,4))+1+$T$3/100&gt;=$T$6,VALUE(LEFT(V59,4))+1+$T$3/100&lt;=$T$7),CONCATENATE(VALUE(LEFT(V59,4))+1,$T$2),""),IF(next_period(V59)=next_period(CONCATENATE($N$7,$N$8)),"",next_period(V59)))),"")</f>
        <v/>
      </c>
    </row>
    <row r="61" spans="2:22" x14ac:dyDescent="0.2">
      <c r="V61" s="36" t="str">
        <f ca="1">IFERROR(IF(V60="","",IF(NOT($T$2=""),IF(AND(VALUE(LEFT(V60,4))+1+$T$3/100&gt;=$T$6,VALUE(LEFT(V60,4))+1+$T$3/100&lt;=$T$7),CONCATENATE(VALUE(LEFT(V60,4))+1,$T$2),""),IF(next_period(V60)=next_period(CONCATENATE($N$7,$N$8)),"",next_period(V60)))),"")</f>
        <v/>
      </c>
    </row>
    <row r="62" spans="2:22" x14ac:dyDescent="0.2">
      <c r="V62" s="36" t="str">
        <f ca="1">IFERROR(IF(V61="","",IF(NOT($T$2=""),IF(AND(VALUE(LEFT(V61,4))+1+$T$3/100&gt;=$T$6,VALUE(LEFT(V61,4))+1+$T$3/100&lt;=$T$7),CONCATENATE(VALUE(LEFT(V61,4))+1,$T$2),""),IF(next_period(V61)=next_period(CONCATENATE($N$7,$N$8)),"",next_period(V61)))),"")</f>
        <v/>
      </c>
    </row>
    <row r="63" spans="2:22" x14ac:dyDescent="0.2">
      <c r="V63" s="36" t="str">
        <f ca="1">IFERROR(IF(V62="","",IF(NOT($T$2=""),IF(AND(VALUE(LEFT(V62,4))+1+$T$3/100&gt;=$T$6,VALUE(LEFT(V62,4))+1+$T$3/100&lt;=$T$7),CONCATENATE(VALUE(LEFT(V62,4))+1,$T$2),""),IF(next_period(V62)=next_period(CONCATENATE($N$7,$N$8)),"",next_period(V62)))),"")</f>
        <v/>
      </c>
    </row>
    <row r="64" spans="2:22" x14ac:dyDescent="0.2">
      <c r="V64" s="36" t="str">
        <f ca="1">IFERROR(IF(V63="","",IF(NOT($T$2=""),IF(AND(VALUE(LEFT(V63,4))+1+$T$3/100&gt;=$T$6,VALUE(LEFT(V63,4))+1+$T$3/100&lt;=$T$7),CONCATENATE(VALUE(LEFT(V63,4))+1,$T$2),""),IF(next_period(V63)=next_period(CONCATENATE($N$7,$N$8)),"",next_period(V63)))),"")</f>
        <v/>
      </c>
    </row>
    <row r="65" spans="22:22" x14ac:dyDescent="0.2">
      <c r="V65" s="36" t="str">
        <f ca="1">IFERROR(IF(V64="","",IF(NOT($T$2=""),IF(AND(VALUE(LEFT(V64,4))+1+$T$3/100&gt;=$T$6,VALUE(LEFT(V64,4))+1+$T$3/100&lt;=$T$7),CONCATENATE(VALUE(LEFT(V64,4))+1,$T$2),""),IF(next_period(V64)=next_period(CONCATENATE($N$7,$N$8)),"",next_period(V64)))),"")</f>
        <v/>
      </c>
    </row>
    <row r="66" spans="22:22" x14ac:dyDescent="0.2">
      <c r="V66" s="36" t="str">
        <f ca="1">IFERROR(IF(V65="","",IF(NOT($T$2=""),IF(AND(VALUE(LEFT(V65,4))+1+$T$3/100&gt;=$T$6,VALUE(LEFT(V65,4))+1+$T$3/100&lt;=$T$7),CONCATENATE(VALUE(LEFT(V65,4))+1,$T$2),""),IF(next_period(V65)=next_period(CONCATENATE($N$7,$N$8)),"",next_period(V65)))),"")</f>
        <v/>
      </c>
    </row>
    <row r="67" spans="22:22" x14ac:dyDescent="0.2">
      <c r="V67" s="36" t="str">
        <f ca="1">IFERROR(IF(V66="","",IF(NOT($T$2=""),IF(AND(VALUE(LEFT(V66,4))+1+$T$3/100&gt;=$T$6,VALUE(LEFT(V66,4))+1+$T$3/100&lt;=$T$7),CONCATENATE(VALUE(LEFT(V66,4))+1,$T$2),""),IF(next_period(V66)=next_period(CONCATENATE($N$7,$N$8)),"",next_period(V66)))),"")</f>
        <v/>
      </c>
    </row>
    <row r="68" spans="22:22" x14ac:dyDescent="0.2">
      <c r="V68" s="36" t="str">
        <f ca="1">IFERROR(IF(V67="","",IF(NOT($T$2=""),IF(AND(VALUE(LEFT(V67,4))+1+$T$3/100&gt;=$T$6,VALUE(LEFT(V67,4))+1+$T$3/100&lt;=$T$7),CONCATENATE(VALUE(LEFT(V67,4))+1,$T$2),""),IF(next_period(V67)=next_period(CONCATENATE($N$7,$N$8)),"",next_period(V67)))),"")</f>
        <v/>
      </c>
    </row>
    <row r="69" spans="22:22" x14ac:dyDescent="0.2">
      <c r="V69" s="36" t="str">
        <f ca="1">IFERROR(IF(V68="","",IF(NOT($T$2=""),IF(AND(VALUE(LEFT(V68,4))+1+$T$3/100&gt;=$T$6,VALUE(LEFT(V68,4))+1+$T$3/100&lt;=$T$7),CONCATENATE(VALUE(LEFT(V68,4))+1,$T$2),""),IF(next_period(V68)=next_period(CONCATENATE($N$7,$N$8)),"",next_period(V68)))),"")</f>
        <v/>
      </c>
    </row>
    <row r="70" spans="22:22" x14ac:dyDescent="0.2">
      <c r="V70" s="36" t="str">
        <f ca="1">IFERROR(IF(V69="","",IF(NOT($T$2=""),IF(AND(VALUE(LEFT(V69,4))+1+$T$3/100&gt;=$T$6,VALUE(LEFT(V69,4))+1+$T$3/100&lt;=$T$7),CONCATENATE(VALUE(LEFT(V69,4))+1,$T$2),""),IF(next_period(V69)=next_period(CONCATENATE($N$7,$N$8)),"",next_period(V69)))),"")</f>
        <v/>
      </c>
    </row>
    <row r="71" spans="22:22" x14ac:dyDescent="0.2">
      <c r="V71" s="36" t="str">
        <f ca="1">IFERROR(IF(V70="","",IF(NOT($T$2=""),IF(AND(VALUE(LEFT(V70,4))+1+$T$3/100&gt;=$T$6,VALUE(LEFT(V70,4))+1+$T$3/100&lt;=$T$7),CONCATENATE(VALUE(LEFT(V70,4))+1,$T$2),""),IF(next_period(V70)=next_period(CONCATENATE($N$7,$N$8)),"",next_period(V70)))),"")</f>
        <v/>
      </c>
    </row>
    <row r="72" spans="22:22" x14ac:dyDescent="0.2">
      <c r="V72" s="36" t="str">
        <f ca="1">IFERROR(IF(V71="","",IF(NOT($T$2=""),IF(AND(VALUE(LEFT(V71,4))+1+$T$3/100&gt;=$T$6,VALUE(LEFT(V71,4))+1+$T$3/100&lt;=$T$7),CONCATENATE(VALUE(LEFT(V71,4))+1,$T$2),""),IF(next_period(V71)=next_period(CONCATENATE($N$7,$N$8)),"",next_period(V71)))),"")</f>
        <v/>
      </c>
    </row>
    <row r="73" spans="22:22" x14ac:dyDescent="0.2">
      <c r="V73" s="36" t="str">
        <f ca="1">IFERROR(IF(V72="","",IF(NOT($T$2=""),IF(AND(VALUE(LEFT(V72,4))+1+$T$3/100&gt;=$T$6,VALUE(LEFT(V72,4))+1+$T$3/100&lt;=$T$7),CONCATENATE(VALUE(LEFT(V72,4))+1,$T$2),""),IF(next_period(V72)=next_period(CONCATENATE($N$7,$N$8)),"",next_period(V72)))),"")</f>
        <v/>
      </c>
    </row>
    <row r="74" spans="22:22" x14ac:dyDescent="0.2">
      <c r="V74" s="36" t="str">
        <f ca="1">IFERROR(IF(V73="","",IF(NOT($T$2=""),IF(AND(VALUE(LEFT(V73,4))+1+$T$3/100&gt;=$T$6,VALUE(LEFT(V73,4))+1+$T$3/100&lt;=$T$7),CONCATENATE(VALUE(LEFT(V73,4))+1,$T$2),""),IF(next_period(V73)=next_period(CONCATENATE($N$7,$N$8)),"",next_period(V73)))),"")</f>
        <v/>
      </c>
    </row>
    <row r="75" spans="22:22" x14ac:dyDescent="0.2">
      <c r="V75" s="36" t="str">
        <f ca="1">IFERROR(IF(V74="","",IF(NOT($T$2=""),IF(AND(VALUE(LEFT(V74,4))+1+$T$3/100&gt;=$T$6,VALUE(LEFT(V74,4))+1+$T$3/100&lt;=$T$7),CONCATENATE(VALUE(LEFT(V74,4))+1,$T$2),""),IF(next_period(V74)=next_period(CONCATENATE($N$7,$N$8)),"",next_period(V74)))),"")</f>
        <v/>
      </c>
    </row>
    <row r="76" spans="22:22" x14ac:dyDescent="0.2">
      <c r="V76" s="36" t="str">
        <f ca="1">IFERROR(IF(V75="","",IF(NOT($T$2=""),IF(AND(VALUE(LEFT(V75,4))+1+$T$3/100&gt;=$T$6,VALUE(LEFT(V75,4))+1+$T$3/100&lt;=$T$7),CONCATENATE(VALUE(LEFT(V75,4))+1,$T$2),""),IF(next_period(V75)=next_period(CONCATENATE($N$7,$N$8)),"",next_period(V75)))),"")</f>
        <v/>
      </c>
    </row>
    <row r="77" spans="22:22" x14ac:dyDescent="0.2">
      <c r="V77" s="36" t="str">
        <f ca="1">IFERROR(IF(V76="","",IF(NOT($T$2=""),IF(AND(VALUE(LEFT(V76,4))+1+$T$3/100&gt;=$T$6,VALUE(LEFT(V76,4))+1+$T$3/100&lt;=$T$7),CONCATENATE(VALUE(LEFT(V76,4))+1,$T$2),""),IF(next_period(V76)=next_period(CONCATENATE($N$7,$N$8)),"",next_period(V76)))),"")</f>
        <v/>
      </c>
    </row>
    <row r="78" spans="22:22" x14ac:dyDescent="0.2">
      <c r="V78" s="36" t="str">
        <f ca="1">IFERROR(IF(V77="","",IF(NOT($T$2=""),IF(AND(VALUE(LEFT(V77,4))+1+$T$3/100&gt;=$T$6,VALUE(LEFT(V77,4))+1+$T$3/100&lt;=$T$7),CONCATENATE(VALUE(LEFT(V77,4))+1,$T$2),""),IF(next_period(V77)=next_period(CONCATENATE($N$7,$N$8)),"",next_period(V77)))),"")</f>
        <v/>
      </c>
    </row>
    <row r="79" spans="22:22" x14ac:dyDescent="0.2">
      <c r="V79" s="36" t="str">
        <f ca="1">IFERROR(IF(V78="","",IF(NOT($T$2=""),IF(AND(VALUE(LEFT(V78,4))+1+$T$3/100&gt;=$T$6,VALUE(LEFT(V78,4))+1+$T$3/100&lt;=$T$7),CONCATENATE(VALUE(LEFT(V78,4))+1,$T$2),""),IF(next_period(V78)=next_period(CONCATENATE($N$7,$N$8)),"",next_period(V78)))),"")</f>
        <v/>
      </c>
    </row>
    <row r="80" spans="22:22" x14ac:dyDescent="0.2">
      <c r="V80" s="36" t="str">
        <f ca="1">IFERROR(IF(V79="","",IF(NOT($T$2=""),IF(AND(VALUE(LEFT(V79,4))+1+$T$3/100&gt;=$T$6,VALUE(LEFT(V79,4))+1+$T$3/100&lt;=$T$7),CONCATENATE(VALUE(LEFT(V79,4))+1,$T$2),""),IF(next_period(V79)=next_period(CONCATENATE($N$7,$N$8)),"",next_period(V79)))),"")</f>
        <v/>
      </c>
    </row>
    <row r="81" spans="22:22" x14ac:dyDescent="0.2">
      <c r="V81" s="36" t="str">
        <f ca="1">IFERROR(IF(V80="","",IF(NOT($T$2=""),IF(AND(VALUE(LEFT(V80,4))+1+$T$3/100&gt;=$T$6,VALUE(LEFT(V80,4))+1+$T$3/100&lt;=$T$7),CONCATENATE(VALUE(LEFT(V80,4))+1,$T$2),""),IF(next_period(V80)=next_period(CONCATENATE($N$7,$N$8)),"",next_period(V80)))),"")</f>
        <v/>
      </c>
    </row>
    <row r="82" spans="22:22" x14ac:dyDescent="0.2">
      <c r="V82" s="36" t="str">
        <f ca="1">IFERROR(IF(V81="","",IF(NOT($T$2=""),IF(AND(VALUE(LEFT(V81,4))+1+$T$3/100&gt;=$T$6,VALUE(LEFT(V81,4))+1+$T$3/100&lt;=$T$7),CONCATENATE(VALUE(LEFT(V81,4))+1,$T$2),""),IF(next_period(V81)=next_period(CONCATENATE($N$7,$N$8)),"",next_period(V81)))),"")</f>
        <v/>
      </c>
    </row>
    <row r="83" spans="22:22" x14ac:dyDescent="0.2">
      <c r="V83" s="36" t="str">
        <f ca="1">IFERROR(IF(V82="","",IF(NOT($T$2=""),IF(AND(VALUE(LEFT(V82,4))+1+$T$3/100&gt;=$T$6,VALUE(LEFT(V82,4))+1+$T$3/100&lt;=$T$7),CONCATENATE(VALUE(LEFT(V82,4))+1,$T$2),""),IF(next_period(V82)=next_period(CONCATENATE($N$7,$N$8)),"",next_period(V82)))),"")</f>
        <v/>
      </c>
    </row>
    <row r="84" spans="22:22" x14ac:dyDescent="0.2">
      <c r="V84" s="36" t="str">
        <f ca="1">IFERROR(IF(V83="","",IF(NOT($T$2=""),IF(AND(VALUE(LEFT(V83,4))+1+$T$3/100&gt;=$T$6,VALUE(LEFT(V83,4))+1+$T$3/100&lt;=$T$7),CONCATENATE(VALUE(LEFT(V83,4))+1,$T$2),""),IF(next_period(V83)=next_period(CONCATENATE($N$7,$N$8)),"",next_period(V83)))),"")</f>
        <v/>
      </c>
    </row>
    <row r="85" spans="22:22" x14ac:dyDescent="0.2">
      <c r="V85" s="36" t="str">
        <f ca="1">IFERROR(IF(V84="","",IF(NOT($T$2=""),IF(AND(VALUE(LEFT(V84,4))+1+$T$3/100&gt;=$T$6,VALUE(LEFT(V84,4))+1+$T$3/100&lt;=$T$7),CONCATENATE(VALUE(LEFT(V84,4))+1,$T$2),""),IF(next_period(V84)=next_period(CONCATENATE($N$7,$N$8)),"",next_period(V84)))),"")</f>
        <v/>
      </c>
    </row>
    <row r="86" spans="22:22" x14ac:dyDescent="0.2">
      <c r="V86" s="36" t="str">
        <f ca="1">IFERROR(IF(V85="","",IF(NOT($T$2=""),IF(AND(VALUE(LEFT(V85,4))+1+$T$3/100&gt;=$T$6,VALUE(LEFT(V85,4))+1+$T$3/100&lt;=$T$7),CONCATENATE(VALUE(LEFT(V85,4))+1,$T$2),""),IF(next_period(V85)=next_period(CONCATENATE($N$7,$N$8)),"",next_period(V85)))),"")</f>
        <v/>
      </c>
    </row>
    <row r="87" spans="22:22" x14ac:dyDescent="0.2">
      <c r="V87" s="36" t="str">
        <f ca="1">IFERROR(IF(V86="","",IF(NOT($T$2=""),IF(AND(VALUE(LEFT(V86,4))+1+$T$3/100&gt;=$T$6,VALUE(LEFT(V86,4))+1+$T$3/100&lt;=$T$7),CONCATENATE(VALUE(LEFT(V86,4))+1,$T$2),""),IF(next_period(V86)=next_period(CONCATENATE($N$7,$N$8)),"",next_period(V86)))),"")</f>
        <v/>
      </c>
    </row>
    <row r="88" spans="22:22" x14ac:dyDescent="0.2">
      <c r="V88" s="36" t="str">
        <f ca="1">IFERROR(IF(V87="","",IF(NOT($T$2=""),IF(AND(VALUE(LEFT(V87,4))+1+$T$3/100&gt;=$T$6,VALUE(LEFT(V87,4))+1+$T$3/100&lt;=$T$7),CONCATENATE(VALUE(LEFT(V87,4))+1,$T$2),""),IF(next_period(V87)=next_period(CONCATENATE($N$7,$N$8)),"",next_period(V87)))),"")</f>
        <v/>
      </c>
    </row>
    <row r="89" spans="22:22" x14ac:dyDescent="0.2">
      <c r="V89" s="36" t="str">
        <f ca="1">IFERROR(IF(V88="","",IF(NOT($T$2=""),IF(AND(VALUE(LEFT(V88,4))+1+$T$3/100&gt;=$T$6,VALUE(LEFT(V88,4))+1+$T$3/100&lt;=$T$7),CONCATENATE(VALUE(LEFT(V88,4))+1,$T$2),""),IF(next_period(V88)=next_period(CONCATENATE($N$7,$N$8)),"",next_period(V88)))),"")</f>
        <v/>
      </c>
    </row>
    <row r="90" spans="22:22" x14ac:dyDescent="0.2">
      <c r="V90" s="36" t="str">
        <f ca="1">IFERROR(IF(V89="","",IF(NOT($T$2=""),IF(AND(VALUE(LEFT(V89,4))+1+$T$3/100&gt;=$T$6,VALUE(LEFT(V89,4))+1+$T$3/100&lt;=$T$7),CONCATENATE(VALUE(LEFT(V89,4))+1,$T$2),""),IF(next_period(V89)=next_period(CONCATENATE($N$7,$N$8)),"",next_period(V89)))),"")</f>
        <v/>
      </c>
    </row>
    <row r="91" spans="22:22" x14ac:dyDescent="0.2">
      <c r="V91" s="36" t="str">
        <f ca="1">IFERROR(IF(V90="","",IF(NOT($T$2=""),IF(AND(VALUE(LEFT(V90,4))+1+$T$3/100&gt;=$T$6,VALUE(LEFT(V90,4))+1+$T$3/100&lt;=$T$7),CONCATENATE(VALUE(LEFT(V90,4))+1,$T$2),""),IF(next_period(V90)=next_period(CONCATENATE($N$7,$N$8)),"",next_period(V90)))),"")</f>
        <v/>
      </c>
    </row>
    <row r="92" spans="22:22" x14ac:dyDescent="0.2">
      <c r="V92" s="36" t="str">
        <f ca="1">IFERROR(IF(V91="","",IF(NOT($T$2=""),IF(AND(VALUE(LEFT(V91,4))+1+$T$3/100&gt;=$T$6,VALUE(LEFT(V91,4))+1+$T$3/100&lt;=$T$7),CONCATENATE(VALUE(LEFT(V91,4))+1,$T$2),""),IF(next_period(V91)=next_period(CONCATENATE($N$7,$N$8)),"",next_period(V91)))),"")</f>
        <v/>
      </c>
    </row>
    <row r="93" spans="22:22" x14ac:dyDescent="0.2">
      <c r="V93" s="36" t="str">
        <f ca="1">IFERROR(IF(V92="","",IF(NOT($T$2=""),IF(AND(VALUE(LEFT(V92,4))+1+$T$3/100&gt;=$T$6,VALUE(LEFT(V92,4))+1+$T$3/100&lt;=$T$7),CONCATENATE(VALUE(LEFT(V92,4))+1,$T$2),""),IF(next_period(V92)=next_period(CONCATENATE($N$7,$N$8)),"",next_period(V92)))),"")</f>
        <v/>
      </c>
    </row>
    <row r="94" spans="22:22" x14ac:dyDescent="0.2">
      <c r="V94" s="36" t="str">
        <f ca="1">IFERROR(IF(V93="","",IF(NOT($T$2=""),IF(AND(VALUE(LEFT(V93,4))+1+$T$3/100&gt;=$T$6,VALUE(LEFT(V93,4))+1+$T$3/100&lt;=$T$7),CONCATENATE(VALUE(LEFT(V93,4))+1,$T$2),""),IF(next_period(V93)=next_period(CONCATENATE($N$7,$N$8)),"",next_period(V93)))),"")</f>
        <v/>
      </c>
    </row>
    <row r="95" spans="22:22" x14ac:dyDescent="0.2">
      <c r="V95" s="36" t="str">
        <f ca="1">IFERROR(IF(V94="","",IF(NOT($T$2=""),IF(AND(VALUE(LEFT(V94,4))+1+$T$3/100&gt;=$T$6,VALUE(LEFT(V94,4))+1+$T$3/100&lt;=$T$7),CONCATENATE(VALUE(LEFT(V94,4))+1,$T$2),""),IF(next_period(V94)=next_period(CONCATENATE($N$7,$N$8)),"",next_period(V94)))),"")</f>
        <v/>
      </c>
    </row>
    <row r="96" spans="22:22" x14ac:dyDescent="0.2">
      <c r="V96" s="36" t="str">
        <f ca="1">IFERROR(IF(V95="","",IF(NOT($T$2=""),IF(AND(VALUE(LEFT(V95,4))+1+$T$3/100&gt;=$T$6,VALUE(LEFT(V95,4))+1+$T$3/100&lt;=$T$7),CONCATENATE(VALUE(LEFT(V95,4))+1,$T$2),""),IF(next_period(V95)=next_period(CONCATENATE($N$7,$N$8)),"",next_period(V95)))),"")</f>
        <v/>
      </c>
    </row>
    <row r="97" spans="22:22" x14ac:dyDescent="0.2">
      <c r="V97" s="36" t="str">
        <f ca="1">IFERROR(IF(V96="","",IF(NOT($T$2=""),IF(AND(VALUE(LEFT(V96,4))+1+$T$3/100&gt;=$T$6,VALUE(LEFT(V96,4))+1+$T$3/100&lt;=$T$7),CONCATENATE(VALUE(LEFT(V96,4))+1,$T$2),""),IF(next_period(V96)=next_period(CONCATENATE($N$7,$N$8)),"",next_period(V96)))),"")</f>
        <v/>
      </c>
    </row>
    <row r="98" spans="22:22" x14ac:dyDescent="0.2">
      <c r="V98" s="36" t="str">
        <f ca="1">IFERROR(IF(V97="","",IF(NOT($T$2=""),IF(AND(VALUE(LEFT(V97,4))+1+$T$3/100&gt;=$T$6,VALUE(LEFT(V97,4))+1+$T$3/100&lt;=$T$7),CONCATENATE(VALUE(LEFT(V97,4))+1,$T$2),""),IF(next_period(V97)=next_period(CONCATENATE($N$7,$N$8)),"",next_period(V97)))),"")</f>
        <v/>
      </c>
    </row>
    <row r="99" spans="22:22" x14ac:dyDescent="0.2">
      <c r="V99" s="36" t="str">
        <f ca="1">IFERROR(IF(V98="","",IF(NOT($T$2=""),IF(AND(VALUE(LEFT(V98,4))+1+$T$3/100&gt;=$T$6,VALUE(LEFT(V98,4))+1+$T$3/100&lt;=$T$7),CONCATENATE(VALUE(LEFT(V98,4))+1,$T$2),""),IF(next_period(V98)=next_period(CONCATENATE($N$7,$N$8)),"",next_period(V98)))),"")</f>
        <v/>
      </c>
    </row>
    <row r="100" spans="22:22" x14ac:dyDescent="0.2">
      <c r="V100" s="36" t="str">
        <f ca="1">IFERROR(IF(V99="","",IF(NOT($T$2=""),IF(AND(VALUE(LEFT(V99,4))+1+$T$3/100&gt;=$T$6,VALUE(LEFT(V99,4))+1+$T$3/100&lt;=$T$7),CONCATENATE(VALUE(LEFT(V99,4))+1,$T$2),""),IF(next_period(V99)=next_period(CONCATENATE($N$7,$N$8)),"",next_period(V99)))),"")</f>
        <v/>
      </c>
    </row>
    <row r="101" spans="22:22" x14ac:dyDescent="0.2">
      <c r="V101" s="36" t="str">
        <f ca="1">IFERROR(IF(V100="","",IF(NOT($T$2=""),IF(AND(VALUE(LEFT(V100,4))+1+$T$3/100&gt;=$T$6,VALUE(LEFT(V100,4))+1+$T$3/100&lt;=$T$7),CONCATENATE(VALUE(LEFT(V100,4))+1,$T$2),""),IF(next_period(V100)=next_period(CONCATENATE($N$7,$N$8)),"",next_period(V100)))),"")</f>
        <v/>
      </c>
    </row>
    <row r="102" spans="22:22" x14ac:dyDescent="0.2">
      <c r="V102" s="36" t="str">
        <f ca="1">IFERROR(IF(V101="","",IF(NOT($T$2=""),IF(AND(VALUE(LEFT(V101,4))+1+$T$3/100&gt;=$T$6,VALUE(LEFT(V101,4))+1+$T$3/100&lt;=$T$7),CONCATENATE(VALUE(LEFT(V101,4))+1,$T$2),""),IF(next_period(V101)=next_period(CONCATENATE($N$7,$N$8)),"",next_period(V101)))),"")</f>
        <v/>
      </c>
    </row>
    <row r="103" spans="22:22" x14ac:dyDescent="0.2">
      <c r="V103" s="36" t="str">
        <f ca="1">IFERROR(IF(V102="","",IF(NOT($T$2=""),IF(AND(VALUE(LEFT(V102,4))+1+$T$3/100&gt;=$T$6,VALUE(LEFT(V102,4))+1+$T$3/100&lt;=$T$7),CONCATENATE(VALUE(LEFT(V102,4))+1,$T$2),""),IF(next_period(V102)=next_period(CONCATENATE($N$7,$N$8)),"",next_period(V102)))),"")</f>
        <v/>
      </c>
    </row>
    <row r="104" spans="22:22" x14ac:dyDescent="0.2">
      <c r="V104" s="36" t="str">
        <f ca="1">IFERROR(IF(V103="","",IF(NOT($T$2=""),IF(AND(VALUE(LEFT(V103,4))+1+$T$3/100&gt;=$T$6,VALUE(LEFT(V103,4))+1+$T$3/100&lt;=$T$7),CONCATENATE(VALUE(LEFT(V103,4))+1,$T$2),""),IF(next_period(V103)=next_period(CONCATENATE($N$7,$N$8)),"",next_period(V103)))),"")</f>
        <v/>
      </c>
    </row>
    <row r="105" spans="22:22" x14ac:dyDescent="0.2">
      <c r="V105" s="36" t="str">
        <f ca="1">IFERROR(IF(V104="","",IF(NOT($T$2=""),IF(AND(VALUE(LEFT(V104,4))+1+$T$3/100&gt;=$T$6,VALUE(LEFT(V104,4))+1+$T$3/100&lt;=$T$7),CONCATENATE(VALUE(LEFT(V104,4))+1,$T$2),""),IF(next_period(V104)=next_period(CONCATENATE($N$7,$N$8)),"",next_period(V104)))),"")</f>
        <v/>
      </c>
    </row>
    <row r="106" spans="22:22" x14ac:dyDescent="0.2">
      <c r="V106" s="36" t="str">
        <f ca="1">IFERROR(IF(V105="","",IF(NOT($T$2=""),IF(AND(VALUE(LEFT(V105,4))+1+$T$3/100&gt;=$T$6,VALUE(LEFT(V105,4))+1+$T$3/100&lt;=$T$7),CONCATENATE(VALUE(LEFT(V105,4))+1,$T$2),""),IF(next_period(V105)=next_period(CONCATENATE($N$7,$N$8)),"",next_period(V105)))),"")</f>
        <v/>
      </c>
    </row>
    <row r="107" spans="22:22" x14ac:dyDescent="0.2">
      <c r="V107" s="36" t="str">
        <f ca="1">IFERROR(IF(V106="","",IF(NOT($T$2=""),IF(AND(VALUE(LEFT(V106,4))+1+$T$3/100&gt;=$T$6,VALUE(LEFT(V106,4))+1+$T$3/100&lt;=$T$7),CONCATENATE(VALUE(LEFT(V106,4))+1,$T$2),""),IF(next_period(V106)=next_period(CONCATENATE($N$7,$N$8)),"",next_period(V106)))),"")</f>
        <v/>
      </c>
    </row>
    <row r="108" spans="22:22" x14ac:dyDescent="0.2">
      <c r="V108" s="36" t="str">
        <f ca="1">IFERROR(IF(V107="","",IF(NOT($T$2=""),IF(AND(VALUE(LEFT(V107,4))+1+$T$3/100&gt;=$T$6,VALUE(LEFT(V107,4))+1+$T$3/100&lt;=$T$7),CONCATENATE(VALUE(LEFT(V107,4))+1,$T$2),""),IF(next_period(V107)=next_period(CONCATENATE($N$7,$N$8)),"",next_period(V107)))),"")</f>
        <v/>
      </c>
    </row>
    <row r="109" spans="22:22" x14ac:dyDescent="0.2">
      <c r="V109" s="36" t="str">
        <f ca="1">IFERROR(IF(V108="","",IF(NOT($T$2=""),IF(AND(VALUE(LEFT(V108,4))+1+$T$3/100&gt;=$T$6,VALUE(LEFT(V108,4))+1+$T$3/100&lt;=$T$7),CONCATENATE(VALUE(LEFT(V108,4))+1,$T$2),""),IF(next_period(V108)=next_period(CONCATENATE($N$7,$N$8)),"",next_period(V108)))),"")</f>
        <v/>
      </c>
    </row>
    <row r="110" spans="22:22" x14ac:dyDescent="0.2">
      <c r="V110" s="36" t="str">
        <f ca="1">IFERROR(IF(V109="","",IF(NOT($T$2=""),IF(AND(VALUE(LEFT(V109,4))+1+$T$3/100&gt;=$T$6,VALUE(LEFT(V109,4))+1+$T$3/100&lt;=$T$7),CONCATENATE(VALUE(LEFT(V109,4))+1,$T$2),""),IF(next_period(V109)=next_period(CONCATENATE($N$7,$N$8)),"",next_period(V109)))),"")</f>
        <v/>
      </c>
    </row>
    <row r="111" spans="22:22" x14ac:dyDescent="0.2">
      <c r="V111" s="36" t="str">
        <f ca="1">IFERROR(IF(V110="","",IF(NOT($T$2=""),IF(AND(VALUE(LEFT(V110,4))+1+$T$3/100&gt;=$T$6,VALUE(LEFT(V110,4))+1+$T$3/100&lt;=$T$7),CONCATENATE(VALUE(LEFT(V110,4))+1,$T$2),""),IF(next_period(V110)=next_period(CONCATENATE($N$7,$N$8)),"",next_period(V110)))),"")</f>
        <v/>
      </c>
    </row>
    <row r="112" spans="22:22" x14ac:dyDescent="0.2">
      <c r="V112" s="36" t="str">
        <f ca="1">IFERROR(IF(V111="","",IF(NOT($T$2=""),IF(AND(VALUE(LEFT(V111,4))+1+$T$3/100&gt;=$T$6,VALUE(LEFT(V111,4))+1+$T$3/100&lt;=$T$7),CONCATENATE(VALUE(LEFT(V111,4))+1,$T$2),""),IF(next_period(V111)=next_period(CONCATENATE($N$7,$N$8)),"",next_period(V111)))),"")</f>
        <v/>
      </c>
    </row>
    <row r="113" spans="22:22" x14ac:dyDescent="0.2">
      <c r="V113" s="36" t="str">
        <f ca="1">IFERROR(IF(V112="","",IF(NOT($T$2=""),IF(AND(VALUE(LEFT(V112,4))+1+$T$3/100&gt;=$T$6,VALUE(LEFT(V112,4))+1+$T$3/100&lt;=$T$7),CONCATENATE(VALUE(LEFT(V112,4))+1,$T$2),""),IF(next_period(V112)=next_period(CONCATENATE($N$7,$N$8)),"",next_period(V112)))),"")</f>
        <v/>
      </c>
    </row>
    <row r="114" spans="22:22" x14ac:dyDescent="0.2">
      <c r="V114" s="36" t="str">
        <f ca="1">IFERROR(IF(V113="","",IF(NOT($T$2=""),IF(AND(VALUE(LEFT(V113,4))+1+$T$3/100&gt;=$T$6,VALUE(LEFT(V113,4))+1+$T$3/100&lt;=$T$7),CONCATENATE(VALUE(LEFT(V113,4))+1,$T$2),""),IF(next_period(V113)=next_period(CONCATENATE($N$7,$N$8)),"",next_period(V113)))),"")</f>
        <v/>
      </c>
    </row>
    <row r="115" spans="22:22" x14ac:dyDescent="0.2">
      <c r="V115" s="36" t="str">
        <f ca="1">IFERROR(IF(V114="","",IF(NOT($T$2=""),IF(AND(VALUE(LEFT(V114,4))+1+$T$3/100&gt;=$T$6,VALUE(LEFT(V114,4))+1+$T$3/100&lt;=$T$7),CONCATENATE(VALUE(LEFT(V114,4))+1,$T$2),""),IF(next_period(V114)=next_period(CONCATENATE($N$7,$N$8)),"",next_period(V114)))),"")</f>
        <v/>
      </c>
    </row>
    <row r="116" spans="22:22" x14ac:dyDescent="0.2">
      <c r="V116" s="36" t="str">
        <f ca="1">IFERROR(IF(V115="","",IF(NOT($T$2=""),IF(AND(VALUE(LEFT(V115,4))+1+$T$3/100&gt;=$T$6,VALUE(LEFT(V115,4))+1+$T$3/100&lt;=$T$7),CONCATENATE(VALUE(LEFT(V115,4))+1,$T$2),""),IF(next_period(V115)=next_period(CONCATENATE($N$7,$N$8)),"",next_period(V115)))),"")</f>
        <v/>
      </c>
    </row>
    <row r="117" spans="22:22" x14ac:dyDescent="0.2">
      <c r="V117" s="36" t="str">
        <f ca="1">IFERROR(IF(V116="","",IF(NOT($T$2=""),IF(AND(VALUE(LEFT(V116,4))+1+$T$3/100&gt;=$T$6,VALUE(LEFT(V116,4))+1+$T$3/100&lt;=$T$7),CONCATENATE(VALUE(LEFT(V116,4))+1,$T$2),""),IF(next_period(V116)=next_period(CONCATENATE($N$7,$N$8)),"",next_period(V116)))),"")</f>
        <v/>
      </c>
    </row>
    <row r="118" spans="22:22" x14ac:dyDescent="0.2">
      <c r="V118" s="36" t="str">
        <f ca="1">IFERROR(IF(V117="","",IF(NOT($T$2=""),IF(AND(VALUE(LEFT(V117,4))+1+$T$3/100&gt;=$T$6,VALUE(LEFT(V117,4))+1+$T$3/100&lt;=$T$7),CONCATENATE(VALUE(LEFT(V117,4))+1,$T$2),""),IF(next_period(V117)=next_period(CONCATENATE($N$7,$N$8)),"",next_period(V117)))),"")</f>
        <v/>
      </c>
    </row>
    <row r="119" spans="22:22" x14ac:dyDescent="0.2">
      <c r="V119" s="36" t="str">
        <f ca="1">IFERROR(IF(V118="","",IF(NOT($T$2=""),IF(AND(VALUE(LEFT(V118,4))+1+$T$3/100&gt;=$T$6,VALUE(LEFT(V118,4))+1+$T$3/100&lt;=$T$7),CONCATENATE(VALUE(LEFT(V118,4))+1,$T$2),""),IF(next_period(V118)=next_period(CONCATENATE($N$7,$N$8)),"",next_period(V118)))),"")</f>
        <v/>
      </c>
    </row>
    <row r="120" spans="22:22" x14ac:dyDescent="0.2">
      <c r="V120" s="36" t="str">
        <f ca="1">IFERROR(IF(V119="","",IF(NOT($T$2=""),IF(AND(VALUE(LEFT(V119,4))+1+$T$3/100&gt;=$T$6,VALUE(LEFT(V119,4))+1+$T$3/100&lt;=$T$7),CONCATENATE(VALUE(LEFT(V119,4))+1,$T$2),""),IF(next_period(V119)=next_period(CONCATENATE($N$7,$N$8)),"",next_period(V119)))),"")</f>
        <v/>
      </c>
    </row>
    <row r="121" spans="22:22" x14ac:dyDescent="0.2">
      <c r="V121" s="36" t="str">
        <f ca="1">IFERROR(IF(V120="","",IF(NOT($T$2=""),IF(AND(VALUE(LEFT(V120,4))+1+$T$3/100&gt;=$T$6,VALUE(LEFT(V120,4))+1+$T$3/100&lt;=$T$7),CONCATENATE(VALUE(LEFT(V120,4))+1,$T$2),""),IF(next_period(V120)=next_period(CONCATENATE($N$7,$N$8)),"",next_period(V120)))),"")</f>
        <v/>
      </c>
    </row>
    <row r="122" spans="22:22" x14ac:dyDescent="0.2">
      <c r="V122" s="36" t="str">
        <f ca="1">IFERROR(IF(V121="","",IF(NOT($T$2=""),IF(AND(VALUE(LEFT(V121,4))+1+$T$3/100&gt;=$T$6,VALUE(LEFT(V121,4))+1+$T$3/100&lt;=$T$7),CONCATENATE(VALUE(LEFT(V121,4))+1,$T$2),""),IF(next_period(V121)=next_period(CONCATENATE($N$7,$N$8)),"",next_period(V121)))),"")</f>
        <v/>
      </c>
    </row>
    <row r="123" spans="22:22" x14ac:dyDescent="0.2">
      <c r="V123" s="36" t="str">
        <f ca="1">IFERROR(IF(V122="","",IF(NOT($T$2=""),IF(AND(VALUE(LEFT(V122,4))+1+$T$3/100&gt;=$T$6,VALUE(LEFT(V122,4))+1+$T$3/100&lt;=$T$7),CONCATENATE(VALUE(LEFT(V122,4))+1,$T$2),""),IF(next_period(V122)=next_period(CONCATENATE($N$7,$N$8)),"",next_period(V122)))),"")</f>
        <v/>
      </c>
    </row>
    <row r="124" spans="22:22" x14ac:dyDescent="0.2">
      <c r="V124" s="36" t="str">
        <f ca="1">IFERROR(IF(V123="","",IF(NOT($T$2=""),IF(AND(VALUE(LEFT(V123,4))+1+$T$3/100&gt;=$T$6,VALUE(LEFT(V123,4))+1+$T$3/100&lt;=$T$7),CONCATENATE(VALUE(LEFT(V123,4))+1,$T$2),""),IF(next_period(V123)=next_period(CONCATENATE($N$7,$N$8)),"",next_period(V123)))),"")</f>
        <v/>
      </c>
    </row>
    <row r="125" spans="22:22" x14ac:dyDescent="0.2">
      <c r="V125" s="36" t="str">
        <f ca="1">IFERROR(IF(V124="","",IF(NOT($T$2=""),IF(AND(VALUE(LEFT(V124,4))+1+$T$3/100&gt;=$T$6,VALUE(LEFT(V124,4))+1+$T$3/100&lt;=$T$7),CONCATENATE(VALUE(LEFT(V124,4))+1,$T$2),""),IF(next_period(V124)=next_period(CONCATENATE($N$7,$N$8)),"",next_period(V124)))),"")</f>
        <v/>
      </c>
    </row>
    <row r="126" spans="22:22" x14ac:dyDescent="0.2">
      <c r="V126" s="36" t="str">
        <f ca="1">IFERROR(IF(V125="","",IF(NOT($T$2=""),IF(AND(VALUE(LEFT(V125,4))+1+$T$3/100&gt;=$T$6,VALUE(LEFT(V125,4))+1+$T$3/100&lt;=$T$7),CONCATENATE(VALUE(LEFT(V125,4))+1,$T$2),""),IF(next_period(V125)=next_period(CONCATENATE($N$7,$N$8)),"",next_period(V125)))),"")</f>
        <v/>
      </c>
    </row>
    <row r="127" spans="22:22" x14ac:dyDescent="0.2">
      <c r="V127" s="36" t="str">
        <f ca="1">IFERROR(IF(V126="","",IF(NOT($T$2=""),IF(AND(VALUE(LEFT(V126,4))+1+$T$3/100&gt;=$T$6,VALUE(LEFT(V126,4))+1+$T$3/100&lt;=$T$7),CONCATENATE(VALUE(LEFT(V126,4))+1,$T$2),""),IF(next_period(V126)=next_period(CONCATENATE($N$7,$N$8)),"",next_period(V126)))),"")</f>
        <v/>
      </c>
    </row>
    <row r="128" spans="22:22" x14ac:dyDescent="0.2">
      <c r="V128" s="36" t="str">
        <f ca="1">IFERROR(IF(V127="","",IF(NOT($T$2=""),IF(AND(VALUE(LEFT(V127,4))+1+$T$3/100&gt;=$T$6,VALUE(LEFT(V127,4))+1+$T$3/100&lt;=$T$7),CONCATENATE(VALUE(LEFT(V127,4))+1,$T$2),""),IF(next_period(V127)=next_period(CONCATENATE($N$7,$N$8)),"",next_period(V127)))),"")</f>
        <v/>
      </c>
    </row>
    <row r="129" spans="22:22" x14ac:dyDescent="0.2">
      <c r="V129" s="36" t="str">
        <f ca="1">IFERROR(IF(V128="","",IF(NOT($T$2=""),IF(AND(VALUE(LEFT(V128,4))+1+$T$3/100&gt;=$T$6,VALUE(LEFT(V128,4))+1+$T$3/100&lt;=$T$7),CONCATENATE(VALUE(LEFT(V128,4))+1,$T$2),""),IF(next_period(V128)=next_period(CONCATENATE($N$7,$N$8)),"",next_period(V128)))),"")</f>
        <v/>
      </c>
    </row>
    <row r="130" spans="22:22" x14ac:dyDescent="0.2">
      <c r="V130" s="36" t="str">
        <f ca="1">IFERROR(IF(V129="","",IF(NOT($T$2=""),IF(AND(VALUE(LEFT(V129,4))+1+$T$3/100&gt;=$T$6,VALUE(LEFT(V129,4))+1+$T$3/100&lt;=$T$7),CONCATENATE(VALUE(LEFT(V129,4))+1,$T$2),""),IF(next_period(V129)=next_period(CONCATENATE($N$7,$N$8)),"",next_period(V129)))),"")</f>
        <v/>
      </c>
    </row>
    <row r="131" spans="22:22" x14ac:dyDescent="0.2">
      <c r="V131" s="36" t="str">
        <f ca="1">IFERROR(IF(V130="","",IF(NOT($T$2=""),IF(AND(VALUE(LEFT(V130,4))+1+$T$3/100&gt;=$T$6,VALUE(LEFT(V130,4))+1+$T$3/100&lt;=$T$7),CONCATENATE(VALUE(LEFT(V130,4))+1,$T$2),""),IF(next_period(V130)=next_period(CONCATENATE($N$7,$N$8)),"",next_period(V130)))),"")</f>
        <v/>
      </c>
    </row>
    <row r="132" spans="22:22" x14ac:dyDescent="0.2">
      <c r="V132" s="36" t="str">
        <f ca="1">IFERROR(IF(V131="","",IF(NOT($T$2=""),IF(AND(VALUE(LEFT(V131,4))+1+$T$3/100&gt;=$T$6,VALUE(LEFT(V131,4))+1+$T$3/100&lt;=$T$7),CONCATENATE(VALUE(LEFT(V131,4))+1,$T$2),""),IF(next_period(V131)=next_period(CONCATENATE($N$7,$N$8)),"",next_period(V131)))),"")</f>
        <v/>
      </c>
    </row>
    <row r="133" spans="22:22" x14ac:dyDescent="0.2">
      <c r="V133" s="36" t="str">
        <f ca="1">IFERROR(IF(V132="","",IF(NOT($T$2=""),IF(AND(VALUE(LEFT(V132,4))+1+$T$3/100&gt;=$T$6,VALUE(LEFT(V132,4))+1+$T$3/100&lt;=$T$7),CONCATENATE(VALUE(LEFT(V132,4))+1,$T$2),""),IF(next_period(V132)=next_period(CONCATENATE($N$7,$N$8)),"",next_period(V132)))),"")</f>
        <v/>
      </c>
    </row>
    <row r="134" spans="22:22" x14ac:dyDescent="0.2">
      <c r="V134" s="36" t="str">
        <f ca="1">IFERROR(IF(V133="","",IF(NOT($T$2=""),IF(AND(VALUE(LEFT(V133,4))+1+$T$3/100&gt;=$T$6,VALUE(LEFT(V133,4))+1+$T$3/100&lt;=$T$7),CONCATENATE(VALUE(LEFT(V133,4))+1,$T$2),""),IF(next_period(V133)=next_period(CONCATENATE($N$7,$N$8)),"",next_period(V133)))),"")</f>
        <v/>
      </c>
    </row>
    <row r="135" spans="22:22" x14ac:dyDescent="0.2">
      <c r="V135" s="36" t="str">
        <f ca="1">IFERROR(IF(V134="","",IF(NOT($T$2=""),IF(AND(VALUE(LEFT(V134,4))+1+$T$3/100&gt;=$T$6,VALUE(LEFT(V134,4))+1+$T$3/100&lt;=$T$7),CONCATENATE(VALUE(LEFT(V134,4))+1,$T$2),""),IF(next_period(V134)=next_period(CONCATENATE($N$7,$N$8)),"",next_period(V134)))),"")</f>
        <v/>
      </c>
    </row>
    <row r="136" spans="22:22" x14ac:dyDescent="0.2">
      <c r="V136" s="36" t="str">
        <f ca="1">IFERROR(IF(V135="","",IF(NOT($T$2=""),IF(AND(VALUE(LEFT(V135,4))+1+$T$3/100&gt;=$T$6,VALUE(LEFT(V135,4))+1+$T$3/100&lt;=$T$7),CONCATENATE(VALUE(LEFT(V135,4))+1,$T$2),""),IF(next_period(V135)=next_period(CONCATENATE($N$7,$N$8)),"",next_period(V135)))),"")</f>
        <v/>
      </c>
    </row>
    <row r="137" spans="22:22" x14ac:dyDescent="0.2">
      <c r="V137" s="36" t="str">
        <f ca="1">IFERROR(IF(V136="","",IF(NOT($T$2=""),IF(AND(VALUE(LEFT(V136,4))+1+$T$3/100&gt;=$T$6,VALUE(LEFT(V136,4))+1+$T$3/100&lt;=$T$7),CONCATENATE(VALUE(LEFT(V136,4))+1,$T$2),""),IF(next_period(V136)=next_period(CONCATENATE($N$7,$N$8)),"",next_period(V136)))),"")</f>
        <v/>
      </c>
    </row>
    <row r="138" spans="22:22" x14ac:dyDescent="0.2">
      <c r="V138" s="36" t="str">
        <f ca="1">IFERROR(IF(V137="","",IF(NOT($T$2=""),IF(AND(VALUE(LEFT(V137,4))+1+$T$3/100&gt;=$T$6,VALUE(LEFT(V137,4))+1+$T$3/100&lt;=$T$7),CONCATENATE(VALUE(LEFT(V137,4))+1,$T$2),""),IF(next_period(V137)=next_period(CONCATENATE($N$7,$N$8)),"",next_period(V137)))),"")</f>
        <v/>
      </c>
    </row>
    <row r="139" spans="22:22" x14ac:dyDescent="0.2">
      <c r="V139" s="36" t="str">
        <f ca="1">IFERROR(IF(V138="","",IF(NOT($T$2=""),IF(AND(VALUE(LEFT(V138,4))+1+$T$3/100&gt;=$T$6,VALUE(LEFT(V138,4))+1+$T$3/100&lt;=$T$7),CONCATENATE(VALUE(LEFT(V138,4))+1,$T$2),""),IF(next_period(V138)=next_period(CONCATENATE($N$7,$N$8)),"",next_period(V138)))),"")</f>
        <v/>
      </c>
    </row>
    <row r="140" spans="22:22" x14ac:dyDescent="0.2">
      <c r="V140" s="36" t="str">
        <f ca="1">IFERROR(IF(V139="","",IF(NOT($T$2=""),IF(AND(VALUE(LEFT(V139,4))+1+$T$3/100&gt;=$T$6,VALUE(LEFT(V139,4))+1+$T$3/100&lt;=$T$7),CONCATENATE(VALUE(LEFT(V139,4))+1,$T$2),""),IF(next_period(V139)=next_period(CONCATENATE($N$7,$N$8)),"",next_period(V139)))),"")</f>
        <v/>
      </c>
    </row>
    <row r="141" spans="22:22" x14ac:dyDescent="0.2">
      <c r="V141" s="36" t="str">
        <f ca="1">IFERROR(IF(V140="","",IF(NOT($T$2=""),IF(AND(VALUE(LEFT(V140,4))+1+$T$3/100&gt;=$T$6,VALUE(LEFT(V140,4))+1+$T$3/100&lt;=$T$7),CONCATENATE(VALUE(LEFT(V140,4))+1,$T$2),""),IF(next_period(V140)=next_period(CONCATENATE($N$7,$N$8)),"",next_period(V140)))),"")</f>
        <v/>
      </c>
    </row>
    <row r="142" spans="22:22" x14ac:dyDescent="0.2">
      <c r="V142" s="36" t="str">
        <f ca="1">IFERROR(IF(V141="","",IF(NOT($T$2=""),IF(AND(VALUE(LEFT(V141,4))+1+$T$3/100&gt;=$T$6,VALUE(LEFT(V141,4))+1+$T$3/100&lt;=$T$7),CONCATENATE(VALUE(LEFT(V141,4))+1,$T$2),""),IF(next_period(V141)=next_period(CONCATENATE($N$7,$N$8)),"",next_period(V141)))),"")</f>
        <v/>
      </c>
    </row>
    <row r="143" spans="22:22" x14ac:dyDescent="0.2">
      <c r="V143" s="36" t="str">
        <f ca="1">IFERROR(IF(V142="","",IF(NOT($T$2=""),IF(AND(VALUE(LEFT(V142,4))+1+$T$3/100&gt;=$T$6,VALUE(LEFT(V142,4))+1+$T$3/100&lt;=$T$7),CONCATENATE(VALUE(LEFT(V142,4))+1,$T$2),""),IF(next_period(V142)=next_period(CONCATENATE($N$7,$N$8)),"",next_period(V142)))),"")</f>
        <v/>
      </c>
    </row>
    <row r="144" spans="22:22" x14ac:dyDescent="0.2">
      <c r="V144" s="36" t="str">
        <f ca="1">IFERROR(IF(V143="","",IF(NOT($T$2=""),IF(AND(VALUE(LEFT(V143,4))+1+$T$3/100&gt;=$T$6,VALUE(LEFT(V143,4))+1+$T$3/100&lt;=$T$7),CONCATENATE(VALUE(LEFT(V143,4))+1,$T$2),""),IF(next_period(V143)=next_period(CONCATENATE($N$7,$N$8)),"",next_period(V143)))),"")</f>
        <v/>
      </c>
    </row>
    <row r="145" spans="22:22" x14ac:dyDescent="0.2">
      <c r="V145" s="36" t="str">
        <f ca="1">IFERROR(IF(V144="","",IF(NOT($T$2=""),IF(AND(VALUE(LEFT(V144,4))+1+$T$3/100&gt;=$T$6,VALUE(LEFT(V144,4))+1+$T$3/100&lt;=$T$7),CONCATENATE(VALUE(LEFT(V144,4))+1,$T$2),""),IF(next_period(V144)=next_period(CONCATENATE($N$7,$N$8)),"",next_period(V144)))),"")</f>
        <v/>
      </c>
    </row>
    <row r="146" spans="22:22" x14ac:dyDescent="0.2">
      <c r="V146" s="36" t="str">
        <f ca="1">IFERROR(IF(V145="","",IF(NOT($T$2=""),IF(AND(VALUE(LEFT(V145,4))+1+$T$3/100&gt;=$T$6,VALUE(LEFT(V145,4))+1+$T$3/100&lt;=$T$7),CONCATENATE(VALUE(LEFT(V145,4))+1,$T$2),""),IF(next_period(V145)=next_period(CONCATENATE($N$7,$N$8)),"",next_period(V145)))),"")</f>
        <v/>
      </c>
    </row>
    <row r="147" spans="22:22" x14ac:dyDescent="0.2">
      <c r="V147" s="36" t="str">
        <f ca="1">IFERROR(IF(V146="","",IF(NOT($T$2=""),IF(AND(VALUE(LEFT(V146,4))+1+$T$3/100&gt;=$T$6,VALUE(LEFT(V146,4))+1+$T$3/100&lt;=$T$7),CONCATENATE(VALUE(LEFT(V146,4))+1,$T$2),""),IF(next_period(V146)=next_period(CONCATENATE($N$7,$N$8)),"",next_period(V146)))),"")</f>
        <v/>
      </c>
    </row>
    <row r="148" spans="22:22" x14ac:dyDescent="0.2">
      <c r="V148" s="36" t="str">
        <f ca="1">IFERROR(IF(V147="","",IF(NOT($T$2=""),IF(AND(VALUE(LEFT(V147,4))+1+$T$3/100&gt;=$T$6,VALUE(LEFT(V147,4))+1+$T$3/100&lt;=$T$7),CONCATENATE(VALUE(LEFT(V147,4))+1,$T$2),""),IF(next_period(V147)=next_period(CONCATENATE($N$7,$N$8)),"",next_period(V147)))),"")</f>
        <v/>
      </c>
    </row>
    <row r="149" spans="22:22" x14ac:dyDescent="0.2">
      <c r="V149" s="36" t="str">
        <f ca="1">IFERROR(IF(V148="","",IF(NOT($T$2=""),IF(AND(VALUE(LEFT(V148,4))+1+$T$3/100&gt;=$T$6,VALUE(LEFT(V148,4))+1+$T$3/100&lt;=$T$7),CONCATENATE(VALUE(LEFT(V148,4))+1,$T$2),""),IF(next_period(V148)=next_period(CONCATENATE($N$7,$N$8)),"",next_period(V148)))),"")</f>
        <v/>
      </c>
    </row>
    <row r="150" spans="22:22" x14ac:dyDescent="0.2">
      <c r="V150" s="36" t="str">
        <f ca="1">IFERROR(IF(V149="","",IF(NOT($T$2=""),IF(AND(VALUE(LEFT(V149,4))+1+$T$3/100&gt;=$T$6,VALUE(LEFT(V149,4))+1+$T$3/100&lt;=$T$7),CONCATENATE(VALUE(LEFT(V149,4))+1,$T$2),""),IF(next_period(V149)=next_period(CONCATENATE($N$7,$N$8)),"",next_period(V149)))),"")</f>
        <v/>
      </c>
    </row>
    <row r="151" spans="22:22" x14ac:dyDescent="0.2">
      <c r="V151" s="36" t="str">
        <f ca="1">IFERROR(IF(V150="","",IF(NOT($T$2=""),IF(AND(VALUE(LEFT(V150,4))+1+$T$3/100&gt;=$T$6,VALUE(LEFT(V150,4))+1+$T$3/100&lt;=$T$7),CONCATENATE(VALUE(LEFT(V150,4))+1,$T$2),""),IF(next_period(V150)=next_period(CONCATENATE($N$7,$N$8)),"",next_period(V150)))),"")</f>
        <v/>
      </c>
    </row>
    <row r="152" spans="22:22" x14ac:dyDescent="0.2">
      <c r="V152" s="36" t="str">
        <f ca="1">IFERROR(IF(V151="","",IF(NOT($T$2=""),IF(AND(VALUE(LEFT(V151,4))+1+$T$3/100&gt;=$T$6,VALUE(LEFT(V151,4))+1+$T$3/100&lt;=$T$7),CONCATENATE(VALUE(LEFT(V151,4))+1,$T$2),""),IF(next_period(V151)=next_period(CONCATENATE($N$7,$N$8)),"",next_period(V151)))),"")</f>
        <v/>
      </c>
    </row>
    <row r="153" spans="22:22" x14ac:dyDescent="0.2">
      <c r="V153" s="36" t="str">
        <f ca="1">IFERROR(IF(V152="","",IF(NOT($T$2=""),IF(AND(VALUE(LEFT(V152,4))+1+$T$3/100&gt;=$T$6,VALUE(LEFT(V152,4))+1+$T$3/100&lt;=$T$7),CONCATENATE(VALUE(LEFT(V152,4))+1,$T$2),""),IF(next_period(V152)=next_period(CONCATENATE($N$7,$N$8)),"",next_period(V152)))),"")</f>
        <v/>
      </c>
    </row>
    <row r="154" spans="22:22" x14ac:dyDescent="0.2">
      <c r="V154" s="36" t="str">
        <f ca="1">IFERROR(IF(V153="","",IF(NOT($T$2=""),IF(AND(VALUE(LEFT(V153,4))+1+$T$3/100&gt;=$T$6,VALUE(LEFT(V153,4))+1+$T$3/100&lt;=$T$7),CONCATENATE(VALUE(LEFT(V153,4))+1,$T$2),""),IF(next_period(V153)=next_period(CONCATENATE($N$7,$N$8)),"",next_period(V153)))),"")</f>
        <v/>
      </c>
    </row>
    <row r="155" spans="22:22" x14ac:dyDescent="0.2">
      <c r="V155" s="36" t="str">
        <f ca="1">IFERROR(IF(V154="","",IF(NOT($T$2=""),IF(AND(VALUE(LEFT(V154,4))+1+$T$3/100&gt;=$T$6,VALUE(LEFT(V154,4))+1+$T$3/100&lt;=$T$7),CONCATENATE(VALUE(LEFT(V154,4))+1,$T$2),""),IF(next_period(V154)=next_period(CONCATENATE($N$7,$N$8)),"",next_period(V154)))),"")</f>
        <v/>
      </c>
    </row>
    <row r="156" spans="22:22" x14ac:dyDescent="0.2">
      <c r="V156" s="36" t="str">
        <f ca="1">IFERROR(IF(V155="","",IF(NOT($T$2=""),IF(AND(VALUE(LEFT(V155,4))+1+$T$3/100&gt;=$T$6,VALUE(LEFT(V155,4))+1+$T$3/100&lt;=$T$7),CONCATENATE(VALUE(LEFT(V155,4))+1,$T$2),""),IF(next_period(V155)=next_period(CONCATENATE($N$7,$N$8)),"",next_period(V155)))),"")</f>
        <v/>
      </c>
    </row>
    <row r="157" spans="22:22" x14ac:dyDescent="0.2">
      <c r="V157" s="36" t="str">
        <f ca="1">IFERROR(IF(V156="","",IF(NOT($T$2=""),IF(AND(VALUE(LEFT(V156,4))+1+$T$3/100&gt;=$T$6,VALUE(LEFT(V156,4))+1+$T$3/100&lt;=$T$7),CONCATENATE(VALUE(LEFT(V156,4))+1,$T$2),""),IF(next_period(V156)=next_period(CONCATENATE($N$7,$N$8)),"",next_period(V156)))),"")</f>
        <v/>
      </c>
    </row>
    <row r="158" spans="22:22" x14ac:dyDescent="0.2">
      <c r="V158" s="36" t="str">
        <f ca="1">IFERROR(IF(V157="","",IF(NOT($T$2=""),IF(AND(VALUE(LEFT(V157,4))+1+$T$3/100&gt;=$T$6,VALUE(LEFT(V157,4))+1+$T$3/100&lt;=$T$7),CONCATENATE(VALUE(LEFT(V157,4))+1,$T$2),""),IF(next_period(V157)=next_period(CONCATENATE($N$7,$N$8)),"",next_period(V157)))),"")</f>
        <v/>
      </c>
    </row>
    <row r="159" spans="22:22" x14ac:dyDescent="0.2">
      <c r="V159" s="36" t="str">
        <f ca="1">IFERROR(IF(V158="","",IF(NOT($T$2=""),IF(AND(VALUE(LEFT(V158,4))+1+$T$3/100&gt;=$T$6,VALUE(LEFT(V158,4))+1+$T$3/100&lt;=$T$7),CONCATENATE(VALUE(LEFT(V158,4))+1,$T$2),""),IF(next_period(V158)=next_period(CONCATENATE($N$7,$N$8)),"",next_period(V158)))),"")</f>
        <v/>
      </c>
    </row>
    <row r="160" spans="22:22" x14ac:dyDescent="0.2">
      <c r="V160" s="36" t="str">
        <f ca="1">IFERROR(IF(V159="","",IF(NOT($T$2=""),IF(AND(VALUE(LEFT(V159,4))+1+$T$3/100&gt;=$T$6,VALUE(LEFT(V159,4))+1+$T$3/100&lt;=$T$7),CONCATENATE(VALUE(LEFT(V159,4))+1,$T$2),""),IF(next_period(V159)=next_period(CONCATENATE($N$7,$N$8)),"",next_period(V159)))),"")</f>
        <v/>
      </c>
    </row>
    <row r="161" spans="22:22" x14ac:dyDescent="0.2">
      <c r="V161" s="36" t="str">
        <f ca="1">IFERROR(IF(V160="","",IF(NOT($T$2=""),IF(AND(VALUE(LEFT(V160,4))+1+$T$3/100&gt;=$T$6,VALUE(LEFT(V160,4))+1+$T$3/100&lt;=$T$7),CONCATENATE(VALUE(LEFT(V160,4))+1,$T$2),""),IF(next_period(V160)=next_period(CONCATENATE($N$7,$N$8)),"",next_period(V160)))),"")</f>
        <v/>
      </c>
    </row>
    <row r="162" spans="22:22" x14ac:dyDescent="0.2">
      <c r="V162" s="36" t="str">
        <f ca="1">IFERROR(IF(V161="","",IF(NOT($T$2=""),IF(AND(VALUE(LEFT(V161,4))+1+$T$3/100&gt;=$T$6,VALUE(LEFT(V161,4))+1+$T$3/100&lt;=$T$7),CONCATENATE(VALUE(LEFT(V161,4))+1,$T$2),""),IF(next_period(V161)=next_period(CONCATENATE($N$7,$N$8)),"",next_period(V161)))),"")</f>
        <v/>
      </c>
    </row>
    <row r="163" spans="22:22" x14ac:dyDescent="0.2">
      <c r="V163" s="36" t="str">
        <f ca="1">IFERROR(IF(V162="","",IF(NOT($T$2=""),IF(AND(VALUE(LEFT(V162,4))+1+$T$3/100&gt;=$T$6,VALUE(LEFT(V162,4))+1+$T$3/100&lt;=$T$7),CONCATENATE(VALUE(LEFT(V162,4))+1,$T$2),""),IF(next_period(V162)=next_period(CONCATENATE($N$7,$N$8)),"",next_period(V162)))),"")</f>
        <v/>
      </c>
    </row>
    <row r="164" spans="22:22" x14ac:dyDescent="0.2">
      <c r="V164" s="36" t="str">
        <f ca="1">IFERROR(IF(V163="","",IF(NOT($T$2=""),IF(AND(VALUE(LEFT(V163,4))+1+$T$3/100&gt;=$T$6,VALUE(LEFT(V163,4))+1+$T$3/100&lt;=$T$7),CONCATENATE(VALUE(LEFT(V163,4))+1,$T$2),""),IF(next_period(V163)=next_period(CONCATENATE($N$7,$N$8)),"",next_period(V163)))),"")</f>
        <v/>
      </c>
    </row>
    <row r="165" spans="22:22" x14ac:dyDescent="0.2">
      <c r="V165" s="36" t="str">
        <f ca="1">IFERROR(IF(V164="","",IF(NOT($T$2=""),IF(AND(VALUE(LEFT(V164,4))+1+$T$3/100&gt;=$T$6,VALUE(LEFT(V164,4))+1+$T$3/100&lt;=$T$7),CONCATENATE(VALUE(LEFT(V164,4))+1,$T$2),""),IF(next_period(V164)=next_period(CONCATENATE($N$7,$N$8)),"",next_period(V164)))),"")</f>
        <v/>
      </c>
    </row>
    <row r="166" spans="22:22" x14ac:dyDescent="0.2">
      <c r="V166" s="36" t="str">
        <f ca="1">IFERROR(IF(V165="","",IF(NOT($T$2=""),IF(AND(VALUE(LEFT(V165,4))+1+$T$3/100&gt;=$T$6,VALUE(LEFT(V165,4))+1+$T$3/100&lt;=$T$7),CONCATENATE(VALUE(LEFT(V165,4))+1,$T$2),""),IF(next_period(V165)=next_period(CONCATENATE($N$7,$N$8)),"",next_period(V165)))),"")</f>
        <v/>
      </c>
    </row>
    <row r="167" spans="22:22" x14ac:dyDescent="0.2">
      <c r="V167" s="36" t="str">
        <f ca="1">IFERROR(IF(V166="","",IF(NOT($T$2=""),IF(AND(VALUE(LEFT(V166,4))+1+$T$3/100&gt;=$T$6,VALUE(LEFT(V166,4))+1+$T$3/100&lt;=$T$7),CONCATENATE(VALUE(LEFT(V166,4))+1,$T$2),""),IF(next_period(V166)=next_period(CONCATENATE($N$7,$N$8)),"",next_period(V166)))),"")</f>
        <v/>
      </c>
    </row>
    <row r="168" spans="22:22" x14ac:dyDescent="0.2">
      <c r="V168" s="36" t="str">
        <f ca="1">IFERROR(IF(V167="","",IF(NOT($T$2=""),IF(AND(VALUE(LEFT(V167,4))+1+$T$3/100&gt;=$T$6,VALUE(LEFT(V167,4))+1+$T$3/100&lt;=$T$7),CONCATENATE(VALUE(LEFT(V167,4))+1,$T$2),""),IF(next_period(V167)=next_period(CONCATENATE($N$7,$N$8)),"",next_period(V167)))),"")</f>
        <v/>
      </c>
    </row>
    <row r="169" spans="22:22" x14ac:dyDescent="0.2">
      <c r="V169" s="36" t="str">
        <f ca="1">IFERROR(IF(V168="","",IF(NOT($T$2=""),IF(AND(VALUE(LEFT(V168,4))+1+$T$3/100&gt;=$T$6,VALUE(LEFT(V168,4))+1+$T$3/100&lt;=$T$7),CONCATENATE(VALUE(LEFT(V168,4))+1,$T$2),""),IF(next_period(V168)=next_period(CONCATENATE($N$7,$N$8)),"",next_period(V168)))),"")</f>
        <v/>
      </c>
    </row>
    <row r="170" spans="22:22" x14ac:dyDescent="0.2">
      <c r="V170" s="36" t="str">
        <f ca="1">IFERROR(IF(V169="","",IF(NOT($T$2=""),IF(AND(VALUE(LEFT(V169,4))+1+$T$3/100&gt;=$T$6,VALUE(LEFT(V169,4))+1+$T$3/100&lt;=$T$7),CONCATENATE(VALUE(LEFT(V169,4))+1,$T$2),""),IF(next_period(V169)=next_period(CONCATENATE($N$7,$N$8)),"",next_period(V169)))),"")</f>
        <v/>
      </c>
    </row>
    <row r="171" spans="22:22" x14ac:dyDescent="0.2">
      <c r="V171" s="36" t="str">
        <f ca="1">IFERROR(IF(V170="","",IF(NOT($T$2=""),IF(AND(VALUE(LEFT(V170,4))+1+$T$3/100&gt;=$T$6,VALUE(LEFT(V170,4))+1+$T$3/100&lt;=$T$7),CONCATENATE(VALUE(LEFT(V170,4))+1,$T$2),""),IF(next_period(V170)=next_period(CONCATENATE($N$7,$N$8)),"",next_period(V170)))),"")</f>
        <v/>
      </c>
    </row>
    <row r="172" spans="22:22" x14ac:dyDescent="0.2">
      <c r="V172" s="36" t="str">
        <f ca="1">IFERROR(IF(V171="","",IF(NOT($T$2=""),IF(AND(VALUE(LEFT(V171,4))+1+$T$3/100&gt;=$T$6,VALUE(LEFT(V171,4))+1+$T$3/100&lt;=$T$7),CONCATENATE(VALUE(LEFT(V171,4))+1,$T$2),""),IF(next_period(V171)=next_period(CONCATENATE($N$7,$N$8)),"",next_period(V171)))),"")</f>
        <v/>
      </c>
    </row>
    <row r="173" spans="22:22" x14ac:dyDescent="0.2">
      <c r="V173" s="36" t="str">
        <f ca="1">IFERROR(IF(V172="","",IF(NOT($T$2=""),IF(AND(VALUE(LEFT(V172,4))+1+$T$3/100&gt;=$T$6,VALUE(LEFT(V172,4))+1+$T$3/100&lt;=$T$7),CONCATENATE(VALUE(LEFT(V172,4))+1,$T$2),""),IF(next_period(V172)=next_period(CONCATENATE($N$7,$N$8)),"",next_period(V172)))),"")</f>
        <v/>
      </c>
    </row>
    <row r="174" spans="22:22" x14ac:dyDescent="0.2">
      <c r="V174" s="36" t="str">
        <f ca="1">IFERROR(IF(V173="","",IF(NOT($T$2=""),IF(AND(VALUE(LEFT(V173,4))+1+$T$3/100&gt;=$T$6,VALUE(LEFT(V173,4))+1+$T$3/100&lt;=$T$7),CONCATENATE(VALUE(LEFT(V173,4))+1,$T$2),""),IF(next_period(V173)=next_period(CONCATENATE($N$7,$N$8)),"",next_period(V173)))),"")</f>
        <v/>
      </c>
    </row>
    <row r="175" spans="22:22" x14ac:dyDescent="0.2">
      <c r="V175" s="36" t="str">
        <f ca="1">IFERROR(IF(V174="","",IF(NOT($T$2=""),IF(AND(VALUE(LEFT(V174,4))+1+$T$3/100&gt;=$T$6,VALUE(LEFT(V174,4))+1+$T$3/100&lt;=$T$7),CONCATENATE(VALUE(LEFT(V174,4))+1,$T$2),""),IF(next_period(V174)=next_period(CONCATENATE($N$7,$N$8)),"",next_period(V174)))),"")</f>
        <v/>
      </c>
    </row>
    <row r="176" spans="22:22" x14ac:dyDescent="0.2">
      <c r="V176" s="36" t="str">
        <f ca="1">IFERROR(IF(V175="","",IF(NOT($T$2=""),IF(AND(VALUE(LEFT(V175,4))+1+$T$3/100&gt;=$T$6,VALUE(LEFT(V175,4))+1+$T$3/100&lt;=$T$7),CONCATENATE(VALUE(LEFT(V175,4))+1,$T$2),""),IF(next_period(V175)=next_period(CONCATENATE($N$7,$N$8)),"",next_period(V175)))),"")</f>
        <v/>
      </c>
    </row>
    <row r="177" spans="22:22" x14ac:dyDescent="0.2">
      <c r="V177" s="36" t="str">
        <f ca="1">IFERROR(IF(V176="","",IF(NOT($T$2=""),IF(AND(VALUE(LEFT(V176,4))+1+$T$3/100&gt;=$T$6,VALUE(LEFT(V176,4))+1+$T$3/100&lt;=$T$7),CONCATENATE(VALUE(LEFT(V176,4))+1,$T$2),""),IF(next_period(V176)=next_period(CONCATENATE($N$7,$N$8)),"",next_period(V176)))),"")</f>
        <v/>
      </c>
    </row>
    <row r="178" spans="22:22" x14ac:dyDescent="0.2">
      <c r="V178" s="36" t="str">
        <f ca="1">IFERROR(IF(V177="","",IF(NOT($T$2=""),IF(AND(VALUE(LEFT(V177,4))+1+$T$3/100&gt;=$T$6,VALUE(LEFT(V177,4))+1+$T$3/100&lt;=$T$7),CONCATENATE(VALUE(LEFT(V177,4))+1,$T$2),""),IF(next_period(V177)=next_period(CONCATENATE($N$7,$N$8)),"",next_period(V177)))),"")</f>
        <v/>
      </c>
    </row>
    <row r="179" spans="22:22" x14ac:dyDescent="0.2">
      <c r="V179" s="36" t="str">
        <f ca="1">IFERROR(IF(V178="","",IF(NOT($T$2=""),IF(AND(VALUE(LEFT(V178,4))+1+$T$3/100&gt;=$T$6,VALUE(LEFT(V178,4))+1+$T$3/100&lt;=$T$7),CONCATENATE(VALUE(LEFT(V178,4))+1,$T$2),""),IF(next_period(V178)=next_period(CONCATENATE($N$7,$N$8)),"",next_period(V178)))),"")</f>
        <v/>
      </c>
    </row>
    <row r="180" spans="22:22" x14ac:dyDescent="0.2">
      <c r="V180" s="36" t="str">
        <f ca="1">IFERROR(IF(V179="","",IF(NOT($T$2=""),IF(AND(VALUE(LEFT(V179,4))+1+$T$3/100&gt;=$T$6,VALUE(LEFT(V179,4))+1+$T$3/100&lt;=$T$7),CONCATENATE(VALUE(LEFT(V179,4))+1,$T$2),""),IF(next_period(V179)=next_period(CONCATENATE($N$7,$N$8)),"",next_period(V179)))),"")</f>
        <v/>
      </c>
    </row>
    <row r="181" spans="22:22" x14ac:dyDescent="0.2">
      <c r="V181" s="36" t="str">
        <f ca="1">IFERROR(IF(V180="","",IF(NOT($T$2=""),IF(AND(VALUE(LEFT(V180,4))+1+$T$3/100&gt;=$T$6,VALUE(LEFT(V180,4))+1+$T$3/100&lt;=$T$7),CONCATENATE(VALUE(LEFT(V180,4))+1,$T$2),""),IF(next_period(V180)=next_period(CONCATENATE($N$7,$N$8)),"",next_period(V180)))),"")</f>
        <v/>
      </c>
    </row>
    <row r="182" spans="22:22" x14ac:dyDescent="0.2">
      <c r="V182" s="36" t="str">
        <f ca="1">IFERROR(IF(V181="","",IF(NOT($T$2=""),IF(AND(VALUE(LEFT(V181,4))+1+$T$3/100&gt;=$T$6,VALUE(LEFT(V181,4))+1+$T$3/100&lt;=$T$7),CONCATENATE(VALUE(LEFT(V181,4))+1,$T$2),""),IF(next_period(V181)=next_period(CONCATENATE($N$7,$N$8)),"",next_period(V181)))),"")</f>
        <v/>
      </c>
    </row>
    <row r="183" spans="22:22" x14ac:dyDescent="0.2">
      <c r="V183" s="36" t="str">
        <f ca="1">IFERROR(IF(V182="","",IF(NOT($T$2=""),IF(AND(VALUE(LEFT(V182,4))+1+$T$3/100&gt;=$T$6,VALUE(LEFT(V182,4))+1+$T$3/100&lt;=$T$7),CONCATENATE(VALUE(LEFT(V182,4))+1,$T$2),""),IF(next_period(V182)=next_period(CONCATENATE($N$7,$N$8)),"",next_period(V182)))),"")</f>
        <v/>
      </c>
    </row>
    <row r="184" spans="22:22" x14ac:dyDescent="0.2">
      <c r="V184" s="36" t="str">
        <f ca="1">IFERROR(IF(V183="","",IF(NOT($T$2=""),IF(AND(VALUE(LEFT(V183,4))+1+$T$3/100&gt;=$T$6,VALUE(LEFT(V183,4))+1+$T$3/100&lt;=$T$7),CONCATENATE(VALUE(LEFT(V183,4))+1,$T$2),""),IF(next_period(V183)=next_period(CONCATENATE($N$7,$N$8)),"",next_period(V183)))),"")</f>
        <v/>
      </c>
    </row>
    <row r="185" spans="22:22" x14ac:dyDescent="0.2">
      <c r="V185" s="36" t="str">
        <f ca="1">IFERROR(IF(V184="","",IF(NOT($T$2=""),IF(AND(VALUE(LEFT(V184,4))+1+$T$3/100&gt;=$T$6,VALUE(LEFT(V184,4))+1+$T$3/100&lt;=$T$7),CONCATENATE(VALUE(LEFT(V184,4))+1,$T$2),""),IF(next_period(V184)=next_period(CONCATENATE($N$7,$N$8)),"",next_period(V184)))),"")</f>
        <v/>
      </c>
    </row>
    <row r="186" spans="22:22" x14ac:dyDescent="0.2">
      <c r="V186" s="36" t="str">
        <f ca="1">IFERROR(IF(V185="","",IF(NOT($T$2=""),IF(AND(VALUE(LEFT(V185,4))+1+$T$3/100&gt;=$T$6,VALUE(LEFT(V185,4))+1+$T$3/100&lt;=$T$7),CONCATENATE(VALUE(LEFT(V185,4))+1,$T$2),""),IF(next_period(V185)=next_period(CONCATENATE($N$7,$N$8)),"",next_period(V185)))),"")</f>
        <v/>
      </c>
    </row>
    <row r="187" spans="22:22" x14ac:dyDescent="0.2">
      <c r="V187" s="36" t="str">
        <f ca="1">IFERROR(IF(V186="","",IF(NOT($T$2=""),IF(AND(VALUE(LEFT(V186,4))+1+$T$3/100&gt;=$T$6,VALUE(LEFT(V186,4))+1+$T$3/100&lt;=$T$7),CONCATENATE(VALUE(LEFT(V186,4))+1,$T$2),""),IF(next_period(V186)=next_period(CONCATENATE($N$7,$N$8)),"",next_period(V186)))),"")</f>
        <v/>
      </c>
    </row>
    <row r="188" spans="22:22" x14ac:dyDescent="0.2">
      <c r="V188" s="36" t="str">
        <f ca="1">IFERROR(IF(V187="","",IF(NOT($T$2=""),IF(AND(VALUE(LEFT(V187,4))+1+$T$3/100&gt;=$T$6,VALUE(LEFT(V187,4))+1+$T$3/100&lt;=$T$7),CONCATENATE(VALUE(LEFT(V187,4))+1,$T$2),""),IF(next_period(V187)=next_period(CONCATENATE($N$7,$N$8)),"",next_period(V187)))),"")</f>
        <v/>
      </c>
    </row>
    <row r="189" spans="22:22" x14ac:dyDescent="0.2">
      <c r="V189" s="36" t="str">
        <f ca="1">IFERROR(IF(V188="","",IF(NOT($T$2=""),IF(AND(VALUE(LEFT(V188,4))+1+$T$3/100&gt;=$T$6,VALUE(LEFT(V188,4))+1+$T$3/100&lt;=$T$7),CONCATENATE(VALUE(LEFT(V188,4))+1,$T$2),""),IF(next_period(V188)=next_period(CONCATENATE($N$7,$N$8)),"",next_period(V188)))),"")</f>
        <v/>
      </c>
    </row>
    <row r="190" spans="22:22" x14ac:dyDescent="0.2">
      <c r="V190" s="36" t="str">
        <f ca="1">IFERROR(IF(V189="","",IF(NOT($T$2=""),IF(AND(VALUE(LEFT(V189,4))+1+$T$3/100&gt;=$T$6,VALUE(LEFT(V189,4))+1+$T$3/100&lt;=$T$7),CONCATENATE(VALUE(LEFT(V189,4))+1,$T$2),""),IF(next_period(V189)=next_period(CONCATENATE($N$7,$N$8)),"",next_period(V189)))),"")</f>
        <v/>
      </c>
    </row>
    <row r="191" spans="22:22" x14ac:dyDescent="0.2">
      <c r="V191" s="36" t="str">
        <f ca="1">IFERROR(IF(V190="","",IF(NOT($T$2=""),IF(AND(VALUE(LEFT(V190,4))+1+$T$3/100&gt;=$T$6,VALUE(LEFT(V190,4))+1+$T$3/100&lt;=$T$7),CONCATENATE(VALUE(LEFT(V190,4))+1,$T$2),""),IF(next_period(V190)=next_period(CONCATENATE($N$7,$N$8)),"",next_period(V190)))),"")</f>
        <v/>
      </c>
    </row>
    <row r="192" spans="22:22" x14ac:dyDescent="0.2">
      <c r="V192" s="36" t="str">
        <f ca="1">IFERROR(IF(V191="","",IF(NOT($T$2=""),IF(AND(VALUE(LEFT(V191,4))+1+$T$3/100&gt;=$T$6,VALUE(LEFT(V191,4))+1+$T$3/100&lt;=$T$7),CONCATENATE(VALUE(LEFT(V191,4))+1,$T$2),""),IF(next_period(V191)=next_period(CONCATENATE($N$7,$N$8)),"",next_period(V191)))),"")</f>
        <v/>
      </c>
    </row>
    <row r="193" spans="22:22" x14ac:dyDescent="0.2">
      <c r="V193" s="36" t="str">
        <f ca="1">IFERROR(IF(V192="","",IF(NOT($T$2=""),IF(AND(VALUE(LEFT(V192,4))+1+$T$3/100&gt;=$T$6,VALUE(LEFT(V192,4))+1+$T$3/100&lt;=$T$7),CONCATENATE(VALUE(LEFT(V192,4))+1,$T$2),""),IF(next_period(V192)=next_period(CONCATENATE($N$7,$N$8)),"",next_period(V192)))),"")</f>
        <v/>
      </c>
    </row>
    <row r="194" spans="22:22" x14ac:dyDescent="0.2">
      <c r="V194" s="36" t="str">
        <f ca="1">IFERROR(IF(V193="","",IF(NOT($T$2=""),IF(AND(VALUE(LEFT(V193,4))+1+$T$3/100&gt;=$T$6,VALUE(LEFT(V193,4))+1+$T$3/100&lt;=$T$7),CONCATENATE(VALUE(LEFT(V193,4))+1,$T$2),""),IF(next_period(V193)=next_period(CONCATENATE($N$7,$N$8)),"",next_period(V193)))),"")</f>
        <v/>
      </c>
    </row>
    <row r="195" spans="22:22" x14ac:dyDescent="0.2">
      <c r="V195" s="36" t="str">
        <f ca="1">IFERROR(IF(V194="","",IF(NOT($T$2=""),IF(AND(VALUE(LEFT(V194,4))+1+$T$3/100&gt;=$T$6,VALUE(LEFT(V194,4))+1+$T$3/100&lt;=$T$7),CONCATENATE(VALUE(LEFT(V194,4))+1,$T$2),""),IF(next_period(V194)=next_period(CONCATENATE($N$7,$N$8)),"",next_period(V194)))),"")</f>
        <v/>
      </c>
    </row>
    <row r="196" spans="22:22" x14ac:dyDescent="0.2">
      <c r="V196" s="36" t="str">
        <f ca="1">IFERROR(IF(V195="","",IF(NOT($T$2=""),IF(AND(VALUE(LEFT(V195,4))+1+$T$3/100&gt;=$T$6,VALUE(LEFT(V195,4))+1+$T$3/100&lt;=$T$7),CONCATENATE(VALUE(LEFT(V195,4))+1,$T$2),""),IF(next_period(V195)=next_period(CONCATENATE($N$7,$N$8)),"",next_period(V195)))),"")</f>
        <v/>
      </c>
    </row>
    <row r="197" spans="22:22" x14ac:dyDescent="0.2">
      <c r="V197" s="36" t="str">
        <f ca="1">IFERROR(IF(V196="","",IF(NOT($T$2=""),IF(AND(VALUE(LEFT(V196,4))+1+$T$3/100&gt;=$T$6,VALUE(LEFT(V196,4))+1+$T$3/100&lt;=$T$7),CONCATENATE(VALUE(LEFT(V196,4))+1,$T$2),""),IF(next_period(V196)=next_period(CONCATENATE($N$7,$N$8)),"",next_period(V196)))),"")</f>
        <v/>
      </c>
    </row>
    <row r="198" spans="22:22" x14ac:dyDescent="0.2">
      <c r="V198" s="36" t="str">
        <f ca="1">IFERROR(IF(V197="","",IF(NOT($T$2=""),IF(AND(VALUE(LEFT(V197,4))+1+$T$3/100&gt;=$T$6,VALUE(LEFT(V197,4))+1+$T$3/100&lt;=$T$7),CONCATENATE(VALUE(LEFT(V197,4))+1,$T$2),""),IF(next_period(V197)=next_period(CONCATENATE($N$7,$N$8)),"",next_period(V197)))),"")</f>
        <v/>
      </c>
    </row>
    <row r="199" spans="22:22" x14ac:dyDescent="0.2">
      <c r="V199" s="36" t="str">
        <f ca="1">IFERROR(IF(V198="","",IF(NOT($T$2=""),IF(AND(VALUE(LEFT(V198,4))+1+$T$3/100&gt;=$T$6,VALUE(LEFT(V198,4))+1+$T$3/100&lt;=$T$7),CONCATENATE(VALUE(LEFT(V198,4))+1,$T$2),""),IF(next_period(V198)=next_period(CONCATENATE($N$7,$N$8)),"",next_period(V198)))),"")</f>
        <v/>
      </c>
    </row>
    <row r="200" spans="22:22" x14ac:dyDescent="0.2">
      <c r="V200" s="36" t="str">
        <f ca="1">IFERROR(IF(V199="","",IF(NOT($T$2=""),IF(AND(VALUE(LEFT(V199,4))+1+$T$3/100&gt;=$T$6,VALUE(LEFT(V199,4))+1+$T$3/100&lt;=$T$7),CONCATENATE(VALUE(LEFT(V199,4))+1,$T$2),""),IF(next_period(V199)=next_period(CONCATENATE($N$7,$N$8)),"",next_period(V199)))),"")</f>
        <v/>
      </c>
    </row>
    <row r="201" spans="22:22" x14ac:dyDescent="0.2">
      <c r="V201" s="36" t="str">
        <f ca="1">IFERROR(IF(V200="","",IF(NOT($T$2=""),IF(AND(VALUE(LEFT(V200,4))+1+$T$3/100&gt;=$T$6,VALUE(LEFT(V200,4))+1+$T$3/100&lt;=$T$7),CONCATENATE(VALUE(LEFT(V200,4))+1,$T$2),""),IF(next_period(V200)=next_period(CONCATENATE($N$7,$N$8)),"",next_period(V200)))),"")</f>
        <v/>
      </c>
    </row>
    <row r="202" spans="22:22" x14ac:dyDescent="0.2">
      <c r="V202" s="36" t="str">
        <f ca="1">IFERROR(IF(V201="","",IF(NOT($T$2=""),IF(AND(VALUE(LEFT(V201,4))+1+$T$3/100&gt;=$T$6,VALUE(LEFT(V201,4))+1+$T$3/100&lt;=$T$7),CONCATENATE(VALUE(LEFT(V201,4))+1,$T$2),""),IF(next_period(V201)=next_period(CONCATENATE($N$7,$N$8)),"",next_period(V201)))),"")</f>
        <v/>
      </c>
    </row>
    <row r="203" spans="22:22" x14ac:dyDescent="0.2">
      <c r="V203" s="36" t="str">
        <f ca="1">IFERROR(IF(V202="","",IF(NOT($T$2=""),IF(AND(VALUE(LEFT(V202,4))+1+$T$3/100&gt;=$T$6,VALUE(LEFT(V202,4))+1+$T$3/100&lt;=$T$7),CONCATENATE(VALUE(LEFT(V202,4))+1,$T$2),""),IF(next_period(V202)=next_period(CONCATENATE($N$7,$N$8)),"",next_period(V202)))),"")</f>
        <v/>
      </c>
    </row>
    <row r="204" spans="22:22" x14ac:dyDescent="0.2">
      <c r="V204" s="36" t="str">
        <f ca="1">IFERROR(IF(V203="","",IF(NOT($T$2=""),IF(AND(VALUE(LEFT(V203,4))+1+$T$3/100&gt;=$T$6,VALUE(LEFT(V203,4))+1+$T$3/100&lt;=$T$7),CONCATENATE(VALUE(LEFT(V203,4))+1,$T$2),""),IF(next_period(V203)=next_period(CONCATENATE($N$7,$N$8)),"",next_period(V203)))),"")</f>
        <v/>
      </c>
    </row>
    <row r="205" spans="22:22" x14ac:dyDescent="0.2">
      <c r="V205" s="36" t="str">
        <f ca="1">IFERROR(IF(V204="","",IF(NOT($T$2=""),IF(AND(VALUE(LEFT(V204,4))+1+$T$3/100&gt;=$T$6,VALUE(LEFT(V204,4))+1+$T$3/100&lt;=$T$7),CONCATENATE(VALUE(LEFT(V204,4))+1,$T$2),""),IF(next_period(V204)=next_period(CONCATENATE($N$7,$N$8)),"",next_period(V204)))),"")</f>
        <v/>
      </c>
    </row>
    <row r="206" spans="22:22" x14ac:dyDescent="0.2">
      <c r="V206" s="36" t="str">
        <f ca="1">IFERROR(IF(V205="","",IF(NOT($T$2=""),IF(AND(VALUE(LEFT(V205,4))+1+$T$3/100&gt;=$T$6,VALUE(LEFT(V205,4))+1+$T$3/100&lt;=$T$7),CONCATENATE(VALUE(LEFT(V205,4))+1,$T$2),""),IF(next_period(V205)=next_period(CONCATENATE($N$7,$N$8)),"",next_period(V205)))),"")</f>
        <v/>
      </c>
    </row>
    <row r="207" spans="22:22" x14ac:dyDescent="0.2">
      <c r="V207" s="36" t="str">
        <f ca="1">IFERROR(IF(V206="","",IF(NOT($T$2=""),IF(AND(VALUE(LEFT(V206,4))+1+$T$3/100&gt;=$T$6,VALUE(LEFT(V206,4))+1+$T$3/100&lt;=$T$7),CONCATENATE(VALUE(LEFT(V206,4))+1,$T$2),""),IF(next_period(V206)=next_period(CONCATENATE($N$7,$N$8)),"",next_period(V206)))),"")</f>
        <v/>
      </c>
    </row>
    <row r="208" spans="22:22" x14ac:dyDescent="0.2">
      <c r="V208" s="36" t="str">
        <f ca="1">IFERROR(IF(V207="","",IF(NOT($T$2=""),IF(AND(VALUE(LEFT(V207,4))+1+$T$3/100&gt;=$T$6,VALUE(LEFT(V207,4))+1+$T$3/100&lt;=$T$7),CONCATENATE(VALUE(LEFT(V207,4))+1,$T$2),""),IF(next_period(V207)=next_period(CONCATENATE($N$7,$N$8)),"",next_period(V207)))),"")</f>
        <v/>
      </c>
    </row>
    <row r="209" spans="22:22" x14ac:dyDescent="0.2">
      <c r="V209" s="36" t="str">
        <f ca="1">IFERROR(IF(V208="","",IF(NOT($T$2=""),IF(AND(VALUE(LEFT(V208,4))+1+$T$3/100&gt;=$T$6,VALUE(LEFT(V208,4))+1+$T$3/100&lt;=$T$7),CONCATENATE(VALUE(LEFT(V208,4))+1,$T$2),""),IF(next_period(V208)=next_period(CONCATENATE($N$7,$N$8)),"",next_period(V208)))),"")</f>
        <v/>
      </c>
    </row>
    <row r="210" spans="22:22" x14ac:dyDescent="0.2">
      <c r="V210" s="36" t="str">
        <f ca="1">IFERROR(IF(V209="","",IF(NOT($T$2=""),IF(AND(VALUE(LEFT(V209,4))+1+$T$3/100&gt;=$T$6,VALUE(LEFT(V209,4))+1+$T$3/100&lt;=$T$7),CONCATENATE(VALUE(LEFT(V209,4))+1,$T$2),""),IF(next_period(V209)=next_period(CONCATENATE($N$7,$N$8)),"",next_period(V209)))),"")</f>
        <v/>
      </c>
    </row>
    <row r="211" spans="22:22" x14ac:dyDescent="0.2">
      <c r="V211" s="36" t="str">
        <f ca="1">IFERROR(IF(V210="","",IF(NOT($T$2=""),IF(AND(VALUE(LEFT(V210,4))+1+$T$3/100&gt;=$T$6,VALUE(LEFT(V210,4))+1+$T$3/100&lt;=$T$7),CONCATENATE(VALUE(LEFT(V210,4))+1,$T$2),""),IF(next_period(V210)=next_period(CONCATENATE($N$7,$N$8)),"",next_period(V210)))),"")</f>
        <v/>
      </c>
    </row>
    <row r="212" spans="22:22" x14ac:dyDescent="0.2">
      <c r="V212" s="36" t="str">
        <f ca="1">IFERROR(IF(V211="","",IF(NOT($T$2=""),IF(AND(VALUE(LEFT(V211,4))+1+$T$3/100&gt;=$T$6,VALUE(LEFT(V211,4))+1+$T$3/100&lt;=$T$7),CONCATENATE(VALUE(LEFT(V211,4))+1,$T$2),""),IF(next_period(V211)=next_period(CONCATENATE($N$7,$N$8)),"",next_period(V211)))),"")</f>
        <v/>
      </c>
    </row>
    <row r="213" spans="22:22" x14ac:dyDescent="0.2">
      <c r="V213" s="36" t="str">
        <f ca="1">IFERROR(IF(V212="","",IF(NOT($T$2=""),IF(AND(VALUE(LEFT(V212,4))+1+$T$3/100&gt;=$T$6,VALUE(LEFT(V212,4))+1+$T$3/100&lt;=$T$7),CONCATENATE(VALUE(LEFT(V212,4))+1,$T$2),""),IF(next_period(V212)=next_period(CONCATENATE($N$7,$N$8)),"",next_period(V212)))),"")</f>
        <v/>
      </c>
    </row>
    <row r="214" spans="22:22" x14ac:dyDescent="0.2">
      <c r="V214" s="36" t="str">
        <f ca="1">IFERROR(IF(V213="","",IF(NOT($T$2=""),IF(AND(VALUE(LEFT(V213,4))+1+$T$3/100&gt;=$T$6,VALUE(LEFT(V213,4))+1+$T$3/100&lt;=$T$7),CONCATENATE(VALUE(LEFT(V213,4))+1,$T$2),""),IF(next_period(V213)=next_period(CONCATENATE($N$7,$N$8)),"",next_period(V213)))),"")</f>
        <v/>
      </c>
    </row>
    <row r="215" spans="22:22" x14ac:dyDescent="0.2">
      <c r="V215" s="36" t="str">
        <f ca="1">IFERROR(IF(V214="","",IF(NOT($T$2=""),IF(AND(VALUE(LEFT(V214,4))+1+$T$3/100&gt;=$T$6,VALUE(LEFT(V214,4))+1+$T$3/100&lt;=$T$7),CONCATENATE(VALUE(LEFT(V214,4))+1,$T$2),""),IF(next_period(V214)=next_period(CONCATENATE($N$7,$N$8)),"",next_period(V214)))),"")</f>
        <v/>
      </c>
    </row>
    <row r="216" spans="22:22" x14ac:dyDescent="0.2">
      <c r="V216" s="36" t="str">
        <f ca="1">IFERROR(IF(V215="","",IF(NOT($T$2=""),IF(AND(VALUE(LEFT(V215,4))+1+$T$3/100&gt;=$T$6,VALUE(LEFT(V215,4))+1+$T$3/100&lt;=$T$7),CONCATENATE(VALUE(LEFT(V215,4))+1,$T$2),""),IF(next_period(V215)=next_period(CONCATENATE($N$7,$N$8)),"",next_period(V215)))),"")</f>
        <v/>
      </c>
    </row>
    <row r="217" spans="22:22" x14ac:dyDescent="0.2">
      <c r="V217" s="36" t="str">
        <f ca="1">IFERROR(IF(V216="","",IF(NOT($T$2=""),IF(AND(VALUE(LEFT(V216,4))+1+$T$3/100&gt;=$T$6,VALUE(LEFT(V216,4))+1+$T$3/100&lt;=$T$7),CONCATENATE(VALUE(LEFT(V216,4))+1,$T$2),""),IF(next_period(V216)=next_period(CONCATENATE($N$7,$N$8)),"",next_period(V216)))),"")</f>
        <v/>
      </c>
    </row>
    <row r="218" spans="22:22" x14ac:dyDescent="0.2">
      <c r="V218" s="36" t="str">
        <f ca="1">IFERROR(IF(V217="","",IF(NOT($T$2=""),IF(AND(VALUE(LEFT(V217,4))+1+$T$3/100&gt;=$T$6,VALUE(LEFT(V217,4))+1+$T$3/100&lt;=$T$7),CONCATENATE(VALUE(LEFT(V217,4))+1,$T$2),""),IF(next_period(V217)=next_period(CONCATENATE($N$7,$N$8)),"",next_period(V217)))),"")</f>
        <v/>
      </c>
    </row>
    <row r="219" spans="22:22" x14ac:dyDescent="0.2">
      <c r="V219" s="36" t="str">
        <f ca="1">IFERROR(IF(V218="","",IF(NOT($T$2=""),IF(AND(VALUE(LEFT(V218,4))+1+$T$3/100&gt;=$T$6,VALUE(LEFT(V218,4))+1+$T$3/100&lt;=$T$7),CONCATENATE(VALUE(LEFT(V218,4))+1,$T$2),""),IF(next_period(V218)=next_period(CONCATENATE($N$7,$N$8)),"",next_period(V218)))),"")</f>
        <v/>
      </c>
    </row>
    <row r="220" spans="22:22" x14ac:dyDescent="0.2">
      <c r="V220" s="36" t="str">
        <f ca="1">IFERROR(IF(V219="","",IF(NOT($T$2=""),IF(AND(VALUE(LEFT(V219,4))+1+$T$3/100&gt;=$T$6,VALUE(LEFT(V219,4))+1+$T$3/100&lt;=$T$7),CONCATENATE(VALUE(LEFT(V219,4))+1,$T$2),""),IF(next_period(V219)=next_period(CONCATENATE($N$7,$N$8)),"",next_period(V219)))),"")</f>
        <v/>
      </c>
    </row>
    <row r="221" spans="22:22" x14ac:dyDescent="0.2">
      <c r="V221" s="36" t="str">
        <f ca="1">IFERROR(IF(V220="","",IF(NOT($T$2=""),IF(AND(VALUE(LEFT(V220,4))+1+$T$3/100&gt;=$T$6,VALUE(LEFT(V220,4))+1+$T$3/100&lt;=$T$7),CONCATENATE(VALUE(LEFT(V220,4))+1,$T$2),""),IF(next_period(V220)=next_period(CONCATENATE($N$7,$N$8)),"",next_period(V220)))),"")</f>
        <v/>
      </c>
    </row>
    <row r="222" spans="22:22" x14ac:dyDescent="0.2">
      <c r="V222" s="36" t="str">
        <f ca="1">IFERROR(IF(V221="","",IF(NOT($T$2=""),IF(AND(VALUE(LEFT(V221,4))+1+$T$3/100&gt;=$T$6,VALUE(LEFT(V221,4))+1+$T$3/100&lt;=$T$7),CONCATENATE(VALUE(LEFT(V221,4))+1,$T$2),""),IF(next_period(V221)=next_period(CONCATENATE($N$7,$N$8)),"",next_period(V221)))),"")</f>
        <v/>
      </c>
    </row>
    <row r="223" spans="22:22" x14ac:dyDescent="0.2">
      <c r="V223" s="36" t="str">
        <f ca="1">IFERROR(IF(V222="","",IF(NOT($T$2=""),IF(AND(VALUE(LEFT(V222,4))+1+$T$3/100&gt;=$T$6,VALUE(LEFT(V222,4))+1+$T$3/100&lt;=$T$7),CONCATENATE(VALUE(LEFT(V222,4))+1,$T$2),""),IF(next_period(V222)=next_period(CONCATENATE($N$7,$N$8)),"",next_period(V222)))),"")</f>
        <v/>
      </c>
    </row>
    <row r="224" spans="22:22" x14ac:dyDescent="0.2">
      <c r="V224" s="36" t="str">
        <f ca="1">IFERROR(IF(V223="","",IF(NOT($T$2=""),IF(AND(VALUE(LEFT(V223,4))+1+$T$3/100&gt;=$T$6,VALUE(LEFT(V223,4))+1+$T$3/100&lt;=$T$7),CONCATENATE(VALUE(LEFT(V223,4))+1,$T$2),""),IF(next_period(V223)=next_period(CONCATENATE($N$7,$N$8)),"",next_period(V223)))),"")</f>
        <v/>
      </c>
    </row>
    <row r="225" spans="22:22" x14ac:dyDescent="0.2">
      <c r="V225" s="36" t="str">
        <f ca="1">IFERROR(IF(V224="","",IF(NOT($T$2=""),IF(AND(VALUE(LEFT(V224,4))+1+$T$3/100&gt;=$T$6,VALUE(LEFT(V224,4))+1+$T$3/100&lt;=$T$7),CONCATENATE(VALUE(LEFT(V224,4))+1,$T$2),""),IF(next_period(V224)=next_period(CONCATENATE($N$7,$N$8)),"",next_period(V224)))),"")</f>
        <v/>
      </c>
    </row>
    <row r="226" spans="22:22" x14ac:dyDescent="0.2">
      <c r="V226" s="36" t="str">
        <f ca="1">IFERROR(IF(V225="","",IF(NOT($T$2=""),IF(AND(VALUE(LEFT(V225,4))+1+$T$3/100&gt;=$T$6,VALUE(LEFT(V225,4))+1+$T$3/100&lt;=$T$7),CONCATENATE(VALUE(LEFT(V225,4))+1,$T$2),""),IF(next_period(V225)=next_period(CONCATENATE($N$7,$N$8)),"",next_period(V225)))),"")</f>
        <v/>
      </c>
    </row>
    <row r="227" spans="22:22" x14ac:dyDescent="0.2">
      <c r="V227" s="36" t="str">
        <f ca="1">IFERROR(IF(V226="","",IF(NOT($T$2=""),IF(AND(VALUE(LEFT(V226,4))+1+$T$3/100&gt;=$T$6,VALUE(LEFT(V226,4))+1+$T$3/100&lt;=$T$7),CONCATENATE(VALUE(LEFT(V226,4))+1,$T$2),""),IF(next_period(V226)=next_period(CONCATENATE($N$7,$N$8)),"",next_period(V226)))),"")</f>
        <v/>
      </c>
    </row>
    <row r="228" spans="22:22" x14ac:dyDescent="0.2">
      <c r="V228" s="36" t="str">
        <f ca="1">IFERROR(IF(V227="","",IF(NOT($T$2=""),IF(AND(VALUE(LEFT(V227,4))+1+$T$3/100&gt;=$T$6,VALUE(LEFT(V227,4))+1+$T$3/100&lt;=$T$7),CONCATENATE(VALUE(LEFT(V227,4))+1,$T$2),""),IF(next_period(V227)=next_period(CONCATENATE($N$7,$N$8)),"",next_period(V227)))),"")</f>
        <v/>
      </c>
    </row>
    <row r="229" spans="22:22" x14ac:dyDescent="0.2">
      <c r="V229" s="36" t="str">
        <f ca="1">IFERROR(IF(V228="","",IF(NOT($T$2=""),IF(AND(VALUE(LEFT(V228,4))+1+$T$3/100&gt;=$T$6,VALUE(LEFT(V228,4))+1+$T$3/100&lt;=$T$7),CONCATENATE(VALUE(LEFT(V228,4))+1,$T$2),""),IF(next_period(V228)=next_period(CONCATENATE($N$7,$N$8)),"",next_period(V228)))),"")</f>
        <v/>
      </c>
    </row>
    <row r="230" spans="22:22" x14ac:dyDescent="0.2">
      <c r="V230" s="36" t="str">
        <f ca="1">IFERROR(IF(V229="","",IF(NOT($T$2=""),IF(AND(VALUE(LEFT(V229,4))+1+$T$3/100&gt;=$T$6,VALUE(LEFT(V229,4))+1+$T$3/100&lt;=$T$7),CONCATENATE(VALUE(LEFT(V229,4))+1,$T$2),""),IF(next_period(V229)=next_period(CONCATENATE($N$7,$N$8)),"",next_period(V229)))),"")</f>
        <v/>
      </c>
    </row>
    <row r="231" spans="22:22" x14ac:dyDescent="0.2">
      <c r="V231" s="36" t="str">
        <f ca="1">IFERROR(IF(V230="","",IF(NOT($T$2=""),IF(AND(VALUE(LEFT(V230,4))+1+$T$3/100&gt;=$T$6,VALUE(LEFT(V230,4))+1+$T$3/100&lt;=$T$7),CONCATENATE(VALUE(LEFT(V230,4))+1,$T$2),""),IF(next_period(V230)=next_period(CONCATENATE($N$7,$N$8)),"",next_period(V230)))),"")</f>
        <v/>
      </c>
    </row>
    <row r="232" spans="22:22" x14ac:dyDescent="0.2">
      <c r="V232" s="36" t="str">
        <f ca="1">IFERROR(IF(V231="","",IF(NOT($T$2=""),IF(AND(VALUE(LEFT(V231,4))+1+$T$3/100&gt;=$T$6,VALUE(LEFT(V231,4))+1+$T$3/100&lt;=$T$7),CONCATENATE(VALUE(LEFT(V231,4))+1,$T$2),""),IF(next_period(V231)=next_period(CONCATENATE($N$7,$N$8)),"",next_period(V231)))),"")</f>
        <v/>
      </c>
    </row>
    <row r="233" spans="22:22" x14ac:dyDescent="0.2">
      <c r="V233" s="36" t="str">
        <f ca="1">IFERROR(IF(V232="","",IF(NOT($T$2=""),IF(AND(VALUE(LEFT(V232,4))+1+$T$3/100&gt;=$T$6,VALUE(LEFT(V232,4))+1+$T$3/100&lt;=$T$7),CONCATENATE(VALUE(LEFT(V232,4))+1,$T$2),""),IF(next_period(V232)=next_period(CONCATENATE($N$7,$N$8)),"",next_period(V232)))),"")</f>
        <v/>
      </c>
    </row>
    <row r="234" spans="22:22" x14ac:dyDescent="0.2">
      <c r="V234" s="36" t="str">
        <f ca="1">IFERROR(IF(V233="","",IF(NOT($T$2=""),IF(AND(VALUE(LEFT(V233,4))+1+$T$3/100&gt;=$T$6,VALUE(LEFT(V233,4))+1+$T$3/100&lt;=$T$7),CONCATENATE(VALUE(LEFT(V233,4))+1,$T$2),""),IF(next_period(V233)=next_period(CONCATENATE($N$7,$N$8)),"",next_period(V233)))),"")</f>
        <v/>
      </c>
    </row>
    <row r="235" spans="22:22" x14ac:dyDescent="0.2">
      <c r="V235" s="36" t="str">
        <f ca="1">IFERROR(IF(V234="","",IF(NOT($T$2=""),IF(AND(VALUE(LEFT(V234,4))+1+$T$3/100&gt;=$T$6,VALUE(LEFT(V234,4))+1+$T$3/100&lt;=$T$7),CONCATENATE(VALUE(LEFT(V234,4))+1,$T$2),""),IF(next_period(V234)=next_period(CONCATENATE($N$7,$N$8)),"",next_period(V234)))),"")</f>
        <v/>
      </c>
    </row>
    <row r="236" spans="22:22" x14ac:dyDescent="0.2">
      <c r="V236" s="36" t="str">
        <f ca="1">IFERROR(IF(V235="","",IF(NOT($T$2=""),IF(AND(VALUE(LEFT(V235,4))+1+$T$3/100&gt;=$T$6,VALUE(LEFT(V235,4))+1+$T$3/100&lt;=$T$7),CONCATENATE(VALUE(LEFT(V235,4))+1,$T$2),""),IF(next_period(V235)=next_period(CONCATENATE($N$7,$N$8)),"",next_period(V235)))),"")</f>
        <v/>
      </c>
    </row>
    <row r="237" spans="22:22" x14ac:dyDescent="0.2">
      <c r="V237" s="36" t="str">
        <f ca="1">IFERROR(IF(V236="","",IF(NOT($T$2=""),IF(AND(VALUE(LEFT(V236,4))+1+$T$3/100&gt;=$T$6,VALUE(LEFT(V236,4))+1+$T$3/100&lt;=$T$7),CONCATENATE(VALUE(LEFT(V236,4))+1,$T$2),""),IF(next_period(V236)=next_period(CONCATENATE($N$7,$N$8)),"",next_period(V236)))),"")</f>
        <v/>
      </c>
    </row>
    <row r="238" spans="22:22" x14ac:dyDescent="0.2">
      <c r="V238" s="36" t="str">
        <f ca="1">IFERROR(IF(V237="","",IF(NOT($T$2=""),IF(AND(VALUE(LEFT(V237,4))+1+$T$3/100&gt;=$T$6,VALUE(LEFT(V237,4))+1+$T$3/100&lt;=$T$7),CONCATENATE(VALUE(LEFT(V237,4))+1,$T$2),""),IF(next_period(V237)=next_period(CONCATENATE($N$7,$N$8)),"",next_period(V237)))),"")</f>
        <v/>
      </c>
    </row>
    <row r="239" spans="22:22" x14ac:dyDescent="0.2">
      <c r="V239" s="36" t="str">
        <f ca="1">IFERROR(IF(V238="","",IF(NOT($T$2=""),IF(AND(VALUE(LEFT(V238,4))+1+$T$3/100&gt;=$T$6,VALUE(LEFT(V238,4))+1+$T$3/100&lt;=$T$7),CONCATENATE(VALUE(LEFT(V238,4))+1,$T$2),""),IF(next_period(V238)=next_period(CONCATENATE($N$7,$N$8)),"",next_period(V238)))),"")</f>
        <v/>
      </c>
    </row>
    <row r="240" spans="22:22" x14ac:dyDescent="0.2">
      <c r="V240" s="36" t="str">
        <f ca="1">IFERROR(IF(V239="","",IF(NOT($T$2=""),IF(AND(VALUE(LEFT(V239,4))+1+$T$3/100&gt;=$T$6,VALUE(LEFT(V239,4))+1+$T$3/100&lt;=$T$7),CONCATENATE(VALUE(LEFT(V239,4))+1,$T$2),""),IF(next_period(V239)=next_period(CONCATENATE($N$7,$N$8)),"",next_period(V239)))),"")</f>
        <v/>
      </c>
    </row>
    <row r="241" spans="22:22" x14ac:dyDescent="0.2">
      <c r="V241" s="36" t="str">
        <f ca="1">IFERROR(IF(V240="","",IF(NOT($T$2=""),IF(AND(VALUE(LEFT(V240,4))+1+$T$3/100&gt;=$T$6,VALUE(LEFT(V240,4))+1+$T$3/100&lt;=$T$7),CONCATENATE(VALUE(LEFT(V240,4))+1,$T$2),""),IF(next_period(V240)=next_period(CONCATENATE($N$7,$N$8)),"",next_period(V240)))),"")</f>
        <v/>
      </c>
    </row>
    <row r="242" spans="22:22" x14ac:dyDescent="0.2">
      <c r="V242" s="36" t="str">
        <f ca="1">IFERROR(IF(V241="","",IF(NOT($T$2=""),IF(AND(VALUE(LEFT(V241,4))+1+$T$3/100&gt;=$T$6,VALUE(LEFT(V241,4))+1+$T$3/100&lt;=$T$7),CONCATENATE(VALUE(LEFT(V241,4))+1,$T$2),""),IF(next_period(V241)=next_period(CONCATENATE($N$7,$N$8)),"",next_period(V241)))),"")</f>
        <v/>
      </c>
    </row>
    <row r="243" spans="22:22" x14ac:dyDescent="0.2">
      <c r="V243" s="36" t="str">
        <f ca="1">IFERROR(IF(V242="","",IF(NOT($T$2=""),IF(AND(VALUE(LEFT(V242,4))+1+$T$3/100&gt;=$T$6,VALUE(LEFT(V242,4))+1+$T$3/100&lt;=$T$7),CONCATENATE(VALUE(LEFT(V242,4))+1,$T$2),""),IF(next_period(V242)=next_period(CONCATENATE($N$7,$N$8)),"",next_period(V242)))),"")</f>
        <v/>
      </c>
    </row>
    <row r="244" spans="22:22" x14ac:dyDescent="0.2">
      <c r="V244" s="36" t="str">
        <f ca="1">IFERROR(IF(V243="","",IF(NOT($T$2=""),IF(AND(VALUE(LEFT(V243,4))+1+$T$3/100&gt;=$T$6,VALUE(LEFT(V243,4))+1+$T$3/100&lt;=$T$7),CONCATENATE(VALUE(LEFT(V243,4))+1,$T$2),""),IF(next_period(V243)=next_period(CONCATENATE($N$7,$N$8)),"",next_period(V243)))),"")</f>
        <v/>
      </c>
    </row>
    <row r="245" spans="22:22" x14ac:dyDescent="0.2">
      <c r="V245" s="36" t="str">
        <f ca="1">IFERROR(IF(V244="","",IF(NOT($T$2=""),IF(AND(VALUE(LEFT(V244,4))+1+$T$3/100&gt;=$T$6,VALUE(LEFT(V244,4))+1+$T$3/100&lt;=$T$7),CONCATENATE(VALUE(LEFT(V244,4))+1,$T$2),""),IF(next_period(V244)=next_period(CONCATENATE($N$7,$N$8)),"",next_period(V244)))),"")</f>
        <v/>
      </c>
    </row>
    <row r="246" spans="22:22" x14ac:dyDescent="0.2">
      <c r="V246" s="36" t="str">
        <f ca="1">IFERROR(IF(V245="","",IF(NOT($T$2=""),IF(AND(VALUE(LEFT(V245,4))+1+$T$3/100&gt;=$T$6,VALUE(LEFT(V245,4))+1+$T$3/100&lt;=$T$7),CONCATENATE(VALUE(LEFT(V245,4))+1,$T$2),""),IF(next_period(V245)=next_period(CONCATENATE($N$7,$N$8)),"",next_period(V245)))),"")</f>
        <v/>
      </c>
    </row>
    <row r="247" spans="22:22" x14ac:dyDescent="0.2">
      <c r="V247" s="36" t="str">
        <f ca="1">IFERROR(IF(V246="","",IF(NOT($T$2=""),IF(AND(VALUE(LEFT(V246,4))+1+$T$3/100&gt;=$T$6,VALUE(LEFT(V246,4))+1+$T$3/100&lt;=$T$7),CONCATENATE(VALUE(LEFT(V246,4))+1,$T$2),""),IF(next_period(V246)=next_period(CONCATENATE($N$7,$N$8)),"",next_period(V246)))),"")</f>
        <v/>
      </c>
    </row>
    <row r="248" spans="22:22" x14ac:dyDescent="0.2">
      <c r="V248" s="36" t="str">
        <f ca="1">IFERROR(IF(V247="","",IF(NOT($T$2=""),IF(AND(VALUE(LEFT(V247,4))+1+$T$3/100&gt;=$T$6,VALUE(LEFT(V247,4))+1+$T$3/100&lt;=$T$7),CONCATENATE(VALUE(LEFT(V247,4))+1,$T$2),""),IF(next_period(V247)=next_period(CONCATENATE($N$7,$N$8)),"",next_period(V247)))),"")</f>
        <v/>
      </c>
    </row>
    <row r="249" spans="22:22" x14ac:dyDescent="0.2">
      <c r="V249" s="36" t="str">
        <f ca="1">IFERROR(IF(V248="","",IF(NOT($T$2=""),IF(AND(VALUE(LEFT(V248,4))+1+$T$3/100&gt;=$T$6,VALUE(LEFT(V248,4))+1+$T$3/100&lt;=$T$7),CONCATENATE(VALUE(LEFT(V248,4))+1,$T$2),""),IF(next_period(V248)=next_period(CONCATENATE($N$7,$N$8)),"",next_period(V248)))),"")</f>
        <v/>
      </c>
    </row>
    <row r="250" spans="22:22" x14ac:dyDescent="0.2">
      <c r="V250" s="36" t="str">
        <f ca="1">IFERROR(IF(V249="","",IF(NOT($T$2=""),IF(AND(VALUE(LEFT(V249,4))+1+$T$3/100&gt;=$T$6,VALUE(LEFT(V249,4))+1+$T$3/100&lt;=$T$7),CONCATENATE(VALUE(LEFT(V249,4))+1,$T$2),""),IF(next_period(V249)=next_period(CONCATENATE($N$7,$N$8)),"",next_period(V249)))),"")</f>
        <v/>
      </c>
    </row>
    <row r="251" spans="22:22" x14ac:dyDescent="0.2">
      <c r="V251" s="36" t="str">
        <f ca="1">IFERROR(IF(V250="","",IF(NOT($T$2=""),IF(AND(VALUE(LEFT(V250,4))+1+$T$3/100&gt;=$T$6,VALUE(LEFT(V250,4))+1+$T$3/100&lt;=$T$7),CONCATENATE(VALUE(LEFT(V250,4))+1,$T$2),""),IF(next_period(V250)=next_period(CONCATENATE($N$7,$N$8)),"",next_period(V250)))),"")</f>
        <v/>
      </c>
    </row>
    <row r="252" spans="22:22" x14ac:dyDescent="0.2">
      <c r="V252" s="36" t="str">
        <f ca="1">IFERROR(IF(V251="","",IF(NOT($T$2=""),IF(AND(VALUE(LEFT(V251,4))+1+$T$3/100&gt;=$T$6,VALUE(LEFT(V251,4))+1+$T$3/100&lt;=$T$7),CONCATENATE(VALUE(LEFT(V251,4))+1,$T$2),""),IF(next_period(V251)=next_period(CONCATENATE($N$7,$N$8)),"",next_period(V251)))),"")</f>
        <v/>
      </c>
    </row>
    <row r="253" spans="22:22" x14ac:dyDescent="0.2">
      <c r="V253" s="36" t="str">
        <f ca="1">IFERROR(IF(V252="","",IF(NOT($T$2=""),IF(AND(VALUE(LEFT(V252,4))+1+$T$3/100&gt;=$T$6,VALUE(LEFT(V252,4))+1+$T$3/100&lt;=$T$7),CONCATENATE(VALUE(LEFT(V252,4))+1,$T$2),""),IF(next_period(V252)=next_period(CONCATENATE($N$7,$N$8)),"",next_period(V252)))),"")</f>
        <v/>
      </c>
    </row>
    <row r="254" spans="22:22" x14ac:dyDescent="0.2">
      <c r="V254" s="36" t="str">
        <f ca="1">IFERROR(IF(V253="","",IF(NOT($T$2=""),IF(AND(VALUE(LEFT(V253,4))+1+$T$3/100&gt;=$T$6,VALUE(LEFT(V253,4))+1+$T$3/100&lt;=$T$7),CONCATENATE(VALUE(LEFT(V253,4))+1,$T$2),""),IF(next_period(V253)=next_period(CONCATENATE($N$7,$N$8)),"",next_period(V253)))),"")</f>
        <v/>
      </c>
    </row>
    <row r="255" spans="22:22" x14ac:dyDescent="0.2">
      <c r="V255" s="36" t="str">
        <f ca="1">IFERROR(IF(V254="","",IF(NOT($T$2=""),IF(AND(VALUE(LEFT(V254,4))+1+$T$3/100&gt;=$T$6,VALUE(LEFT(V254,4))+1+$T$3/100&lt;=$T$7),CONCATENATE(VALUE(LEFT(V254,4))+1,$T$2),""),IF(next_period(V254)=next_period(CONCATENATE($N$7,$N$8)),"",next_period(V254)))),"")</f>
        <v/>
      </c>
    </row>
    <row r="256" spans="22:22" x14ac:dyDescent="0.2">
      <c r="V256" s="36" t="str">
        <f ca="1">IFERROR(IF(V255="","",IF(NOT($T$2=""),IF(AND(VALUE(LEFT(V255,4))+1+$T$3/100&gt;=$T$6,VALUE(LEFT(V255,4))+1+$T$3/100&lt;=$T$7),CONCATENATE(VALUE(LEFT(V255,4))+1,$T$2),""),IF(next_period(V255)=next_period(CONCATENATE($N$7,$N$8)),"",next_period(V255)))),"")</f>
        <v/>
      </c>
    </row>
    <row r="257" spans="22:22" x14ac:dyDescent="0.2">
      <c r="V257" s="36" t="str">
        <f ca="1">IFERROR(IF(V256="","",IF(NOT($T$2=""),IF(AND(VALUE(LEFT(V256,4))+1+$T$3/100&gt;=$T$6,VALUE(LEFT(V256,4))+1+$T$3/100&lt;=$T$7),CONCATENATE(VALUE(LEFT(V256,4))+1,$T$2),""),IF(next_period(V256)=next_period(CONCATENATE($N$7,$N$8)),"",next_period(V256)))),"")</f>
        <v/>
      </c>
    </row>
    <row r="258" spans="22:22" x14ac:dyDescent="0.2">
      <c r="V258" s="36" t="str">
        <f ca="1">IFERROR(IF(V257="","",IF(NOT($T$2=""),IF(AND(VALUE(LEFT(V257,4))+1+$T$3/100&gt;=$T$6,VALUE(LEFT(V257,4))+1+$T$3/100&lt;=$T$7),CONCATENATE(VALUE(LEFT(V257,4))+1,$T$2),""),IF(next_period(V257)=next_period(CONCATENATE($N$7,$N$8)),"",next_period(V257)))),"")</f>
        <v/>
      </c>
    </row>
    <row r="259" spans="22:22" x14ac:dyDescent="0.2">
      <c r="V259" s="36" t="str">
        <f ca="1">IFERROR(IF(V258="","",IF(NOT($T$2=""),IF(AND(VALUE(LEFT(V258,4))+1+$T$3/100&gt;=$T$6,VALUE(LEFT(V258,4))+1+$T$3/100&lt;=$T$7),CONCATENATE(VALUE(LEFT(V258,4))+1,$T$2),""),IF(next_period(V258)=next_period(CONCATENATE($N$7,$N$8)),"",next_period(V258)))),"")</f>
        <v/>
      </c>
    </row>
    <row r="260" spans="22:22" x14ac:dyDescent="0.2">
      <c r="V260" s="36" t="str">
        <f ca="1">IFERROR(IF(V259="","",IF(NOT($T$2=""),IF(AND(VALUE(LEFT(V259,4))+1+$T$3/100&gt;=$T$6,VALUE(LEFT(V259,4))+1+$T$3/100&lt;=$T$7),CONCATENATE(VALUE(LEFT(V259,4))+1,$T$2),""),IF(next_period(V259)=next_period(CONCATENATE($N$7,$N$8)),"",next_period(V259)))),"")</f>
        <v/>
      </c>
    </row>
    <row r="261" spans="22:22" x14ac:dyDescent="0.2">
      <c r="V261" s="36" t="str">
        <f ca="1">IFERROR(IF(V260="","",IF(NOT($T$2=""),IF(AND(VALUE(LEFT(V260,4))+1+$T$3/100&gt;=$T$6,VALUE(LEFT(V260,4))+1+$T$3/100&lt;=$T$7),CONCATENATE(VALUE(LEFT(V260,4))+1,$T$2),""),IF(next_period(V260)=next_period(CONCATENATE($N$7,$N$8)),"",next_period(V260)))),"")</f>
        <v/>
      </c>
    </row>
    <row r="262" spans="22:22" x14ac:dyDescent="0.2">
      <c r="V262" s="36" t="str">
        <f ca="1">IFERROR(IF(V261="","",IF(NOT($T$2=""),IF(AND(VALUE(LEFT(V261,4))+1+$T$3/100&gt;=$T$6,VALUE(LEFT(V261,4))+1+$T$3/100&lt;=$T$7),CONCATENATE(VALUE(LEFT(V261,4))+1,$T$2),""),IF(next_period(V261)=next_period(CONCATENATE($N$7,$N$8)),"",next_period(V261)))),"")</f>
        <v/>
      </c>
    </row>
    <row r="263" spans="22:22" x14ac:dyDescent="0.2">
      <c r="V263" s="36" t="str">
        <f ca="1">IFERROR(IF(V262="","",IF(NOT($T$2=""),IF(AND(VALUE(LEFT(V262,4))+1+$T$3/100&gt;=$T$6,VALUE(LEFT(V262,4))+1+$T$3/100&lt;=$T$7),CONCATENATE(VALUE(LEFT(V262,4))+1,$T$2),""),IF(next_period(V262)=next_period(CONCATENATE($N$7,$N$8)),"",next_period(V262)))),"")</f>
        <v/>
      </c>
    </row>
    <row r="264" spans="22:22" x14ac:dyDescent="0.2">
      <c r="V264" s="36" t="str">
        <f ca="1">IFERROR(IF(V263="","",IF(NOT($T$2=""),IF(AND(VALUE(LEFT(V263,4))+1+$T$3/100&gt;=$T$6,VALUE(LEFT(V263,4))+1+$T$3/100&lt;=$T$7),CONCATENATE(VALUE(LEFT(V263,4))+1,$T$2),""),IF(next_period(V263)=next_period(CONCATENATE($N$7,$N$8)),"",next_period(V263)))),"")</f>
        <v/>
      </c>
    </row>
    <row r="265" spans="22:22" x14ac:dyDescent="0.2">
      <c r="V265" s="36" t="str">
        <f ca="1">IFERROR(IF(V264="","",IF(NOT($T$2=""),IF(AND(VALUE(LEFT(V264,4))+1+$T$3/100&gt;=$T$6,VALUE(LEFT(V264,4))+1+$T$3/100&lt;=$T$7),CONCATENATE(VALUE(LEFT(V264,4))+1,$T$2),""),IF(next_period(V264)=next_period(CONCATENATE($N$7,$N$8)),"",next_period(V264)))),"")</f>
        <v/>
      </c>
    </row>
    <row r="266" spans="22:22" x14ac:dyDescent="0.2">
      <c r="V266" s="36" t="str">
        <f ca="1">IFERROR(IF(V265="","",IF(NOT($T$2=""),IF(AND(VALUE(LEFT(V265,4))+1+$T$3/100&gt;=$T$6,VALUE(LEFT(V265,4))+1+$T$3/100&lt;=$T$7),CONCATENATE(VALUE(LEFT(V265,4))+1,$T$2),""),IF(next_period(V265)=next_period(CONCATENATE($N$7,$N$8)),"",next_period(V265)))),"")</f>
        <v/>
      </c>
    </row>
    <row r="267" spans="22:22" x14ac:dyDescent="0.2">
      <c r="V267" s="36" t="str">
        <f ca="1">IFERROR(IF(V266="","",IF(NOT($T$2=""),IF(AND(VALUE(LEFT(V266,4))+1+$T$3/100&gt;=$T$6,VALUE(LEFT(V266,4))+1+$T$3/100&lt;=$T$7),CONCATENATE(VALUE(LEFT(V266,4))+1,$T$2),""),IF(next_period(V266)=next_period(CONCATENATE($N$7,$N$8)),"",next_period(V266)))),"")</f>
        <v/>
      </c>
    </row>
    <row r="268" spans="22:22" x14ac:dyDescent="0.2">
      <c r="V268" s="36" t="str">
        <f ca="1">IFERROR(IF(V267="","",IF(NOT($T$2=""),IF(AND(VALUE(LEFT(V267,4))+1+$T$3/100&gt;=$T$6,VALUE(LEFT(V267,4))+1+$T$3/100&lt;=$T$7),CONCATENATE(VALUE(LEFT(V267,4))+1,$T$2),""),IF(next_period(V267)=next_period(CONCATENATE($N$7,$N$8)),"",next_period(V267)))),"")</f>
        <v/>
      </c>
    </row>
    <row r="269" spans="22:22" x14ac:dyDescent="0.2">
      <c r="V269" s="36" t="str">
        <f ca="1">IFERROR(IF(V268="","",IF(NOT($T$2=""),IF(AND(VALUE(LEFT(V268,4))+1+$T$3/100&gt;=$T$6,VALUE(LEFT(V268,4))+1+$T$3/100&lt;=$T$7),CONCATENATE(VALUE(LEFT(V268,4))+1,$T$2),""),IF(next_period(V268)=next_period(CONCATENATE($N$7,$N$8)),"",next_period(V268)))),"")</f>
        <v/>
      </c>
    </row>
    <row r="270" spans="22:22" x14ac:dyDescent="0.2">
      <c r="V270" s="36" t="str">
        <f ca="1">IFERROR(IF(V269="","",IF(NOT($T$2=""),IF(AND(VALUE(LEFT(V269,4))+1+$T$3/100&gt;=$T$6,VALUE(LEFT(V269,4))+1+$T$3/100&lt;=$T$7),CONCATENATE(VALUE(LEFT(V269,4))+1,$T$2),""),IF(next_period(V269)=next_period(CONCATENATE($N$7,$N$8)),"",next_period(V269)))),"")</f>
        <v/>
      </c>
    </row>
    <row r="271" spans="22:22" x14ac:dyDescent="0.2">
      <c r="V271" s="36" t="str">
        <f ca="1">IFERROR(IF(V270="","",IF(NOT($T$2=""),IF(AND(VALUE(LEFT(V270,4))+1+$T$3/100&gt;=$T$6,VALUE(LEFT(V270,4))+1+$T$3/100&lt;=$T$7),CONCATENATE(VALUE(LEFT(V270,4))+1,$T$2),""),IF(next_period(V270)=next_period(CONCATENATE($N$7,$N$8)),"",next_period(V270)))),"")</f>
        <v/>
      </c>
    </row>
    <row r="272" spans="22:22" x14ac:dyDescent="0.2">
      <c r="V272" s="36" t="str">
        <f ca="1">IFERROR(IF(V271="","",IF(NOT($T$2=""),IF(AND(VALUE(LEFT(V271,4))+1+$T$3/100&gt;=$T$6,VALUE(LEFT(V271,4))+1+$T$3/100&lt;=$T$7),CONCATENATE(VALUE(LEFT(V271,4))+1,$T$2),""),IF(next_period(V271)=next_period(CONCATENATE($N$7,$N$8)),"",next_period(V271)))),"")</f>
        <v/>
      </c>
    </row>
    <row r="273" spans="22:22" x14ac:dyDescent="0.2">
      <c r="V273" s="36" t="str">
        <f ca="1">IFERROR(IF(V272="","",IF(NOT($T$2=""),IF(AND(VALUE(LEFT(V272,4))+1+$T$3/100&gt;=$T$6,VALUE(LEFT(V272,4))+1+$T$3/100&lt;=$T$7),CONCATENATE(VALUE(LEFT(V272,4))+1,$T$2),""),IF(next_period(V272)=next_period(CONCATENATE($N$7,$N$8)),"",next_period(V272)))),"")</f>
        <v/>
      </c>
    </row>
    <row r="274" spans="22:22" x14ac:dyDescent="0.2">
      <c r="V274" s="36" t="str">
        <f ca="1">IFERROR(IF(V273="","",IF(NOT($T$2=""),IF(AND(VALUE(LEFT(V273,4))+1+$T$3/100&gt;=$T$6,VALUE(LEFT(V273,4))+1+$T$3/100&lt;=$T$7),CONCATENATE(VALUE(LEFT(V273,4))+1,$T$2),""),IF(next_period(V273)=next_period(CONCATENATE($N$7,$N$8)),"",next_period(V273)))),"")</f>
        <v/>
      </c>
    </row>
    <row r="275" spans="22:22" x14ac:dyDescent="0.2">
      <c r="V275" s="36" t="str">
        <f ca="1">IFERROR(IF(V274="","",IF(NOT($T$2=""),IF(AND(VALUE(LEFT(V274,4))+1+$T$3/100&gt;=$T$6,VALUE(LEFT(V274,4))+1+$T$3/100&lt;=$T$7),CONCATENATE(VALUE(LEFT(V274,4))+1,$T$2),""),IF(next_period(V274)=next_period(CONCATENATE($N$7,$N$8)),"",next_period(V274)))),"")</f>
        <v/>
      </c>
    </row>
    <row r="276" spans="22:22" x14ac:dyDescent="0.2">
      <c r="V276" s="36" t="str">
        <f ca="1">IFERROR(IF(V275="","",IF(NOT($T$2=""),IF(AND(VALUE(LEFT(V275,4))+1+$T$3/100&gt;=$T$6,VALUE(LEFT(V275,4))+1+$T$3/100&lt;=$T$7),CONCATENATE(VALUE(LEFT(V275,4))+1,$T$2),""),IF(next_period(V275)=next_period(CONCATENATE($N$7,$N$8)),"",next_period(V275)))),"")</f>
        <v/>
      </c>
    </row>
    <row r="277" spans="22:22" x14ac:dyDescent="0.2">
      <c r="V277" s="36" t="str">
        <f ca="1">IFERROR(IF(V276="","",IF(NOT($T$2=""),IF(AND(VALUE(LEFT(V276,4))+1+$T$3/100&gt;=$T$6,VALUE(LEFT(V276,4))+1+$T$3/100&lt;=$T$7),CONCATENATE(VALUE(LEFT(V276,4))+1,$T$2),""),IF(next_period(V276)=next_period(CONCATENATE($N$7,$N$8)),"",next_period(V276)))),"")</f>
        <v/>
      </c>
    </row>
    <row r="278" spans="22:22" x14ac:dyDescent="0.2">
      <c r="V278" s="36" t="str">
        <f ca="1">IFERROR(IF(V277="","",IF(NOT($T$2=""),IF(AND(VALUE(LEFT(V277,4))+1+$T$3/100&gt;=$T$6,VALUE(LEFT(V277,4))+1+$T$3/100&lt;=$T$7),CONCATENATE(VALUE(LEFT(V277,4))+1,$T$2),""),IF(next_period(V277)=next_period(CONCATENATE($N$7,$N$8)),"",next_period(V277)))),"")</f>
        <v/>
      </c>
    </row>
    <row r="279" spans="22:22" x14ac:dyDescent="0.2">
      <c r="V279" s="36" t="str">
        <f ca="1">IFERROR(IF(V278="","",IF(NOT($T$2=""),IF(AND(VALUE(LEFT(V278,4))+1+$T$3/100&gt;=$T$6,VALUE(LEFT(V278,4))+1+$T$3/100&lt;=$T$7),CONCATENATE(VALUE(LEFT(V278,4))+1,$T$2),""),IF(next_period(V278)=next_period(CONCATENATE($N$7,$N$8)),"",next_period(V278)))),"")</f>
        <v/>
      </c>
    </row>
    <row r="280" spans="22:22" x14ac:dyDescent="0.2">
      <c r="V280" s="36" t="str">
        <f ca="1">IFERROR(IF(V279="","",IF(NOT($T$2=""),IF(AND(VALUE(LEFT(V279,4))+1+$T$3/100&gt;=$T$6,VALUE(LEFT(V279,4))+1+$T$3/100&lt;=$T$7),CONCATENATE(VALUE(LEFT(V279,4))+1,$T$2),""),IF(next_period(V279)=next_period(CONCATENATE($N$7,$N$8)),"",next_period(V279)))),"")</f>
        <v/>
      </c>
    </row>
    <row r="281" spans="22:22" x14ac:dyDescent="0.2">
      <c r="V281" s="36" t="str">
        <f ca="1">IFERROR(IF(V280="","",IF(NOT($T$2=""),IF(AND(VALUE(LEFT(V280,4))+1+$T$3/100&gt;=$T$6,VALUE(LEFT(V280,4))+1+$T$3/100&lt;=$T$7),CONCATENATE(VALUE(LEFT(V280,4))+1,$T$2),""),IF(next_period(V280)=next_period(CONCATENATE($N$7,$N$8)),"",next_period(V280)))),"")</f>
        <v/>
      </c>
    </row>
    <row r="282" spans="22:22" x14ac:dyDescent="0.2">
      <c r="V282" s="36" t="str">
        <f ca="1">IFERROR(IF(V281="","",IF(NOT($T$2=""),IF(AND(VALUE(LEFT(V281,4))+1+$T$3/100&gt;=$T$6,VALUE(LEFT(V281,4))+1+$T$3/100&lt;=$T$7),CONCATENATE(VALUE(LEFT(V281,4))+1,$T$2),""),IF(next_period(V281)=next_period(CONCATENATE($N$7,$N$8)),"",next_period(V281)))),"")</f>
        <v/>
      </c>
    </row>
    <row r="283" spans="22:22" x14ac:dyDescent="0.2">
      <c r="V283" s="36" t="str">
        <f ca="1">IFERROR(IF(V282="","",IF(NOT($T$2=""),IF(AND(VALUE(LEFT(V282,4))+1+$T$3/100&gt;=$T$6,VALUE(LEFT(V282,4))+1+$T$3/100&lt;=$T$7),CONCATENATE(VALUE(LEFT(V282,4))+1,$T$2),""),IF(next_period(V282)=next_period(CONCATENATE($N$7,$N$8)),"",next_period(V282)))),"")</f>
        <v/>
      </c>
    </row>
    <row r="284" spans="22:22" x14ac:dyDescent="0.2">
      <c r="V284" s="36" t="str">
        <f ca="1">IFERROR(IF(V283="","",IF(NOT($T$2=""),IF(AND(VALUE(LEFT(V283,4))+1+$T$3/100&gt;=$T$6,VALUE(LEFT(V283,4))+1+$T$3/100&lt;=$T$7),CONCATENATE(VALUE(LEFT(V283,4))+1,$T$2),""),IF(next_period(V283)=next_period(CONCATENATE($N$7,$N$8)),"",next_period(V283)))),"")</f>
        <v/>
      </c>
    </row>
    <row r="285" spans="22:22" x14ac:dyDescent="0.2">
      <c r="V285" s="36" t="str">
        <f ca="1">IFERROR(IF(V284="","",IF(NOT($T$2=""),IF(AND(VALUE(LEFT(V284,4))+1+$T$3/100&gt;=$T$6,VALUE(LEFT(V284,4))+1+$T$3/100&lt;=$T$7),CONCATENATE(VALUE(LEFT(V284,4))+1,$T$2),""),IF(next_period(V284)=next_period(CONCATENATE($N$7,$N$8)),"",next_period(V284)))),"")</f>
        <v/>
      </c>
    </row>
    <row r="286" spans="22:22" x14ac:dyDescent="0.2">
      <c r="V286" s="36" t="str">
        <f ca="1">IFERROR(IF(V285="","",IF(NOT($T$2=""),IF(AND(VALUE(LEFT(V285,4))+1+$T$3/100&gt;=$T$6,VALUE(LEFT(V285,4))+1+$T$3/100&lt;=$T$7),CONCATENATE(VALUE(LEFT(V285,4))+1,$T$2),""),IF(next_period(V285)=next_period(CONCATENATE($N$7,$N$8)),"",next_period(V285)))),"")</f>
        <v/>
      </c>
    </row>
    <row r="287" spans="22:22" x14ac:dyDescent="0.2">
      <c r="V287" s="36" t="str">
        <f ca="1">IFERROR(IF(V286="","",IF(NOT($T$2=""),IF(AND(VALUE(LEFT(V286,4))+1+$T$3/100&gt;=$T$6,VALUE(LEFT(V286,4))+1+$T$3/100&lt;=$T$7),CONCATENATE(VALUE(LEFT(V286,4))+1,$T$2),""),IF(next_period(V286)=next_period(CONCATENATE($N$7,$N$8)),"",next_period(V286)))),"")</f>
        <v/>
      </c>
    </row>
    <row r="288" spans="22:22" x14ac:dyDescent="0.2">
      <c r="V288" s="36" t="str">
        <f ca="1">IFERROR(IF(V287="","",IF(NOT($T$2=""),IF(AND(VALUE(LEFT(V287,4))+1+$T$3/100&gt;=$T$6,VALUE(LEFT(V287,4))+1+$T$3/100&lt;=$T$7),CONCATENATE(VALUE(LEFT(V287,4))+1,$T$2),""),IF(next_period(V287)=next_period(CONCATENATE($N$7,$N$8)),"",next_period(V287)))),"")</f>
        <v/>
      </c>
    </row>
    <row r="289" spans="22:22" x14ac:dyDescent="0.2">
      <c r="V289" s="36" t="str">
        <f ca="1">IFERROR(IF(V288="","",IF(NOT($T$2=""),IF(AND(VALUE(LEFT(V288,4))+1+$T$3/100&gt;=$T$6,VALUE(LEFT(V288,4))+1+$T$3/100&lt;=$T$7),CONCATENATE(VALUE(LEFT(V288,4))+1,$T$2),""),IF(next_period(V288)=next_period(CONCATENATE($N$7,$N$8)),"",next_period(V288)))),"")</f>
        <v/>
      </c>
    </row>
    <row r="290" spans="22:22" x14ac:dyDescent="0.2">
      <c r="V290" s="36" t="str">
        <f ca="1">IFERROR(IF(V289="","",IF(NOT($T$2=""),IF(AND(VALUE(LEFT(V289,4))+1+$T$3/100&gt;=$T$6,VALUE(LEFT(V289,4))+1+$T$3/100&lt;=$T$7),CONCATENATE(VALUE(LEFT(V289,4))+1,$T$2),""),IF(next_period(V289)=next_period(CONCATENATE($N$7,$N$8)),"",next_period(V289)))),"")</f>
        <v/>
      </c>
    </row>
    <row r="291" spans="22:22" x14ac:dyDescent="0.2">
      <c r="V291" s="36" t="str">
        <f ca="1">IFERROR(IF(V290="","",IF(NOT($T$2=""),IF(AND(VALUE(LEFT(V290,4))+1+$T$3/100&gt;=$T$6,VALUE(LEFT(V290,4))+1+$T$3/100&lt;=$T$7),CONCATENATE(VALUE(LEFT(V290,4))+1,$T$2),""),IF(next_period(V290)=next_period(CONCATENATE($N$7,$N$8)),"",next_period(V290)))),"")</f>
        <v/>
      </c>
    </row>
    <row r="292" spans="22:22" x14ac:dyDescent="0.2">
      <c r="V292" s="36" t="str">
        <f ca="1">IFERROR(IF(V291="","",IF(NOT($T$2=""),IF(AND(VALUE(LEFT(V291,4))+1+$T$3/100&gt;=$T$6,VALUE(LEFT(V291,4))+1+$T$3/100&lt;=$T$7),CONCATENATE(VALUE(LEFT(V291,4))+1,$T$2),""),IF(next_period(V291)=next_period(CONCATENATE($N$7,$N$8)),"",next_period(V291)))),"")</f>
        <v/>
      </c>
    </row>
    <row r="293" spans="22:22" x14ac:dyDescent="0.2">
      <c r="V293" s="36" t="str">
        <f ca="1">IFERROR(IF(V292="","",IF(NOT($T$2=""),IF(AND(VALUE(LEFT(V292,4))+1+$T$3/100&gt;=$T$6,VALUE(LEFT(V292,4))+1+$T$3/100&lt;=$T$7),CONCATENATE(VALUE(LEFT(V292,4))+1,$T$2),""),IF(next_period(V292)=next_period(CONCATENATE($N$7,$N$8)),"",next_period(V292)))),"")</f>
        <v/>
      </c>
    </row>
    <row r="294" spans="22:22" x14ac:dyDescent="0.2">
      <c r="V294" s="36" t="str">
        <f ca="1">IFERROR(IF(V293="","",IF(NOT($T$2=""),IF(AND(VALUE(LEFT(V293,4))+1+$T$3/100&gt;=$T$6,VALUE(LEFT(V293,4))+1+$T$3/100&lt;=$T$7),CONCATENATE(VALUE(LEFT(V293,4))+1,$T$2),""),IF(next_period(V293)=next_period(CONCATENATE($N$7,$N$8)),"",next_period(V293)))),"")</f>
        <v/>
      </c>
    </row>
    <row r="295" spans="22:22" x14ac:dyDescent="0.2">
      <c r="V295" s="36" t="str">
        <f ca="1">IFERROR(IF(V294="","",IF(NOT($T$2=""),IF(AND(VALUE(LEFT(V294,4))+1+$T$3/100&gt;=$T$6,VALUE(LEFT(V294,4))+1+$T$3/100&lt;=$T$7),CONCATENATE(VALUE(LEFT(V294,4))+1,$T$2),""),IF(next_period(V294)=next_period(CONCATENATE($N$7,$N$8)),"",next_period(V294)))),"")</f>
        <v/>
      </c>
    </row>
    <row r="296" spans="22:22" x14ac:dyDescent="0.2">
      <c r="V296" s="36" t="str">
        <f ca="1">IFERROR(IF(V295="","",IF(NOT($T$2=""),IF(AND(VALUE(LEFT(V295,4))+1+$T$3/100&gt;=$T$6,VALUE(LEFT(V295,4))+1+$T$3/100&lt;=$T$7),CONCATENATE(VALUE(LEFT(V295,4))+1,$T$2),""),IF(next_period(V295)=next_period(CONCATENATE($N$7,$N$8)),"",next_period(V295)))),"")</f>
        <v/>
      </c>
    </row>
    <row r="297" spans="22:22" x14ac:dyDescent="0.2">
      <c r="V297" s="36" t="str">
        <f ca="1">IFERROR(IF(V296="","",IF(NOT($T$2=""),IF(AND(VALUE(LEFT(V296,4))+1+$T$3/100&gt;=$T$6,VALUE(LEFT(V296,4))+1+$T$3/100&lt;=$T$7),CONCATENATE(VALUE(LEFT(V296,4))+1,$T$2),""),IF(next_period(V296)=next_period(CONCATENATE($N$7,$N$8)),"",next_period(V296)))),"")</f>
        <v/>
      </c>
    </row>
    <row r="298" spans="22:22" x14ac:dyDescent="0.2">
      <c r="V298" s="36" t="str">
        <f ca="1">IFERROR(IF(V297="","",IF(NOT($T$2=""),IF(AND(VALUE(LEFT(V297,4))+1+$T$3/100&gt;=$T$6,VALUE(LEFT(V297,4))+1+$T$3/100&lt;=$T$7),CONCATENATE(VALUE(LEFT(V297,4))+1,$T$2),""),IF(next_period(V297)=next_period(CONCATENATE($N$7,$N$8)),"",next_period(V297)))),"")</f>
        <v/>
      </c>
    </row>
    <row r="299" spans="22:22" x14ac:dyDescent="0.2">
      <c r="V299" s="36" t="str">
        <f ca="1">IFERROR(IF(V298="","",IF(NOT($T$2=""),IF(AND(VALUE(LEFT(V298,4))+1+$T$3/100&gt;=$T$6,VALUE(LEFT(V298,4))+1+$T$3/100&lt;=$T$7),CONCATENATE(VALUE(LEFT(V298,4))+1,$T$2),""),IF(next_period(V298)=next_period(CONCATENATE($N$7,$N$8)),"",next_period(V298)))),"")</f>
        <v/>
      </c>
    </row>
    <row r="300" spans="22:22" x14ac:dyDescent="0.2">
      <c r="V300" s="36" t="str">
        <f ca="1">IFERROR(IF(V299="","",IF(NOT($T$2=""),IF(AND(VALUE(LEFT(V299,4))+1+$T$3/100&gt;=$T$6,VALUE(LEFT(V299,4))+1+$T$3/100&lt;=$T$7),CONCATENATE(VALUE(LEFT(V299,4))+1,$T$2),""),IF(next_period(V299)=next_period(CONCATENATE($N$7,$N$8)),"",next_period(V299)))),"")</f>
        <v/>
      </c>
    </row>
    <row r="301" spans="22:22" x14ac:dyDescent="0.2">
      <c r="V301" s="36" t="str">
        <f ca="1">IFERROR(IF(V300="","",IF(NOT($T$2=""),IF(AND(VALUE(LEFT(V300,4))+1+$T$3/100&gt;=$T$6,VALUE(LEFT(V300,4))+1+$T$3/100&lt;=$T$7),CONCATENATE(VALUE(LEFT(V300,4))+1,$T$2),""),IF(next_period(V300)=next_period(CONCATENATE($N$7,$N$8)),"",next_period(V300)))),"")</f>
        <v/>
      </c>
    </row>
    <row r="302" spans="22:22" x14ac:dyDescent="0.2">
      <c r="V302" s="36" t="str">
        <f ca="1">IFERROR(IF(V301="","",IF(NOT($T$2=""),IF(AND(VALUE(LEFT(V301,4))+1+$T$3/100&gt;=$T$6,VALUE(LEFT(V301,4))+1+$T$3/100&lt;=$T$7),CONCATENATE(VALUE(LEFT(V301,4))+1,$T$2),""),IF(next_period(V301)=next_period(CONCATENATE($N$7,$N$8)),"",next_period(V301)))),"")</f>
        <v/>
      </c>
    </row>
    <row r="303" spans="22:22" x14ac:dyDescent="0.2">
      <c r="V303" s="36" t="str">
        <f ca="1">IFERROR(IF(V302="","",IF(NOT($T$2=""),IF(AND(VALUE(LEFT(V302,4))+1+$T$3/100&gt;=$T$6,VALUE(LEFT(V302,4))+1+$T$3/100&lt;=$T$7),CONCATENATE(VALUE(LEFT(V302,4))+1,$T$2),""),IF(next_period(V302)=next_period(CONCATENATE($N$7,$N$8)),"",next_period(V302)))),"")</f>
        <v/>
      </c>
    </row>
    <row r="304" spans="22:22" x14ac:dyDescent="0.2">
      <c r="V304" s="36" t="str">
        <f ca="1">IFERROR(IF(V303="","",IF(NOT($T$2=""),IF(AND(VALUE(LEFT(V303,4))+1+$T$3/100&gt;=$T$6,VALUE(LEFT(V303,4))+1+$T$3/100&lt;=$T$7),CONCATENATE(VALUE(LEFT(V303,4))+1,$T$2),""),IF(next_period(V303)=next_period(CONCATENATE($N$7,$N$8)),"",next_period(V303)))),"")</f>
        <v/>
      </c>
    </row>
    <row r="305" spans="22:22" x14ac:dyDescent="0.2">
      <c r="V305" s="36" t="str">
        <f ca="1">IFERROR(IF(V304="","",IF(NOT($T$2=""),IF(AND(VALUE(LEFT(V304,4))+1+$T$3/100&gt;=$T$6,VALUE(LEFT(V304,4))+1+$T$3/100&lt;=$T$7),CONCATENATE(VALUE(LEFT(V304,4))+1,$T$2),""),IF(next_period(V304)=next_period(CONCATENATE($N$7,$N$8)),"",next_period(V304)))),"")</f>
        <v/>
      </c>
    </row>
    <row r="306" spans="22:22" x14ac:dyDescent="0.2">
      <c r="V306" s="36" t="str">
        <f ca="1">IFERROR(IF(V305="","",IF(NOT($T$2=""),IF(AND(VALUE(LEFT(V305,4))+1+$T$3/100&gt;=$T$6,VALUE(LEFT(V305,4))+1+$T$3/100&lt;=$T$7),CONCATENATE(VALUE(LEFT(V305,4))+1,$T$2),""),IF(next_period(V305)=next_period(CONCATENATE($N$7,$N$8)),"",next_period(V305)))),"")</f>
        <v/>
      </c>
    </row>
    <row r="307" spans="22:22" x14ac:dyDescent="0.2">
      <c r="V307" s="36" t="str">
        <f ca="1">IFERROR(IF(V306="","",IF(NOT($T$2=""),IF(AND(VALUE(LEFT(V306,4))+1+$T$3/100&gt;=$T$6,VALUE(LEFT(V306,4))+1+$T$3/100&lt;=$T$7),CONCATENATE(VALUE(LEFT(V306,4))+1,$T$2),""),IF(next_period(V306)=next_period(CONCATENATE($N$7,$N$8)),"",next_period(V306)))),"")</f>
        <v/>
      </c>
    </row>
    <row r="308" spans="22:22" x14ac:dyDescent="0.2">
      <c r="V308" s="36" t="str">
        <f ca="1">IFERROR(IF(V307="","",IF(NOT($T$2=""),IF(AND(VALUE(LEFT(V307,4))+1+$T$3/100&gt;=$T$6,VALUE(LEFT(V307,4))+1+$T$3/100&lt;=$T$7),CONCATENATE(VALUE(LEFT(V307,4))+1,$T$2),""),IF(next_period(V307)=next_period(CONCATENATE($N$7,$N$8)),"",next_period(V307)))),"")</f>
        <v/>
      </c>
    </row>
    <row r="309" spans="22:22" x14ac:dyDescent="0.2">
      <c r="V309" s="36" t="str">
        <f ca="1">IFERROR(IF(V308="","",IF(NOT($T$2=""),IF(AND(VALUE(LEFT(V308,4))+1+$T$3/100&gt;=$T$6,VALUE(LEFT(V308,4))+1+$T$3/100&lt;=$T$7),CONCATENATE(VALUE(LEFT(V308,4))+1,$T$2),""),IF(next_period(V308)=next_period(CONCATENATE($N$7,$N$8)),"",next_period(V308)))),"")</f>
        <v/>
      </c>
    </row>
    <row r="310" spans="22:22" x14ac:dyDescent="0.2">
      <c r="V310" s="36" t="str">
        <f ca="1">IFERROR(IF(V309="","",IF(NOT($T$2=""),IF(AND(VALUE(LEFT(V309,4))+1+$T$3/100&gt;=$T$6,VALUE(LEFT(V309,4))+1+$T$3/100&lt;=$T$7),CONCATENATE(VALUE(LEFT(V309,4))+1,$T$2),""),IF(next_period(V309)=next_period(CONCATENATE($N$7,$N$8)),"",next_period(V309)))),"")</f>
        <v/>
      </c>
    </row>
    <row r="311" spans="22:22" x14ac:dyDescent="0.2">
      <c r="V311" s="36" t="str">
        <f ca="1">IFERROR(IF(V310="","",IF(NOT($T$2=""),IF(AND(VALUE(LEFT(V310,4))+1+$T$3/100&gt;=$T$6,VALUE(LEFT(V310,4))+1+$T$3/100&lt;=$T$7),CONCATENATE(VALUE(LEFT(V310,4))+1,$T$2),""),IF(next_period(V310)=next_period(CONCATENATE($N$7,$N$8)),"",next_period(V310)))),"")</f>
        <v/>
      </c>
    </row>
    <row r="312" spans="22:22" x14ac:dyDescent="0.2">
      <c r="V312" s="36" t="str">
        <f ca="1">IFERROR(IF(V311="","",IF(NOT($T$2=""),IF(AND(VALUE(LEFT(V311,4))+1+$T$3/100&gt;=$T$6,VALUE(LEFT(V311,4))+1+$T$3/100&lt;=$T$7),CONCATENATE(VALUE(LEFT(V311,4))+1,$T$2),""),IF(next_period(V311)=next_period(CONCATENATE($N$7,$N$8)),"",next_period(V311)))),"")</f>
        <v/>
      </c>
    </row>
    <row r="313" spans="22:22" x14ac:dyDescent="0.2">
      <c r="V313" s="36" t="str">
        <f ca="1">IFERROR(IF(V312="","",IF(NOT($T$2=""),IF(AND(VALUE(LEFT(V312,4))+1+$T$3/100&gt;=$T$6,VALUE(LEFT(V312,4))+1+$T$3/100&lt;=$T$7),CONCATENATE(VALUE(LEFT(V312,4))+1,$T$2),""),IF(next_period(V312)=next_period(CONCATENATE($N$7,$N$8)),"",next_period(V312)))),"")</f>
        <v/>
      </c>
    </row>
    <row r="314" spans="22:22" x14ac:dyDescent="0.2">
      <c r="V314" s="36" t="str">
        <f ca="1">IFERROR(IF(V313="","",IF(NOT($T$2=""),IF(AND(VALUE(LEFT(V313,4))+1+$T$3/100&gt;=$T$6,VALUE(LEFT(V313,4))+1+$T$3/100&lt;=$T$7),CONCATENATE(VALUE(LEFT(V313,4))+1,$T$2),""),IF(next_period(V313)=next_period(CONCATENATE($N$7,$N$8)),"",next_period(V313)))),"")</f>
        <v/>
      </c>
    </row>
    <row r="315" spans="22:22" x14ac:dyDescent="0.2">
      <c r="V315" s="36" t="str">
        <f ca="1">IFERROR(IF(V314="","",IF(NOT($T$2=""),IF(AND(VALUE(LEFT(V314,4))+1+$T$3/100&gt;=$T$6,VALUE(LEFT(V314,4))+1+$T$3/100&lt;=$T$7),CONCATENATE(VALUE(LEFT(V314,4))+1,$T$2),""),IF(next_period(V314)=next_period(CONCATENATE($N$7,$N$8)),"",next_period(V314)))),"")</f>
        <v/>
      </c>
    </row>
    <row r="316" spans="22:22" x14ac:dyDescent="0.2">
      <c r="V316" s="36" t="str">
        <f ca="1">IFERROR(IF(V315="","",IF(NOT($T$2=""),IF(AND(VALUE(LEFT(V315,4))+1+$T$3/100&gt;=$T$6,VALUE(LEFT(V315,4))+1+$T$3/100&lt;=$T$7),CONCATENATE(VALUE(LEFT(V315,4))+1,$T$2),""),IF(next_period(V315)=next_period(CONCATENATE($N$7,$N$8)),"",next_period(V315)))),"")</f>
        <v/>
      </c>
    </row>
    <row r="317" spans="22:22" x14ac:dyDescent="0.2">
      <c r="V317" s="36" t="str">
        <f ca="1">IFERROR(IF(V316="","",IF(NOT($T$2=""),IF(AND(VALUE(LEFT(V316,4))+1+$T$3/100&gt;=$T$6,VALUE(LEFT(V316,4))+1+$T$3/100&lt;=$T$7),CONCATENATE(VALUE(LEFT(V316,4))+1,$T$2),""),IF(next_period(V316)=next_period(CONCATENATE($N$7,$N$8)),"",next_period(V316)))),"")</f>
        <v/>
      </c>
    </row>
    <row r="318" spans="22:22" x14ac:dyDescent="0.2">
      <c r="V318" s="36" t="str">
        <f ca="1">IFERROR(IF(V317="","",IF(NOT($T$2=""),IF(AND(VALUE(LEFT(V317,4))+1+$T$3/100&gt;=$T$6,VALUE(LEFT(V317,4))+1+$T$3/100&lt;=$T$7),CONCATENATE(VALUE(LEFT(V317,4))+1,$T$2),""),IF(next_period(V317)=next_period(CONCATENATE($N$7,$N$8)),"",next_period(V317)))),"")</f>
        <v/>
      </c>
    </row>
    <row r="319" spans="22:22" x14ac:dyDescent="0.2">
      <c r="V319" s="36" t="str">
        <f ca="1">IFERROR(IF(V318="","",IF(NOT($T$2=""),IF(AND(VALUE(LEFT(V318,4))+1+$T$3/100&gt;=$T$6,VALUE(LEFT(V318,4))+1+$T$3/100&lt;=$T$7),CONCATENATE(VALUE(LEFT(V318,4))+1,$T$2),""),IF(next_period(V318)=next_period(CONCATENATE($N$7,$N$8)),"",next_period(V318)))),"")</f>
        <v/>
      </c>
    </row>
    <row r="320" spans="22:22" x14ac:dyDescent="0.2">
      <c r="V320" s="36" t="str">
        <f ca="1">IFERROR(IF(V319="","",IF(NOT($T$2=""),IF(AND(VALUE(LEFT(V319,4))+1+$T$3/100&gt;=$T$6,VALUE(LEFT(V319,4))+1+$T$3/100&lt;=$T$7),CONCATENATE(VALUE(LEFT(V319,4))+1,$T$2),""),IF(next_period(V319)=next_period(CONCATENATE($N$7,$N$8)),"",next_period(V319)))),"")</f>
        <v/>
      </c>
    </row>
    <row r="321" spans="22:22" x14ac:dyDescent="0.2">
      <c r="V321" s="36" t="str">
        <f ca="1">IFERROR(IF(V320="","",IF(NOT($T$2=""),IF(AND(VALUE(LEFT(V320,4))+1+$T$3/100&gt;=$T$6,VALUE(LEFT(V320,4))+1+$T$3/100&lt;=$T$7),CONCATENATE(VALUE(LEFT(V320,4))+1,$T$2),""),IF(next_period(V320)=next_period(CONCATENATE($N$7,$N$8)),"",next_period(V320)))),"")</f>
        <v/>
      </c>
    </row>
    <row r="322" spans="22:22" x14ac:dyDescent="0.2">
      <c r="V322" s="36" t="str">
        <f ca="1">IFERROR(IF(V321="","",IF(NOT($T$2=""),IF(AND(VALUE(LEFT(V321,4))+1+$T$3/100&gt;=$T$6,VALUE(LEFT(V321,4))+1+$T$3/100&lt;=$T$7),CONCATENATE(VALUE(LEFT(V321,4))+1,$T$2),""),IF(next_period(V321)=next_period(CONCATENATE($N$7,$N$8)),"",next_period(V321)))),"")</f>
        <v/>
      </c>
    </row>
    <row r="323" spans="22:22" x14ac:dyDescent="0.2">
      <c r="V323" s="36" t="str">
        <f ca="1">IFERROR(IF(V322="","",IF(NOT($T$2=""),IF(AND(VALUE(LEFT(V322,4))+1+$T$3/100&gt;=$T$6,VALUE(LEFT(V322,4))+1+$T$3/100&lt;=$T$7),CONCATENATE(VALUE(LEFT(V322,4))+1,$T$2),""),IF(next_period(V322)=next_period(CONCATENATE($N$7,$N$8)),"",next_period(V322)))),"")</f>
        <v/>
      </c>
    </row>
    <row r="324" spans="22:22" x14ac:dyDescent="0.2">
      <c r="V324" s="36" t="str">
        <f ca="1">IFERROR(IF(V323="","",IF(NOT($T$2=""),IF(AND(VALUE(LEFT(V323,4))+1+$T$3/100&gt;=$T$6,VALUE(LEFT(V323,4))+1+$T$3/100&lt;=$T$7),CONCATENATE(VALUE(LEFT(V323,4))+1,$T$2),""),IF(next_period(V323)=next_period(CONCATENATE($N$7,$N$8)),"",next_period(V323)))),"")</f>
        <v/>
      </c>
    </row>
    <row r="325" spans="22:22" x14ac:dyDescent="0.2">
      <c r="V325" s="36" t="str">
        <f ca="1">IFERROR(IF(V324="","",IF(NOT($T$2=""),IF(AND(VALUE(LEFT(V324,4))+1+$T$3/100&gt;=$T$6,VALUE(LEFT(V324,4))+1+$T$3/100&lt;=$T$7),CONCATENATE(VALUE(LEFT(V324,4))+1,$T$2),""),IF(next_period(V324)=next_period(CONCATENATE($N$7,$N$8)),"",next_period(V324)))),"")</f>
        <v/>
      </c>
    </row>
    <row r="326" spans="22:22" x14ac:dyDescent="0.2">
      <c r="V326" s="36" t="str">
        <f ca="1">IFERROR(IF(V325="","",IF(NOT($T$2=""),IF(AND(VALUE(LEFT(V325,4))+1+$T$3/100&gt;=$T$6,VALUE(LEFT(V325,4))+1+$T$3/100&lt;=$T$7),CONCATENATE(VALUE(LEFT(V325,4))+1,$T$2),""),IF(next_period(V325)=next_period(CONCATENATE($N$7,$N$8)),"",next_period(V325)))),"")</f>
        <v/>
      </c>
    </row>
    <row r="327" spans="22:22" x14ac:dyDescent="0.2">
      <c r="V327" s="36" t="str">
        <f ca="1">IFERROR(IF(V326="","",IF(NOT($T$2=""),IF(AND(VALUE(LEFT(V326,4))+1+$T$3/100&gt;=$T$6,VALUE(LEFT(V326,4))+1+$T$3/100&lt;=$T$7),CONCATENATE(VALUE(LEFT(V326,4))+1,$T$2),""),IF(next_period(V326)=next_period(CONCATENATE($N$7,$N$8)),"",next_period(V326)))),"")</f>
        <v/>
      </c>
    </row>
    <row r="328" spans="22:22" x14ac:dyDescent="0.2">
      <c r="V328" s="36" t="str">
        <f ca="1">IFERROR(IF(V327="","",IF(NOT($T$2=""),IF(AND(VALUE(LEFT(V327,4))+1+$T$3/100&gt;=$T$6,VALUE(LEFT(V327,4))+1+$T$3/100&lt;=$T$7),CONCATENATE(VALUE(LEFT(V327,4))+1,$T$2),""),IF(next_period(V327)=next_period(CONCATENATE($N$7,$N$8)),"",next_period(V327)))),"")</f>
        <v/>
      </c>
    </row>
    <row r="329" spans="22:22" x14ac:dyDescent="0.2">
      <c r="V329" s="36" t="str">
        <f ca="1">IFERROR(IF(V328="","",IF(NOT($T$2=""),IF(AND(VALUE(LEFT(V328,4))+1+$T$3/100&gt;=$T$6,VALUE(LEFT(V328,4))+1+$T$3/100&lt;=$T$7),CONCATENATE(VALUE(LEFT(V328,4))+1,$T$2),""),IF(next_period(V328)=next_period(CONCATENATE($N$7,$N$8)),"",next_period(V328)))),"")</f>
        <v/>
      </c>
    </row>
    <row r="330" spans="22:22" x14ac:dyDescent="0.2">
      <c r="V330" s="36" t="str">
        <f ca="1">IFERROR(IF(V329="","",IF(NOT($T$2=""),IF(AND(VALUE(LEFT(V329,4))+1+$T$3/100&gt;=$T$6,VALUE(LEFT(V329,4))+1+$T$3/100&lt;=$T$7),CONCATENATE(VALUE(LEFT(V329,4))+1,$T$2),""),IF(next_period(V329)=next_period(CONCATENATE($N$7,$N$8)),"",next_period(V329)))),"")</f>
        <v/>
      </c>
    </row>
    <row r="331" spans="22:22" x14ac:dyDescent="0.2">
      <c r="V331" s="36" t="str">
        <f ca="1">IFERROR(IF(V330="","",IF(NOT($T$2=""),IF(AND(VALUE(LEFT(V330,4))+1+$T$3/100&gt;=$T$6,VALUE(LEFT(V330,4))+1+$T$3/100&lt;=$T$7),CONCATENATE(VALUE(LEFT(V330,4))+1,$T$2),""),IF(next_period(V330)=next_period(CONCATENATE($N$7,$N$8)),"",next_period(V330)))),"")</f>
        <v/>
      </c>
    </row>
    <row r="332" spans="22:22" x14ac:dyDescent="0.2">
      <c r="V332" s="36" t="str">
        <f ca="1">IFERROR(IF(V331="","",IF(NOT($T$2=""),IF(AND(VALUE(LEFT(V331,4))+1+$T$3/100&gt;=$T$6,VALUE(LEFT(V331,4))+1+$T$3/100&lt;=$T$7),CONCATENATE(VALUE(LEFT(V331,4))+1,$T$2),""),IF(next_period(V331)=next_period(CONCATENATE($N$7,$N$8)),"",next_period(V331)))),"")</f>
        <v/>
      </c>
    </row>
    <row r="333" spans="22:22" x14ac:dyDescent="0.2">
      <c r="V333" s="36" t="str">
        <f ca="1">IFERROR(IF(V332="","",IF(NOT($T$2=""),IF(AND(VALUE(LEFT(V332,4))+1+$T$3/100&gt;=$T$6,VALUE(LEFT(V332,4))+1+$T$3/100&lt;=$T$7),CONCATENATE(VALUE(LEFT(V332,4))+1,$T$2),""),IF(next_period(V332)=next_period(CONCATENATE($N$7,$N$8)),"",next_period(V332)))),"")</f>
        <v/>
      </c>
    </row>
    <row r="334" spans="22:22" x14ac:dyDescent="0.2">
      <c r="V334" s="36" t="str">
        <f ca="1">IFERROR(IF(V333="","",IF(NOT($T$2=""),IF(AND(VALUE(LEFT(V333,4))+1+$T$3/100&gt;=$T$6,VALUE(LEFT(V333,4))+1+$T$3/100&lt;=$T$7),CONCATENATE(VALUE(LEFT(V333,4))+1,$T$2),""),IF(next_period(V333)=next_period(CONCATENATE($N$7,$N$8)),"",next_period(V333)))),"")</f>
        <v/>
      </c>
    </row>
    <row r="335" spans="22:22" x14ac:dyDescent="0.2">
      <c r="V335" s="36" t="str">
        <f ca="1">IFERROR(IF(V334="","",IF(NOT($T$2=""),IF(AND(VALUE(LEFT(V334,4))+1+$T$3/100&gt;=$T$6,VALUE(LEFT(V334,4))+1+$T$3/100&lt;=$T$7),CONCATENATE(VALUE(LEFT(V334,4))+1,$T$2),""),IF(next_period(V334)=next_period(CONCATENATE($N$7,$N$8)),"",next_period(V334)))),"")</f>
        <v/>
      </c>
    </row>
    <row r="336" spans="22:22" x14ac:dyDescent="0.2">
      <c r="V336" s="36" t="str">
        <f ca="1">IFERROR(IF(V335="","",IF(NOT($T$2=""),IF(AND(VALUE(LEFT(V335,4))+1+$T$3/100&gt;=$T$6,VALUE(LEFT(V335,4))+1+$T$3/100&lt;=$T$7),CONCATENATE(VALUE(LEFT(V335,4))+1,$T$2),""),IF(next_period(V335)=next_period(CONCATENATE($N$7,$N$8)),"",next_period(V335)))),"")</f>
        <v/>
      </c>
    </row>
    <row r="337" spans="22:22" x14ac:dyDescent="0.2">
      <c r="V337" s="36" t="str">
        <f ca="1">IFERROR(IF(V336="","",IF(NOT($T$2=""),IF(AND(VALUE(LEFT(V336,4))+1+$T$3/100&gt;=$T$6,VALUE(LEFT(V336,4))+1+$T$3/100&lt;=$T$7),CONCATENATE(VALUE(LEFT(V336,4))+1,$T$2),""),IF(next_period(V336)=next_period(CONCATENATE($N$7,$N$8)),"",next_period(V336)))),"")</f>
        <v/>
      </c>
    </row>
    <row r="338" spans="22:22" x14ac:dyDescent="0.2">
      <c r="V338" s="36" t="str">
        <f ca="1">IFERROR(IF(V337="","",IF(NOT($T$2=""),IF(AND(VALUE(LEFT(V337,4))+1+$T$3/100&gt;=$T$6,VALUE(LEFT(V337,4))+1+$T$3/100&lt;=$T$7),CONCATENATE(VALUE(LEFT(V337,4))+1,$T$2),""),IF(next_period(V337)=next_period(CONCATENATE($N$7,$N$8)),"",next_period(V337)))),"")</f>
        <v/>
      </c>
    </row>
    <row r="339" spans="22:22" x14ac:dyDescent="0.2">
      <c r="V339" s="36" t="str">
        <f ca="1">IFERROR(IF(V338="","",IF(NOT($T$2=""),IF(AND(VALUE(LEFT(V338,4))+1+$T$3/100&gt;=$T$6,VALUE(LEFT(V338,4))+1+$T$3/100&lt;=$T$7),CONCATENATE(VALUE(LEFT(V338,4))+1,$T$2),""),IF(next_period(V338)=next_period(CONCATENATE($N$7,$N$8)),"",next_period(V338)))),"")</f>
        <v/>
      </c>
    </row>
    <row r="340" spans="22:22" x14ac:dyDescent="0.2">
      <c r="V340" s="36" t="str">
        <f ca="1">IFERROR(IF(V339="","",IF(NOT($T$2=""),IF(AND(VALUE(LEFT(V339,4))+1+$T$3/100&gt;=$T$6,VALUE(LEFT(V339,4))+1+$T$3/100&lt;=$T$7),CONCATENATE(VALUE(LEFT(V339,4))+1,$T$2),""),IF(next_period(V339)=next_period(CONCATENATE($N$7,$N$8)),"",next_period(V339)))),"")</f>
        <v/>
      </c>
    </row>
    <row r="341" spans="22:22" x14ac:dyDescent="0.2">
      <c r="V341" s="36" t="str">
        <f ca="1">IFERROR(IF(V340="","",IF(NOT($T$2=""),IF(AND(VALUE(LEFT(V340,4))+1+$T$3/100&gt;=$T$6,VALUE(LEFT(V340,4))+1+$T$3/100&lt;=$T$7),CONCATENATE(VALUE(LEFT(V340,4))+1,$T$2),""),IF(next_period(V340)=next_period(CONCATENATE($N$7,$N$8)),"",next_period(V340)))),"")</f>
        <v/>
      </c>
    </row>
    <row r="342" spans="22:22" x14ac:dyDescent="0.2">
      <c r="V342" s="36" t="str">
        <f ca="1">IFERROR(IF(V341="","",IF(NOT($T$2=""),IF(AND(VALUE(LEFT(V341,4))+1+$T$3/100&gt;=$T$6,VALUE(LEFT(V341,4))+1+$T$3/100&lt;=$T$7),CONCATENATE(VALUE(LEFT(V341,4))+1,$T$2),""),IF(next_period(V341)=next_period(CONCATENATE($N$7,$N$8)),"",next_period(V341)))),"")</f>
        <v/>
      </c>
    </row>
    <row r="343" spans="22:22" x14ac:dyDescent="0.2">
      <c r="V343" s="36" t="str">
        <f ca="1">IFERROR(IF(V342="","",IF(NOT($T$2=""),IF(AND(VALUE(LEFT(V342,4))+1+$T$3/100&gt;=$T$6,VALUE(LEFT(V342,4))+1+$T$3/100&lt;=$T$7),CONCATENATE(VALUE(LEFT(V342,4))+1,$T$2),""),IF(next_period(V342)=next_period(CONCATENATE($N$7,$N$8)),"",next_period(V342)))),"")</f>
        <v/>
      </c>
    </row>
    <row r="344" spans="22:22" x14ac:dyDescent="0.2">
      <c r="V344" s="36" t="str">
        <f ca="1">IFERROR(IF(V343="","",IF(NOT($T$2=""),IF(AND(VALUE(LEFT(V343,4))+1+$T$3/100&gt;=$T$6,VALUE(LEFT(V343,4))+1+$T$3/100&lt;=$T$7),CONCATENATE(VALUE(LEFT(V343,4))+1,$T$2),""),IF(next_period(V343)=next_period(CONCATENATE($N$7,$N$8)),"",next_period(V343)))),"")</f>
        <v/>
      </c>
    </row>
    <row r="345" spans="22:22" x14ac:dyDescent="0.2">
      <c r="V345" s="36" t="str">
        <f ca="1">IFERROR(IF(V344="","",IF(NOT($T$2=""),IF(AND(VALUE(LEFT(V344,4))+1+$T$3/100&gt;=$T$6,VALUE(LEFT(V344,4))+1+$T$3/100&lt;=$T$7),CONCATENATE(VALUE(LEFT(V344,4))+1,$T$2),""),IF(next_period(V344)=next_period(CONCATENATE($N$7,$N$8)),"",next_period(V344)))),"")</f>
        <v/>
      </c>
    </row>
    <row r="346" spans="22:22" x14ac:dyDescent="0.2">
      <c r="V346" s="36" t="str">
        <f ca="1">IFERROR(IF(V345="","",IF(NOT($T$2=""),IF(AND(VALUE(LEFT(V345,4))+1+$T$3/100&gt;=$T$6,VALUE(LEFT(V345,4))+1+$T$3/100&lt;=$T$7),CONCATENATE(VALUE(LEFT(V345,4))+1,$T$2),""),IF(next_period(V345)=next_period(CONCATENATE($N$7,$N$8)),"",next_period(V345)))),"")</f>
        <v/>
      </c>
    </row>
    <row r="347" spans="22:22" x14ac:dyDescent="0.2">
      <c r="V347" s="36" t="str">
        <f ca="1">IFERROR(IF(V346="","",IF(NOT($T$2=""),IF(AND(VALUE(LEFT(V346,4))+1+$T$3/100&gt;=$T$6,VALUE(LEFT(V346,4))+1+$T$3/100&lt;=$T$7),CONCATENATE(VALUE(LEFT(V346,4))+1,$T$2),""),IF(next_period(V346)=next_period(CONCATENATE($N$7,$N$8)),"",next_period(V346)))),"")</f>
        <v/>
      </c>
    </row>
    <row r="348" spans="22:22" x14ac:dyDescent="0.2">
      <c r="V348" s="36" t="str">
        <f ca="1">IFERROR(IF(V347="","",IF(NOT($T$2=""),IF(AND(VALUE(LEFT(V347,4))+1+$T$3/100&gt;=$T$6,VALUE(LEFT(V347,4))+1+$T$3/100&lt;=$T$7),CONCATENATE(VALUE(LEFT(V347,4))+1,$T$2),""),IF(next_period(V347)=next_period(CONCATENATE($N$7,$N$8)),"",next_period(V347)))),"")</f>
        <v/>
      </c>
    </row>
    <row r="349" spans="22:22" x14ac:dyDescent="0.2">
      <c r="V349" s="36" t="str">
        <f ca="1">IFERROR(IF(V348="","",IF(NOT($T$2=""),IF(AND(VALUE(LEFT(V348,4))+1+$T$3/100&gt;=$T$6,VALUE(LEFT(V348,4))+1+$T$3/100&lt;=$T$7),CONCATENATE(VALUE(LEFT(V348,4))+1,$T$2),""),IF(next_period(V348)=next_period(CONCATENATE($N$7,$N$8)),"",next_period(V348)))),"")</f>
        <v/>
      </c>
    </row>
    <row r="350" spans="22:22" x14ac:dyDescent="0.2">
      <c r="V350" s="36" t="str">
        <f ca="1">IFERROR(IF(V349="","",IF(NOT($T$2=""),IF(AND(VALUE(LEFT(V349,4))+1+$T$3/100&gt;=$T$6,VALUE(LEFT(V349,4))+1+$T$3/100&lt;=$T$7),CONCATENATE(VALUE(LEFT(V349,4))+1,$T$2),""),IF(next_period(V349)=next_period(CONCATENATE($N$7,$N$8)),"",next_period(V349)))),"")</f>
        <v/>
      </c>
    </row>
    <row r="351" spans="22:22" x14ac:dyDescent="0.2">
      <c r="V351" s="36" t="str">
        <f ca="1">IFERROR(IF(V350="","",IF(NOT($T$2=""),IF(AND(VALUE(LEFT(V350,4))+1+$T$3/100&gt;=$T$6,VALUE(LEFT(V350,4))+1+$T$3/100&lt;=$T$7),CONCATENATE(VALUE(LEFT(V350,4))+1,$T$2),""),IF(next_period(V350)=next_period(CONCATENATE($N$7,$N$8)),"",next_period(V350)))),"")</f>
        <v/>
      </c>
    </row>
    <row r="352" spans="22:22" x14ac:dyDescent="0.2">
      <c r="V352" s="36" t="str">
        <f ca="1">IFERROR(IF(V351="","",IF(NOT($T$2=""),IF(AND(VALUE(LEFT(V351,4))+1+$T$3/100&gt;=$T$6,VALUE(LEFT(V351,4))+1+$T$3/100&lt;=$T$7),CONCATENATE(VALUE(LEFT(V351,4))+1,$T$2),""),IF(next_period(V351)=next_period(CONCATENATE($N$7,$N$8)),"",next_period(V351)))),"")</f>
        <v/>
      </c>
    </row>
    <row r="353" spans="22:22" x14ac:dyDescent="0.2">
      <c r="V353" s="36" t="str">
        <f ca="1">IFERROR(IF(V352="","",IF(NOT($T$2=""),IF(AND(VALUE(LEFT(V352,4))+1+$T$3/100&gt;=$T$6,VALUE(LEFT(V352,4))+1+$T$3/100&lt;=$T$7),CONCATENATE(VALUE(LEFT(V352,4))+1,$T$2),""),IF(next_period(V352)=next_period(CONCATENATE($N$7,$N$8)),"",next_period(V352)))),"")</f>
        <v/>
      </c>
    </row>
    <row r="354" spans="22:22" x14ac:dyDescent="0.2">
      <c r="V354" s="36" t="str">
        <f ca="1">IFERROR(IF(V353="","",IF(NOT($T$2=""),IF(AND(VALUE(LEFT(V353,4))+1+$T$3/100&gt;=$T$6,VALUE(LEFT(V353,4))+1+$T$3/100&lt;=$T$7),CONCATENATE(VALUE(LEFT(V353,4))+1,$T$2),""),IF(next_period(V353)=next_period(CONCATENATE($N$7,$N$8)),"",next_period(V353)))),"")</f>
        <v/>
      </c>
    </row>
    <row r="355" spans="22:22" x14ac:dyDescent="0.2">
      <c r="V355" s="36" t="str">
        <f ca="1">IFERROR(IF(V354="","",IF(NOT($T$2=""),IF(AND(VALUE(LEFT(V354,4))+1+$T$3/100&gt;=$T$6,VALUE(LEFT(V354,4))+1+$T$3/100&lt;=$T$7),CONCATENATE(VALUE(LEFT(V354,4))+1,$T$2),""),IF(next_period(V354)=next_period(CONCATENATE($N$7,$N$8)),"",next_period(V354)))),"")</f>
        <v/>
      </c>
    </row>
    <row r="356" spans="22:22" x14ac:dyDescent="0.2">
      <c r="V356" s="36" t="str">
        <f ca="1">IFERROR(IF(V355="","",IF(NOT($T$2=""),IF(AND(VALUE(LEFT(V355,4))+1+$T$3/100&gt;=$T$6,VALUE(LEFT(V355,4))+1+$T$3/100&lt;=$T$7),CONCATENATE(VALUE(LEFT(V355,4))+1,$T$2),""),IF(next_period(V355)=next_period(CONCATENATE($N$7,$N$8)),"",next_period(V355)))),"")</f>
        <v/>
      </c>
    </row>
    <row r="357" spans="22:22" x14ac:dyDescent="0.2">
      <c r="V357" s="36" t="str">
        <f ca="1">IFERROR(IF(V356="","",IF(NOT($T$2=""),IF(AND(VALUE(LEFT(V356,4))+1+$T$3/100&gt;=$T$6,VALUE(LEFT(V356,4))+1+$T$3/100&lt;=$T$7),CONCATENATE(VALUE(LEFT(V356,4))+1,$T$2),""),IF(next_period(V356)=next_period(CONCATENATE($N$7,$N$8)),"",next_period(V356)))),"")</f>
        <v/>
      </c>
    </row>
    <row r="358" spans="22:22" x14ac:dyDescent="0.2">
      <c r="V358" s="36" t="str">
        <f ca="1">IFERROR(IF(V357="","",IF(NOT($T$2=""),IF(AND(VALUE(LEFT(V357,4))+1+$T$3/100&gt;=$T$6,VALUE(LEFT(V357,4))+1+$T$3/100&lt;=$T$7),CONCATENATE(VALUE(LEFT(V357,4))+1,$T$2),""),IF(next_period(V357)=next_period(CONCATENATE($N$7,$N$8)),"",next_period(V357)))),"")</f>
        <v/>
      </c>
    </row>
    <row r="359" spans="22:22" x14ac:dyDescent="0.2">
      <c r="V359" s="36" t="str">
        <f ca="1">IFERROR(IF(V358="","",IF(NOT($T$2=""),IF(AND(VALUE(LEFT(V358,4))+1+$T$3/100&gt;=$T$6,VALUE(LEFT(V358,4))+1+$T$3/100&lt;=$T$7),CONCATENATE(VALUE(LEFT(V358,4))+1,$T$2),""),IF(next_period(V358)=next_period(CONCATENATE($N$7,$N$8)),"",next_period(V358)))),"")</f>
        <v/>
      </c>
    </row>
    <row r="360" spans="22:22" x14ac:dyDescent="0.2">
      <c r="V360" s="36" t="str">
        <f ca="1">IFERROR(IF(V359="","",IF(NOT($T$2=""),IF(AND(VALUE(LEFT(V359,4))+1+$T$3/100&gt;=$T$6,VALUE(LEFT(V359,4))+1+$T$3/100&lt;=$T$7),CONCATENATE(VALUE(LEFT(V359,4))+1,$T$2),""),IF(next_period(V359)=next_period(CONCATENATE($N$7,$N$8)),"",next_period(V359)))),"")</f>
        <v/>
      </c>
    </row>
    <row r="361" spans="22:22" x14ac:dyDescent="0.2">
      <c r="V361" s="36" t="str">
        <f ca="1">IFERROR(IF(V360="","",IF(NOT($T$2=""),IF(AND(VALUE(LEFT(V360,4))+1+$T$3/100&gt;=$T$6,VALUE(LEFT(V360,4))+1+$T$3/100&lt;=$T$7),CONCATENATE(VALUE(LEFT(V360,4))+1,$T$2),""),IF(next_period(V360)=next_period(CONCATENATE($N$7,$N$8)),"",next_period(V360)))),"")</f>
        <v/>
      </c>
    </row>
    <row r="362" spans="22:22" x14ac:dyDescent="0.2">
      <c r="V362" s="36" t="str">
        <f ca="1">IFERROR(IF(V361="","",IF(NOT($T$2=""),IF(AND(VALUE(LEFT(V361,4))+1+$T$3/100&gt;=$T$6,VALUE(LEFT(V361,4))+1+$T$3/100&lt;=$T$7),CONCATENATE(VALUE(LEFT(V361,4))+1,$T$2),""),IF(next_period(V361)=next_period(CONCATENATE($N$7,$N$8)),"",next_period(V361)))),"")</f>
        <v/>
      </c>
    </row>
    <row r="363" spans="22:22" x14ac:dyDescent="0.2">
      <c r="V363" s="36" t="str">
        <f ca="1">IFERROR(IF(V362="","",IF(NOT($T$2=""),IF(AND(VALUE(LEFT(V362,4))+1+$T$3/100&gt;=$T$6,VALUE(LEFT(V362,4))+1+$T$3/100&lt;=$T$7),CONCATENATE(VALUE(LEFT(V362,4))+1,$T$2),""),IF(next_period(V362)=next_period(CONCATENATE($N$7,$N$8)),"",next_period(V362)))),"")</f>
        <v/>
      </c>
    </row>
    <row r="364" spans="22:22" x14ac:dyDescent="0.2">
      <c r="V364" s="36" t="str">
        <f ca="1">IFERROR(IF(V363="","",IF(NOT($T$2=""),IF(AND(VALUE(LEFT(V363,4))+1+$T$3/100&gt;=$T$6,VALUE(LEFT(V363,4))+1+$T$3/100&lt;=$T$7),CONCATENATE(VALUE(LEFT(V363,4))+1,$T$2),""),IF(next_period(V363)=next_period(CONCATENATE($N$7,$N$8)),"",next_period(V363)))),"")</f>
        <v/>
      </c>
    </row>
    <row r="365" spans="22:22" x14ac:dyDescent="0.2">
      <c r="V365" s="36" t="str">
        <f ca="1">IFERROR(IF(V364="","",IF(NOT($T$2=""),IF(AND(VALUE(LEFT(V364,4))+1+$T$3/100&gt;=$T$6,VALUE(LEFT(V364,4))+1+$T$3/100&lt;=$T$7),CONCATENATE(VALUE(LEFT(V364,4))+1,$T$2),""),IF(next_period(V364)=next_period(CONCATENATE($N$7,$N$8)),"",next_period(V364)))),"")</f>
        <v/>
      </c>
    </row>
    <row r="366" spans="22:22" x14ac:dyDescent="0.2">
      <c r="V366" s="36" t="str">
        <f ca="1">IFERROR(IF(V365="","",IF(NOT($T$2=""),IF(AND(VALUE(LEFT(V365,4))+1+$T$3/100&gt;=$T$6,VALUE(LEFT(V365,4))+1+$T$3/100&lt;=$T$7),CONCATENATE(VALUE(LEFT(V365,4))+1,$T$2),""),IF(next_period(V365)=next_period(CONCATENATE($N$7,$N$8)),"",next_period(V365)))),"")</f>
        <v/>
      </c>
    </row>
    <row r="367" spans="22:22" x14ac:dyDescent="0.2">
      <c r="V367" s="36" t="str">
        <f ca="1">IFERROR(IF(V366="","",IF(NOT($T$2=""),IF(AND(VALUE(LEFT(V366,4))+1+$T$3/100&gt;=$T$6,VALUE(LEFT(V366,4))+1+$T$3/100&lt;=$T$7),CONCATENATE(VALUE(LEFT(V366,4))+1,$T$2),""),IF(next_period(V366)=next_period(CONCATENATE($N$7,$N$8)),"",next_period(V366)))),"")</f>
        <v/>
      </c>
    </row>
    <row r="368" spans="22:22" x14ac:dyDescent="0.2">
      <c r="V368" s="36" t="str">
        <f ca="1">IFERROR(IF(V367="","",IF(NOT($T$2=""),IF(AND(VALUE(LEFT(V367,4))+1+$T$3/100&gt;=$T$6,VALUE(LEFT(V367,4))+1+$T$3/100&lt;=$T$7),CONCATENATE(VALUE(LEFT(V367,4))+1,$T$2),""),IF(next_period(V367)=next_period(CONCATENATE($N$7,$N$8)),"",next_period(V367)))),"")</f>
        <v/>
      </c>
    </row>
    <row r="369" spans="22:22" x14ac:dyDescent="0.2">
      <c r="V369" s="36" t="str">
        <f ca="1">IFERROR(IF(V368="","",IF(NOT($T$2=""),IF(AND(VALUE(LEFT(V368,4))+1+$T$3/100&gt;=$T$6,VALUE(LEFT(V368,4))+1+$T$3/100&lt;=$T$7),CONCATENATE(VALUE(LEFT(V368,4))+1,$T$2),""),IF(next_period(V368)=next_period(CONCATENATE($N$7,$N$8)),"",next_period(V368)))),"")</f>
        <v/>
      </c>
    </row>
    <row r="370" spans="22:22" x14ac:dyDescent="0.2">
      <c r="V370" s="36" t="str">
        <f ca="1">IFERROR(IF(V369="","",IF(NOT($T$2=""),IF(AND(VALUE(LEFT(V369,4))+1+$T$3/100&gt;=$T$6,VALUE(LEFT(V369,4))+1+$T$3/100&lt;=$T$7),CONCATENATE(VALUE(LEFT(V369,4))+1,$T$2),""),IF(next_period(V369)=next_period(CONCATENATE($N$7,$N$8)),"",next_period(V369)))),"")</f>
        <v/>
      </c>
    </row>
    <row r="371" spans="22:22" x14ac:dyDescent="0.2">
      <c r="V371" s="36" t="str">
        <f ca="1">IFERROR(IF(V370="","",IF(NOT($T$2=""),IF(AND(VALUE(LEFT(V370,4))+1+$T$3/100&gt;=$T$6,VALUE(LEFT(V370,4))+1+$T$3/100&lt;=$T$7),CONCATENATE(VALUE(LEFT(V370,4))+1,$T$2),""),IF(next_period(V370)=next_period(CONCATENATE($N$7,$N$8)),"",next_period(V370)))),"")</f>
        <v/>
      </c>
    </row>
    <row r="372" spans="22:22" x14ac:dyDescent="0.2">
      <c r="V372" s="36" t="str">
        <f ca="1">IFERROR(IF(V371="","",IF(NOT($T$2=""),IF(AND(VALUE(LEFT(V371,4))+1+$T$3/100&gt;=$T$6,VALUE(LEFT(V371,4))+1+$T$3/100&lt;=$T$7),CONCATENATE(VALUE(LEFT(V371,4))+1,$T$2),""),IF(next_period(V371)=next_period(CONCATENATE($N$7,$N$8)),"",next_period(V371)))),"")</f>
        <v/>
      </c>
    </row>
    <row r="373" spans="22:22" x14ac:dyDescent="0.2">
      <c r="V373" s="36" t="str">
        <f ca="1">IFERROR(IF(V372="","",IF(NOT($T$2=""),IF(AND(VALUE(LEFT(V372,4))+1+$T$3/100&gt;=$T$6,VALUE(LEFT(V372,4))+1+$T$3/100&lt;=$T$7),CONCATENATE(VALUE(LEFT(V372,4))+1,$T$2),""),IF(next_period(V372)=next_period(CONCATENATE($N$7,$N$8)),"",next_period(V372)))),"")</f>
        <v/>
      </c>
    </row>
    <row r="374" spans="22:22" x14ac:dyDescent="0.2">
      <c r="V374" s="36" t="str">
        <f ca="1">IFERROR(IF(V373="","",IF(NOT($T$2=""),IF(AND(VALUE(LEFT(V373,4))+1+$T$3/100&gt;=$T$6,VALUE(LEFT(V373,4))+1+$T$3/100&lt;=$T$7),CONCATENATE(VALUE(LEFT(V373,4))+1,$T$2),""),IF(next_period(V373)=next_period(CONCATENATE($N$7,$N$8)),"",next_period(V373)))),"")</f>
        <v/>
      </c>
    </row>
    <row r="375" spans="22:22" x14ac:dyDescent="0.2">
      <c r="V375" s="36" t="str">
        <f ca="1">IFERROR(IF(V374="","",IF(NOT($T$2=""),IF(AND(VALUE(LEFT(V374,4))+1+$T$3/100&gt;=$T$6,VALUE(LEFT(V374,4))+1+$T$3/100&lt;=$T$7),CONCATENATE(VALUE(LEFT(V374,4))+1,$T$2),""),IF(next_period(V374)=next_period(CONCATENATE($N$7,$N$8)),"",next_period(V374)))),"")</f>
        <v/>
      </c>
    </row>
    <row r="376" spans="22:22" x14ac:dyDescent="0.2">
      <c r="V376" s="36" t="str">
        <f ca="1">IFERROR(IF(V375="","",IF(NOT($T$2=""),IF(AND(VALUE(LEFT(V375,4))+1+$T$3/100&gt;=$T$6,VALUE(LEFT(V375,4))+1+$T$3/100&lt;=$T$7),CONCATENATE(VALUE(LEFT(V375,4))+1,$T$2),""),IF(next_period(V375)=next_period(CONCATENATE($N$7,$N$8)),"",next_period(V375)))),"")</f>
        <v/>
      </c>
    </row>
    <row r="377" spans="22:22" x14ac:dyDescent="0.2">
      <c r="V377" s="36" t="str">
        <f ca="1">IFERROR(IF(V376="","",IF(NOT($T$2=""),IF(AND(VALUE(LEFT(V376,4))+1+$T$3/100&gt;=$T$6,VALUE(LEFT(V376,4))+1+$T$3/100&lt;=$T$7),CONCATENATE(VALUE(LEFT(V376,4))+1,$T$2),""),IF(next_period(V376)=next_period(CONCATENATE($N$7,$N$8)),"",next_period(V376)))),"")</f>
        <v/>
      </c>
    </row>
    <row r="378" spans="22:22" x14ac:dyDescent="0.2">
      <c r="V378" s="36" t="str">
        <f ca="1">IFERROR(IF(V377="","",IF(NOT($T$2=""),IF(AND(VALUE(LEFT(V377,4))+1+$T$3/100&gt;=$T$6,VALUE(LEFT(V377,4))+1+$T$3/100&lt;=$T$7),CONCATENATE(VALUE(LEFT(V377,4))+1,$T$2),""),IF(next_period(V377)=next_period(CONCATENATE($N$7,$N$8)),"",next_period(V377)))),"")</f>
        <v/>
      </c>
    </row>
    <row r="379" spans="22:22" x14ac:dyDescent="0.2">
      <c r="V379" s="36" t="str">
        <f ca="1">IFERROR(IF(V378="","",IF(NOT($T$2=""),IF(AND(VALUE(LEFT(V378,4))+1+$T$3/100&gt;=$T$6,VALUE(LEFT(V378,4))+1+$T$3/100&lt;=$T$7),CONCATENATE(VALUE(LEFT(V378,4))+1,$T$2),""),IF(next_period(V378)=next_period(CONCATENATE($N$7,$N$8)),"",next_period(V378)))),"")</f>
        <v/>
      </c>
    </row>
    <row r="380" spans="22:22" x14ac:dyDescent="0.2">
      <c r="V380" s="36" t="str">
        <f ca="1">IFERROR(IF(V379="","",IF(NOT($T$2=""),IF(AND(VALUE(LEFT(V379,4))+1+$T$3/100&gt;=$T$6,VALUE(LEFT(V379,4))+1+$T$3/100&lt;=$T$7),CONCATENATE(VALUE(LEFT(V379,4))+1,$T$2),""),IF(next_period(V379)=next_period(CONCATENATE($N$7,$N$8)),"",next_period(V379)))),"")</f>
        <v/>
      </c>
    </row>
    <row r="381" spans="22:22" x14ac:dyDescent="0.2">
      <c r="V381" s="36" t="str">
        <f ca="1">IFERROR(IF(V380="","",IF(NOT($T$2=""),IF(AND(VALUE(LEFT(V380,4))+1+$T$3/100&gt;=$T$6,VALUE(LEFT(V380,4))+1+$T$3/100&lt;=$T$7),CONCATENATE(VALUE(LEFT(V380,4))+1,$T$2),""),IF(next_period(V380)=next_period(CONCATENATE($N$7,$N$8)),"",next_period(V380)))),"")</f>
        <v/>
      </c>
    </row>
    <row r="382" spans="22:22" x14ac:dyDescent="0.2">
      <c r="V382" s="36" t="str">
        <f ca="1">IFERROR(IF(V381="","",IF(NOT($T$2=""),IF(AND(VALUE(LEFT(V381,4))+1+$T$3/100&gt;=$T$6,VALUE(LEFT(V381,4))+1+$T$3/100&lt;=$T$7),CONCATENATE(VALUE(LEFT(V381,4))+1,$T$2),""),IF(next_period(V381)=next_period(CONCATENATE($N$7,$N$8)),"",next_period(V381)))),"")</f>
        <v/>
      </c>
    </row>
    <row r="383" spans="22:22" x14ac:dyDescent="0.2">
      <c r="V383" s="36" t="str">
        <f ca="1">IFERROR(IF(V382="","",IF(NOT($T$2=""),IF(AND(VALUE(LEFT(V382,4))+1+$T$3/100&gt;=$T$6,VALUE(LEFT(V382,4))+1+$T$3/100&lt;=$T$7),CONCATENATE(VALUE(LEFT(V382,4))+1,$T$2),""),IF(next_period(V382)=next_period(CONCATENATE($N$7,$N$8)),"",next_period(V382)))),"")</f>
        <v/>
      </c>
    </row>
    <row r="384" spans="22:22" x14ac:dyDescent="0.2">
      <c r="V384" s="36" t="str">
        <f ca="1">IFERROR(IF(V383="","",IF(NOT($T$2=""),IF(AND(VALUE(LEFT(V383,4))+1+$T$3/100&gt;=$T$6,VALUE(LEFT(V383,4))+1+$T$3/100&lt;=$T$7),CONCATENATE(VALUE(LEFT(V383,4))+1,$T$2),""),IF(next_period(V383)=next_period(CONCATENATE($N$7,$N$8)),"",next_period(V383)))),"")</f>
        <v/>
      </c>
    </row>
    <row r="385" spans="22:22" x14ac:dyDescent="0.2">
      <c r="V385" s="36" t="str">
        <f ca="1">IFERROR(IF(V384="","",IF(NOT($T$2=""),IF(AND(VALUE(LEFT(V384,4))+1+$T$3/100&gt;=$T$6,VALUE(LEFT(V384,4))+1+$T$3/100&lt;=$T$7),CONCATENATE(VALUE(LEFT(V384,4))+1,$T$2),""),IF(next_period(V384)=next_period(CONCATENATE($N$7,$N$8)),"",next_period(V384)))),"")</f>
        <v/>
      </c>
    </row>
    <row r="386" spans="22:22" x14ac:dyDescent="0.2">
      <c r="V386" s="36" t="str">
        <f ca="1">IFERROR(IF(V385="","",IF(NOT($T$2=""),IF(AND(VALUE(LEFT(V385,4))+1+$T$3/100&gt;=$T$6,VALUE(LEFT(V385,4))+1+$T$3/100&lt;=$T$7),CONCATENATE(VALUE(LEFT(V385,4))+1,$T$2),""),IF(next_period(V385)=next_period(CONCATENATE($N$7,$N$8)),"",next_period(V385)))),"")</f>
        <v/>
      </c>
    </row>
    <row r="387" spans="22:22" x14ac:dyDescent="0.2">
      <c r="V387" s="36" t="str">
        <f ca="1">IFERROR(IF(V386="","",IF(NOT($T$2=""),IF(AND(VALUE(LEFT(V386,4))+1+$T$3/100&gt;=$T$6,VALUE(LEFT(V386,4))+1+$T$3/100&lt;=$T$7),CONCATENATE(VALUE(LEFT(V386,4))+1,$T$2),""),IF(next_period(V386)=next_period(CONCATENATE($N$7,$N$8)),"",next_period(V386)))),"")</f>
        <v/>
      </c>
    </row>
    <row r="388" spans="22:22" x14ac:dyDescent="0.2">
      <c r="V388" s="36" t="str">
        <f ca="1">IFERROR(IF(V387="","",IF(NOT($T$2=""),IF(AND(VALUE(LEFT(V387,4))+1+$T$3/100&gt;=$T$6,VALUE(LEFT(V387,4))+1+$T$3/100&lt;=$T$7),CONCATENATE(VALUE(LEFT(V387,4))+1,$T$2),""),IF(next_period(V387)=next_period(CONCATENATE($N$7,$N$8)),"",next_period(V387)))),"")</f>
        <v/>
      </c>
    </row>
    <row r="389" spans="22:22" x14ac:dyDescent="0.2">
      <c r="V389" s="36" t="str">
        <f ca="1">IFERROR(IF(V388="","",IF(NOT($T$2=""),IF(AND(VALUE(LEFT(V388,4))+1+$T$3/100&gt;=$T$6,VALUE(LEFT(V388,4))+1+$T$3/100&lt;=$T$7),CONCATENATE(VALUE(LEFT(V388,4))+1,$T$2),""),IF(next_period(V388)=next_period(CONCATENATE($N$7,$N$8)),"",next_period(V388)))),"")</f>
        <v/>
      </c>
    </row>
    <row r="390" spans="22:22" x14ac:dyDescent="0.2">
      <c r="V390" s="36" t="str">
        <f ca="1">IFERROR(IF(V389="","",IF(NOT($T$2=""),IF(AND(VALUE(LEFT(V389,4))+1+$T$3/100&gt;=$T$6,VALUE(LEFT(V389,4))+1+$T$3/100&lt;=$T$7),CONCATENATE(VALUE(LEFT(V389,4))+1,$T$2),""),IF(next_period(V389)=next_period(CONCATENATE($N$7,$N$8)),"",next_period(V389)))),"")</f>
        <v/>
      </c>
    </row>
    <row r="391" spans="22:22" x14ac:dyDescent="0.2">
      <c r="V391" s="36" t="str">
        <f ca="1">IFERROR(IF(V390="","",IF(NOT($T$2=""),IF(AND(VALUE(LEFT(V390,4))+1+$T$3/100&gt;=$T$6,VALUE(LEFT(V390,4))+1+$T$3/100&lt;=$T$7),CONCATENATE(VALUE(LEFT(V390,4))+1,$T$2),""),IF(next_period(V390)=next_period(CONCATENATE($N$7,$N$8)),"",next_period(V390)))),"")</f>
        <v/>
      </c>
    </row>
    <row r="392" spans="22:22" x14ac:dyDescent="0.2">
      <c r="V392" s="36" t="str">
        <f ca="1">IFERROR(IF(V391="","",IF(NOT($T$2=""),IF(AND(VALUE(LEFT(V391,4))+1+$T$3/100&gt;=$T$6,VALUE(LEFT(V391,4))+1+$T$3/100&lt;=$T$7),CONCATENATE(VALUE(LEFT(V391,4))+1,$T$2),""),IF(next_period(V391)=next_period(CONCATENATE($N$7,$N$8)),"",next_period(V391)))),"")</f>
        <v/>
      </c>
    </row>
    <row r="393" spans="22:22" x14ac:dyDescent="0.2">
      <c r="V393" s="36" t="str">
        <f ca="1">IFERROR(IF(V392="","",IF(NOT($T$2=""),IF(AND(VALUE(LEFT(V392,4))+1+$T$3/100&gt;=$T$6,VALUE(LEFT(V392,4))+1+$T$3/100&lt;=$T$7),CONCATENATE(VALUE(LEFT(V392,4))+1,$T$2),""),IF(next_period(V392)=next_period(CONCATENATE($N$7,$N$8)),"",next_period(V392)))),"")</f>
        <v/>
      </c>
    </row>
    <row r="394" spans="22:22" x14ac:dyDescent="0.2">
      <c r="V394" s="36" t="str">
        <f ca="1">IFERROR(IF(V393="","",IF(NOT($T$2=""),IF(AND(VALUE(LEFT(V393,4))+1+$T$3/100&gt;=$T$6,VALUE(LEFT(V393,4))+1+$T$3/100&lt;=$T$7),CONCATENATE(VALUE(LEFT(V393,4))+1,$T$2),""),IF(next_period(V393)=next_period(CONCATENATE($N$7,$N$8)),"",next_period(V393)))),"")</f>
        <v/>
      </c>
    </row>
    <row r="395" spans="22:22" x14ac:dyDescent="0.2">
      <c r="V395" s="36" t="str">
        <f ca="1">IFERROR(IF(V394="","",IF(NOT($T$2=""),IF(AND(VALUE(LEFT(V394,4))+1+$T$3/100&gt;=$T$6,VALUE(LEFT(V394,4))+1+$T$3/100&lt;=$T$7),CONCATENATE(VALUE(LEFT(V394,4))+1,$T$2),""),IF(next_period(V394)=next_period(CONCATENATE($N$7,$N$8)),"",next_period(V394)))),"")</f>
        <v/>
      </c>
    </row>
    <row r="396" spans="22:22" x14ac:dyDescent="0.2">
      <c r="V396" s="36" t="str">
        <f ca="1">IFERROR(IF(V395="","",IF(NOT($T$2=""),IF(AND(VALUE(LEFT(V395,4))+1+$T$3/100&gt;=$T$6,VALUE(LEFT(V395,4))+1+$T$3/100&lt;=$T$7),CONCATENATE(VALUE(LEFT(V395,4))+1,$T$2),""),IF(next_period(V395)=next_period(CONCATENATE($N$7,$N$8)),"",next_period(V395)))),"")</f>
        <v/>
      </c>
    </row>
    <row r="397" spans="22:22" x14ac:dyDescent="0.2">
      <c r="V397" s="36" t="str">
        <f ca="1">IFERROR(IF(V396="","",IF(NOT($T$2=""),IF(AND(VALUE(LEFT(V396,4))+1+$T$3/100&gt;=$T$6,VALUE(LEFT(V396,4))+1+$T$3/100&lt;=$T$7),CONCATENATE(VALUE(LEFT(V396,4))+1,$T$2),""),IF(next_period(V396)=next_period(CONCATENATE($N$7,$N$8)),"",next_period(V396)))),"")</f>
        <v/>
      </c>
    </row>
    <row r="398" spans="22:22" x14ac:dyDescent="0.2">
      <c r="V398" s="36" t="str">
        <f ca="1">IFERROR(IF(V397="","",IF(NOT($T$2=""),IF(AND(VALUE(LEFT(V397,4))+1+$T$3/100&gt;=$T$6,VALUE(LEFT(V397,4))+1+$T$3/100&lt;=$T$7),CONCATENATE(VALUE(LEFT(V397,4))+1,$T$2),""),IF(next_period(V397)=next_period(CONCATENATE($N$7,$N$8)),"",next_period(V397)))),"")</f>
        <v/>
      </c>
    </row>
    <row r="399" spans="22:22" x14ac:dyDescent="0.2">
      <c r="V399" s="36" t="str">
        <f ca="1">IFERROR(IF(V398="","",IF(NOT($T$2=""),IF(AND(VALUE(LEFT(V398,4))+1+$T$3/100&gt;=$T$6,VALUE(LEFT(V398,4))+1+$T$3/100&lt;=$T$7),CONCATENATE(VALUE(LEFT(V398,4))+1,$T$2),""),IF(next_period(V398)=next_period(CONCATENATE($N$7,$N$8)),"",next_period(V398)))),"")</f>
        <v/>
      </c>
    </row>
    <row r="400" spans="22:22" x14ac:dyDescent="0.2">
      <c r="V400" s="36" t="str">
        <f ca="1">IFERROR(IF(V399="","",IF(NOT($T$2=""),IF(AND(VALUE(LEFT(V399,4))+1+$T$3/100&gt;=$T$6,VALUE(LEFT(V399,4))+1+$T$3/100&lt;=$T$7),CONCATENATE(VALUE(LEFT(V399,4))+1,$T$2),""),IF(next_period(V399)=next_period(CONCATENATE($N$7,$N$8)),"",next_period(V399)))),"")</f>
        <v/>
      </c>
    </row>
    <row r="401" spans="22:22" x14ac:dyDescent="0.2">
      <c r="V401" s="36" t="str">
        <f ca="1">IFERROR(IF(V400="","",IF(NOT($T$2=""),IF(AND(VALUE(LEFT(V400,4))+1+$T$3/100&gt;=$T$6,VALUE(LEFT(V400,4))+1+$T$3/100&lt;=$T$7),CONCATENATE(VALUE(LEFT(V400,4))+1,$T$2),""),IF(next_period(V400)=next_period(CONCATENATE($N$7,$N$8)),"",next_period(V400)))),"")</f>
        <v/>
      </c>
    </row>
    <row r="402" spans="22:22" x14ac:dyDescent="0.2">
      <c r="V402" s="36" t="str">
        <f ca="1">IFERROR(IF(V401="","",IF(NOT($T$2=""),IF(AND(VALUE(LEFT(V401,4))+1+$T$3/100&gt;=$T$6,VALUE(LEFT(V401,4))+1+$T$3/100&lt;=$T$7),CONCATENATE(VALUE(LEFT(V401,4))+1,$T$2),""),IF(next_period(V401)=next_period(CONCATENATE($N$7,$N$8)),"",next_period(V401)))),"")</f>
        <v/>
      </c>
    </row>
    <row r="403" spans="22:22" x14ac:dyDescent="0.2">
      <c r="V403" s="36" t="str">
        <f ca="1">IFERROR(IF(V402="","",IF(NOT($T$2=""),IF(AND(VALUE(LEFT(V402,4))+1+$T$3/100&gt;=$T$6,VALUE(LEFT(V402,4))+1+$T$3/100&lt;=$T$7),CONCATENATE(VALUE(LEFT(V402,4))+1,$T$2),""),IF(next_period(V402)=next_period(CONCATENATE($N$7,$N$8)),"",next_period(V402)))),"")</f>
        <v/>
      </c>
    </row>
    <row r="404" spans="22:22" x14ac:dyDescent="0.2">
      <c r="V404" s="36" t="str">
        <f ca="1">IFERROR(IF(V403="","",IF(NOT($T$2=""),IF(AND(VALUE(LEFT(V403,4))+1+$T$3/100&gt;=$T$6,VALUE(LEFT(V403,4))+1+$T$3/100&lt;=$T$7),CONCATENATE(VALUE(LEFT(V403,4))+1,$T$2),""),IF(next_period(V403)=next_period(CONCATENATE($N$7,$N$8)),"",next_period(V403)))),"")</f>
        <v/>
      </c>
    </row>
    <row r="405" spans="22:22" x14ac:dyDescent="0.2">
      <c r="V405" s="36" t="str">
        <f ca="1">IFERROR(IF(V404="","",IF(NOT($T$2=""),IF(AND(VALUE(LEFT(V404,4))+1+$T$3/100&gt;=$T$6,VALUE(LEFT(V404,4))+1+$T$3/100&lt;=$T$7),CONCATENATE(VALUE(LEFT(V404,4))+1,$T$2),""),IF(next_period(V404)=next_period(CONCATENATE($N$7,$N$8)),"",next_period(V404)))),"")</f>
        <v/>
      </c>
    </row>
    <row r="406" spans="22:22" x14ac:dyDescent="0.2">
      <c r="V406" s="36" t="str">
        <f ca="1">IFERROR(IF(V405="","",IF(NOT($T$2=""),IF(AND(VALUE(LEFT(V405,4))+1+$T$3/100&gt;=$T$6,VALUE(LEFT(V405,4))+1+$T$3/100&lt;=$T$7),CONCATENATE(VALUE(LEFT(V405,4))+1,$T$2),""),IF(next_period(V405)=next_period(CONCATENATE($N$7,$N$8)),"",next_period(V405)))),"")</f>
        <v/>
      </c>
    </row>
    <row r="407" spans="22:22" x14ac:dyDescent="0.2">
      <c r="V407" s="36" t="str">
        <f ca="1">IFERROR(IF(V406="","",IF(NOT($T$2=""),IF(AND(VALUE(LEFT(V406,4))+1+$T$3/100&gt;=$T$6,VALUE(LEFT(V406,4))+1+$T$3/100&lt;=$T$7),CONCATENATE(VALUE(LEFT(V406,4))+1,$T$2),""),IF(next_period(V406)=next_period(CONCATENATE($N$7,$N$8)),"",next_period(V406)))),"")</f>
        <v/>
      </c>
    </row>
    <row r="408" spans="22:22" x14ac:dyDescent="0.2">
      <c r="V408" s="36" t="str">
        <f ca="1">IFERROR(IF(V407="","",IF(NOT($T$2=""),IF(AND(VALUE(LEFT(V407,4))+1+$T$3/100&gt;=$T$6,VALUE(LEFT(V407,4))+1+$T$3/100&lt;=$T$7),CONCATENATE(VALUE(LEFT(V407,4))+1,$T$2),""),IF(next_period(V407)=next_period(CONCATENATE($N$7,$N$8)),"",next_period(V407)))),"")</f>
        <v/>
      </c>
    </row>
    <row r="409" spans="22:22" x14ac:dyDescent="0.2">
      <c r="V409" s="36" t="str">
        <f ca="1">IFERROR(IF(V408="","",IF(NOT($T$2=""),IF(AND(VALUE(LEFT(V408,4))+1+$T$3/100&gt;=$T$6,VALUE(LEFT(V408,4))+1+$T$3/100&lt;=$T$7),CONCATENATE(VALUE(LEFT(V408,4))+1,$T$2),""),IF(next_period(V408)=next_period(CONCATENATE($N$7,$N$8)),"",next_period(V408)))),"")</f>
        <v/>
      </c>
    </row>
    <row r="410" spans="22:22" x14ac:dyDescent="0.2">
      <c r="V410" s="36" t="str">
        <f ca="1">IFERROR(IF(V409="","",IF(NOT($T$2=""),IF(AND(VALUE(LEFT(V409,4))+1+$T$3/100&gt;=$T$6,VALUE(LEFT(V409,4))+1+$T$3/100&lt;=$T$7),CONCATENATE(VALUE(LEFT(V409,4))+1,$T$2),""),IF(next_period(V409)=next_period(CONCATENATE($N$7,$N$8)),"",next_period(V409)))),"")</f>
        <v/>
      </c>
    </row>
    <row r="411" spans="22:22" x14ac:dyDescent="0.2">
      <c r="V411" s="36" t="str">
        <f ca="1">IFERROR(IF(V410="","",IF(NOT($T$2=""),IF(AND(VALUE(LEFT(V410,4))+1+$T$3/100&gt;=$T$6,VALUE(LEFT(V410,4))+1+$T$3/100&lt;=$T$7),CONCATENATE(VALUE(LEFT(V410,4))+1,$T$2),""),IF(next_period(V410)=next_period(CONCATENATE($N$7,$N$8)),"",next_period(V410)))),"")</f>
        <v/>
      </c>
    </row>
    <row r="412" spans="22:22" x14ac:dyDescent="0.2">
      <c r="V412" s="36" t="str">
        <f ca="1">IFERROR(IF(V411="","",IF(NOT($T$2=""),IF(AND(VALUE(LEFT(V411,4))+1+$T$3/100&gt;=$T$6,VALUE(LEFT(V411,4))+1+$T$3/100&lt;=$T$7),CONCATENATE(VALUE(LEFT(V411,4))+1,$T$2),""),IF(next_period(V411)=next_period(CONCATENATE($N$7,$N$8)),"",next_period(V411)))),"")</f>
        <v/>
      </c>
    </row>
    <row r="413" spans="22:22" x14ac:dyDescent="0.2">
      <c r="V413" s="36" t="str">
        <f ca="1">IFERROR(IF(V412="","",IF(NOT($T$2=""),IF(AND(VALUE(LEFT(V412,4))+1+$T$3/100&gt;=$T$6,VALUE(LEFT(V412,4))+1+$T$3/100&lt;=$T$7),CONCATENATE(VALUE(LEFT(V412,4))+1,$T$2),""),IF(next_period(V412)=next_period(CONCATENATE($N$7,$N$8)),"",next_period(V412)))),"")</f>
        <v/>
      </c>
    </row>
    <row r="414" spans="22:22" x14ac:dyDescent="0.2">
      <c r="V414" s="36" t="str">
        <f ca="1">IFERROR(IF(V413="","",IF(NOT($T$2=""),IF(AND(VALUE(LEFT(V413,4))+1+$T$3/100&gt;=$T$6,VALUE(LEFT(V413,4))+1+$T$3/100&lt;=$T$7),CONCATENATE(VALUE(LEFT(V413,4))+1,$T$2),""),IF(next_period(V413)=next_period(CONCATENATE($N$7,$N$8)),"",next_period(V413)))),"")</f>
        <v/>
      </c>
    </row>
    <row r="415" spans="22:22" x14ac:dyDescent="0.2">
      <c r="V415" s="36" t="str">
        <f ca="1">IFERROR(IF(V414="","",IF(NOT($T$2=""),IF(AND(VALUE(LEFT(V414,4))+1+$T$3/100&gt;=$T$6,VALUE(LEFT(V414,4))+1+$T$3/100&lt;=$T$7),CONCATENATE(VALUE(LEFT(V414,4))+1,$T$2),""),IF(next_period(V414)=next_period(CONCATENATE($N$7,$N$8)),"",next_period(V414)))),"")</f>
        <v/>
      </c>
    </row>
    <row r="416" spans="22:22" x14ac:dyDescent="0.2">
      <c r="V416" s="36" t="str">
        <f ca="1">IFERROR(IF(V415="","",IF(NOT($T$2=""),IF(AND(VALUE(LEFT(V415,4))+1+$T$3/100&gt;=$T$6,VALUE(LEFT(V415,4))+1+$T$3/100&lt;=$T$7),CONCATENATE(VALUE(LEFT(V415,4))+1,$T$2),""),IF(next_period(V415)=next_period(CONCATENATE($N$7,$N$8)),"",next_period(V415)))),"")</f>
        <v/>
      </c>
    </row>
    <row r="417" spans="22:22" x14ac:dyDescent="0.2">
      <c r="V417" s="36" t="str">
        <f ca="1">IFERROR(IF(V416="","",IF(NOT($T$2=""),IF(AND(VALUE(LEFT(V416,4))+1+$T$3/100&gt;=$T$6,VALUE(LEFT(V416,4))+1+$T$3/100&lt;=$T$7),CONCATENATE(VALUE(LEFT(V416,4))+1,$T$2),""),IF(next_period(V416)=next_period(CONCATENATE($N$7,$N$8)),"",next_period(V416)))),"")</f>
        <v/>
      </c>
    </row>
    <row r="418" spans="22:22" x14ac:dyDescent="0.2">
      <c r="V418" s="36" t="str">
        <f ca="1">IFERROR(IF(V417="","",IF(NOT($T$2=""),IF(AND(VALUE(LEFT(V417,4))+1+$T$3/100&gt;=$T$6,VALUE(LEFT(V417,4))+1+$T$3/100&lt;=$T$7),CONCATENATE(VALUE(LEFT(V417,4))+1,$T$2),""),IF(next_period(V417)=next_period(CONCATENATE($N$7,$N$8)),"",next_period(V417)))),"")</f>
        <v/>
      </c>
    </row>
    <row r="419" spans="22:22" x14ac:dyDescent="0.2">
      <c r="V419" s="36" t="str">
        <f ca="1">IFERROR(IF(V418="","",IF(NOT($T$2=""),IF(AND(VALUE(LEFT(V418,4))+1+$T$3/100&gt;=$T$6,VALUE(LEFT(V418,4))+1+$T$3/100&lt;=$T$7),CONCATENATE(VALUE(LEFT(V418,4))+1,$T$2),""),IF(next_period(V418)=next_period(CONCATENATE($N$7,$N$8)),"",next_period(V418)))),"")</f>
        <v/>
      </c>
    </row>
    <row r="420" spans="22:22" x14ac:dyDescent="0.2">
      <c r="V420" s="36" t="str">
        <f ca="1">IFERROR(IF(V419="","",IF(NOT($T$2=""),IF(AND(VALUE(LEFT(V419,4))+1+$T$3/100&gt;=$T$6,VALUE(LEFT(V419,4))+1+$T$3/100&lt;=$T$7),CONCATENATE(VALUE(LEFT(V419,4))+1,$T$2),""),IF(next_period(V419)=next_period(CONCATENATE($N$7,$N$8)),"",next_period(V419)))),"")</f>
        <v/>
      </c>
    </row>
    <row r="421" spans="22:22" x14ac:dyDescent="0.2">
      <c r="V421" s="36" t="str">
        <f ca="1">IFERROR(IF(V420="","",IF(NOT($T$2=""),IF(AND(VALUE(LEFT(V420,4))+1+$T$3/100&gt;=$T$6,VALUE(LEFT(V420,4))+1+$T$3/100&lt;=$T$7),CONCATENATE(VALUE(LEFT(V420,4))+1,$T$2),""),IF(next_period(V420)=next_period(CONCATENATE($N$7,$N$8)),"",next_period(V420)))),"")</f>
        <v/>
      </c>
    </row>
    <row r="422" spans="22:22" x14ac:dyDescent="0.2">
      <c r="V422" s="36" t="str">
        <f ca="1">IFERROR(IF(V421="","",IF(NOT($T$2=""),IF(AND(VALUE(LEFT(V421,4))+1+$T$3/100&gt;=$T$6,VALUE(LEFT(V421,4))+1+$T$3/100&lt;=$T$7),CONCATENATE(VALUE(LEFT(V421,4))+1,$T$2),""),IF(next_period(V421)=next_period(CONCATENATE($N$7,$N$8)),"",next_period(V421)))),"")</f>
        <v/>
      </c>
    </row>
    <row r="423" spans="22:22" x14ac:dyDescent="0.2">
      <c r="V423" s="36" t="str">
        <f ca="1">IFERROR(IF(V422="","",IF(NOT($T$2=""),IF(AND(VALUE(LEFT(V422,4))+1+$T$3/100&gt;=$T$6,VALUE(LEFT(V422,4))+1+$T$3/100&lt;=$T$7),CONCATENATE(VALUE(LEFT(V422,4))+1,$T$2),""),IF(next_period(V422)=next_period(CONCATENATE($N$7,$N$8)),"",next_period(V422)))),"")</f>
        <v/>
      </c>
    </row>
    <row r="424" spans="22:22" x14ac:dyDescent="0.2">
      <c r="V424" s="36" t="str">
        <f ca="1">IFERROR(IF(V423="","",IF(NOT($T$2=""),IF(AND(VALUE(LEFT(V423,4))+1+$T$3/100&gt;=$T$6,VALUE(LEFT(V423,4))+1+$T$3/100&lt;=$T$7),CONCATENATE(VALUE(LEFT(V423,4))+1,$T$2),""),IF(next_period(V423)=next_period(CONCATENATE($N$7,$N$8)),"",next_period(V423)))),"")</f>
        <v/>
      </c>
    </row>
    <row r="425" spans="22:22" x14ac:dyDescent="0.2">
      <c r="V425" s="36" t="str">
        <f ca="1">IFERROR(IF(V424="","",IF(NOT($T$2=""),IF(AND(VALUE(LEFT(V424,4))+1+$T$3/100&gt;=$T$6,VALUE(LEFT(V424,4))+1+$T$3/100&lt;=$T$7),CONCATENATE(VALUE(LEFT(V424,4))+1,$T$2),""),IF(next_period(V424)=next_period(CONCATENATE($N$7,$N$8)),"",next_period(V424)))),"")</f>
        <v/>
      </c>
    </row>
    <row r="426" spans="22:22" x14ac:dyDescent="0.2">
      <c r="V426" s="36" t="str">
        <f ca="1">IFERROR(IF(V425="","",IF(NOT($T$2=""),IF(AND(VALUE(LEFT(V425,4))+1+$T$3/100&gt;=$T$6,VALUE(LEFT(V425,4))+1+$T$3/100&lt;=$T$7),CONCATENATE(VALUE(LEFT(V425,4))+1,$T$2),""),IF(next_period(V425)=next_period(CONCATENATE($N$7,$N$8)),"",next_period(V425)))),"")</f>
        <v/>
      </c>
    </row>
    <row r="427" spans="22:22" x14ac:dyDescent="0.2">
      <c r="V427" s="36" t="str">
        <f ca="1">IFERROR(IF(V426="","",IF(NOT($T$2=""),IF(AND(VALUE(LEFT(V426,4))+1+$T$3/100&gt;=$T$6,VALUE(LEFT(V426,4))+1+$T$3/100&lt;=$T$7),CONCATENATE(VALUE(LEFT(V426,4))+1,$T$2),""),IF(next_period(V426)=next_period(CONCATENATE($N$7,$N$8)),"",next_period(V426)))),"")</f>
        <v/>
      </c>
    </row>
    <row r="428" spans="22:22" x14ac:dyDescent="0.2">
      <c r="V428" s="36" t="str">
        <f ca="1">IFERROR(IF(V427="","",IF(NOT($T$2=""),IF(AND(VALUE(LEFT(V427,4))+1+$T$3/100&gt;=$T$6,VALUE(LEFT(V427,4))+1+$T$3/100&lt;=$T$7),CONCATENATE(VALUE(LEFT(V427,4))+1,$T$2),""),IF(next_period(V427)=next_period(CONCATENATE($N$7,$N$8)),"",next_period(V427)))),"")</f>
        <v/>
      </c>
    </row>
    <row r="429" spans="22:22" x14ac:dyDescent="0.2">
      <c r="V429" s="36" t="str">
        <f ca="1">IFERROR(IF(V428="","",IF(NOT($T$2=""),IF(AND(VALUE(LEFT(V428,4))+1+$T$3/100&gt;=$T$6,VALUE(LEFT(V428,4))+1+$T$3/100&lt;=$T$7),CONCATENATE(VALUE(LEFT(V428,4))+1,$T$2),""),IF(next_period(V428)=next_period(CONCATENATE($N$7,$N$8)),"",next_period(V428)))),"")</f>
        <v/>
      </c>
    </row>
    <row r="430" spans="22:22" x14ac:dyDescent="0.2">
      <c r="V430" s="36" t="str">
        <f ca="1">IFERROR(IF(V429="","",IF(NOT($T$2=""),IF(AND(VALUE(LEFT(V429,4))+1+$T$3/100&gt;=$T$6,VALUE(LEFT(V429,4))+1+$T$3/100&lt;=$T$7),CONCATENATE(VALUE(LEFT(V429,4))+1,$T$2),""),IF(next_period(V429)=next_period(CONCATENATE($N$7,$N$8)),"",next_period(V429)))),"")</f>
        <v/>
      </c>
    </row>
    <row r="431" spans="22:22" x14ac:dyDescent="0.2">
      <c r="V431" s="36" t="str">
        <f ca="1">IFERROR(IF(V430="","",IF(NOT($T$2=""),IF(AND(VALUE(LEFT(V430,4))+1+$T$3/100&gt;=$T$6,VALUE(LEFT(V430,4))+1+$T$3/100&lt;=$T$7),CONCATENATE(VALUE(LEFT(V430,4))+1,$T$2),""),IF(next_period(V430)=next_period(CONCATENATE($N$7,$N$8)),"",next_period(V430)))),"")</f>
        <v/>
      </c>
    </row>
    <row r="432" spans="22:22" x14ac:dyDescent="0.2">
      <c r="V432" s="36" t="str">
        <f ca="1">IFERROR(IF(V431="","",IF(NOT($T$2=""),IF(AND(VALUE(LEFT(V431,4))+1+$T$3/100&gt;=$T$6,VALUE(LEFT(V431,4))+1+$T$3/100&lt;=$T$7),CONCATENATE(VALUE(LEFT(V431,4))+1,$T$2),""),IF(next_period(V431)=next_period(CONCATENATE($N$7,$N$8)),"",next_period(V431)))),"")</f>
        <v/>
      </c>
    </row>
    <row r="433" spans="22:22" x14ac:dyDescent="0.2">
      <c r="V433" s="36" t="str">
        <f ca="1">IFERROR(IF(V432="","",IF(NOT($T$2=""),IF(AND(VALUE(LEFT(V432,4))+1+$T$3/100&gt;=$T$6,VALUE(LEFT(V432,4))+1+$T$3/100&lt;=$T$7),CONCATENATE(VALUE(LEFT(V432,4))+1,$T$2),""),IF(next_period(V432)=next_period(CONCATENATE($N$7,$N$8)),"",next_period(V432)))),"")</f>
        <v/>
      </c>
    </row>
    <row r="434" spans="22:22" x14ac:dyDescent="0.2">
      <c r="V434" s="36" t="str">
        <f ca="1">IFERROR(IF(V433="","",IF(NOT($T$2=""),IF(AND(VALUE(LEFT(V433,4))+1+$T$3/100&gt;=$T$6,VALUE(LEFT(V433,4))+1+$T$3/100&lt;=$T$7),CONCATENATE(VALUE(LEFT(V433,4))+1,$T$2),""),IF(next_period(V433)=next_period(CONCATENATE($N$7,$N$8)),"",next_period(V433)))),"")</f>
        <v/>
      </c>
    </row>
    <row r="435" spans="22:22" x14ac:dyDescent="0.2">
      <c r="V435" s="36" t="str">
        <f ca="1">IFERROR(IF(V434="","",IF(NOT($T$2=""),IF(AND(VALUE(LEFT(V434,4))+1+$T$3/100&gt;=$T$6,VALUE(LEFT(V434,4))+1+$T$3/100&lt;=$T$7),CONCATENATE(VALUE(LEFT(V434,4))+1,$T$2),""),IF(next_period(V434)=next_period(CONCATENATE($N$7,$N$8)),"",next_period(V434)))),"")</f>
        <v/>
      </c>
    </row>
    <row r="436" spans="22:22" x14ac:dyDescent="0.2">
      <c r="V436" s="36" t="str">
        <f ca="1">IFERROR(IF(V435="","",IF(NOT($T$2=""),IF(AND(VALUE(LEFT(V435,4))+1+$T$3/100&gt;=$T$6,VALUE(LEFT(V435,4))+1+$T$3/100&lt;=$T$7),CONCATENATE(VALUE(LEFT(V435,4))+1,$T$2),""),IF(next_period(V435)=next_period(CONCATENATE($N$7,$N$8)),"",next_period(V435)))),"")</f>
        <v/>
      </c>
    </row>
    <row r="437" spans="22:22" x14ac:dyDescent="0.2">
      <c r="V437" s="36" t="str">
        <f ca="1">IFERROR(IF(V436="","",IF(NOT($T$2=""),IF(AND(VALUE(LEFT(V436,4))+1+$T$3/100&gt;=$T$6,VALUE(LEFT(V436,4))+1+$T$3/100&lt;=$T$7),CONCATENATE(VALUE(LEFT(V436,4))+1,$T$2),""),IF(next_period(V436)=next_period(CONCATENATE($N$7,$N$8)),"",next_period(V436)))),"")</f>
        <v/>
      </c>
    </row>
    <row r="438" spans="22:22" x14ac:dyDescent="0.2">
      <c r="V438" s="36" t="str">
        <f ca="1">IFERROR(IF(V437="","",IF(NOT($T$2=""),IF(AND(VALUE(LEFT(V437,4))+1+$T$3/100&gt;=$T$6,VALUE(LEFT(V437,4))+1+$T$3/100&lt;=$T$7),CONCATENATE(VALUE(LEFT(V437,4))+1,$T$2),""),IF(next_period(V437)=next_period(CONCATENATE($N$7,$N$8)),"",next_period(V437)))),"")</f>
        <v/>
      </c>
    </row>
    <row r="439" spans="22:22" x14ac:dyDescent="0.2">
      <c r="V439" s="36" t="str">
        <f ca="1">IFERROR(IF(V438="","",IF(NOT($T$2=""),IF(AND(VALUE(LEFT(V438,4))+1+$T$3/100&gt;=$T$6,VALUE(LEFT(V438,4))+1+$T$3/100&lt;=$T$7),CONCATENATE(VALUE(LEFT(V438,4))+1,$T$2),""),IF(next_period(V438)=next_period(CONCATENATE($N$7,$N$8)),"",next_period(V438)))),"")</f>
        <v/>
      </c>
    </row>
    <row r="440" spans="22:22" x14ac:dyDescent="0.2">
      <c r="V440" s="36" t="str">
        <f ca="1">IFERROR(IF(V439="","",IF(NOT($T$2=""),IF(AND(VALUE(LEFT(V439,4))+1+$T$3/100&gt;=$T$6,VALUE(LEFT(V439,4))+1+$T$3/100&lt;=$T$7),CONCATENATE(VALUE(LEFT(V439,4))+1,$T$2),""),IF(next_period(V439)=next_period(CONCATENATE($N$7,$N$8)),"",next_period(V439)))),"")</f>
        <v/>
      </c>
    </row>
    <row r="441" spans="22:22" x14ac:dyDescent="0.2">
      <c r="V441" s="36" t="str">
        <f ca="1">IFERROR(IF(V440="","",IF(NOT($T$2=""),IF(AND(VALUE(LEFT(V440,4))+1+$T$3/100&gt;=$T$6,VALUE(LEFT(V440,4))+1+$T$3/100&lt;=$T$7),CONCATENATE(VALUE(LEFT(V440,4))+1,$T$2),""),IF(next_period(V440)=next_period(CONCATENATE($N$7,$N$8)),"",next_period(V440)))),"")</f>
        <v/>
      </c>
    </row>
    <row r="442" spans="22:22" x14ac:dyDescent="0.2">
      <c r="V442" s="36" t="str">
        <f ca="1">IFERROR(IF(V441="","",IF(NOT($T$2=""),IF(AND(VALUE(LEFT(V441,4))+1+$T$3/100&gt;=$T$6,VALUE(LEFT(V441,4))+1+$T$3/100&lt;=$T$7),CONCATENATE(VALUE(LEFT(V441,4))+1,$T$2),""),IF(next_period(V441)=next_period(CONCATENATE($N$7,$N$8)),"",next_period(V441)))),"")</f>
        <v/>
      </c>
    </row>
    <row r="443" spans="22:22" x14ac:dyDescent="0.2">
      <c r="V443" s="36" t="str">
        <f ca="1">IFERROR(IF(V442="","",IF(NOT($T$2=""),IF(AND(VALUE(LEFT(V442,4))+1+$T$3/100&gt;=$T$6,VALUE(LEFT(V442,4))+1+$T$3/100&lt;=$T$7),CONCATENATE(VALUE(LEFT(V442,4))+1,$T$2),""),IF(next_period(V442)=next_period(CONCATENATE($N$7,$N$8)),"",next_period(V442)))),"")</f>
        <v/>
      </c>
    </row>
    <row r="444" spans="22:22" x14ac:dyDescent="0.2">
      <c r="V444" s="36" t="str">
        <f ca="1">IFERROR(IF(V443="","",IF(NOT($T$2=""),IF(AND(VALUE(LEFT(V443,4))+1+$T$3/100&gt;=$T$6,VALUE(LEFT(V443,4))+1+$T$3/100&lt;=$T$7),CONCATENATE(VALUE(LEFT(V443,4))+1,$T$2),""),IF(next_period(V443)=next_period(CONCATENATE($N$7,$N$8)),"",next_period(V443)))),"")</f>
        <v/>
      </c>
    </row>
    <row r="445" spans="22:22" x14ac:dyDescent="0.2">
      <c r="V445" s="36" t="str">
        <f ca="1">IFERROR(IF(V444="","",IF(NOT($T$2=""),IF(AND(VALUE(LEFT(V444,4))+1+$T$3/100&gt;=$T$6,VALUE(LEFT(V444,4))+1+$T$3/100&lt;=$T$7),CONCATENATE(VALUE(LEFT(V444,4))+1,$T$2),""),IF(next_period(V444)=next_period(CONCATENATE($N$7,$N$8)),"",next_period(V444)))),"")</f>
        <v/>
      </c>
    </row>
    <row r="446" spans="22:22" x14ac:dyDescent="0.2">
      <c r="V446" s="36" t="str">
        <f ca="1">IFERROR(IF(V445="","",IF(NOT($T$2=""),IF(AND(VALUE(LEFT(V445,4))+1+$T$3/100&gt;=$T$6,VALUE(LEFT(V445,4))+1+$T$3/100&lt;=$T$7),CONCATENATE(VALUE(LEFT(V445,4))+1,$T$2),""),IF(next_period(V445)=next_period(CONCATENATE($N$7,$N$8)),"",next_period(V445)))),"")</f>
        <v/>
      </c>
    </row>
    <row r="447" spans="22:22" x14ac:dyDescent="0.2">
      <c r="V447" s="36" t="str">
        <f ca="1">IFERROR(IF(V446="","",IF(NOT($T$2=""),IF(AND(VALUE(LEFT(V446,4))+1+$T$3/100&gt;=$T$6,VALUE(LEFT(V446,4))+1+$T$3/100&lt;=$T$7),CONCATENATE(VALUE(LEFT(V446,4))+1,$T$2),""),IF(next_period(V446)=next_period(CONCATENATE($N$7,$N$8)),"",next_period(V446)))),"")</f>
        <v/>
      </c>
    </row>
    <row r="448" spans="22:22" x14ac:dyDescent="0.2">
      <c r="V448" s="36" t="str">
        <f ca="1">IFERROR(IF(V447="","",IF(NOT($T$2=""),IF(AND(VALUE(LEFT(V447,4))+1+$T$3/100&gt;=$T$6,VALUE(LEFT(V447,4))+1+$T$3/100&lt;=$T$7),CONCATENATE(VALUE(LEFT(V447,4))+1,$T$2),""),IF(next_period(V447)=next_period(CONCATENATE($N$7,$N$8)),"",next_period(V447)))),"")</f>
        <v/>
      </c>
    </row>
    <row r="449" spans="22:22" x14ac:dyDescent="0.2">
      <c r="V449" s="36" t="str">
        <f ca="1">IFERROR(IF(V448="","",IF(NOT($T$2=""),IF(AND(VALUE(LEFT(V448,4))+1+$T$3/100&gt;=$T$6,VALUE(LEFT(V448,4))+1+$T$3/100&lt;=$T$7),CONCATENATE(VALUE(LEFT(V448,4))+1,$T$2),""),IF(next_period(V448)=next_period(CONCATENATE($N$7,$N$8)),"",next_period(V448)))),"")</f>
        <v/>
      </c>
    </row>
    <row r="450" spans="22:22" x14ac:dyDescent="0.2">
      <c r="V450" s="36" t="str">
        <f ca="1">IFERROR(IF(V449="","",IF(NOT($T$2=""),IF(AND(VALUE(LEFT(V449,4))+1+$T$3/100&gt;=$T$6,VALUE(LEFT(V449,4))+1+$T$3/100&lt;=$T$7),CONCATENATE(VALUE(LEFT(V449,4))+1,$T$2),""),IF(next_period(V449)=next_period(CONCATENATE($N$7,$N$8)),"",next_period(V449)))),"")</f>
        <v/>
      </c>
    </row>
    <row r="451" spans="22:22" x14ac:dyDescent="0.2">
      <c r="V451" s="36" t="str">
        <f ca="1">IFERROR(IF(V450="","",IF(NOT($T$2=""),IF(AND(VALUE(LEFT(V450,4))+1+$T$3/100&gt;=$T$6,VALUE(LEFT(V450,4))+1+$T$3/100&lt;=$T$7),CONCATENATE(VALUE(LEFT(V450,4))+1,$T$2),""),IF(next_period(V450)=next_period(CONCATENATE($N$7,$N$8)),"",next_period(V450)))),"")</f>
        <v/>
      </c>
    </row>
    <row r="452" spans="22:22" x14ac:dyDescent="0.2">
      <c r="V452" s="36" t="str">
        <f ca="1">IFERROR(IF(V451="","",IF(NOT($T$2=""),IF(AND(VALUE(LEFT(V451,4))+1+$T$3/100&gt;=$T$6,VALUE(LEFT(V451,4))+1+$T$3/100&lt;=$T$7),CONCATENATE(VALUE(LEFT(V451,4))+1,$T$2),""),IF(next_period(V451)=next_period(CONCATENATE($N$7,$N$8)),"",next_period(V451)))),"")</f>
        <v/>
      </c>
    </row>
    <row r="453" spans="22:22" x14ac:dyDescent="0.2">
      <c r="V453" s="36" t="str">
        <f ca="1">IFERROR(IF(V452="","",IF(NOT($T$2=""),IF(AND(VALUE(LEFT(V452,4))+1+$T$3/100&gt;=$T$6,VALUE(LEFT(V452,4))+1+$T$3/100&lt;=$T$7),CONCATENATE(VALUE(LEFT(V452,4))+1,$T$2),""),IF(next_period(V452)=next_period(CONCATENATE($N$7,$N$8)),"",next_period(V452)))),"")</f>
        <v/>
      </c>
    </row>
    <row r="454" spans="22:22" x14ac:dyDescent="0.2">
      <c r="V454" s="36" t="str">
        <f ca="1">IFERROR(IF(V453="","",IF(NOT($T$2=""),IF(AND(VALUE(LEFT(V453,4))+1+$T$3/100&gt;=$T$6,VALUE(LEFT(V453,4))+1+$T$3/100&lt;=$T$7),CONCATENATE(VALUE(LEFT(V453,4))+1,$T$2),""),IF(next_period(V453)=next_period(CONCATENATE($N$7,$N$8)),"",next_period(V453)))),"")</f>
        <v/>
      </c>
    </row>
    <row r="455" spans="22:22" x14ac:dyDescent="0.2">
      <c r="V455" s="36" t="str">
        <f ca="1">IFERROR(IF(V454="","",IF(NOT($T$2=""),IF(AND(VALUE(LEFT(V454,4))+1+$T$3/100&gt;=$T$6,VALUE(LEFT(V454,4))+1+$T$3/100&lt;=$T$7),CONCATENATE(VALUE(LEFT(V454,4))+1,$T$2),""),IF(next_period(V454)=next_period(CONCATENATE($N$7,$N$8)),"",next_period(V454)))),"")</f>
        <v/>
      </c>
    </row>
    <row r="456" spans="22:22" x14ac:dyDescent="0.2">
      <c r="V456" s="36" t="str">
        <f ca="1">IFERROR(IF(V455="","",IF(NOT($T$2=""),IF(AND(VALUE(LEFT(V455,4))+1+$T$3/100&gt;=$T$6,VALUE(LEFT(V455,4))+1+$T$3/100&lt;=$T$7),CONCATENATE(VALUE(LEFT(V455,4))+1,$T$2),""),IF(next_period(V455)=next_period(CONCATENATE($N$7,$N$8)),"",next_period(V455)))),"")</f>
        <v/>
      </c>
    </row>
    <row r="457" spans="22:22" x14ac:dyDescent="0.2">
      <c r="V457" s="36" t="str">
        <f ca="1">IFERROR(IF(V456="","",IF(NOT($T$2=""),IF(AND(VALUE(LEFT(V456,4))+1+$T$3/100&gt;=$T$6,VALUE(LEFT(V456,4))+1+$T$3/100&lt;=$T$7),CONCATENATE(VALUE(LEFT(V456,4))+1,$T$2),""),IF(next_period(V456)=next_period(CONCATENATE($N$7,$N$8)),"",next_period(V456)))),"")</f>
        <v/>
      </c>
    </row>
    <row r="458" spans="22:22" x14ac:dyDescent="0.2">
      <c r="V458" s="36" t="str">
        <f ca="1">IFERROR(IF(V457="","",IF(NOT($T$2=""),IF(AND(VALUE(LEFT(V457,4))+1+$T$3/100&gt;=$T$6,VALUE(LEFT(V457,4))+1+$T$3/100&lt;=$T$7),CONCATENATE(VALUE(LEFT(V457,4))+1,$T$2),""),IF(next_period(V457)=next_period(CONCATENATE($N$7,$N$8)),"",next_period(V457)))),"")</f>
        <v/>
      </c>
    </row>
    <row r="459" spans="22:22" x14ac:dyDescent="0.2">
      <c r="V459" s="36" t="str">
        <f ca="1">IFERROR(IF(V458="","",IF(NOT($T$2=""),IF(AND(VALUE(LEFT(V458,4))+1+$T$3/100&gt;=$T$6,VALUE(LEFT(V458,4))+1+$T$3/100&lt;=$T$7),CONCATENATE(VALUE(LEFT(V458,4))+1,$T$2),""),IF(next_period(V458)=next_period(CONCATENATE($N$7,$N$8)),"",next_period(V458)))),"")</f>
        <v/>
      </c>
    </row>
    <row r="460" spans="22:22" x14ac:dyDescent="0.2">
      <c r="V460" s="36" t="str">
        <f ca="1">IFERROR(IF(V459="","",IF(NOT($T$2=""),IF(AND(VALUE(LEFT(V459,4))+1+$T$3/100&gt;=$T$6,VALUE(LEFT(V459,4))+1+$T$3/100&lt;=$T$7),CONCATENATE(VALUE(LEFT(V459,4))+1,$T$2),""),IF(next_period(V459)=next_period(CONCATENATE($N$7,$N$8)),"",next_period(V459)))),"")</f>
        <v/>
      </c>
    </row>
    <row r="461" spans="22:22" x14ac:dyDescent="0.2">
      <c r="V461" s="36" t="str">
        <f ca="1">IFERROR(IF(V460="","",IF(NOT($T$2=""),IF(AND(VALUE(LEFT(V460,4))+1+$T$3/100&gt;=$T$6,VALUE(LEFT(V460,4))+1+$T$3/100&lt;=$T$7),CONCATENATE(VALUE(LEFT(V460,4))+1,$T$2),""),IF(next_period(V460)=next_period(CONCATENATE($N$7,$N$8)),"",next_period(V460)))),"")</f>
        <v/>
      </c>
    </row>
    <row r="462" spans="22:22" x14ac:dyDescent="0.2">
      <c r="V462" s="36" t="str">
        <f ca="1">IFERROR(IF(V461="","",IF(NOT($T$2=""),IF(AND(VALUE(LEFT(V461,4))+1+$T$3/100&gt;=$T$6,VALUE(LEFT(V461,4))+1+$T$3/100&lt;=$T$7),CONCATENATE(VALUE(LEFT(V461,4))+1,$T$2),""),IF(next_period(V461)=next_period(CONCATENATE($N$7,$N$8)),"",next_period(V461)))),"")</f>
        <v/>
      </c>
    </row>
    <row r="463" spans="22:22" x14ac:dyDescent="0.2">
      <c r="V463" s="36" t="str">
        <f ca="1">IFERROR(IF(V462="","",IF(NOT($T$2=""),IF(AND(VALUE(LEFT(V462,4))+1+$T$3/100&gt;=$T$6,VALUE(LEFT(V462,4))+1+$T$3/100&lt;=$T$7),CONCATENATE(VALUE(LEFT(V462,4))+1,$T$2),""),IF(next_period(V462)=next_period(CONCATENATE($N$7,$N$8)),"",next_period(V462)))),"")</f>
        <v/>
      </c>
    </row>
    <row r="464" spans="22:22" x14ac:dyDescent="0.2">
      <c r="V464" s="36" t="str">
        <f ca="1">IFERROR(IF(V463="","",IF(NOT($T$2=""),IF(AND(VALUE(LEFT(V463,4))+1+$T$3/100&gt;=$T$6,VALUE(LEFT(V463,4))+1+$T$3/100&lt;=$T$7),CONCATENATE(VALUE(LEFT(V463,4))+1,$T$2),""),IF(next_period(V463)=next_period(CONCATENATE($N$7,$N$8)),"",next_period(V463)))),"")</f>
        <v/>
      </c>
    </row>
    <row r="465" spans="22:22" x14ac:dyDescent="0.2">
      <c r="V465" s="36" t="str">
        <f ca="1">IFERROR(IF(V464="","",IF(NOT($T$2=""),IF(AND(VALUE(LEFT(V464,4))+1+$T$3/100&gt;=$T$6,VALUE(LEFT(V464,4))+1+$T$3/100&lt;=$T$7),CONCATENATE(VALUE(LEFT(V464,4))+1,$T$2),""),IF(next_period(V464)=next_period(CONCATENATE($N$7,$N$8)),"",next_period(V464)))),"")</f>
        <v/>
      </c>
    </row>
    <row r="466" spans="22:22" x14ac:dyDescent="0.2">
      <c r="V466" s="36" t="str">
        <f ca="1">IFERROR(IF(V465="","",IF(NOT($T$2=""),IF(AND(VALUE(LEFT(V465,4))+1+$T$3/100&gt;=$T$6,VALUE(LEFT(V465,4))+1+$T$3/100&lt;=$T$7),CONCATENATE(VALUE(LEFT(V465,4))+1,$T$2),""),IF(next_period(V465)=next_period(CONCATENATE($N$7,$N$8)),"",next_period(V465)))),"")</f>
        <v/>
      </c>
    </row>
    <row r="467" spans="22:22" x14ac:dyDescent="0.2">
      <c r="V467" s="36" t="str">
        <f ca="1">IFERROR(IF(V466="","",IF(NOT($T$2=""),IF(AND(VALUE(LEFT(V466,4))+1+$T$3/100&gt;=$T$6,VALUE(LEFT(V466,4))+1+$T$3/100&lt;=$T$7),CONCATENATE(VALUE(LEFT(V466,4))+1,$T$2),""),IF(next_period(V466)=next_period(CONCATENATE($N$7,$N$8)),"",next_period(V466)))),"")</f>
        <v/>
      </c>
    </row>
    <row r="468" spans="22:22" x14ac:dyDescent="0.2">
      <c r="V468" s="36" t="str">
        <f ca="1">IFERROR(IF(V467="","",IF(NOT($T$2=""),IF(AND(VALUE(LEFT(V467,4))+1+$T$3/100&gt;=$T$6,VALUE(LEFT(V467,4))+1+$T$3/100&lt;=$T$7),CONCATENATE(VALUE(LEFT(V467,4))+1,$T$2),""),IF(next_period(V467)=next_period(CONCATENATE($N$7,$N$8)),"",next_period(V467)))),"")</f>
        <v/>
      </c>
    </row>
    <row r="469" spans="22:22" x14ac:dyDescent="0.2">
      <c r="V469" s="36" t="str">
        <f ca="1">IFERROR(IF(V468="","",IF(NOT($T$2=""),IF(AND(VALUE(LEFT(V468,4))+1+$T$3/100&gt;=$T$6,VALUE(LEFT(V468,4))+1+$T$3/100&lt;=$T$7),CONCATENATE(VALUE(LEFT(V468,4))+1,$T$2),""),IF(next_period(V468)=next_period(CONCATENATE($N$7,$N$8)),"",next_period(V468)))),"")</f>
        <v/>
      </c>
    </row>
    <row r="470" spans="22:22" x14ac:dyDescent="0.2">
      <c r="V470" s="36" t="str">
        <f ca="1">IFERROR(IF(V469="","",IF(NOT($T$2=""),IF(AND(VALUE(LEFT(V469,4))+1+$T$3/100&gt;=$T$6,VALUE(LEFT(V469,4))+1+$T$3/100&lt;=$T$7),CONCATENATE(VALUE(LEFT(V469,4))+1,$T$2),""),IF(next_period(V469)=next_period(CONCATENATE($N$7,$N$8)),"",next_period(V469)))),"")</f>
        <v/>
      </c>
    </row>
    <row r="471" spans="22:22" x14ac:dyDescent="0.2">
      <c r="V471" s="36" t="str">
        <f ca="1">IFERROR(IF(V470="","",IF(NOT($T$2=""),IF(AND(VALUE(LEFT(V470,4))+1+$T$3/100&gt;=$T$6,VALUE(LEFT(V470,4))+1+$T$3/100&lt;=$T$7),CONCATENATE(VALUE(LEFT(V470,4))+1,$T$2),""),IF(next_period(V470)=next_period(CONCATENATE($N$7,$N$8)),"",next_period(V470)))),"")</f>
        <v/>
      </c>
    </row>
    <row r="472" spans="22:22" x14ac:dyDescent="0.2">
      <c r="V472" s="36" t="str">
        <f ca="1">IFERROR(IF(V471="","",IF(NOT($T$2=""),IF(AND(VALUE(LEFT(V471,4))+1+$T$3/100&gt;=$T$6,VALUE(LEFT(V471,4))+1+$T$3/100&lt;=$T$7),CONCATENATE(VALUE(LEFT(V471,4))+1,$T$2),""),IF(next_period(V471)=next_period(CONCATENATE($N$7,$N$8)),"",next_period(V471)))),"")</f>
        <v/>
      </c>
    </row>
    <row r="473" spans="22:22" x14ac:dyDescent="0.2">
      <c r="V473" s="36" t="str">
        <f ca="1">IFERROR(IF(V472="","",IF(NOT($T$2=""),IF(AND(VALUE(LEFT(V472,4))+1+$T$3/100&gt;=$T$6,VALUE(LEFT(V472,4))+1+$T$3/100&lt;=$T$7),CONCATENATE(VALUE(LEFT(V472,4))+1,$T$2),""),IF(next_period(V472)=next_period(CONCATENATE($N$7,$N$8)),"",next_period(V472)))),"")</f>
        <v/>
      </c>
    </row>
    <row r="474" spans="22:22" x14ac:dyDescent="0.2">
      <c r="V474" s="36" t="str">
        <f ca="1">IFERROR(IF(V473="","",IF(NOT($T$2=""),IF(AND(VALUE(LEFT(V473,4))+1+$T$3/100&gt;=$T$6,VALUE(LEFT(V473,4))+1+$T$3/100&lt;=$T$7),CONCATENATE(VALUE(LEFT(V473,4))+1,$T$2),""),IF(next_period(V473)=next_period(CONCATENATE($N$7,$N$8)),"",next_period(V473)))),"")</f>
        <v/>
      </c>
    </row>
    <row r="475" spans="22:22" x14ac:dyDescent="0.2">
      <c r="V475" s="36" t="str">
        <f ca="1">IFERROR(IF(V474="","",IF(NOT($T$2=""),IF(AND(VALUE(LEFT(V474,4))+1+$T$3/100&gt;=$T$6,VALUE(LEFT(V474,4))+1+$T$3/100&lt;=$T$7),CONCATENATE(VALUE(LEFT(V474,4))+1,$T$2),""),IF(next_period(V474)=next_period(CONCATENATE($N$7,$N$8)),"",next_period(V474)))),"")</f>
        <v/>
      </c>
    </row>
    <row r="476" spans="22:22" x14ac:dyDescent="0.2">
      <c r="V476" s="36" t="str">
        <f ca="1">IFERROR(IF(V475="","",IF(NOT($T$2=""),IF(AND(VALUE(LEFT(V475,4))+1+$T$3/100&gt;=$T$6,VALUE(LEFT(V475,4))+1+$T$3/100&lt;=$T$7),CONCATENATE(VALUE(LEFT(V475,4))+1,$T$2),""),IF(next_period(V475)=next_period(CONCATENATE($N$7,$N$8)),"",next_period(V475)))),"")</f>
        <v/>
      </c>
    </row>
    <row r="477" spans="22:22" x14ac:dyDescent="0.2">
      <c r="V477" s="36" t="str">
        <f ca="1">IFERROR(IF(V476="","",IF(NOT($T$2=""),IF(AND(VALUE(LEFT(V476,4))+1+$T$3/100&gt;=$T$6,VALUE(LEFT(V476,4))+1+$T$3/100&lt;=$T$7),CONCATENATE(VALUE(LEFT(V476,4))+1,$T$2),""),IF(next_period(V476)=next_period(CONCATENATE($N$7,$N$8)),"",next_period(V476)))),"")</f>
        <v/>
      </c>
    </row>
    <row r="478" spans="22:22" x14ac:dyDescent="0.2">
      <c r="V478" s="36" t="str">
        <f ca="1">IFERROR(IF(V477="","",IF(NOT($T$2=""),IF(AND(VALUE(LEFT(V477,4))+1+$T$3/100&gt;=$T$6,VALUE(LEFT(V477,4))+1+$T$3/100&lt;=$T$7),CONCATENATE(VALUE(LEFT(V477,4))+1,$T$2),""),IF(next_period(V477)=next_period(CONCATENATE($N$7,$N$8)),"",next_period(V477)))),"")</f>
        <v/>
      </c>
    </row>
    <row r="479" spans="22:22" x14ac:dyDescent="0.2">
      <c r="V479" s="36" t="str">
        <f ca="1">IFERROR(IF(V478="","",IF(NOT($T$2=""),IF(AND(VALUE(LEFT(V478,4))+1+$T$3/100&gt;=$T$6,VALUE(LEFT(V478,4))+1+$T$3/100&lt;=$T$7),CONCATENATE(VALUE(LEFT(V478,4))+1,$T$2),""),IF(next_period(V478)=next_period(CONCATENATE($N$7,$N$8)),"",next_period(V478)))),"")</f>
        <v/>
      </c>
    </row>
    <row r="480" spans="22:22" x14ac:dyDescent="0.2">
      <c r="V480" s="36" t="str">
        <f ca="1">IFERROR(IF(V479="","",IF(NOT($T$2=""),IF(AND(VALUE(LEFT(V479,4))+1+$T$3/100&gt;=$T$6,VALUE(LEFT(V479,4))+1+$T$3/100&lt;=$T$7),CONCATENATE(VALUE(LEFT(V479,4))+1,$T$2),""),IF(next_period(V479)=next_period(CONCATENATE($N$7,$N$8)),"",next_period(V479)))),"")</f>
        <v/>
      </c>
    </row>
    <row r="481" spans="22:22" x14ac:dyDescent="0.2">
      <c r="V481" s="36" t="str">
        <f ca="1">IFERROR(IF(V480="","",IF(NOT($T$2=""),IF(AND(VALUE(LEFT(V480,4))+1+$T$3/100&gt;=$T$6,VALUE(LEFT(V480,4))+1+$T$3/100&lt;=$T$7),CONCATENATE(VALUE(LEFT(V480,4))+1,$T$2),""),IF(next_period(V480)=next_period(CONCATENATE($N$7,$N$8)),"",next_period(V480)))),"")</f>
        <v/>
      </c>
    </row>
    <row r="482" spans="22:22" x14ac:dyDescent="0.2">
      <c r="V482" s="36" t="str">
        <f ca="1">IFERROR(IF(V481="","",IF(NOT($T$2=""),IF(AND(VALUE(LEFT(V481,4))+1+$T$3/100&gt;=$T$6,VALUE(LEFT(V481,4))+1+$T$3/100&lt;=$T$7),CONCATENATE(VALUE(LEFT(V481,4))+1,$T$2),""),IF(next_period(V481)=next_period(CONCATENATE($N$7,$N$8)),"",next_period(V481)))),"")</f>
        <v/>
      </c>
    </row>
    <row r="483" spans="22:22" x14ac:dyDescent="0.2">
      <c r="V483" s="36" t="str">
        <f ca="1">IFERROR(IF(V482="","",IF(NOT($T$2=""),IF(AND(VALUE(LEFT(V482,4))+1+$T$3/100&gt;=$T$6,VALUE(LEFT(V482,4))+1+$T$3/100&lt;=$T$7),CONCATENATE(VALUE(LEFT(V482,4))+1,$T$2),""),IF(next_period(V482)=next_period(CONCATENATE($N$7,$N$8)),"",next_period(V482)))),"")</f>
        <v/>
      </c>
    </row>
    <row r="484" spans="22:22" x14ac:dyDescent="0.2">
      <c r="V484" s="36" t="str">
        <f ca="1">IFERROR(IF(V483="","",IF(NOT($T$2=""),IF(AND(VALUE(LEFT(V483,4))+1+$T$3/100&gt;=$T$6,VALUE(LEFT(V483,4))+1+$T$3/100&lt;=$T$7),CONCATENATE(VALUE(LEFT(V483,4))+1,$T$2),""),IF(next_period(V483)=next_period(CONCATENATE($N$7,$N$8)),"",next_period(V483)))),"")</f>
        <v/>
      </c>
    </row>
    <row r="485" spans="22:22" x14ac:dyDescent="0.2">
      <c r="V485" s="36" t="str">
        <f ca="1">IFERROR(IF(V484="","",IF(NOT($T$2=""),IF(AND(VALUE(LEFT(V484,4))+1+$T$3/100&gt;=$T$6,VALUE(LEFT(V484,4))+1+$T$3/100&lt;=$T$7),CONCATENATE(VALUE(LEFT(V484,4))+1,$T$2),""),IF(next_period(V484)=next_period(CONCATENATE($N$7,$N$8)),"",next_period(V484)))),"")</f>
        <v/>
      </c>
    </row>
    <row r="486" spans="22:22" x14ac:dyDescent="0.2">
      <c r="V486" s="36" t="str">
        <f ca="1">IFERROR(IF(V485="","",IF(NOT($T$2=""),IF(AND(VALUE(LEFT(V485,4))+1+$T$3/100&gt;=$T$6,VALUE(LEFT(V485,4))+1+$T$3/100&lt;=$T$7),CONCATENATE(VALUE(LEFT(V485,4))+1,$T$2),""),IF(next_period(V485)=next_period(CONCATENATE($N$7,$N$8)),"",next_period(V485)))),"")</f>
        <v/>
      </c>
    </row>
    <row r="487" spans="22:22" x14ac:dyDescent="0.2">
      <c r="V487" s="36" t="str">
        <f ca="1">IFERROR(IF(V486="","",IF(NOT($T$2=""),IF(AND(VALUE(LEFT(V486,4))+1+$T$3/100&gt;=$T$6,VALUE(LEFT(V486,4))+1+$T$3/100&lt;=$T$7),CONCATENATE(VALUE(LEFT(V486,4))+1,$T$2),""),IF(next_period(V486)=next_period(CONCATENATE($N$7,$N$8)),"",next_period(V486)))),"")</f>
        <v/>
      </c>
    </row>
    <row r="488" spans="22:22" x14ac:dyDescent="0.2">
      <c r="V488" s="36" t="str">
        <f ca="1">IFERROR(IF(V487="","",IF(NOT($T$2=""),IF(AND(VALUE(LEFT(V487,4))+1+$T$3/100&gt;=$T$6,VALUE(LEFT(V487,4))+1+$T$3/100&lt;=$T$7),CONCATENATE(VALUE(LEFT(V487,4))+1,$T$2),""),IF(next_period(V487)=next_period(CONCATENATE($N$7,$N$8)),"",next_period(V487)))),"")</f>
        <v/>
      </c>
    </row>
    <row r="489" spans="22:22" x14ac:dyDescent="0.2">
      <c r="V489" s="36" t="str">
        <f ca="1">IFERROR(IF(V488="","",IF(NOT($T$2=""),IF(AND(VALUE(LEFT(V488,4))+1+$T$3/100&gt;=$T$6,VALUE(LEFT(V488,4))+1+$T$3/100&lt;=$T$7),CONCATENATE(VALUE(LEFT(V488,4))+1,$T$2),""),IF(next_period(V488)=next_period(CONCATENATE($N$7,$N$8)),"",next_period(V488)))),"")</f>
        <v/>
      </c>
    </row>
    <row r="490" spans="22:22" x14ac:dyDescent="0.2">
      <c r="V490" s="36" t="str">
        <f ca="1">IFERROR(IF(V489="","",IF(NOT($T$2=""),IF(AND(VALUE(LEFT(V489,4))+1+$T$3/100&gt;=$T$6,VALUE(LEFT(V489,4))+1+$T$3/100&lt;=$T$7),CONCATENATE(VALUE(LEFT(V489,4))+1,$T$2),""),IF(next_period(V489)=next_period(CONCATENATE($N$7,$N$8)),"",next_period(V489)))),"")</f>
        <v/>
      </c>
    </row>
    <row r="491" spans="22:22" x14ac:dyDescent="0.2">
      <c r="V491" s="36" t="str">
        <f ca="1">IFERROR(IF(V490="","",IF(NOT($T$2=""),IF(AND(VALUE(LEFT(V490,4))+1+$T$3/100&gt;=$T$6,VALUE(LEFT(V490,4))+1+$T$3/100&lt;=$T$7),CONCATENATE(VALUE(LEFT(V490,4))+1,$T$2),""),IF(next_period(V490)=next_period(CONCATENATE($N$7,$N$8)),"",next_period(V490)))),"")</f>
        <v/>
      </c>
    </row>
    <row r="492" spans="22:22" x14ac:dyDescent="0.2">
      <c r="V492" s="36" t="str">
        <f ca="1">IFERROR(IF(V491="","",IF(NOT($T$2=""),IF(AND(VALUE(LEFT(V491,4))+1+$T$3/100&gt;=$T$6,VALUE(LEFT(V491,4))+1+$T$3/100&lt;=$T$7),CONCATENATE(VALUE(LEFT(V491,4))+1,$T$2),""),IF(next_period(V491)=next_period(CONCATENATE($N$7,$N$8)),"",next_period(V491)))),"")</f>
        <v/>
      </c>
    </row>
    <row r="493" spans="22:22" x14ac:dyDescent="0.2">
      <c r="V493" s="36" t="str">
        <f ca="1">IFERROR(IF(V492="","",IF(NOT($T$2=""),IF(AND(VALUE(LEFT(V492,4))+1+$T$3/100&gt;=$T$6,VALUE(LEFT(V492,4))+1+$T$3/100&lt;=$T$7),CONCATENATE(VALUE(LEFT(V492,4))+1,$T$2),""),IF(next_period(V492)=next_period(CONCATENATE($N$7,$N$8)),"",next_period(V492)))),"")</f>
        <v/>
      </c>
    </row>
    <row r="494" spans="22:22" x14ac:dyDescent="0.2">
      <c r="V494" s="36" t="str">
        <f ca="1">IFERROR(IF(V493="","",IF(NOT($T$2=""),IF(AND(VALUE(LEFT(V493,4))+1+$T$3/100&gt;=$T$6,VALUE(LEFT(V493,4))+1+$T$3/100&lt;=$T$7),CONCATENATE(VALUE(LEFT(V493,4))+1,$T$2),""),IF(next_period(V493)=next_period(CONCATENATE($N$7,$N$8)),"",next_period(V493)))),"")</f>
        <v/>
      </c>
    </row>
    <row r="495" spans="22:22" x14ac:dyDescent="0.2">
      <c r="V495" s="36" t="str">
        <f ca="1">IFERROR(IF(V494="","",IF(NOT($T$2=""),IF(AND(VALUE(LEFT(V494,4))+1+$T$3/100&gt;=$T$6,VALUE(LEFT(V494,4))+1+$T$3/100&lt;=$T$7),CONCATENATE(VALUE(LEFT(V494,4))+1,$T$2),""),IF(next_period(V494)=next_period(CONCATENATE($N$7,$N$8)),"",next_period(V494)))),"")</f>
        <v/>
      </c>
    </row>
    <row r="496" spans="22:22" x14ac:dyDescent="0.2">
      <c r="V496" s="36" t="str">
        <f ca="1">IFERROR(IF(V495="","",IF(NOT($T$2=""),IF(AND(VALUE(LEFT(V495,4))+1+$T$3/100&gt;=$T$6,VALUE(LEFT(V495,4))+1+$T$3/100&lt;=$T$7),CONCATENATE(VALUE(LEFT(V495,4))+1,$T$2),""),IF(next_period(V495)=next_period(CONCATENATE($N$7,$N$8)),"",next_period(V495)))),"")</f>
        <v/>
      </c>
    </row>
    <row r="497" spans="22:22" x14ac:dyDescent="0.2">
      <c r="V497" s="36" t="str">
        <f ca="1">IFERROR(IF(V496="","",IF(NOT($T$2=""),IF(AND(VALUE(LEFT(V496,4))+1+$T$3/100&gt;=$T$6,VALUE(LEFT(V496,4))+1+$T$3/100&lt;=$T$7),CONCATENATE(VALUE(LEFT(V496,4))+1,$T$2),""),IF(next_period(V496)=next_period(CONCATENATE($N$7,$N$8)),"",next_period(V496)))),"")</f>
        <v/>
      </c>
    </row>
    <row r="498" spans="22:22" x14ac:dyDescent="0.2">
      <c r="V498" s="36" t="str">
        <f ca="1">IFERROR(IF(V497="","",IF(NOT($T$2=""),IF(AND(VALUE(LEFT(V497,4))+1+$T$3/100&gt;=$T$6,VALUE(LEFT(V497,4))+1+$T$3/100&lt;=$T$7),CONCATENATE(VALUE(LEFT(V497,4))+1,$T$2),""),IF(next_period(V497)=next_period(CONCATENATE($N$7,$N$8)),"",next_period(V497)))),"")</f>
        <v/>
      </c>
    </row>
    <row r="499" spans="22:22" x14ac:dyDescent="0.2">
      <c r="V499" s="36" t="str">
        <f ca="1">IFERROR(IF(V498="","",IF(NOT($T$2=""),IF(AND(VALUE(LEFT(V498,4))+1+$T$3/100&gt;=$T$6,VALUE(LEFT(V498,4))+1+$T$3/100&lt;=$T$7),CONCATENATE(VALUE(LEFT(V498,4))+1,$T$2),""),IF(next_period(V498)=next_period(CONCATENATE($N$7,$N$8)),"",next_period(V498)))),"")</f>
        <v/>
      </c>
    </row>
    <row r="500" spans="22:22" x14ac:dyDescent="0.2">
      <c r="V500" s="36" t="str">
        <f ca="1">IFERROR(IF(V499="","",IF(NOT($T$2=""),IF(AND(VALUE(LEFT(V499,4))+1+$T$3/100&gt;=$T$6,VALUE(LEFT(V499,4))+1+$T$3/100&lt;=$T$7),CONCATENATE(VALUE(LEFT(V499,4))+1,$T$2),""),IF(next_period(V499)=next_period(CONCATENATE($N$7,$N$8)),"",next_period(V499)))),"")</f>
        <v/>
      </c>
    </row>
    <row r="501" spans="22:22" x14ac:dyDescent="0.2">
      <c r="V501" s="36" t="str">
        <f ca="1">IFERROR(IF(V500="","",IF(NOT($T$2=""),IF(AND(VALUE(LEFT(V500,4))+1+$T$3/100&gt;=$T$6,VALUE(LEFT(V500,4))+1+$T$3/100&lt;=$T$7),CONCATENATE(VALUE(LEFT(V500,4))+1,$T$2),""),IF(next_period(V500)=next_period(CONCATENATE($N$7,$N$8)),"",next_period(V500)))),"")</f>
        <v/>
      </c>
    </row>
    <row r="502" spans="22:22" x14ac:dyDescent="0.2">
      <c r="V502" s="36" t="str">
        <f ca="1">IFERROR(IF(V501="","",IF(NOT($T$2=""),IF(AND(VALUE(LEFT(V501,4))+1+$T$3/100&gt;=$T$6,VALUE(LEFT(V501,4))+1+$T$3/100&lt;=$T$7),CONCATENATE(VALUE(LEFT(V501,4))+1,$T$2),""),IF(next_period(V501)=next_period(CONCATENATE($N$7,$N$8)),"",next_period(V501)))),"")</f>
        <v/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92B6E8-83B0-4964-9B03-A9E07BD00BDF}">
  <sheetPr codeName="Sheet2"/>
  <dimension ref="A1:F196"/>
  <sheetViews>
    <sheetView topLeftCell="A135" zoomScale="80" zoomScaleNormal="80" workbookViewId="0">
      <selection activeCell="A152" sqref="A152"/>
    </sheetView>
  </sheetViews>
  <sheetFormatPr defaultColWidth="9" defaultRowHeight="12" x14ac:dyDescent="0.2"/>
  <cols>
    <col min="1" max="1" width="27.625" style="1" bestFit="1" customWidth="1"/>
    <col min="2" max="2" width="11.75" style="1" bestFit="1" customWidth="1"/>
    <col min="3" max="3" width="15.25" style="1" bestFit="1" customWidth="1"/>
    <col min="4" max="4" width="55.5" style="1" bestFit="1" customWidth="1"/>
    <col min="5" max="5" width="14" style="1" bestFit="1" customWidth="1"/>
    <col min="6" max="6" width="10.25" style="1" bestFit="1" customWidth="1"/>
    <col min="7" max="16384" width="9" style="1"/>
  </cols>
  <sheetData>
    <row r="1" spans="1:6" ht="14.25" x14ac:dyDescent="0.2">
      <c r="A1" s="10" t="s">
        <v>0</v>
      </c>
      <c r="B1" s="10" t="s">
        <v>1</v>
      </c>
      <c r="C1" s="10" t="s">
        <v>2</v>
      </c>
      <c r="D1" s="10" t="s">
        <v>3</v>
      </c>
      <c r="E1" s="10" t="s">
        <v>4</v>
      </c>
      <c r="F1" s="10" t="s">
        <v>5</v>
      </c>
    </row>
    <row r="2" spans="1:6" ht="14.25" x14ac:dyDescent="0.2">
      <c r="A2" s="10" t="s">
        <v>6</v>
      </c>
      <c r="B2" s="10" t="s">
        <v>543</v>
      </c>
      <c r="C2" s="10" t="s">
        <v>544</v>
      </c>
      <c r="D2" s="10" t="s">
        <v>545</v>
      </c>
      <c r="E2" s="10" t="s">
        <v>546</v>
      </c>
      <c r="F2" s="10" t="s">
        <v>546</v>
      </c>
    </row>
    <row r="3" spans="1:6" ht="14.25" x14ac:dyDescent="0.2">
      <c r="A3" s="10" t="s">
        <v>7</v>
      </c>
      <c r="B3" s="10" t="s">
        <v>543</v>
      </c>
      <c r="C3" s="10" t="s">
        <v>547</v>
      </c>
      <c r="D3" s="10" t="s">
        <v>548</v>
      </c>
      <c r="E3" s="10" t="s">
        <v>546</v>
      </c>
      <c r="F3" s="10" t="s">
        <v>546</v>
      </c>
    </row>
    <row r="4" spans="1:6" ht="14.25" x14ac:dyDescent="0.2">
      <c r="A4" s="10" t="s">
        <v>8</v>
      </c>
      <c r="B4" s="10" t="s">
        <v>543</v>
      </c>
      <c r="C4" s="10" t="s">
        <v>549</v>
      </c>
      <c r="D4" s="10" t="s">
        <v>550</v>
      </c>
      <c r="E4" s="10" t="s">
        <v>546</v>
      </c>
      <c r="F4" s="10" t="s">
        <v>546</v>
      </c>
    </row>
    <row r="5" spans="1:6" ht="14.25" x14ac:dyDescent="0.2">
      <c r="A5" s="10" t="s">
        <v>9</v>
      </c>
      <c r="B5" s="10" t="s">
        <v>551</v>
      </c>
      <c r="C5" s="10" t="s">
        <v>547</v>
      </c>
      <c r="D5" s="10" t="s">
        <v>552</v>
      </c>
      <c r="E5" s="10" t="s">
        <v>553</v>
      </c>
      <c r="F5" s="10" t="s">
        <v>554</v>
      </c>
    </row>
    <row r="6" spans="1:6" ht="14.25" x14ac:dyDescent="0.2">
      <c r="A6" s="10" t="s">
        <v>10</v>
      </c>
      <c r="B6" s="10" t="s">
        <v>551</v>
      </c>
      <c r="C6" s="10" t="s">
        <v>547</v>
      </c>
      <c r="D6" s="10" t="s">
        <v>555</v>
      </c>
      <c r="E6" s="10" t="s">
        <v>553</v>
      </c>
      <c r="F6" s="10" t="s">
        <v>554</v>
      </c>
    </row>
    <row r="7" spans="1:6" ht="14.25" x14ac:dyDescent="0.2">
      <c r="A7" s="10" t="s">
        <v>11</v>
      </c>
      <c r="B7" s="10" t="s">
        <v>551</v>
      </c>
      <c r="C7" s="10" t="s">
        <v>547</v>
      </c>
      <c r="D7" s="10" t="s">
        <v>556</v>
      </c>
      <c r="E7" s="10" t="s">
        <v>553</v>
      </c>
      <c r="F7" s="10" t="s">
        <v>554</v>
      </c>
    </row>
    <row r="8" spans="1:6" ht="14.25" x14ac:dyDescent="0.2">
      <c r="A8" s="10" t="s">
        <v>12</v>
      </c>
      <c r="B8" s="10" t="s">
        <v>551</v>
      </c>
      <c r="C8" s="10" t="s">
        <v>547</v>
      </c>
      <c r="D8" s="10" t="s">
        <v>557</v>
      </c>
      <c r="E8" s="10" t="s">
        <v>553</v>
      </c>
      <c r="F8" s="10" t="s">
        <v>554</v>
      </c>
    </row>
    <row r="9" spans="1:6" ht="14.25" x14ac:dyDescent="0.2">
      <c r="A9" s="10" t="s">
        <v>13</v>
      </c>
      <c r="B9" s="10" t="s">
        <v>551</v>
      </c>
      <c r="C9" s="10" t="s">
        <v>547</v>
      </c>
      <c r="D9" s="10" t="s">
        <v>558</v>
      </c>
      <c r="E9" s="10" t="s">
        <v>553</v>
      </c>
      <c r="F9" s="10" t="s">
        <v>554</v>
      </c>
    </row>
    <row r="10" spans="1:6" ht="14.25" x14ac:dyDescent="0.2">
      <c r="A10" s="10" t="s">
        <v>14</v>
      </c>
      <c r="B10" s="10" t="s">
        <v>551</v>
      </c>
      <c r="C10" s="10" t="s">
        <v>547</v>
      </c>
      <c r="D10" s="10" t="s">
        <v>559</v>
      </c>
      <c r="E10" s="10" t="s">
        <v>553</v>
      </c>
      <c r="F10" s="10" t="s">
        <v>554</v>
      </c>
    </row>
    <row r="11" spans="1:6" ht="14.25" x14ac:dyDescent="0.2">
      <c r="A11" s="10" t="s">
        <v>15</v>
      </c>
      <c r="B11" s="10" t="s">
        <v>551</v>
      </c>
      <c r="C11" s="10" t="s">
        <v>547</v>
      </c>
      <c r="D11" s="10" t="s">
        <v>560</v>
      </c>
      <c r="E11" s="10" t="s">
        <v>553</v>
      </c>
      <c r="F11" s="10" t="s">
        <v>554</v>
      </c>
    </row>
    <row r="12" spans="1:6" ht="14.25" x14ac:dyDescent="0.2">
      <c r="A12" s="10" t="s">
        <v>16</v>
      </c>
      <c r="B12" s="10" t="s">
        <v>551</v>
      </c>
      <c r="C12" s="10" t="s">
        <v>547</v>
      </c>
      <c r="D12" s="10" t="s">
        <v>561</v>
      </c>
      <c r="E12" s="10" t="s">
        <v>553</v>
      </c>
      <c r="F12" s="10" t="s">
        <v>554</v>
      </c>
    </row>
    <row r="13" spans="1:6" ht="14.25" x14ac:dyDescent="0.2">
      <c r="A13" s="10" t="s">
        <v>17</v>
      </c>
      <c r="B13" s="10" t="s">
        <v>551</v>
      </c>
      <c r="C13" s="10" t="s">
        <v>547</v>
      </c>
      <c r="D13" s="10" t="s">
        <v>562</v>
      </c>
      <c r="E13" s="10" t="s">
        <v>553</v>
      </c>
      <c r="F13" s="10" t="s">
        <v>554</v>
      </c>
    </row>
    <row r="14" spans="1:6" ht="14.25" x14ac:dyDescent="0.2">
      <c r="A14" s="10" t="s">
        <v>18</v>
      </c>
      <c r="B14" s="10" t="s">
        <v>551</v>
      </c>
      <c r="C14" s="10" t="s">
        <v>547</v>
      </c>
      <c r="D14" s="10" t="s">
        <v>563</v>
      </c>
      <c r="E14" s="10" t="s">
        <v>553</v>
      </c>
      <c r="F14" s="10" t="s">
        <v>554</v>
      </c>
    </row>
    <row r="15" spans="1:6" ht="14.25" x14ac:dyDescent="0.2">
      <c r="A15" s="10" t="s">
        <v>19</v>
      </c>
      <c r="B15" s="10" t="s">
        <v>551</v>
      </c>
      <c r="C15" s="10" t="s">
        <v>547</v>
      </c>
      <c r="D15" s="10" t="s">
        <v>564</v>
      </c>
      <c r="E15" s="10" t="s">
        <v>553</v>
      </c>
      <c r="F15" s="10" t="s">
        <v>554</v>
      </c>
    </row>
    <row r="16" spans="1:6" ht="14.25" x14ac:dyDescent="0.2">
      <c r="A16" s="10" t="s">
        <v>20</v>
      </c>
      <c r="B16" s="10" t="s">
        <v>551</v>
      </c>
      <c r="C16" s="10" t="s">
        <v>547</v>
      </c>
      <c r="D16" s="10" t="s">
        <v>864</v>
      </c>
      <c r="E16" s="10" t="s">
        <v>553</v>
      </c>
      <c r="F16" s="10" t="s">
        <v>554</v>
      </c>
    </row>
    <row r="17" spans="1:6" ht="14.25" x14ac:dyDescent="0.2">
      <c r="A17" s="10" t="s">
        <v>21</v>
      </c>
      <c r="B17" s="10" t="s">
        <v>551</v>
      </c>
      <c r="C17" s="10" t="s">
        <v>547</v>
      </c>
      <c r="D17" s="10" t="s">
        <v>865</v>
      </c>
      <c r="E17" s="10" t="s">
        <v>553</v>
      </c>
      <c r="F17" s="10" t="s">
        <v>554</v>
      </c>
    </row>
    <row r="18" spans="1:6" ht="14.25" x14ac:dyDescent="0.2">
      <c r="A18" s="10" t="s">
        <v>22</v>
      </c>
      <c r="B18" s="10" t="s">
        <v>551</v>
      </c>
      <c r="C18" s="10" t="s">
        <v>547</v>
      </c>
      <c r="D18" s="10" t="s">
        <v>866</v>
      </c>
      <c r="E18" s="10" t="s">
        <v>553</v>
      </c>
      <c r="F18" s="10" t="s">
        <v>554</v>
      </c>
    </row>
    <row r="19" spans="1:6" ht="14.25" x14ac:dyDescent="0.2">
      <c r="A19" s="10" t="s">
        <v>23</v>
      </c>
      <c r="B19" s="10" t="s">
        <v>551</v>
      </c>
      <c r="C19" s="10" t="s">
        <v>547</v>
      </c>
      <c r="D19" s="10" t="s">
        <v>867</v>
      </c>
      <c r="E19" s="10" t="s">
        <v>553</v>
      </c>
      <c r="F19" s="10" t="s">
        <v>554</v>
      </c>
    </row>
    <row r="20" spans="1:6" ht="14.25" x14ac:dyDescent="0.2">
      <c r="A20" s="10" t="s">
        <v>24</v>
      </c>
      <c r="B20" s="10" t="s">
        <v>551</v>
      </c>
      <c r="C20" s="10" t="s">
        <v>547</v>
      </c>
      <c r="D20" s="10" t="s">
        <v>868</v>
      </c>
      <c r="E20" s="10" t="s">
        <v>553</v>
      </c>
      <c r="F20" s="10" t="s">
        <v>554</v>
      </c>
    </row>
    <row r="21" spans="1:6" ht="14.25" x14ac:dyDescent="0.2">
      <c r="A21" s="10" t="s">
        <v>25</v>
      </c>
      <c r="B21" s="10" t="s">
        <v>551</v>
      </c>
      <c r="C21" s="10" t="s">
        <v>547</v>
      </c>
      <c r="D21" s="10" t="s">
        <v>869</v>
      </c>
      <c r="E21" s="10" t="s">
        <v>553</v>
      </c>
      <c r="F21" s="10" t="s">
        <v>554</v>
      </c>
    </row>
    <row r="22" spans="1:6" ht="14.25" x14ac:dyDescent="0.2">
      <c r="A22" s="10" t="s">
        <v>26</v>
      </c>
      <c r="B22" s="10" t="s">
        <v>551</v>
      </c>
      <c r="C22" s="10" t="s">
        <v>547</v>
      </c>
      <c r="D22" s="10" t="s">
        <v>870</v>
      </c>
      <c r="E22" s="10" t="s">
        <v>553</v>
      </c>
      <c r="F22" s="10" t="s">
        <v>554</v>
      </c>
    </row>
    <row r="23" spans="1:6" ht="14.25" x14ac:dyDescent="0.2">
      <c r="A23" s="10" t="s">
        <v>27</v>
      </c>
      <c r="B23" s="10" t="s">
        <v>551</v>
      </c>
      <c r="C23" s="10" t="s">
        <v>547</v>
      </c>
      <c r="D23" s="10" t="s">
        <v>871</v>
      </c>
      <c r="E23" s="10" t="s">
        <v>553</v>
      </c>
      <c r="F23" s="10" t="s">
        <v>554</v>
      </c>
    </row>
    <row r="24" spans="1:6" ht="14.25" x14ac:dyDescent="0.2">
      <c r="A24" s="10" t="s">
        <v>28</v>
      </c>
      <c r="B24" s="10" t="s">
        <v>551</v>
      </c>
      <c r="C24" s="10" t="s">
        <v>547</v>
      </c>
      <c r="D24" s="10" t="s">
        <v>872</v>
      </c>
      <c r="E24" s="10" t="s">
        <v>553</v>
      </c>
      <c r="F24" s="10" t="s">
        <v>554</v>
      </c>
    </row>
    <row r="25" spans="1:6" ht="14.25" x14ac:dyDescent="0.2">
      <c r="A25" s="10" t="s">
        <v>29</v>
      </c>
      <c r="B25" s="10" t="s">
        <v>551</v>
      </c>
      <c r="C25" s="10" t="s">
        <v>547</v>
      </c>
      <c r="D25" s="10" t="s">
        <v>873</v>
      </c>
      <c r="E25" s="10" t="s">
        <v>553</v>
      </c>
      <c r="F25" s="10" t="s">
        <v>554</v>
      </c>
    </row>
    <row r="26" spans="1:6" ht="14.25" x14ac:dyDescent="0.2">
      <c r="A26" s="10" t="s">
        <v>30</v>
      </c>
      <c r="B26" s="10" t="s">
        <v>551</v>
      </c>
      <c r="C26" s="10" t="s">
        <v>547</v>
      </c>
      <c r="D26" s="10" t="s">
        <v>874</v>
      </c>
      <c r="E26" s="10" t="s">
        <v>553</v>
      </c>
      <c r="F26" s="10" t="s">
        <v>554</v>
      </c>
    </row>
    <row r="27" spans="1:6" ht="14.25" x14ac:dyDescent="0.2">
      <c r="A27" s="10" t="s">
        <v>31</v>
      </c>
      <c r="B27" s="10" t="s">
        <v>551</v>
      </c>
      <c r="C27" s="10" t="s">
        <v>547</v>
      </c>
      <c r="D27" s="10" t="s">
        <v>552</v>
      </c>
      <c r="E27" s="10" t="s">
        <v>553</v>
      </c>
      <c r="F27" s="10" t="s">
        <v>554</v>
      </c>
    </row>
    <row r="28" spans="1:6" ht="14.25" x14ac:dyDescent="0.2">
      <c r="A28" s="10" t="s">
        <v>32</v>
      </c>
      <c r="B28" s="10" t="s">
        <v>551</v>
      </c>
      <c r="C28" s="10" t="s">
        <v>547</v>
      </c>
      <c r="D28" s="10" t="s">
        <v>565</v>
      </c>
      <c r="E28" s="10" t="s">
        <v>553</v>
      </c>
      <c r="F28" s="10" t="s">
        <v>554</v>
      </c>
    </row>
    <row r="29" spans="1:6" ht="14.25" x14ac:dyDescent="0.2">
      <c r="A29" s="10" t="s">
        <v>33</v>
      </c>
      <c r="B29" s="10" t="s">
        <v>551</v>
      </c>
      <c r="C29" s="10" t="s">
        <v>547</v>
      </c>
      <c r="D29" s="10" t="s">
        <v>566</v>
      </c>
      <c r="E29" s="10" t="s">
        <v>553</v>
      </c>
      <c r="F29" s="10" t="s">
        <v>554</v>
      </c>
    </row>
    <row r="30" spans="1:6" ht="14.25" x14ac:dyDescent="0.2">
      <c r="A30" s="10" t="s">
        <v>34</v>
      </c>
      <c r="B30" s="10" t="s">
        <v>551</v>
      </c>
      <c r="C30" s="10" t="s">
        <v>547</v>
      </c>
      <c r="D30" s="10" t="s">
        <v>567</v>
      </c>
      <c r="E30" s="10" t="s">
        <v>553</v>
      </c>
      <c r="F30" s="10" t="s">
        <v>554</v>
      </c>
    </row>
    <row r="31" spans="1:6" ht="14.25" x14ac:dyDescent="0.2">
      <c r="A31" s="10" t="s">
        <v>35</v>
      </c>
      <c r="B31" s="10" t="s">
        <v>551</v>
      </c>
      <c r="C31" s="10" t="s">
        <v>547</v>
      </c>
      <c r="D31" s="10" t="s">
        <v>568</v>
      </c>
      <c r="E31" s="10" t="s">
        <v>553</v>
      </c>
      <c r="F31" s="10" t="s">
        <v>554</v>
      </c>
    </row>
    <row r="32" spans="1:6" ht="14.25" x14ac:dyDescent="0.2">
      <c r="A32" s="10" t="s">
        <v>36</v>
      </c>
      <c r="B32" s="10" t="s">
        <v>551</v>
      </c>
      <c r="C32" s="10" t="s">
        <v>547</v>
      </c>
      <c r="D32" s="10" t="s">
        <v>569</v>
      </c>
      <c r="E32" s="10" t="s">
        <v>553</v>
      </c>
      <c r="F32" s="10" t="s">
        <v>554</v>
      </c>
    </row>
    <row r="33" spans="1:6" ht="14.25" x14ac:dyDescent="0.2">
      <c r="A33" s="10" t="s">
        <v>37</v>
      </c>
      <c r="B33" s="10" t="s">
        <v>551</v>
      </c>
      <c r="C33" s="10" t="s">
        <v>547</v>
      </c>
      <c r="D33" s="10" t="s">
        <v>570</v>
      </c>
      <c r="E33" s="10" t="s">
        <v>553</v>
      </c>
      <c r="F33" s="10" t="s">
        <v>554</v>
      </c>
    </row>
    <row r="34" spans="1:6" ht="14.25" x14ac:dyDescent="0.2">
      <c r="A34" s="10" t="s">
        <v>38</v>
      </c>
      <c r="B34" s="10" t="s">
        <v>551</v>
      </c>
      <c r="C34" s="10" t="s">
        <v>547</v>
      </c>
      <c r="D34" s="10" t="s">
        <v>864</v>
      </c>
      <c r="E34" s="10" t="s">
        <v>553</v>
      </c>
      <c r="F34" s="10" t="s">
        <v>554</v>
      </c>
    </row>
    <row r="35" spans="1:6" ht="14.25" x14ac:dyDescent="0.2">
      <c r="A35" s="10" t="s">
        <v>39</v>
      </c>
      <c r="B35" s="10" t="s">
        <v>551</v>
      </c>
      <c r="C35" s="10" t="s">
        <v>547</v>
      </c>
      <c r="D35" s="10" t="s">
        <v>875</v>
      </c>
      <c r="E35" s="10" t="s">
        <v>553</v>
      </c>
      <c r="F35" s="10" t="s">
        <v>554</v>
      </c>
    </row>
    <row r="36" spans="1:6" ht="14.25" x14ac:dyDescent="0.2">
      <c r="A36" s="10" t="s">
        <v>40</v>
      </c>
      <c r="B36" s="10" t="s">
        <v>551</v>
      </c>
      <c r="C36" s="10" t="s">
        <v>547</v>
      </c>
      <c r="D36" s="10" t="s">
        <v>876</v>
      </c>
      <c r="E36" s="10" t="s">
        <v>553</v>
      </c>
      <c r="F36" s="10" t="s">
        <v>554</v>
      </c>
    </row>
    <row r="37" spans="1:6" ht="14.25" x14ac:dyDescent="0.2">
      <c r="A37" s="10" t="s">
        <v>41</v>
      </c>
      <c r="B37" s="10" t="s">
        <v>551</v>
      </c>
      <c r="C37" s="10" t="s">
        <v>547</v>
      </c>
      <c r="D37" s="10" t="s">
        <v>877</v>
      </c>
      <c r="E37" s="10" t="s">
        <v>553</v>
      </c>
      <c r="F37" s="10" t="s">
        <v>554</v>
      </c>
    </row>
    <row r="38" spans="1:6" ht="14.25" x14ac:dyDescent="0.2">
      <c r="A38" s="10" t="s">
        <v>42</v>
      </c>
      <c r="B38" s="10" t="s">
        <v>551</v>
      </c>
      <c r="C38" s="10" t="s">
        <v>547</v>
      </c>
      <c r="D38" s="10" t="s">
        <v>878</v>
      </c>
      <c r="E38" s="10" t="s">
        <v>553</v>
      </c>
      <c r="F38" s="10" t="s">
        <v>554</v>
      </c>
    </row>
    <row r="39" spans="1:6" ht="14.25" x14ac:dyDescent="0.2">
      <c r="A39" s="10" t="s">
        <v>43</v>
      </c>
      <c r="B39" s="10" t="s">
        <v>551</v>
      </c>
      <c r="C39" s="10" t="s">
        <v>547</v>
      </c>
      <c r="D39" s="10" t="s">
        <v>879</v>
      </c>
      <c r="E39" s="10" t="s">
        <v>553</v>
      </c>
      <c r="F39" s="10" t="s">
        <v>554</v>
      </c>
    </row>
    <row r="40" spans="1:6" ht="14.25" x14ac:dyDescent="0.2">
      <c r="A40" s="10" t="s">
        <v>44</v>
      </c>
      <c r="B40" s="10" t="s">
        <v>551</v>
      </c>
      <c r="C40" s="10" t="s">
        <v>547</v>
      </c>
      <c r="D40" s="10" t="s">
        <v>880</v>
      </c>
      <c r="E40" s="10" t="s">
        <v>553</v>
      </c>
      <c r="F40" s="10" t="s">
        <v>554</v>
      </c>
    </row>
    <row r="41" spans="1:6" ht="14.25" x14ac:dyDescent="0.2">
      <c r="A41" s="10" t="s">
        <v>45</v>
      </c>
      <c r="B41" s="10" t="s">
        <v>551</v>
      </c>
      <c r="C41" s="10" t="s">
        <v>547</v>
      </c>
      <c r="D41" s="10" t="s">
        <v>571</v>
      </c>
      <c r="E41" s="10" t="s">
        <v>572</v>
      </c>
      <c r="F41" s="10" t="s">
        <v>620</v>
      </c>
    </row>
    <row r="42" spans="1:6" ht="14.25" x14ac:dyDescent="0.2">
      <c r="A42" s="10" t="s">
        <v>46</v>
      </c>
      <c r="B42" s="10" t="s">
        <v>551</v>
      </c>
      <c r="C42" s="10" t="s">
        <v>547</v>
      </c>
      <c r="D42" s="10" t="s">
        <v>573</v>
      </c>
      <c r="E42" s="10" t="s">
        <v>572</v>
      </c>
      <c r="F42" s="10" t="s">
        <v>620</v>
      </c>
    </row>
    <row r="43" spans="1:6" ht="14.25" x14ac:dyDescent="0.2">
      <c r="A43" s="10" t="s">
        <v>47</v>
      </c>
      <c r="B43" s="10" t="s">
        <v>551</v>
      </c>
      <c r="C43" s="10" t="s">
        <v>547</v>
      </c>
      <c r="D43" s="10" t="s">
        <v>574</v>
      </c>
      <c r="E43" s="10" t="s">
        <v>572</v>
      </c>
      <c r="F43" s="10" t="s">
        <v>620</v>
      </c>
    </row>
    <row r="44" spans="1:6" ht="14.25" x14ac:dyDescent="0.2">
      <c r="A44" s="10" t="s">
        <v>48</v>
      </c>
      <c r="B44" s="10" t="s">
        <v>551</v>
      </c>
      <c r="C44" s="10" t="s">
        <v>547</v>
      </c>
      <c r="D44" s="10" t="s">
        <v>575</v>
      </c>
      <c r="E44" s="10" t="s">
        <v>572</v>
      </c>
      <c r="F44" s="10" t="s">
        <v>620</v>
      </c>
    </row>
    <row r="45" spans="1:6" ht="14.25" x14ac:dyDescent="0.2">
      <c r="A45" s="10" t="s">
        <v>49</v>
      </c>
      <c r="B45" s="10" t="s">
        <v>551</v>
      </c>
      <c r="C45" s="10" t="s">
        <v>547</v>
      </c>
      <c r="D45" s="10" t="s">
        <v>576</v>
      </c>
      <c r="E45" s="10" t="s">
        <v>572</v>
      </c>
      <c r="F45" s="10" t="s">
        <v>620</v>
      </c>
    </row>
    <row r="46" spans="1:6" ht="14.25" x14ac:dyDescent="0.2">
      <c r="A46" s="10" t="s">
        <v>50</v>
      </c>
      <c r="B46" s="10" t="s">
        <v>551</v>
      </c>
      <c r="C46" s="10" t="s">
        <v>547</v>
      </c>
      <c r="D46" s="10" t="s">
        <v>577</v>
      </c>
      <c r="E46" s="10" t="s">
        <v>572</v>
      </c>
      <c r="F46" s="10" t="s">
        <v>620</v>
      </c>
    </row>
    <row r="47" spans="1:6" ht="14.25" x14ac:dyDescent="0.2">
      <c r="A47" s="10" t="s">
        <v>51</v>
      </c>
      <c r="B47" s="10" t="s">
        <v>551</v>
      </c>
      <c r="C47" s="10" t="s">
        <v>547</v>
      </c>
      <c r="D47" s="10" t="s">
        <v>578</v>
      </c>
      <c r="E47" s="10" t="s">
        <v>572</v>
      </c>
      <c r="F47" s="10" t="s">
        <v>620</v>
      </c>
    </row>
    <row r="48" spans="1:6" ht="14.25" x14ac:dyDescent="0.2">
      <c r="A48" s="10" t="s">
        <v>52</v>
      </c>
      <c r="B48" s="10" t="s">
        <v>551</v>
      </c>
      <c r="C48" s="10" t="s">
        <v>547</v>
      </c>
      <c r="D48" s="10" t="s">
        <v>579</v>
      </c>
      <c r="E48" s="10" t="s">
        <v>572</v>
      </c>
      <c r="F48" s="10" t="s">
        <v>620</v>
      </c>
    </row>
    <row r="49" spans="1:6" ht="14.25" x14ac:dyDescent="0.2">
      <c r="A49" s="10" t="s">
        <v>53</v>
      </c>
      <c r="B49" s="10" t="s">
        <v>551</v>
      </c>
      <c r="C49" s="10" t="s">
        <v>547</v>
      </c>
      <c r="D49" s="10" t="s">
        <v>580</v>
      </c>
      <c r="E49" s="10" t="s">
        <v>572</v>
      </c>
      <c r="F49" s="10" t="s">
        <v>620</v>
      </c>
    </row>
    <row r="50" spans="1:6" ht="14.25" x14ac:dyDescent="0.2">
      <c r="A50" s="10" t="s">
        <v>54</v>
      </c>
      <c r="B50" s="10" t="s">
        <v>551</v>
      </c>
      <c r="C50" s="10" t="s">
        <v>547</v>
      </c>
      <c r="D50" s="10" t="s">
        <v>581</v>
      </c>
      <c r="E50" s="10" t="s">
        <v>582</v>
      </c>
      <c r="F50" s="10" t="s">
        <v>583</v>
      </c>
    </row>
    <row r="51" spans="1:6" ht="14.25" x14ac:dyDescent="0.2">
      <c r="A51" s="10" t="s">
        <v>55</v>
      </c>
      <c r="B51" s="10" t="s">
        <v>551</v>
      </c>
      <c r="C51" s="10" t="s">
        <v>547</v>
      </c>
      <c r="D51" s="10" t="s">
        <v>584</v>
      </c>
      <c r="E51" s="10" t="s">
        <v>582</v>
      </c>
      <c r="F51" s="10" t="s">
        <v>583</v>
      </c>
    </row>
    <row r="52" spans="1:6" ht="14.25" x14ac:dyDescent="0.2">
      <c r="A52" s="10" t="s">
        <v>56</v>
      </c>
      <c r="B52" s="10" t="s">
        <v>551</v>
      </c>
      <c r="C52" s="10" t="s">
        <v>547</v>
      </c>
      <c r="D52" s="10" t="s">
        <v>585</v>
      </c>
      <c r="E52" s="10" t="s">
        <v>582</v>
      </c>
      <c r="F52" s="10" t="s">
        <v>583</v>
      </c>
    </row>
    <row r="53" spans="1:6" ht="14.25" x14ac:dyDescent="0.2">
      <c r="A53" s="10" t="s">
        <v>57</v>
      </c>
      <c r="B53" s="10" t="s">
        <v>551</v>
      </c>
      <c r="C53" s="10" t="s">
        <v>547</v>
      </c>
      <c r="D53" s="10" t="s">
        <v>586</v>
      </c>
      <c r="E53" s="10" t="s">
        <v>582</v>
      </c>
      <c r="F53" s="10" t="s">
        <v>583</v>
      </c>
    </row>
    <row r="54" spans="1:6" ht="14.25" x14ac:dyDescent="0.2">
      <c r="A54" s="10" t="s">
        <v>58</v>
      </c>
      <c r="B54" s="10" t="s">
        <v>551</v>
      </c>
      <c r="C54" s="10" t="s">
        <v>547</v>
      </c>
      <c r="D54" s="10" t="s">
        <v>587</v>
      </c>
      <c r="E54" s="10" t="s">
        <v>582</v>
      </c>
      <c r="F54" s="10" t="s">
        <v>583</v>
      </c>
    </row>
    <row r="55" spans="1:6" ht="14.25" x14ac:dyDescent="0.2">
      <c r="A55" s="10" t="s">
        <v>59</v>
      </c>
      <c r="B55" s="10" t="s">
        <v>551</v>
      </c>
      <c r="C55" s="10" t="s">
        <v>547</v>
      </c>
      <c r="D55" s="10" t="s">
        <v>588</v>
      </c>
      <c r="E55" s="10" t="s">
        <v>582</v>
      </c>
      <c r="F55" s="10" t="s">
        <v>583</v>
      </c>
    </row>
    <row r="56" spans="1:6" ht="14.25" x14ac:dyDescent="0.2">
      <c r="A56" s="10" t="s">
        <v>60</v>
      </c>
      <c r="B56" s="10" t="s">
        <v>551</v>
      </c>
      <c r="C56" s="10" t="s">
        <v>547</v>
      </c>
      <c r="D56" s="10" t="s">
        <v>589</v>
      </c>
      <c r="E56" s="10" t="s">
        <v>582</v>
      </c>
      <c r="F56" s="10" t="s">
        <v>583</v>
      </c>
    </row>
    <row r="57" spans="1:6" ht="14.25" x14ac:dyDescent="0.2">
      <c r="A57" s="10" t="s">
        <v>61</v>
      </c>
      <c r="B57" s="10" t="s">
        <v>551</v>
      </c>
      <c r="C57" s="10" t="s">
        <v>547</v>
      </c>
      <c r="D57" s="10" t="s">
        <v>590</v>
      </c>
      <c r="E57" s="10" t="s">
        <v>582</v>
      </c>
      <c r="F57" s="10" t="s">
        <v>583</v>
      </c>
    </row>
    <row r="58" spans="1:6" ht="14.25" x14ac:dyDescent="0.2">
      <c r="A58" s="10" t="s">
        <v>62</v>
      </c>
      <c r="B58" s="10" t="s">
        <v>551</v>
      </c>
      <c r="C58" s="10" t="s">
        <v>547</v>
      </c>
      <c r="D58" s="10" t="s">
        <v>591</v>
      </c>
      <c r="E58" s="10" t="s">
        <v>582</v>
      </c>
      <c r="F58" s="10" t="s">
        <v>583</v>
      </c>
    </row>
    <row r="59" spans="1:6" ht="14.25" x14ac:dyDescent="0.2">
      <c r="A59" s="10" t="s">
        <v>63</v>
      </c>
      <c r="B59" s="10" t="s">
        <v>551</v>
      </c>
      <c r="C59" s="10" t="s">
        <v>547</v>
      </c>
      <c r="D59" s="10" t="s">
        <v>592</v>
      </c>
      <c r="E59" s="10" t="s">
        <v>582</v>
      </c>
      <c r="F59" s="10" t="s">
        <v>583</v>
      </c>
    </row>
    <row r="60" spans="1:6" ht="14.25" x14ac:dyDescent="0.2">
      <c r="A60" s="10" t="s">
        <v>64</v>
      </c>
      <c r="B60" s="10" t="s">
        <v>551</v>
      </c>
      <c r="C60" s="10" t="s">
        <v>547</v>
      </c>
      <c r="D60" s="10" t="s">
        <v>593</v>
      </c>
      <c r="E60" s="10" t="s">
        <v>582</v>
      </c>
      <c r="F60" s="10" t="s">
        <v>583</v>
      </c>
    </row>
    <row r="61" spans="1:6" ht="14.25" x14ac:dyDescent="0.2">
      <c r="A61" s="10" t="s">
        <v>65</v>
      </c>
      <c r="B61" s="10" t="s">
        <v>551</v>
      </c>
      <c r="C61" s="10" t="s">
        <v>547</v>
      </c>
      <c r="D61" s="10" t="s">
        <v>594</v>
      </c>
      <c r="E61" s="10" t="s">
        <v>582</v>
      </c>
      <c r="F61" s="10" t="s">
        <v>583</v>
      </c>
    </row>
    <row r="62" spans="1:6" ht="14.25" x14ac:dyDescent="0.2">
      <c r="A62" s="10" t="s">
        <v>66</v>
      </c>
      <c r="B62" s="10" t="s">
        <v>551</v>
      </c>
      <c r="C62" s="10" t="s">
        <v>547</v>
      </c>
      <c r="D62" s="10" t="s">
        <v>595</v>
      </c>
      <c r="E62" s="10" t="s">
        <v>582</v>
      </c>
      <c r="F62" s="10" t="s">
        <v>583</v>
      </c>
    </row>
    <row r="63" spans="1:6" ht="14.25" x14ac:dyDescent="0.2">
      <c r="A63" s="10" t="s">
        <v>67</v>
      </c>
      <c r="B63" s="10" t="s">
        <v>551</v>
      </c>
      <c r="C63" s="10" t="s">
        <v>547</v>
      </c>
      <c r="D63" s="10" t="s">
        <v>596</v>
      </c>
      <c r="E63" s="10" t="s">
        <v>582</v>
      </c>
      <c r="F63" s="10" t="s">
        <v>583</v>
      </c>
    </row>
    <row r="64" spans="1:6" ht="14.25" x14ac:dyDescent="0.2">
      <c r="A64" s="10" t="s">
        <v>68</v>
      </c>
      <c r="B64" s="10" t="s">
        <v>551</v>
      </c>
      <c r="C64" s="10" t="s">
        <v>547</v>
      </c>
      <c r="D64" s="10" t="s">
        <v>597</v>
      </c>
      <c r="E64" s="10" t="s">
        <v>582</v>
      </c>
      <c r="F64" s="10" t="s">
        <v>583</v>
      </c>
    </row>
    <row r="65" spans="1:6" ht="14.25" x14ac:dyDescent="0.2">
      <c r="A65" s="10" t="s">
        <v>69</v>
      </c>
      <c r="B65" s="10" t="s">
        <v>551</v>
      </c>
      <c r="C65" s="10" t="s">
        <v>547</v>
      </c>
      <c r="D65" s="10" t="s">
        <v>598</v>
      </c>
      <c r="E65" s="10" t="s">
        <v>582</v>
      </c>
      <c r="F65" s="10" t="s">
        <v>583</v>
      </c>
    </row>
    <row r="66" spans="1:6" ht="14.25" x14ac:dyDescent="0.2">
      <c r="A66" s="10" t="s">
        <v>70</v>
      </c>
      <c r="B66" s="10" t="s">
        <v>551</v>
      </c>
      <c r="C66" s="10" t="s">
        <v>547</v>
      </c>
      <c r="D66" s="10" t="s">
        <v>599</v>
      </c>
      <c r="E66" s="10" t="s">
        <v>582</v>
      </c>
      <c r="F66" s="10" t="s">
        <v>583</v>
      </c>
    </row>
    <row r="67" spans="1:6" ht="14.25" x14ac:dyDescent="0.2">
      <c r="A67" s="10" t="s">
        <v>71</v>
      </c>
      <c r="B67" s="10" t="s">
        <v>551</v>
      </c>
      <c r="C67" s="10" t="s">
        <v>549</v>
      </c>
      <c r="D67" s="10" t="s">
        <v>600</v>
      </c>
      <c r="E67" s="10" t="s">
        <v>553</v>
      </c>
      <c r="F67" s="10" t="s">
        <v>554</v>
      </c>
    </row>
    <row r="68" spans="1:6" ht="14.25" x14ac:dyDescent="0.2">
      <c r="A68" s="10" t="s">
        <v>72</v>
      </c>
      <c r="B68" s="10" t="s">
        <v>551</v>
      </c>
      <c r="C68" s="10" t="s">
        <v>549</v>
      </c>
      <c r="D68" s="10" t="s">
        <v>601</v>
      </c>
      <c r="E68" s="10" t="s">
        <v>553</v>
      </c>
      <c r="F68" s="10" t="s">
        <v>554</v>
      </c>
    </row>
    <row r="69" spans="1:6" ht="14.25" x14ac:dyDescent="0.2">
      <c r="A69" s="10" t="s">
        <v>73</v>
      </c>
      <c r="B69" s="10" t="s">
        <v>551</v>
      </c>
      <c r="C69" s="10" t="s">
        <v>549</v>
      </c>
      <c r="D69" s="10" t="s">
        <v>602</v>
      </c>
      <c r="E69" s="10" t="s">
        <v>553</v>
      </c>
      <c r="F69" s="10" t="s">
        <v>554</v>
      </c>
    </row>
    <row r="70" spans="1:6" ht="14.25" x14ac:dyDescent="0.2">
      <c r="A70" s="10" t="s">
        <v>74</v>
      </c>
      <c r="B70" s="10" t="s">
        <v>551</v>
      </c>
      <c r="C70" s="10" t="s">
        <v>549</v>
      </c>
      <c r="D70" s="10" t="s">
        <v>603</v>
      </c>
      <c r="E70" s="10" t="s">
        <v>553</v>
      </c>
      <c r="F70" s="10" t="s">
        <v>554</v>
      </c>
    </row>
    <row r="71" spans="1:6" ht="14.25" x14ac:dyDescent="0.2">
      <c r="A71" s="10" t="s">
        <v>75</v>
      </c>
      <c r="B71" s="10" t="s">
        <v>551</v>
      </c>
      <c r="C71" s="10" t="s">
        <v>549</v>
      </c>
      <c r="D71" s="10" t="s">
        <v>604</v>
      </c>
      <c r="E71" s="10" t="s">
        <v>553</v>
      </c>
      <c r="F71" s="10" t="s">
        <v>554</v>
      </c>
    </row>
    <row r="72" spans="1:6" ht="14.25" x14ac:dyDescent="0.2">
      <c r="A72" s="10" t="s">
        <v>76</v>
      </c>
      <c r="B72" s="10" t="s">
        <v>551</v>
      </c>
      <c r="C72" s="10" t="s">
        <v>549</v>
      </c>
      <c r="D72" s="10" t="s">
        <v>605</v>
      </c>
      <c r="E72" s="10" t="s">
        <v>553</v>
      </c>
      <c r="F72" s="10" t="s">
        <v>554</v>
      </c>
    </row>
    <row r="73" spans="1:6" ht="14.25" x14ac:dyDescent="0.2">
      <c r="A73" s="10" t="s">
        <v>77</v>
      </c>
      <c r="B73" s="10" t="s">
        <v>551</v>
      </c>
      <c r="C73" s="10" t="s">
        <v>549</v>
      </c>
      <c r="D73" s="10" t="s">
        <v>606</v>
      </c>
      <c r="E73" s="10" t="s">
        <v>553</v>
      </c>
      <c r="F73" s="10" t="s">
        <v>554</v>
      </c>
    </row>
    <row r="74" spans="1:6" ht="14.25" x14ac:dyDescent="0.2">
      <c r="A74" s="10" t="s">
        <v>78</v>
      </c>
      <c r="B74" s="10" t="s">
        <v>551</v>
      </c>
      <c r="C74" s="10" t="s">
        <v>549</v>
      </c>
      <c r="D74" s="10" t="s">
        <v>607</v>
      </c>
      <c r="E74" s="10" t="s">
        <v>553</v>
      </c>
      <c r="F74" s="10" t="s">
        <v>554</v>
      </c>
    </row>
    <row r="75" spans="1:6" ht="14.25" x14ac:dyDescent="0.2">
      <c r="A75" s="10" t="s">
        <v>79</v>
      </c>
      <c r="B75" s="10" t="s">
        <v>551</v>
      </c>
      <c r="C75" s="10" t="s">
        <v>549</v>
      </c>
      <c r="D75" s="10" t="s">
        <v>608</v>
      </c>
      <c r="E75" s="10" t="s">
        <v>553</v>
      </c>
      <c r="F75" s="10" t="s">
        <v>554</v>
      </c>
    </row>
    <row r="76" spans="1:6" ht="14.25" x14ac:dyDescent="0.2">
      <c r="A76" s="10" t="s">
        <v>80</v>
      </c>
      <c r="B76" s="10" t="s">
        <v>551</v>
      </c>
      <c r="C76" s="10" t="s">
        <v>549</v>
      </c>
      <c r="D76" s="10" t="s">
        <v>609</v>
      </c>
      <c r="E76" s="10" t="s">
        <v>553</v>
      </c>
      <c r="F76" s="10" t="s">
        <v>554</v>
      </c>
    </row>
    <row r="77" spans="1:6" ht="14.25" x14ac:dyDescent="0.2">
      <c r="A77" s="10" t="s">
        <v>81</v>
      </c>
      <c r="B77" s="10" t="s">
        <v>551</v>
      </c>
      <c r="C77" s="10" t="s">
        <v>549</v>
      </c>
      <c r="D77" s="10" t="s">
        <v>610</v>
      </c>
      <c r="E77" s="10" t="s">
        <v>553</v>
      </c>
      <c r="F77" s="10" t="s">
        <v>554</v>
      </c>
    </row>
    <row r="78" spans="1:6" ht="14.25" x14ac:dyDescent="0.2">
      <c r="A78" s="10" t="s">
        <v>82</v>
      </c>
      <c r="B78" s="10" t="s">
        <v>551</v>
      </c>
      <c r="C78" s="10" t="s">
        <v>549</v>
      </c>
      <c r="D78" s="10" t="s">
        <v>611</v>
      </c>
      <c r="E78" s="10" t="s">
        <v>553</v>
      </c>
      <c r="F78" s="10" t="s">
        <v>554</v>
      </c>
    </row>
    <row r="79" spans="1:6" ht="14.25" x14ac:dyDescent="0.2">
      <c r="A79" s="10" t="s">
        <v>83</v>
      </c>
      <c r="B79" s="10" t="s">
        <v>551</v>
      </c>
      <c r="C79" s="10" t="s">
        <v>549</v>
      </c>
      <c r="D79" s="10" t="s">
        <v>612</v>
      </c>
      <c r="E79" s="10" t="s">
        <v>553</v>
      </c>
      <c r="F79" s="10" t="s">
        <v>554</v>
      </c>
    </row>
    <row r="80" spans="1:6" ht="14.25" x14ac:dyDescent="0.2">
      <c r="A80" s="10" t="s">
        <v>84</v>
      </c>
      <c r="B80" s="10" t="s">
        <v>551</v>
      </c>
      <c r="C80" s="10" t="s">
        <v>549</v>
      </c>
      <c r="D80" s="10" t="s">
        <v>613</v>
      </c>
      <c r="E80" s="10" t="s">
        <v>553</v>
      </c>
      <c r="F80" s="10" t="s">
        <v>554</v>
      </c>
    </row>
    <row r="81" spans="1:6" ht="14.25" x14ac:dyDescent="0.2">
      <c r="A81" s="10" t="s">
        <v>85</v>
      </c>
      <c r="B81" s="10" t="s">
        <v>551</v>
      </c>
      <c r="C81" s="10" t="s">
        <v>549</v>
      </c>
      <c r="D81" s="10" t="s">
        <v>614</v>
      </c>
      <c r="E81" s="10" t="s">
        <v>553</v>
      </c>
      <c r="F81" s="10" t="s">
        <v>554</v>
      </c>
    </row>
    <row r="82" spans="1:6" ht="14.25" x14ac:dyDescent="0.2">
      <c r="A82" s="10" t="s">
        <v>86</v>
      </c>
      <c r="B82" s="10" t="s">
        <v>551</v>
      </c>
      <c r="C82" s="10" t="s">
        <v>549</v>
      </c>
      <c r="D82" s="10" t="s">
        <v>615</v>
      </c>
      <c r="E82" s="10" t="s">
        <v>553</v>
      </c>
      <c r="F82" s="10" t="s">
        <v>554</v>
      </c>
    </row>
    <row r="83" spans="1:6" ht="14.25" x14ac:dyDescent="0.2">
      <c r="A83" s="10" t="s">
        <v>87</v>
      </c>
      <c r="B83" s="10" t="s">
        <v>551</v>
      </c>
      <c r="C83" s="10" t="s">
        <v>549</v>
      </c>
      <c r="D83" s="10" t="s">
        <v>616</v>
      </c>
      <c r="E83" s="10" t="s">
        <v>553</v>
      </c>
      <c r="F83" s="10" t="s">
        <v>554</v>
      </c>
    </row>
    <row r="84" spans="1:6" ht="14.25" x14ac:dyDescent="0.2">
      <c r="A84" s="10" t="s">
        <v>88</v>
      </c>
      <c r="B84" s="10" t="s">
        <v>551</v>
      </c>
      <c r="C84" s="10" t="s">
        <v>549</v>
      </c>
      <c r="D84" s="10" t="s">
        <v>617</v>
      </c>
      <c r="E84" s="10" t="s">
        <v>553</v>
      </c>
      <c r="F84" s="10" t="s">
        <v>554</v>
      </c>
    </row>
    <row r="85" spans="1:6" ht="14.25" x14ac:dyDescent="0.2">
      <c r="A85" s="10" t="s">
        <v>89</v>
      </c>
      <c r="B85" s="10" t="s">
        <v>618</v>
      </c>
      <c r="C85" s="10" t="s">
        <v>549</v>
      </c>
      <c r="D85" s="10" t="s">
        <v>619</v>
      </c>
      <c r="E85" s="10" t="s">
        <v>553</v>
      </c>
      <c r="F85" s="10" t="s">
        <v>620</v>
      </c>
    </row>
    <row r="86" spans="1:6" ht="14.25" x14ac:dyDescent="0.2">
      <c r="A86" s="10" t="s">
        <v>90</v>
      </c>
      <c r="B86" s="10" t="s">
        <v>618</v>
      </c>
      <c r="C86" s="10" t="s">
        <v>549</v>
      </c>
      <c r="D86" s="10" t="s">
        <v>621</v>
      </c>
      <c r="E86" s="10" t="s">
        <v>553</v>
      </c>
      <c r="F86" s="10" t="s">
        <v>620</v>
      </c>
    </row>
    <row r="87" spans="1:6" ht="14.25" x14ac:dyDescent="0.2">
      <c r="A87" s="10" t="s">
        <v>91</v>
      </c>
      <c r="B87" s="10" t="s">
        <v>618</v>
      </c>
      <c r="C87" s="10" t="s">
        <v>549</v>
      </c>
      <c r="D87" s="10" t="s">
        <v>622</v>
      </c>
      <c r="E87" s="10" t="s">
        <v>623</v>
      </c>
      <c r="F87" s="10" t="s">
        <v>554</v>
      </c>
    </row>
    <row r="88" spans="1:6" ht="14.25" x14ac:dyDescent="0.2">
      <c r="A88" s="10" t="s">
        <v>92</v>
      </c>
      <c r="B88" s="10" t="s">
        <v>618</v>
      </c>
      <c r="C88" s="10" t="s">
        <v>549</v>
      </c>
      <c r="D88" s="10" t="s">
        <v>624</v>
      </c>
      <c r="E88" s="10" t="s">
        <v>623</v>
      </c>
      <c r="F88" s="10" t="s">
        <v>554</v>
      </c>
    </row>
    <row r="89" spans="1:6" ht="14.25" x14ac:dyDescent="0.2">
      <c r="A89" s="10" t="s">
        <v>93</v>
      </c>
      <c r="B89" s="10" t="s">
        <v>618</v>
      </c>
      <c r="C89" s="10" t="s">
        <v>549</v>
      </c>
      <c r="D89" s="10" t="s">
        <v>625</v>
      </c>
      <c r="E89" s="10" t="s">
        <v>623</v>
      </c>
      <c r="F89" s="10" t="s">
        <v>554</v>
      </c>
    </row>
    <row r="90" spans="1:6" ht="14.25" x14ac:dyDescent="0.2">
      <c r="A90" s="10" t="s">
        <v>94</v>
      </c>
      <c r="B90" s="10" t="s">
        <v>618</v>
      </c>
      <c r="C90" s="10" t="s">
        <v>549</v>
      </c>
      <c r="D90" s="10" t="s">
        <v>626</v>
      </c>
      <c r="E90" s="10" t="s">
        <v>623</v>
      </c>
      <c r="F90" s="10" t="s">
        <v>554</v>
      </c>
    </row>
    <row r="91" spans="1:6" ht="14.25" x14ac:dyDescent="0.2">
      <c r="A91" s="10" t="s">
        <v>95</v>
      </c>
      <c r="B91" s="10" t="s">
        <v>618</v>
      </c>
      <c r="C91" s="10" t="s">
        <v>549</v>
      </c>
      <c r="D91" s="10" t="s">
        <v>627</v>
      </c>
      <c r="E91" s="10" t="s">
        <v>623</v>
      </c>
      <c r="F91" s="10" t="s">
        <v>620</v>
      </c>
    </row>
    <row r="92" spans="1:6" ht="14.25" x14ac:dyDescent="0.2">
      <c r="A92" s="10" t="s">
        <v>96</v>
      </c>
      <c r="B92" s="10" t="s">
        <v>618</v>
      </c>
      <c r="C92" s="10" t="s">
        <v>549</v>
      </c>
      <c r="D92" s="10" t="s">
        <v>628</v>
      </c>
      <c r="E92" s="10" t="s">
        <v>629</v>
      </c>
      <c r="F92" s="10" t="s">
        <v>620</v>
      </c>
    </row>
    <row r="93" spans="1:6" ht="14.25" x14ac:dyDescent="0.2">
      <c r="A93" s="10" t="s">
        <v>97</v>
      </c>
      <c r="B93" s="10" t="s">
        <v>618</v>
      </c>
      <c r="C93" s="10" t="s">
        <v>549</v>
      </c>
      <c r="D93" s="10" t="s">
        <v>630</v>
      </c>
      <c r="E93" s="10" t="s">
        <v>629</v>
      </c>
      <c r="F93" s="10" t="s">
        <v>620</v>
      </c>
    </row>
    <row r="94" spans="1:6" ht="14.25" x14ac:dyDescent="0.2">
      <c r="A94" s="10" t="s">
        <v>98</v>
      </c>
      <c r="B94" s="10" t="s">
        <v>618</v>
      </c>
      <c r="C94" s="10" t="s">
        <v>549</v>
      </c>
      <c r="D94" s="10" t="s">
        <v>631</v>
      </c>
      <c r="E94" s="10" t="s">
        <v>629</v>
      </c>
      <c r="F94" s="10" t="s">
        <v>620</v>
      </c>
    </row>
    <row r="95" spans="1:6" ht="14.25" x14ac:dyDescent="0.2">
      <c r="A95" s="10" t="s">
        <v>99</v>
      </c>
      <c r="B95" s="10" t="s">
        <v>618</v>
      </c>
      <c r="C95" s="10" t="s">
        <v>549</v>
      </c>
      <c r="D95" s="10" t="s">
        <v>632</v>
      </c>
      <c r="E95" s="10" t="s">
        <v>629</v>
      </c>
      <c r="F95" s="10" t="s">
        <v>620</v>
      </c>
    </row>
    <row r="96" spans="1:6" ht="14.25" x14ac:dyDescent="0.2">
      <c r="A96" s="10" t="s">
        <v>100</v>
      </c>
      <c r="B96" s="10" t="s">
        <v>618</v>
      </c>
      <c r="C96" s="10" t="s">
        <v>549</v>
      </c>
      <c r="D96" s="10" t="s">
        <v>633</v>
      </c>
      <c r="E96" s="10" t="s">
        <v>629</v>
      </c>
      <c r="F96" s="10" t="s">
        <v>620</v>
      </c>
    </row>
    <row r="97" spans="1:6" ht="14.25" x14ac:dyDescent="0.2">
      <c r="A97" s="10" t="s">
        <v>101</v>
      </c>
      <c r="B97" s="10" t="s">
        <v>618</v>
      </c>
      <c r="C97" s="10" t="s">
        <v>549</v>
      </c>
      <c r="D97" s="10" t="s">
        <v>634</v>
      </c>
      <c r="E97" s="10" t="s">
        <v>629</v>
      </c>
      <c r="F97" s="10" t="s">
        <v>620</v>
      </c>
    </row>
    <row r="98" spans="1:6" ht="14.25" x14ac:dyDescent="0.2">
      <c r="A98" s="10" t="s">
        <v>102</v>
      </c>
      <c r="B98" s="10" t="s">
        <v>618</v>
      </c>
      <c r="C98" s="10" t="s">
        <v>549</v>
      </c>
      <c r="D98" s="10" t="s">
        <v>635</v>
      </c>
      <c r="E98" s="10" t="s">
        <v>629</v>
      </c>
      <c r="F98" s="10" t="s">
        <v>620</v>
      </c>
    </row>
    <row r="99" spans="1:6" ht="14.25" x14ac:dyDescent="0.2">
      <c r="A99" s="10" t="s">
        <v>103</v>
      </c>
      <c r="B99" s="10" t="s">
        <v>618</v>
      </c>
      <c r="C99" s="10" t="s">
        <v>549</v>
      </c>
      <c r="D99" s="10" t="s">
        <v>636</v>
      </c>
      <c r="E99" s="10" t="s">
        <v>629</v>
      </c>
      <c r="F99" s="10" t="s">
        <v>620</v>
      </c>
    </row>
    <row r="100" spans="1:6" ht="14.25" x14ac:dyDescent="0.2">
      <c r="A100" s="10" t="s">
        <v>104</v>
      </c>
      <c r="B100" s="10" t="s">
        <v>618</v>
      </c>
      <c r="C100" s="10" t="s">
        <v>549</v>
      </c>
      <c r="D100" s="10" t="s">
        <v>637</v>
      </c>
      <c r="E100" s="10" t="s">
        <v>629</v>
      </c>
      <c r="F100" s="10" t="s">
        <v>620</v>
      </c>
    </row>
    <row r="101" spans="1:6" ht="14.25" x14ac:dyDescent="0.2">
      <c r="A101" s="10" t="s">
        <v>105</v>
      </c>
      <c r="B101" s="10" t="s">
        <v>618</v>
      </c>
      <c r="C101" s="10" t="s">
        <v>549</v>
      </c>
      <c r="D101" s="10" t="s">
        <v>638</v>
      </c>
      <c r="E101" s="10" t="s">
        <v>629</v>
      </c>
      <c r="F101" s="10" t="s">
        <v>620</v>
      </c>
    </row>
    <row r="102" spans="1:6" ht="14.25" x14ac:dyDescent="0.2">
      <c r="A102" s="10" t="s">
        <v>106</v>
      </c>
      <c r="B102" s="10" t="s">
        <v>618</v>
      </c>
      <c r="C102" s="10" t="s">
        <v>549</v>
      </c>
      <c r="D102" s="10" t="s">
        <v>639</v>
      </c>
      <c r="E102" s="10" t="s">
        <v>629</v>
      </c>
      <c r="F102" s="10" t="s">
        <v>620</v>
      </c>
    </row>
    <row r="103" spans="1:6" ht="14.25" x14ac:dyDescent="0.2">
      <c r="A103" s="10" t="s">
        <v>107</v>
      </c>
      <c r="B103" s="10" t="s">
        <v>618</v>
      </c>
      <c r="C103" s="10" t="s">
        <v>549</v>
      </c>
      <c r="D103" s="10" t="s">
        <v>640</v>
      </c>
      <c r="E103" s="10" t="s">
        <v>629</v>
      </c>
      <c r="F103" s="10" t="s">
        <v>620</v>
      </c>
    </row>
    <row r="104" spans="1:6" ht="14.25" x14ac:dyDescent="0.2">
      <c r="A104" s="10" t="s">
        <v>108</v>
      </c>
      <c r="B104" s="10" t="s">
        <v>618</v>
      </c>
      <c r="C104" s="10" t="s">
        <v>549</v>
      </c>
      <c r="D104" s="10" t="s">
        <v>641</v>
      </c>
      <c r="E104" s="10" t="s">
        <v>629</v>
      </c>
      <c r="F104" s="10" t="s">
        <v>620</v>
      </c>
    </row>
    <row r="105" spans="1:6" ht="14.25" x14ac:dyDescent="0.2">
      <c r="A105" s="10" t="s">
        <v>109</v>
      </c>
      <c r="B105" s="10" t="s">
        <v>642</v>
      </c>
      <c r="C105" s="10" t="s">
        <v>549</v>
      </c>
      <c r="D105" s="10" t="s">
        <v>643</v>
      </c>
      <c r="E105" s="10" t="s">
        <v>644</v>
      </c>
      <c r="F105" s="10" t="s">
        <v>554</v>
      </c>
    </row>
    <row r="106" spans="1:6" ht="14.25" x14ac:dyDescent="0.2">
      <c r="A106" s="10" t="s">
        <v>110</v>
      </c>
      <c r="B106" s="10" t="s">
        <v>642</v>
      </c>
      <c r="C106" s="10" t="s">
        <v>549</v>
      </c>
      <c r="D106" s="10" t="s">
        <v>645</v>
      </c>
      <c r="E106" s="10" t="s">
        <v>644</v>
      </c>
      <c r="F106" s="10" t="s">
        <v>554</v>
      </c>
    </row>
    <row r="107" spans="1:6" ht="14.25" x14ac:dyDescent="0.2">
      <c r="A107" s="10" t="s">
        <v>111</v>
      </c>
      <c r="B107" s="10" t="s">
        <v>642</v>
      </c>
      <c r="C107" s="10" t="s">
        <v>549</v>
      </c>
      <c r="D107" s="10" t="s">
        <v>646</v>
      </c>
      <c r="E107" s="10" t="s">
        <v>644</v>
      </c>
      <c r="F107" s="10" t="s">
        <v>554</v>
      </c>
    </row>
    <row r="108" spans="1:6" ht="14.25" x14ac:dyDescent="0.2">
      <c r="A108" s="10" t="s">
        <v>112</v>
      </c>
      <c r="B108" s="10" t="s">
        <v>642</v>
      </c>
      <c r="C108" s="10" t="s">
        <v>549</v>
      </c>
      <c r="D108" s="10" t="s">
        <v>647</v>
      </c>
      <c r="E108" s="10" t="s">
        <v>644</v>
      </c>
      <c r="F108" s="10" t="s">
        <v>554</v>
      </c>
    </row>
    <row r="109" spans="1:6" ht="14.25" x14ac:dyDescent="0.2">
      <c r="A109" s="10" t="s">
        <v>113</v>
      </c>
      <c r="B109" s="10" t="s">
        <v>642</v>
      </c>
      <c r="C109" s="10" t="s">
        <v>549</v>
      </c>
      <c r="D109" s="10" t="s">
        <v>648</v>
      </c>
      <c r="E109" s="10" t="s">
        <v>644</v>
      </c>
      <c r="F109" s="10" t="s">
        <v>554</v>
      </c>
    </row>
    <row r="110" spans="1:6" ht="14.25" x14ac:dyDescent="0.2">
      <c r="A110" s="10" t="s">
        <v>114</v>
      </c>
      <c r="B110" s="10" t="s">
        <v>642</v>
      </c>
      <c r="C110" s="10" t="s">
        <v>549</v>
      </c>
      <c r="D110" s="10" t="s">
        <v>649</v>
      </c>
      <c r="E110" s="10" t="s">
        <v>644</v>
      </c>
      <c r="F110" s="10" t="s">
        <v>554</v>
      </c>
    </row>
    <row r="111" spans="1:6" ht="14.25" x14ac:dyDescent="0.2">
      <c r="A111" s="10" t="s">
        <v>115</v>
      </c>
      <c r="B111" s="10" t="s">
        <v>642</v>
      </c>
      <c r="C111" s="10" t="s">
        <v>549</v>
      </c>
      <c r="D111" s="10" t="s">
        <v>650</v>
      </c>
      <c r="E111" s="10" t="s">
        <v>644</v>
      </c>
      <c r="F111" s="10" t="s">
        <v>554</v>
      </c>
    </row>
    <row r="112" spans="1:6" ht="14.25" x14ac:dyDescent="0.2">
      <c r="A112" s="10" t="s">
        <v>116</v>
      </c>
      <c r="B112" s="10" t="s">
        <v>642</v>
      </c>
      <c r="C112" s="10" t="s">
        <v>549</v>
      </c>
      <c r="D112" s="10" t="s">
        <v>651</v>
      </c>
      <c r="E112" s="10" t="s">
        <v>644</v>
      </c>
      <c r="F112" s="10" t="s">
        <v>554</v>
      </c>
    </row>
    <row r="113" spans="1:6" ht="14.25" x14ac:dyDescent="0.2">
      <c r="A113" s="10" t="s">
        <v>117</v>
      </c>
      <c r="B113" s="10" t="s">
        <v>642</v>
      </c>
      <c r="C113" s="10" t="s">
        <v>549</v>
      </c>
      <c r="D113" s="10" t="s">
        <v>652</v>
      </c>
      <c r="E113" s="10" t="s">
        <v>644</v>
      </c>
      <c r="F113" s="10" t="s">
        <v>554</v>
      </c>
    </row>
    <row r="114" spans="1:6" ht="14.25" x14ac:dyDescent="0.2">
      <c r="A114" s="10" t="s">
        <v>118</v>
      </c>
      <c r="B114" s="10" t="s">
        <v>642</v>
      </c>
      <c r="C114" s="10" t="s">
        <v>549</v>
      </c>
      <c r="D114" s="10" t="s">
        <v>653</v>
      </c>
      <c r="E114" s="10" t="s">
        <v>644</v>
      </c>
      <c r="F114" s="10" t="s">
        <v>554</v>
      </c>
    </row>
    <row r="115" spans="1:6" ht="14.25" x14ac:dyDescent="0.2">
      <c r="A115" s="10" t="s">
        <v>119</v>
      </c>
      <c r="B115" s="10" t="s">
        <v>642</v>
      </c>
      <c r="C115" s="10" t="s">
        <v>549</v>
      </c>
      <c r="D115" s="10" t="s">
        <v>654</v>
      </c>
      <c r="E115" s="10" t="s">
        <v>644</v>
      </c>
      <c r="F115" s="10" t="s">
        <v>554</v>
      </c>
    </row>
    <row r="116" spans="1:6" ht="14.25" x14ac:dyDescent="0.2">
      <c r="A116" s="10" t="s">
        <v>120</v>
      </c>
      <c r="B116" s="10" t="s">
        <v>642</v>
      </c>
      <c r="C116" s="10" t="s">
        <v>549</v>
      </c>
      <c r="D116" s="10" t="s">
        <v>655</v>
      </c>
      <c r="E116" s="10" t="s">
        <v>644</v>
      </c>
      <c r="F116" s="10" t="s">
        <v>554</v>
      </c>
    </row>
    <row r="117" spans="1:6" ht="14.25" x14ac:dyDescent="0.2">
      <c r="A117" s="10" t="s">
        <v>121</v>
      </c>
      <c r="B117" s="10" t="s">
        <v>642</v>
      </c>
      <c r="C117" s="10" t="s">
        <v>549</v>
      </c>
      <c r="D117" s="10" t="s">
        <v>656</v>
      </c>
      <c r="E117" s="10" t="s">
        <v>644</v>
      </c>
      <c r="F117" s="10" t="s">
        <v>554</v>
      </c>
    </row>
    <row r="118" spans="1:6" ht="14.25" x14ac:dyDescent="0.2">
      <c r="A118" s="10" t="s">
        <v>122</v>
      </c>
      <c r="B118" s="10" t="s">
        <v>642</v>
      </c>
      <c r="C118" s="10" t="s">
        <v>549</v>
      </c>
      <c r="D118" s="10" t="s">
        <v>657</v>
      </c>
      <c r="E118" s="10" t="s">
        <v>644</v>
      </c>
      <c r="F118" s="10" t="s">
        <v>554</v>
      </c>
    </row>
    <row r="119" spans="1:6" ht="14.25" x14ac:dyDescent="0.2">
      <c r="A119" s="10" t="s">
        <v>123</v>
      </c>
      <c r="B119" s="10" t="s">
        <v>642</v>
      </c>
      <c r="C119" s="10" t="s">
        <v>549</v>
      </c>
      <c r="D119" s="10" t="s">
        <v>658</v>
      </c>
      <c r="E119" s="10" t="s">
        <v>644</v>
      </c>
      <c r="F119" s="10" t="s">
        <v>554</v>
      </c>
    </row>
    <row r="120" spans="1:6" ht="14.25" x14ac:dyDescent="0.2">
      <c r="A120" s="10" t="s">
        <v>124</v>
      </c>
      <c r="B120" s="10" t="s">
        <v>642</v>
      </c>
      <c r="C120" s="10" t="s">
        <v>549</v>
      </c>
      <c r="D120" s="10" t="s">
        <v>659</v>
      </c>
      <c r="E120" s="10" t="s">
        <v>644</v>
      </c>
      <c r="F120" s="10" t="s">
        <v>554</v>
      </c>
    </row>
    <row r="121" spans="1:6" ht="14.25" x14ac:dyDescent="0.2">
      <c r="A121" s="10" t="s">
        <v>125</v>
      </c>
      <c r="B121" s="10" t="s">
        <v>642</v>
      </c>
      <c r="C121" s="10" t="s">
        <v>549</v>
      </c>
      <c r="D121" s="10" t="s">
        <v>660</v>
      </c>
      <c r="E121" s="10" t="s">
        <v>644</v>
      </c>
      <c r="F121" s="10" t="s">
        <v>554</v>
      </c>
    </row>
    <row r="122" spans="1:6" ht="14.25" x14ac:dyDescent="0.2">
      <c r="A122" s="10" t="s">
        <v>126</v>
      </c>
      <c r="B122" s="10" t="s">
        <v>642</v>
      </c>
      <c r="C122" s="10" t="s">
        <v>549</v>
      </c>
      <c r="D122" s="10" t="s">
        <v>661</v>
      </c>
      <c r="E122" s="10" t="s">
        <v>644</v>
      </c>
      <c r="F122" s="10" t="s">
        <v>554</v>
      </c>
    </row>
    <row r="123" spans="1:6" ht="14.25" x14ac:dyDescent="0.2">
      <c r="A123" s="10" t="s">
        <v>127</v>
      </c>
      <c r="B123" s="10" t="s">
        <v>642</v>
      </c>
      <c r="C123" s="10" t="s">
        <v>549</v>
      </c>
      <c r="D123" s="10" t="s">
        <v>662</v>
      </c>
      <c r="E123" s="10" t="s">
        <v>644</v>
      </c>
      <c r="F123" s="10" t="s">
        <v>554</v>
      </c>
    </row>
    <row r="124" spans="1:6" ht="14.25" x14ac:dyDescent="0.2">
      <c r="A124" s="10" t="s">
        <v>128</v>
      </c>
      <c r="B124" s="10" t="s">
        <v>642</v>
      </c>
      <c r="C124" s="10" t="s">
        <v>549</v>
      </c>
      <c r="D124" s="10" t="s">
        <v>663</v>
      </c>
      <c r="E124" s="10" t="s">
        <v>644</v>
      </c>
      <c r="F124" s="10" t="s">
        <v>554</v>
      </c>
    </row>
    <row r="125" spans="1:6" ht="14.25" x14ac:dyDescent="0.2">
      <c r="A125" s="10" t="s">
        <v>129</v>
      </c>
      <c r="B125" s="10" t="s">
        <v>642</v>
      </c>
      <c r="C125" s="10" t="s">
        <v>549</v>
      </c>
      <c r="D125" s="10" t="s">
        <v>664</v>
      </c>
      <c r="E125" s="10" t="s">
        <v>644</v>
      </c>
      <c r="F125" s="10" t="s">
        <v>554</v>
      </c>
    </row>
    <row r="126" spans="1:6" ht="14.25" x14ac:dyDescent="0.2">
      <c r="A126" s="10" t="s">
        <v>130</v>
      </c>
      <c r="B126" s="10" t="s">
        <v>642</v>
      </c>
      <c r="C126" s="10" t="s">
        <v>549</v>
      </c>
      <c r="D126" s="10" t="s">
        <v>665</v>
      </c>
      <c r="E126" s="10" t="s">
        <v>644</v>
      </c>
      <c r="F126" s="10" t="s">
        <v>554</v>
      </c>
    </row>
    <row r="127" spans="1:6" ht="14.25" x14ac:dyDescent="0.2">
      <c r="A127" s="10" t="s">
        <v>131</v>
      </c>
      <c r="B127" s="10" t="s">
        <v>642</v>
      </c>
      <c r="C127" s="10" t="s">
        <v>549</v>
      </c>
      <c r="D127" s="10" t="s">
        <v>666</v>
      </c>
      <c r="E127" s="10" t="s">
        <v>644</v>
      </c>
      <c r="F127" s="10" t="s">
        <v>554</v>
      </c>
    </row>
    <row r="128" spans="1:6" ht="14.25" x14ac:dyDescent="0.2">
      <c r="A128" s="10" t="s">
        <v>132</v>
      </c>
      <c r="B128" s="10" t="s">
        <v>642</v>
      </c>
      <c r="C128" s="10" t="s">
        <v>549</v>
      </c>
      <c r="D128" s="10" t="s">
        <v>667</v>
      </c>
      <c r="E128" s="10" t="s">
        <v>644</v>
      </c>
      <c r="F128" s="10" t="s">
        <v>554</v>
      </c>
    </row>
    <row r="129" spans="1:6" ht="14.25" x14ac:dyDescent="0.2">
      <c r="A129" s="10" t="s">
        <v>133</v>
      </c>
      <c r="B129" s="10" t="s">
        <v>642</v>
      </c>
      <c r="C129" s="10" t="s">
        <v>549</v>
      </c>
      <c r="D129" s="10" t="s">
        <v>668</v>
      </c>
      <c r="E129" s="10" t="s">
        <v>644</v>
      </c>
      <c r="F129" s="10" t="s">
        <v>554</v>
      </c>
    </row>
    <row r="130" spans="1:6" ht="14.25" x14ac:dyDescent="0.2">
      <c r="A130" s="10" t="s">
        <v>134</v>
      </c>
      <c r="B130" s="10" t="s">
        <v>642</v>
      </c>
      <c r="C130" s="10" t="s">
        <v>549</v>
      </c>
      <c r="D130" s="10" t="s">
        <v>669</v>
      </c>
      <c r="E130" s="10" t="s">
        <v>644</v>
      </c>
      <c r="F130" s="10" t="s">
        <v>554</v>
      </c>
    </row>
    <row r="131" spans="1:6" ht="14.25" x14ac:dyDescent="0.2">
      <c r="A131" s="10" t="s">
        <v>135</v>
      </c>
      <c r="B131" s="10" t="s">
        <v>642</v>
      </c>
      <c r="C131" s="10" t="s">
        <v>549</v>
      </c>
      <c r="D131" s="10" t="s">
        <v>670</v>
      </c>
      <c r="E131" s="10" t="s">
        <v>644</v>
      </c>
      <c r="F131" s="10" t="s">
        <v>554</v>
      </c>
    </row>
    <row r="132" spans="1:6" ht="14.25" x14ac:dyDescent="0.2">
      <c r="A132" s="10" t="s">
        <v>136</v>
      </c>
      <c r="B132" s="10" t="s">
        <v>642</v>
      </c>
      <c r="C132" s="10" t="s">
        <v>549</v>
      </c>
      <c r="D132" s="10" t="s">
        <v>671</v>
      </c>
      <c r="E132" s="10" t="s">
        <v>644</v>
      </c>
      <c r="F132" s="10" t="s">
        <v>554</v>
      </c>
    </row>
    <row r="133" spans="1:6" ht="14.25" x14ac:dyDescent="0.2">
      <c r="A133" s="10" t="s">
        <v>137</v>
      </c>
      <c r="B133" s="10" t="s">
        <v>642</v>
      </c>
      <c r="C133" s="10" t="s">
        <v>549</v>
      </c>
      <c r="D133" s="10" t="s">
        <v>672</v>
      </c>
      <c r="E133" s="10" t="s">
        <v>644</v>
      </c>
      <c r="F133" s="10" t="s">
        <v>554</v>
      </c>
    </row>
    <row r="134" spans="1:6" ht="14.25" x14ac:dyDescent="0.2">
      <c r="A134" s="10" t="s">
        <v>138</v>
      </c>
      <c r="B134" s="10" t="s">
        <v>642</v>
      </c>
      <c r="C134" s="10" t="s">
        <v>549</v>
      </c>
      <c r="D134" s="10" t="s">
        <v>673</v>
      </c>
      <c r="E134" s="10" t="s">
        <v>644</v>
      </c>
      <c r="F134" s="10" t="s">
        <v>554</v>
      </c>
    </row>
    <row r="135" spans="1:6" ht="14.25" x14ac:dyDescent="0.2">
      <c r="A135" s="10" t="s">
        <v>139</v>
      </c>
      <c r="B135" s="10" t="s">
        <v>642</v>
      </c>
      <c r="C135" s="10" t="s">
        <v>549</v>
      </c>
      <c r="D135" s="10" t="s">
        <v>674</v>
      </c>
      <c r="E135" s="10" t="s">
        <v>644</v>
      </c>
      <c r="F135" s="10" t="s">
        <v>554</v>
      </c>
    </row>
    <row r="136" spans="1:6" ht="14.25" x14ac:dyDescent="0.2">
      <c r="A136" s="10" t="s">
        <v>140</v>
      </c>
      <c r="B136" s="10" t="s">
        <v>642</v>
      </c>
      <c r="C136" s="10" t="s">
        <v>549</v>
      </c>
      <c r="D136" s="10" t="s">
        <v>675</v>
      </c>
      <c r="E136" s="10" t="s">
        <v>644</v>
      </c>
      <c r="F136" s="10" t="s">
        <v>554</v>
      </c>
    </row>
    <row r="137" spans="1:6" ht="14.25" x14ac:dyDescent="0.2">
      <c r="A137" s="10" t="s">
        <v>141</v>
      </c>
      <c r="B137" s="10" t="s">
        <v>642</v>
      </c>
      <c r="C137" s="10" t="s">
        <v>549</v>
      </c>
      <c r="D137" s="10" t="s">
        <v>676</v>
      </c>
      <c r="E137" s="10" t="s">
        <v>644</v>
      </c>
      <c r="F137" s="10" t="s">
        <v>554</v>
      </c>
    </row>
    <row r="138" spans="1:6" ht="14.25" x14ac:dyDescent="0.2">
      <c r="A138" s="10" t="s">
        <v>142</v>
      </c>
      <c r="B138" s="10" t="s">
        <v>642</v>
      </c>
      <c r="C138" s="10" t="s">
        <v>549</v>
      </c>
      <c r="D138" s="10" t="s">
        <v>677</v>
      </c>
      <c r="E138" s="10" t="s">
        <v>644</v>
      </c>
      <c r="F138" s="10" t="s">
        <v>554</v>
      </c>
    </row>
    <row r="139" spans="1:6" ht="14.25" x14ac:dyDescent="0.2">
      <c r="A139" s="10" t="s">
        <v>143</v>
      </c>
      <c r="B139" s="10" t="s">
        <v>642</v>
      </c>
      <c r="C139" s="10" t="s">
        <v>549</v>
      </c>
      <c r="D139" s="10" t="s">
        <v>678</v>
      </c>
      <c r="E139" s="10" t="s">
        <v>644</v>
      </c>
      <c r="F139" s="10" t="s">
        <v>554</v>
      </c>
    </row>
    <row r="140" spans="1:6" ht="14.25" x14ac:dyDescent="0.2">
      <c r="A140" s="10" t="s">
        <v>144</v>
      </c>
      <c r="B140" s="10" t="s">
        <v>642</v>
      </c>
      <c r="C140" s="10" t="s">
        <v>549</v>
      </c>
      <c r="D140" s="10" t="s">
        <v>679</v>
      </c>
      <c r="E140" s="10" t="s">
        <v>644</v>
      </c>
      <c r="F140" s="10" t="s">
        <v>554</v>
      </c>
    </row>
    <row r="141" spans="1:6" ht="14.25" x14ac:dyDescent="0.2">
      <c r="A141" s="10" t="s">
        <v>145</v>
      </c>
      <c r="B141" s="10" t="s">
        <v>642</v>
      </c>
      <c r="C141" s="10" t="s">
        <v>549</v>
      </c>
      <c r="D141" s="10" t="s">
        <v>680</v>
      </c>
      <c r="E141" s="10" t="s">
        <v>644</v>
      </c>
      <c r="F141" s="10" t="s">
        <v>554</v>
      </c>
    </row>
    <row r="142" spans="1:6" ht="14.25" x14ac:dyDescent="0.2">
      <c r="A142" s="10" t="s">
        <v>146</v>
      </c>
      <c r="B142" s="10" t="s">
        <v>642</v>
      </c>
      <c r="C142" s="10" t="s">
        <v>549</v>
      </c>
      <c r="D142" s="10" t="s">
        <v>681</v>
      </c>
      <c r="E142" s="10" t="s">
        <v>644</v>
      </c>
      <c r="F142" s="10" t="s">
        <v>554</v>
      </c>
    </row>
    <row r="143" spans="1:6" ht="14.25" x14ac:dyDescent="0.2">
      <c r="A143" s="10" t="s">
        <v>147</v>
      </c>
      <c r="B143" s="10" t="s">
        <v>642</v>
      </c>
      <c r="C143" s="10" t="s">
        <v>549</v>
      </c>
      <c r="D143" s="10" t="s">
        <v>682</v>
      </c>
      <c r="E143" s="10" t="s">
        <v>644</v>
      </c>
      <c r="F143" s="10" t="s">
        <v>554</v>
      </c>
    </row>
    <row r="144" spans="1:6" ht="14.25" x14ac:dyDescent="0.2">
      <c r="A144" s="10" t="s">
        <v>148</v>
      </c>
      <c r="B144" s="10" t="s">
        <v>642</v>
      </c>
      <c r="C144" s="10" t="s">
        <v>549</v>
      </c>
      <c r="D144" s="10" t="s">
        <v>683</v>
      </c>
      <c r="E144" s="10" t="s">
        <v>644</v>
      </c>
      <c r="F144" s="10" t="s">
        <v>554</v>
      </c>
    </row>
    <row r="145" spans="1:6" ht="14.25" x14ac:dyDescent="0.2">
      <c r="A145" s="10" t="s">
        <v>149</v>
      </c>
      <c r="B145" s="10" t="s">
        <v>642</v>
      </c>
      <c r="C145" s="10" t="s">
        <v>549</v>
      </c>
      <c r="D145" s="10" t="s">
        <v>684</v>
      </c>
      <c r="E145" s="10" t="s">
        <v>644</v>
      </c>
      <c r="F145" s="10" t="s">
        <v>620</v>
      </c>
    </row>
    <row r="146" spans="1:6" ht="14.25" x14ac:dyDescent="0.2">
      <c r="A146" s="10" t="s">
        <v>150</v>
      </c>
      <c r="B146" s="10" t="s">
        <v>642</v>
      </c>
      <c r="C146" s="10" t="s">
        <v>549</v>
      </c>
      <c r="D146" s="10" t="s">
        <v>685</v>
      </c>
      <c r="E146" s="10" t="s">
        <v>644</v>
      </c>
      <c r="F146" s="10" t="s">
        <v>620</v>
      </c>
    </row>
    <row r="147" spans="1:6" ht="14.25" x14ac:dyDescent="0.2">
      <c r="A147" s="10" t="s">
        <v>151</v>
      </c>
      <c r="B147" s="10" t="s">
        <v>642</v>
      </c>
      <c r="C147" s="10" t="s">
        <v>549</v>
      </c>
      <c r="D147" s="10" t="s">
        <v>686</v>
      </c>
      <c r="E147" s="10" t="s">
        <v>644</v>
      </c>
      <c r="F147" s="10" t="s">
        <v>620</v>
      </c>
    </row>
    <row r="148" spans="1:6" ht="14.25" x14ac:dyDescent="0.2">
      <c r="A148" s="10" t="s">
        <v>152</v>
      </c>
      <c r="B148" s="10" t="s">
        <v>642</v>
      </c>
      <c r="C148" s="10" t="s">
        <v>549</v>
      </c>
      <c r="D148" s="10" t="s">
        <v>687</v>
      </c>
      <c r="E148" s="10" t="s">
        <v>644</v>
      </c>
      <c r="F148" s="10" t="s">
        <v>620</v>
      </c>
    </row>
    <row r="149" spans="1:6" ht="14.25" x14ac:dyDescent="0.2">
      <c r="A149" s="10" t="s">
        <v>153</v>
      </c>
      <c r="B149" s="10" t="s">
        <v>642</v>
      </c>
      <c r="C149" s="10" t="s">
        <v>549</v>
      </c>
      <c r="D149" s="10" t="s">
        <v>688</v>
      </c>
      <c r="E149" s="10" t="s">
        <v>644</v>
      </c>
      <c r="F149" s="10" t="s">
        <v>620</v>
      </c>
    </row>
    <row r="150" spans="1:6" ht="14.25" x14ac:dyDescent="0.2">
      <c r="A150" s="10" t="s">
        <v>154</v>
      </c>
      <c r="B150" s="10" t="s">
        <v>642</v>
      </c>
      <c r="C150" s="10" t="s">
        <v>549</v>
      </c>
      <c r="D150" s="10" t="s">
        <v>689</v>
      </c>
      <c r="E150" s="10" t="s">
        <v>644</v>
      </c>
      <c r="F150" s="10" t="s">
        <v>620</v>
      </c>
    </row>
    <row r="151" spans="1:6" ht="14.25" x14ac:dyDescent="0.2">
      <c r="A151" s="10" t="s">
        <v>155</v>
      </c>
      <c r="B151" s="10" t="s">
        <v>642</v>
      </c>
      <c r="C151" s="10" t="s">
        <v>549</v>
      </c>
      <c r="D151" s="10" t="s">
        <v>690</v>
      </c>
      <c r="E151" s="10" t="s">
        <v>644</v>
      </c>
      <c r="F151" s="10" t="s">
        <v>620</v>
      </c>
    </row>
    <row r="152" spans="1:6" ht="14.25" x14ac:dyDescent="0.2">
      <c r="A152" s="10" t="s">
        <v>885</v>
      </c>
      <c r="B152" s="10" t="s">
        <v>618</v>
      </c>
      <c r="C152" s="10" t="s">
        <v>549</v>
      </c>
      <c r="D152" s="10" t="s">
        <v>886</v>
      </c>
      <c r="E152" s="10" t="s">
        <v>691</v>
      </c>
      <c r="F152" s="10" t="s">
        <v>583</v>
      </c>
    </row>
    <row r="153" spans="1:6" ht="14.25" x14ac:dyDescent="0.2">
      <c r="A153" s="10" t="s">
        <v>156</v>
      </c>
      <c r="B153" s="10" t="s">
        <v>642</v>
      </c>
      <c r="C153" s="10" t="s">
        <v>547</v>
      </c>
      <c r="D153" s="10" t="s">
        <v>692</v>
      </c>
      <c r="E153" s="10" t="s">
        <v>644</v>
      </c>
      <c r="F153" s="10" t="s">
        <v>620</v>
      </c>
    </row>
    <row r="154" spans="1:6" ht="14.25" x14ac:dyDescent="0.2">
      <c r="A154" s="10" t="s">
        <v>157</v>
      </c>
      <c r="B154" s="10" t="s">
        <v>642</v>
      </c>
      <c r="C154" s="10" t="s">
        <v>547</v>
      </c>
      <c r="D154" s="10" t="s">
        <v>693</v>
      </c>
      <c r="E154" s="10" t="s">
        <v>644</v>
      </c>
      <c r="F154" s="10" t="s">
        <v>620</v>
      </c>
    </row>
    <row r="155" spans="1:6" ht="14.25" x14ac:dyDescent="0.2">
      <c r="A155" s="10" t="s">
        <v>158</v>
      </c>
      <c r="B155" s="10" t="s">
        <v>642</v>
      </c>
      <c r="C155" s="10" t="s">
        <v>547</v>
      </c>
      <c r="D155" s="10" t="s">
        <v>694</v>
      </c>
      <c r="E155" s="10" t="s">
        <v>644</v>
      </c>
      <c r="F155" s="10" t="s">
        <v>620</v>
      </c>
    </row>
    <row r="156" spans="1:6" ht="14.25" x14ac:dyDescent="0.2">
      <c r="A156" s="10" t="s">
        <v>159</v>
      </c>
      <c r="B156" s="10" t="s">
        <v>642</v>
      </c>
      <c r="C156" s="10" t="s">
        <v>547</v>
      </c>
      <c r="D156" s="10" t="s">
        <v>695</v>
      </c>
      <c r="E156" s="10" t="s">
        <v>644</v>
      </c>
      <c r="F156" s="10" t="s">
        <v>620</v>
      </c>
    </row>
    <row r="157" spans="1:6" ht="14.25" x14ac:dyDescent="0.2">
      <c r="A157" s="10" t="s">
        <v>160</v>
      </c>
      <c r="B157" s="10" t="s">
        <v>642</v>
      </c>
      <c r="C157" s="10" t="s">
        <v>547</v>
      </c>
      <c r="D157" s="10" t="s">
        <v>696</v>
      </c>
      <c r="E157" s="10" t="s">
        <v>644</v>
      </c>
      <c r="F157" s="10" t="s">
        <v>620</v>
      </c>
    </row>
    <row r="158" spans="1:6" ht="14.25" x14ac:dyDescent="0.2">
      <c r="A158" s="10" t="s">
        <v>161</v>
      </c>
      <c r="B158" s="10" t="s">
        <v>642</v>
      </c>
      <c r="C158" s="10" t="s">
        <v>547</v>
      </c>
      <c r="D158" s="10" t="s">
        <v>697</v>
      </c>
      <c r="E158" s="10" t="s">
        <v>644</v>
      </c>
      <c r="F158" s="10" t="s">
        <v>620</v>
      </c>
    </row>
    <row r="159" spans="1:6" ht="14.25" x14ac:dyDescent="0.2">
      <c r="A159" s="10" t="s">
        <v>162</v>
      </c>
      <c r="B159" s="10" t="s">
        <v>698</v>
      </c>
      <c r="C159" s="10" t="s">
        <v>549</v>
      </c>
      <c r="D159" s="10" t="s">
        <v>699</v>
      </c>
      <c r="E159" s="10" t="s">
        <v>700</v>
      </c>
      <c r="F159" s="10" t="s">
        <v>583</v>
      </c>
    </row>
    <row r="160" spans="1:6" ht="14.25" x14ac:dyDescent="0.2">
      <c r="A160" s="10" t="s">
        <v>163</v>
      </c>
      <c r="B160" s="10" t="s">
        <v>698</v>
      </c>
      <c r="C160" s="10" t="s">
        <v>549</v>
      </c>
      <c r="D160" s="10" t="s">
        <v>701</v>
      </c>
      <c r="E160" s="10" t="s">
        <v>702</v>
      </c>
      <c r="F160" s="10" t="s">
        <v>583</v>
      </c>
    </row>
    <row r="161" spans="1:6" ht="14.25" x14ac:dyDescent="0.2">
      <c r="A161" s="10" t="s">
        <v>164</v>
      </c>
      <c r="B161" s="10" t="s">
        <v>698</v>
      </c>
      <c r="C161" s="10" t="s">
        <v>549</v>
      </c>
      <c r="D161" s="10" t="s">
        <v>703</v>
      </c>
      <c r="E161" s="10" t="s">
        <v>700</v>
      </c>
      <c r="F161" s="10" t="s">
        <v>583</v>
      </c>
    </row>
    <row r="162" spans="1:6" ht="14.25" x14ac:dyDescent="0.2">
      <c r="A162" s="10" t="s">
        <v>165</v>
      </c>
      <c r="B162" s="10" t="s">
        <v>698</v>
      </c>
      <c r="C162" s="10" t="s">
        <v>549</v>
      </c>
      <c r="D162" s="10" t="s">
        <v>704</v>
      </c>
      <c r="E162" s="10" t="s">
        <v>700</v>
      </c>
      <c r="F162" s="10" t="s">
        <v>583</v>
      </c>
    </row>
    <row r="163" spans="1:6" ht="14.25" x14ac:dyDescent="0.2">
      <c r="A163" s="10" t="s">
        <v>166</v>
      </c>
      <c r="B163" s="10" t="s">
        <v>698</v>
      </c>
      <c r="C163" s="10" t="s">
        <v>549</v>
      </c>
      <c r="D163" s="10" t="s">
        <v>705</v>
      </c>
      <c r="E163" s="10" t="s">
        <v>706</v>
      </c>
      <c r="F163" s="10" t="s">
        <v>583</v>
      </c>
    </row>
    <row r="164" spans="1:6" ht="14.25" x14ac:dyDescent="0.2">
      <c r="A164" s="10" t="s">
        <v>167</v>
      </c>
      <c r="B164" s="10" t="s">
        <v>642</v>
      </c>
      <c r="C164" s="10" t="s">
        <v>549</v>
      </c>
      <c r="D164" s="10" t="s">
        <v>707</v>
      </c>
      <c r="E164" s="10" t="s">
        <v>553</v>
      </c>
      <c r="F164" s="10" t="s">
        <v>620</v>
      </c>
    </row>
    <row r="165" spans="1:6" ht="14.25" x14ac:dyDescent="0.2">
      <c r="A165" s="10" t="s">
        <v>168</v>
      </c>
      <c r="B165" s="10" t="s">
        <v>642</v>
      </c>
      <c r="C165" s="10" t="s">
        <v>549</v>
      </c>
      <c r="D165" s="10" t="s">
        <v>708</v>
      </c>
      <c r="E165" s="10" t="s">
        <v>553</v>
      </c>
      <c r="F165" s="10" t="s">
        <v>620</v>
      </c>
    </row>
    <row r="166" spans="1:6" ht="14.25" x14ac:dyDescent="0.2">
      <c r="A166" s="10" t="s">
        <v>169</v>
      </c>
      <c r="B166" s="10" t="s">
        <v>642</v>
      </c>
      <c r="C166" s="10" t="s">
        <v>549</v>
      </c>
      <c r="D166" s="10" t="s">
        <v>709</v>
      </c>
      <c r="E166" s="10" t="s">
        <v>553</v>
      </c>
      <c r="F166" s="10" t="s">
        <v>620</v>
      </c>
    </row>
    <row r="167" spans="1:6" ht="14.25" x14ac:dyDescent="0.2">
      <c r="A167" s="10" t="s">
        <v>170</v>
      </c>
      <c r="B167" s="10" t="s">
        <v>642</v>
      </c>
      <c r="C167" s="10" t="s">
        <v>549</v>
      </c>
      <c r="D167" s="10" t="s">
        <v>710</v>
      </c>
      <c r="E167" s="10" t="s">
        <v>553</v>
      </c>
      <c r="F167" s="10" t="s">
        <v>620</v>
      </c>
    </row>
    <row r="168" spans="1:6" ht="14.25" x14ac:dyDescent="0.2">
      <c r="A168" s="10" t="s">
        <v>171</v>
      </c>
      <c r="B168" s="10" t="s">
        <v>642</v>
      </c>
      <c r="C168" s="10" t="s">
        <v>549</v>
      </c>
      <c r="D168" s="10" t="s">
        <v>711</v>
      </c>
      <c r="E168" s="10" t="s">
        <v>553</v>
      </c>
      <c r="F168" s="10" t="s">
        <v>620</v>
      </c>
    </row>
    <row r="169" spans="1:6" ht="14.25" x14ac:dyDescent="0.2">
      <c r="A169" s="10" t="s">
        <v>172</v>
      </c>
      <c r="B169" s="10" t="s">
        <v>642</v>
      </c>
      <c r="C169" s="10" t="s">
        <v>549</v>
      </c>
      <c r="D169" s="10" t="s">
        <v>712</v>
      </c>
      <c r="E169" s="10" t="s">
        <v>553</v>
      </c>
      <c r="F169" s="10" t="s">
        <v>620</v>
      </c>
    </row>
    <row r="170" spans="1:6" ht="14.25" x14ac:dyDescent="0.2">
      <c r="A170" s="10" t="s">
        <v>173</v>
      </c>
      <c r="B170" s="10" t="s">
        <v>642</v>
      </c>
      <c r="C170" s="10" t="s">
        <v>549</v>
      </c>
      <c r="D170" s="10" t="s">
        <v>713</v>
      </c>
      <c r="E170" s="10" t="s">
        <v>553</v>
      </c>
      <c r="F170" s="10" t="s">
        <v>620</v>
      </c>
    </row>
    <row r="171" spans="1:6" ht="14.25" x14ac:dyDescent="0.2">
      <c r="A171" s="10" t="s">
        <v>174</v>
      </c>
      <c r="B171" s="10" t="s">
        <v>642</v>
      </c>
      <c r="C171" s="10" t="s">
        <v>549</v>
      </c>
      <c r="D171" s="10" t="s">
        <v>714</v>
      </c>
      <c r="E171" s="10" t="s">
        <v>553</v>
      </c>
      <c r="F171" s="10" t="s">
        <v>620</v>
      </c>
    </row>
    <row r="172" spans="1:6" ht="14.25" x14ac:dyDescent="0.2">
      <c r="A172" s="10" t="s">
        <v>175</v>
      </c>
      <c r="B172" s="10" t="s">
        <v>642</v>
      </c>
      <c r="C172" s="10" t="s">
        <v>549</v>
      </c>
      <c r="D172" s="10" t="s">
        <v>715</v>
      </c>
      <c r="E172" s="10" t="s">
        <v>553</v>
      </c>
      <c r="F172" s="10" t="s">
        <v>620</v>
      </c>
    </row>
    <row r="173" spans="1:6" ht="14.25" x14ac:dyDescent="0.2">
      <c r="A173" s="10" t="s">
        <v>176</v>
      </c>
      <c r="B173" s="10" t="s">
        <v>642</v>
      </c>
      <c r="C173" s="10" t="s">
        <v>549</v>
      </c>
      <c r="D173" s="10" t="s">
        <v>716</v>
      </c>
      <c r="E173" s="10" t="s">
        <v>553</v>
      </c>
      <c r="F173" s="10" t="s">
        <v>620</v>
      </c>
    </row>
    <row r="174" spans="1:6" ht="14.25" x14ac:dyDescent="0.2">
      <c r="A174" s="10" t="s">
        <v>177</v>
      </c>
      <c r="B174" s="10" t="s">
        <v>642</v>
      </c>
      <c r="C174" s="10" t="s">
        <v>549</v>
      </c>
      <c r="D174" s="10" t="s">
        <v>717</v>
      </c>
      <c r="E174" s="10" t="s">
        <v>553</v>
      </c>
      <c r="F174" s="10" t="s">
        <v>620</v>
      </c>
    </row>
    <row r="175" spans="1:6" ht="14.25" x14ac:dyDescent="0.2">
      <c r="A175" s="10" t="s">
        <v>178</v>
      </c>
      <c r="B175" s="10" t="s">
        <v>642</v>
      </c>
      <c r="C175" s="10" t="s">
        <v>549</v>
      </c>
      <c r="D175" s="10" t="s">
        <v>718</v>
      </c>
      <c r="E175" s="10" t="s">
        <v>553</v>
      </c>
      <c r="F175" s="10" t="s">
        <v>620</v>
      </c>
    </row>
    <row r="176" spans="1:6" ht="14.25" x14ac:dyDescent="0.2">
      <c r="A176" s="10" t="s">
        <v>179</v>
      </c>
      <c r="B176" s="10" t="s">
        <v>642</v>
      </c>
      <c r="C176" s="10" t="s">
        <v>549</v>
      </c>
      <c r="D176" s="10" t="s">
        <v>719</v>
      </c>
      <c r="E176" s="10" t="s">
        <v>553</v>
      </c>
      <c r="F176" s="10" t="s">
        <v>620</v>
      </c>
    </row>
    <row r="177" spans="1:6" ht="14.25" x14ac:dyDescent="0.2">
      <c r="A177" s="10" t="s">
        <v>180</v>
      </c>
      <c r="B177" s="10" t="s">
        <v>642</v>
      </c>
      <c r="C177" s="10" t="s">
        <v>549</v>
      </c>
      <c r="D177" s="10" t="s">
        <v>720</v>
      </c>
      <c r="E177" s="10" t="s">
        <v>553</v>
      </c>
      <c r="F177" s="10" t="s">
        <v>620</v>
      </c>
    </row>
    <row r="178" spans="1:6" ht="14.25" x14ac:dyDescent="0.2">
      <c r="A178" s="10" t="s">
        <v>181</v>
      </c>
      <c r="B178" s="10" t="s">
        <v>642</v>
      </c>
      <c r="C178" s="10" t="s">
        <v>549</v>
      </c>
      <c r="D178" s="10" t="s">
        <v>721</v>
      </c>
      <c r="E178" s="10" t="s">
        <v>553</v>
      </c>
      <c r="F178" s="10" t="s">
        <v>620</v>
      </c>
    </row>
    <row r="179" spans="1:6" ht="14.25" x14ac:dyDescent="0.2">
      <c r="A179" s="10" t="s">
        <v>182</v>
      </c>
      <c r="B179" s="10" t="s">
        <v>642</v>
      </c>
      <c r="C179" s="10" t="s">
        <v>549</v>
      </c>
      <c r="D179" s="10" t="s">
        <v>722</v>
      </c>
      <c r="E179" s="10" t="s">
        <v>553</v>
      </c>
      <c r="F179" s="10" t="s">
        <v>620</v>
      </c>
    </row>
    <row r="180" spans="1:6" ht="14.25" x14ac:dyDescent="0.2">
      <c r="A180" s="10" t="s">
        <v>183</v>
      </c>
      <c r="B180" s="10" t="s">
        <v>642</v>
      </c>
      <c r="C180" s="10" t="s">
        <v>549</v>
      </c>
      <c r="D180" s="10" t="s">
        <v>723</v>
      </c>
      <c r="E180" s="10" t="s">
        <v>553</v>
      </c>
      <c r="F180" s="10" t="s">
        <v>620</v>
      </c>
    </row>
    <row r="181" spans="1:6" ht="14.25" x14ac:dyDescent="0.2">
      <c r="A181" s="10" t="s">
        <v>184</v>
      </c>
      <c r="B181" s="10" t="s">
        <v>642</v>
      </c>
      <c r="C181" s="10" t="s">
        <v>549</v>
      </c>
      <c r="D181" s="10" t="s">
        <v>724</v>
      </c>
      <c r="E181" s="10" t="s">
        <v>553</v>
      </c>
      <c r="F181" s="10" t="s">
        <v>620</v>
      </c>
    </row>
    <row r="182" spans="1:6" ht="14.25" x14ac:dyDescent="0.2">
      <c r="A182" s="10" t="s">
        <v>185</v>
      </c>
      <c r="B182" s="10" t="s">
        <v>642</v>
      </c>
      <c r="C182" s="10" t="s">
        <v>549</v>
      </c>
      <c r="D182" s="10" t="s">
        <v>725</v>
      </c>
      <c r="E182" s="10" t="s">
        <v>553</v>
      </c>
      <c r="F182" s="10" t="s">
        <v>620</v>
      </c>
    </row>
    <row r="183" spans="1:6" ht="14.25" x14ac:dyDescent="0.2">
      <c r="A183" s="10" t="s">
        <v>186</v>
      </c>
      <c r="B183" s="10" t="s">
        <v>642</v>
      </c>
      <c r="C183" s="10" t="s">
        <v>549</v>
      </c>
      <c r="D183" s="10" t="s">
        <v>726</v>
      </c>
      <c r="E183" s="10" t="s">
        <v>553</v>
      </c>
      <c r="F183" s="10" t="s">
        <v>620</v>
      </c>
    </row>
    <row r="184" spans="1:6" ht="14.25" x14ac:dyDescent="0.2">
      <c r="A184" s="10" t="s">
        <v>187</v>
      </c>
      <c r="B184" s="10" t="s">
        <v>642</v>
      </c>
      <c r="C184" s="10" t="s">
        <v>549</v>
      </c>
      <c r="D184" s="10" t="s">
        <v>727</v>
      </c>
      <c r="E184" s="10" t="s">
        <v>553</v>
      </c>
      <c r="F184" s="10" t="s">
        <v>620</v>
      </c>
    </row>
    <row r="185" spans="1:6" ht="14.25" x14ac:dyDescent="0.2">
      <c r="A185" s="10" t="s">
        <v>188</v>
      </c>
      <c r="B185" s="10" t="s">
        <v>642</v>
      </c>
      <c r="C185" s="10" t="s">
        <v>549</v>
      </c>
      <c r="D185" s="10" t="s">
        <v>728</v>
      </c>
      <c r="E185" s="10" t="s">
        <v>553</v>
      </c>
      <c r="F185" s="10" t="s">
        <v>620</v>
      </c>
    </row>
    <row r="186" spans="1:6" ht="14.25" x14ac:dyDescent="0.2">
      <c r="A186" s="10" t="s">
        <v>189</v>
      </c>
      <c r="B186" s="10" t="s">
        <v>642</v>
      </c>
      <c r="C186" s="10" t="s">
        <v>549</v>
      </c>
      <c r="D186" s="10" t="s">
        <v>729</v>
      </c>
      <c r="E186" s="10" t="s">
        <v>553</v>
      </c>
      <c r="F186" s="10" t="s">
        <v>620</v>
      </c>
    </row>
    <row r="187" spans="1:6" ht="14.25" x14ac:dyDescent="0.2">
      <c r="A187" s="10" t="s">
        <v>190</v>
      </c>
      <c r="B187" s="10" t="s">
        <v>642</v>
      </c>
      <c r="C187" s="10" t="s">
        <v>549</v>
      </c>
      <c r="D187" s="10" t="s">
        <v>730</v>
      </c>
      <c r="E187" s="10" t="s">
        <v>553</v>
      </c>
      <c r="F187" s="10" t="s">
        <v>620</v>
      </c>
    </row>
    <row r="188" spans="1:6" ht="14.25" x14ac:dyDescent="0.2">
      <c r="A188" s="10" t="s">
        <v>191</v>
      </c>
      <c r="B188" s="10" t="s">
        <v>642</v>
      </c>
      <c r="C188" s="10" t="s">
        <v>549</v>
      </c>
      <c r="D188" s="10" t="s">
        <v>731</v>
      </c>
      <c r="E188" s="10" t="s">
        <v>553</v>
      </c>
      <c r="F188" s="10" t="s">
        <v>620</v>
      </c>
    </row>
    <row r="189" spans="1:6" ht="14.25" x14ac:dyDescent="0.2">
      <c r="A189" s="10" t="s">
        <v>192</v>
      </c>
      <c r="B189" s="10" t="s">
        <v>642</v>
      </c>
      <c r="C189" s="10" t="s">
        <v>549</v>
      </c>
      <c r="D189" s="10" t="s">
        <v>732</v>
      </c>
      <c r="E189" s="10" t="s">
        <v>553</v>
      </c>
      <c r="F189" s="10" t="s">
        <v>620</v>
      </c>
    </row>
    <row r="190" spans="1:6" ht="14.25" x14ac:dyDescent="0.2">
      <c r="A190" s="10" t="s">
        <v>193</v>
      </c>
      <c r="B190" s="10" t="s">
        <v>642</v>
      </c>
      <c r="C190" s="10" t="s">
        <v>549</v>
      </c>
      <c r="D190" s="10" t="s">
        <v>733</v>
      </c>
      <c r="E190" s="10" t="s">
        <v>553</v>
      </c>
      <c r="F190" s="10" t="s">
        <v>620</v>
      </c>
    </row>
    <row r="191" spans="1:6" ht="14.25" x14ac:dyDescent="0.2">
      <c r="A191" s="10" t="s">
        <v>194</v>
      </c>
      <c r="B191" s="10" t="s">
        <v>642</v>
      </c>
      <c r="C191" s="10" t="s">
        <v>549</v>
      </c>
      <c r="D191" s="10" t="s">
        <v>734</v>
      </c>
      <c r="E191" s="10" t="s">
        <v>553</v>
      </c>
      <c r="F191" s="10" t="s">
        <v>620</v>
      </c>
    </row>
    <row r="192" spans="1:6" ht="14.25" x14ac:dyDescent="0.2">
      <c r="A192" s="10" t="s">
        <v>195</v>
      </c>
      <c r="B192" s="10" t="s">
        <v>642</v>
      </c>
      <c r="C192" s="10" t="s">
        <v>549</v>
      </c>
      <c r="D192" s="10" t="s">
        <v>735</v>
      </c>
      <c r="E192" s="10" t="s">
        <v>553</v>
      </c>
      <c r="F192" s="10" t="s">
        <v>620</v>
      </c>
    </row>
    <row r="193" spans="1:6" ht="14.25" x14ac:dyDescent="0.2">
      <c r="A193" s="10" t="s">
        <v>196</v>
      </c>
      <c r="B193" s="10" t="s">
        <v>642</v>
      </c>
      <c r="C193" s="10" t="s">
        <v>549</v>
      </c>
      <c r="D193" s="10" t="s">
        <v>736</v>
      </c>
      <c r="E193" s="10" t="s">
        <v>553</v>
      </c>
      <c r="F193" s="10" t="s">
        <v>620</v>
      </c>
    </row>
    <row r="194" spans="1:6" ht="14.25" x14ac:dyDescent="0.2">
      <c r="A194" s="10" t="s">
        <v>197</v>
      </c>
      <c r="B194" s="10" t="s">
        <v>642</v>
      </c>
      <c r="C194" s="10" t="s">
        <v>549</v>
      </c>
      <c r="D194" s="10" t="s">
        <v>737</v>
      </c>
      <c r="E194" s="10" t="s">
        <v>553</v>
      </c>
      <c r="F194" s="10" t="s">
        <v>620</v>
      </c>
    </row>
    <row r="195" spans="1:6" ht="14.25" x14ac:dyDescent="0.2">
      <c r="A195" s="10" t="s">
        <v>198</v>
      </c>
      <c r="B195" s="10" t="s">
        <v>642</v>
      </c>
      <c r="C195" s="10" t="s">
        <v>549</v>
      </c>
      <c r="D195" s="10" t="s">
        <v>738</v>
      </c>
      <c r="E195" s="10" t="s">
        <v>553</v>
      </c>
      <c r="F195" s="10" t="s">
        <v>620</v>
      </c>
    </row>
    <row r="196" spans="1:6" ht="14.25" x14ac:dyDescent="0.2">
      <c r="A196" s="64" t="s">
        <v>887</v>
      </c>
      <c r="B196" s="64" t="s">
        <v>618</v>
      </c>
      <c r="C196" s="64" t="s">
        <v>549</v>
      </c>
      <c r="D196" s="64" t="s">
        <v>888</v>
      </c>
      <c r="E196" s="64" t="s">
        <v>691</v>
      </c>
      <c r="F196" s="64" t="s">
        <v>620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B11EFC-86D6-44D3-92C0-B76D76050A24}">
  <sheetPr codeName="Sheet3"/>
  <dimension ref="B1:AC200"/>
  <sheetViews>
    <sheetView workbookViewId="0">
      <selection activeCell="C3" sqref="C3:D3"/>
    </sheetView>
  </sheetViews>
  <sheetFormatPr defaultColWidth="11.625" defaultRowHeight="12" x14ac:dyDescent="0.2"/>
  <cols>
    <col min="1" max="1" width="3.375" style="12" customWidth="1"/>
    <col min="2" max="2" width="14.625" style="12" customWidth="1"/>
    <col min="3" max="4" width="9.125" style="44" customWidth="1"/>
    <col min="5" max="5" width="3.125" style="44" customWidth="1"/>
    <col min="6" max="7" width="11.625" style="44" customWidth="1"/>
    <col min="8" max="16384" width="11.625" style="12"/>
  </cols>
  <sheetData>
    <row r="1" spans="2:29" x14ac:dyDescent="0.2">
      <c r="C1" s="12"/>
      <c r="D1" s="12"/>
      <c r="E1" s="12"/>
      <c r="F1" s="12"/>
      <c r="G1" s="12"/>
    </row>
    <row r="2" spans="2:29" x14ac:dyDescent="0.2">
      <c r="C2" s="12"/>
      <c r="D2" s="12"/>
      <c r="E2" s="12"/>
      <c r="F2" s="12"/>
      <c r="G2" s="12"/>
    </row>
    <row r="3" spans="2:29" x14ac:dyDescent="0.2">
      <c r="B3" s="24" t="s">
        <v>739</v>
      </c>
      <c r="C3" s="62" t="s">
        <v>740</v>
      </c>
      <c r="D3" s="62"/>
      <c r="E3" s="12"/>
      <c r="F3" s="61" t="s">
        <v>783</v>
      </c>
      <c r="G3" s="61"/>
    </row>
    <row r="4" spans="2:29" x14ac:dyDescent="0.2">
      <c r="B4" s="24" t="s">
        <v>743</v>
      </c>
      <c r="C4" s="62"/>
      <c r="D4" s="62"/>
      <c r="E4" s="12"/>
      <c r="F4" s="25" t="str">
        <f>LN_0</f>
        <v>2021M08</v>
      </c>
      <c r="G4" s="26" t="str">
        <f ca="1">L_0</f>
        <v>107/127 (84%)</v>
      </c>
    </row>
    <row r="5" spans="2:29" x14ac:dyDescent="0.2">
      <c r="B5" s="24" t="s">
        <v>760</v>
      </c>
      <c r="C5" s="46" t="s">
        <v>765</v>
      </c>
      <c r="D5" s="46"/>
      <c r="E5" s="12"/>
      <c r="F5" s="25" t="str">
        <f>LN_1</f>
        <v>2021M07</v>
      </c>
      <c r="G5" s="26" t="str">
        <f ca="1">L_1</f>
        <v>127/127 (100%)</v>
      </c>
    </row>
    <row r="6" spans="2:29" x14ac:dyDescent="0.2">
      <c r="B6" s="24" t="s">
        <v>761</v>
      </c>
      <c r="C6" s="46" t="s">
        <v>766</v>
      </c>
      <c r="D6" s="46"/>
      <c r="E6" s="12"/>
      <c r="F6" s="25" t="str">
        <f>LN_2</f>
        <v>2021M06</v>
      </c>
      <c r="G6" s="26" t="str">
        <f ca="1">L_2</f>
        <v>195/195 (100%)</v>
      </c>
    </row>
    <row r="7" spans="2:29" x14ac:dyDescent="0.2">
      <c r="B7" s="30" t="s">
        <v>792</v>
      </c>
      <c r="C7" s="62" t="s">
        <v>799</v>
      </c>
      <c r="D7" s="62"/>
      <c r="E7" s="12"/>
      <c r="F7" s="31"/>
      <c r="G7" s="32"/>
    </row>
    <row r="8" spans="2:29" x14ac:dyDescent="0.2">
      <c r="C8" s="12"/>
      <c r="D8" s="12"/>
      <c r="E8" s="12"/>
      <c r="F8" s="12"/>
      <c r="G8" s="12"/>
      <c r="J8" s="39"/>
    </row>
    <row r="9" spans="2:29" x14ac:dyDescent="0.2">
      <c r="C9" s="12"/>
      <c r="D9" s="12"/>
      <c r="E9" s="12"/>
      <c r="F9" s="12"/>
      <c r="G9" s="12"/>
    </row>
    <row r="10" spans="2:29" s="23" customFormat="1" x14ac:dyDescent="0.2">
      <c r="B10" s="38" t="s">
        <v>782</v>
      </c>
      <c r="C10" s="63" t="s">
        <v>3</v>
      </c>
      <c r="D10" s="63"/>
      <c r="E10" s="63"/>
      <c r="F10" s="38" t="s">
        <v>4</v>
      </c>
      <c r="G10" s="38" t="s">
        <v>5</v>
      </c>
      <c r="H10" s="23" t="str">
        <f ca="1">INDEX(headers[],COLUMN()-COLUMN($G$10))</f>
        <v>2000</v>
      </c>
      <c r="I10" s="23" t="str">
        <f ca="1">INDEX(headers[],COLUMN()-COLUMN($G$10))</f>
        <v>2001</v>
      </c>
      <c r="J10" s="23" t="str">
        <f ca="1">INDEX(headers[],COLUMN()-COLUMN($G$10))</f>
        <v>2002</v>
      </c>
      <c r="K10" s="23" t="str">
        <f ca="1">INDEX(headers[],COLUMN()-COLUMN($G$10))</f>
        <v>2003</v>
      </c>
      <c r="L10" s="23" t="str">
        <f ca="1">INDEX(headers[],COLUMN()-COLUMN($G$10))</f>
        <v>2004</v>
      </c>
      <c r="M10" s="23" t="str">
        <f ca="1">INDEX(headers[],COLUMN()-COLUMN($G$10))</f>
        <v>2005</v>
      </c>
      <c r="N10" s="23" t="str">
        <f ca="1">INDEX(headers[],COLUMN()-COLUMN($G$10))</f>
        <v>2006</v>
      </c>
      <c r="O10" s="23" t="str">
        <f ca="1">INDEX(headers[],COLUMN()-COLUMN($G$10))</f>
        <v>2007</v>
      </c>
      <c r="P10" s="23" t="str">
        <f ca="1">INDEX(headers[],COLUMN()-COLUMN($G$10))</f>
        <v>2008</v>
      </c>
      <c r="Q10" s="23" t="str">
        <f ca="1">INDEX(headers[],COLUMN()-COLUMN($G$10))</f>
        <v>2009</v>
      </c>
      <c r="R10" s="23" t="str">
        <f ca="1">INDEX(headers[],COLUMN()-COLUMN($G$10))</f>
        <v>2010</v>
      </c>
      <c r="S10" s="23" t="str">
        <f ca="1">INDEX(headers[],COLUMN()-COLUMN($G$10))</f>
        <v>2011</v>
      </c>
      <c r="T10" s="23" t="str">
        <f ca="1">INDEX(headers[],COLUMN()-COLUMN($G$10))</f>
        <v>2012</v>
      </c>
      <c r="U10" s="23" t="str">
        <f ca="1">INDEX(headers[],COLUMN()-COLUMN($G$10))</f>
        <v>2013</v>
      </c>
      <c r="V10" s="23" t="str">
        <f ca="1">INDEX(headers[],COLUMN()-COLUMN($G$10))</f>
        <v>2014</v>
      </c>
      <c r="W10" s="23" t="str">
        <f ca="1">INDEX(headers[],COLUMN()-COLUMN($G$10))</f>
        <v>2015</v>
      </c>
      <c r="X10" s="23" t="str">
        <f ca="1">INDEX(headers[],COLUMN()-COLUMN($G$10))</f>
        <v>2016</v>
      </c>
      <c r="Y10" s="23" t="str">
        <f ca="1">INDEX(headers[],COLUMN()-COLUMN($G$10))</f>
        <v>2017</v>
      </c>
      <c r="Z10" s="23" t="str">
        <f ca="1">INDEX(headers[],COLUMN()-COLUMN($G$10))</f>
        <v>2018</v>
      </c>
      <c r="AA10" s="23" t="str">
        <f ca="1">INDEX(headers[],COLUMN()-COLUMN($G$10))</f>
        <v>2019</v>
      </c>
      <c r="AB10" s="23" t="str">
        <f ca="1">INDEX(headers[],COLUMN()-COLUMN($G$10))</f>
        <v>2020</v>
      </c>
      <c r="AC10" s="23" t="str">
        <f ca="1">INDEX(headers[],COLUMN()-COLUMN($G$10))</f>
        <v>2021</v>
      </c>
    </row>
    <row r="11" spans="2:29" x14ac:dyDescent="0.2">
      <c r="B11" s="45"/>
      <c r="C11" s="60" t="s">
        <v>855</v>
      </c>
      <c r="D11" s="60" t="s">
        <v>855</v>
      </c>
      <c r="E11" s="60" t="s">
        <v>855</v>
      </c>
      <c r="F11" s="43" t="s">
        <v>855</v>
      </c>
      <c r="G11" s="43" t="s">
        <v>855</v>
      </c>
      <c r="H11" s="47" t="s">
        <v>855</v>
      </c>
      <c r="I11" s="48" t="s">
        <v>855</v>
      </c>
      <c r="J11" s="48" t="s">
        <v>855</v>
      </c>
      <c r="K11" s="43" t="s">
        <v>855</v>
      </c>
      <c r="L11" s="43" t="s">
        <v>855</v>
      </c>
      <c r="M11" s="43" t="s">
        <v>855</v>
      </c>
      <c r="N11" s="43" t="s">
        <v>855</v>
      </c>
      <c r="O11" s="43" t="s">
        <v>855</v>
      </c>
      <c r="P11" s="43" t="s">
        <v>855</v>
      </c>
      <c r="Q11" s="43" t="s">
        <v>855</v>
      </c>
      <c r="R11" s="43" t="s">
        <v>855</v>
      </c>
      <c r="S11" s="43" t="s">
        <v>855</v>
      </c>
      <c r="T11" s="43" t="s">
        <v>855</v>
      </c>
      <c r="U11" s="43" t="s">
        <v>855</v>
      </c>
      <c r="V11" s="43" t="s">
        <v>855</v>
      </c>
      <c r="W11" s="43" t="s">
        <v>855</v>
      </c>
      <c r="X11" s="12" t="s">
        <v>855</v>
      </c>
      <c r="Y11" s="12" t="s">
        <v>855</v>
      </c>
      <c r="Z11" s="12" t="s">
        <v>855</v>
      </c>
      <c r="AA11" s="12" t="s">
        <v>855</v>
      </c>
      <c r="AB11" s="12" t="s">
        <v>855</v>
      </c>
      <c r="AC11" s="12" t="s">
        <v>855</v>
      </c>
    </row>
    <row r="12" spans="2:29" x14ac:dyDescent="0.2">
      <c r="B12" s="45"/>
      <c r="C12" s="60"/>
      <c r="D12" s="60"/>
      <c r="E12" s="60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</row>
    <row r="13" spans="2:29" x14ac:dyDescent="0.2">
      <c r="B13" s="45"/>
      <c r="C13" s="60"/>
      <c r="D13" s="60"/>
      <c r="E13" s="60"/>
      <c r="F13" s="43"/>
      <c r="G13" s="43"/>
      <c r="H13" s="47"/>
      <c r="I13" s="48"/>
      <c r="J13" s="48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</row>
    <row r="14" spans="2:29" x14ac:dyDescent="0.2">
      <c r="B14" s="45"/>
      <c r="C14" s="60"/>
      <c r="D14" s="60"/>
      <c r="E14" s="60"/>
      <c r="F14" s="43"/>
      <c r="G14" s="43"/>
      <c r="H14" s="43"/>
      <c r="I14" s="49"/>
      <c r="J14" s="48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</row>
    <row r="15" spans="2:29" x14ac:dyDescent="0.2">
      <c r="B15" s="45"/>
      <c r="C15" s="60"/>
      <c r="D15" s="60"/>
      <c r="E15" s="60"/>
      <c r="H15" s="43"/>
      <c r="I15" s="48"/>
      <c r="J15" s="48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</row>
    <row r="16" spans="2:29" x14ac:dyDescent="0.2">
      <c r="B16" s="45"/>
      <c r="C16" s="60"/>
      <c r="D16" s="60"/>
      <c r="E16" s="60"/>
      <c r="H16" s="43"/>
      <c r="I16" s="44"/>
      <c r="J16" s="44"/>
      <c r="K16" s="44"/>
      <c r="L16" s="44"/>
      <c r="M16" s="44"/>
      <c r="N16" s="44"/>
      <c r="O16" s="44"/>
      <c r="P16" s="44"/>
      <c r="Q16" s="44"/>
      <c r="R16" s="44"/>
      <c r="S16" s="44"/>
      <c r="T16" s="44"/>
      <c r="U16" s="44"/>
      <c r="V16" s="44"/>
      <c r="W16" s="44"/>
    </row>
    <row r="17" spans="2:23" x14ac:dyDescent="0.2">
      <c r="B17" s="45"/>
      <c r="C17" s="60"/>
      <c r="D17" s="60"/>
      <c r="E17" s="60"/>
      <c r="H17" s="43"/>
      <c r="I17" s="44"/>
      <c r="J17" s="44"/>
      <c r="K17" s="44"/>
      <c r="L17" s="44"/>
      <c r="M17" s="44"/>
      <c r="N17" s="44"/>
      <c r="O17" s="44"/>
      <c r="P17" s="44"/>
      <c r="Q17" s="44"/>
      <c r="R17" s="44"/>
      <c r="S17" s="44"/>
      <c r="T17" s="44"/>
      <c r="U17" s="44"/>
      <c r="V17" s="44"/>
      <c r="W17" s="44"/>
    </row>
    <row r="18" spans="2:23" x14ac:dyDescent="0.2">
      <c r="B18" s="45"/>
      <c r="C18" s="60"/>
      <c r="D18" s="60"/>
      <c r="E18" s="60"/>
      <c r="H18" s="43"/>
      <c r="I18" s="44"/>
      <c r="J18" s="44"/>
      <c r="K18" s="44"/>
      <c r="L18" s="44"/>
      <c r="M18" s="44"/>
      <c r="N18" s="44"/>
      <c r="O18" s="44"/>
      <c r="P18" s="44"/>
      <c r="Q18" s="44"/>
      <c r="R18" s="44"/>
      <c r="S18" s="44"/>
      <c r="T18" s="44"/>
      <c r="U18" s="44"/>
      <c r="V18" s="44"/>
      <c r="W18" s="44"/>
    </row>
    <row r="19" spans="2:23" x14ac:dyDescent="0.2">
      <c r="B19" s="45"/>
      <c r="C19" s="60"/>
      <c r="D19" s="60"/>
      <c r="E19" s="60"/>
      <c r="H19" s="43"/>
      <c r="I19" s="44"/>
      <c r="J19" s="44"/>
      <c r="K19" s="44"/>
      <c r="L19" s="44"/>
      <c r="M19" s="44"/>
      <c r="N19" s="44"/>
      <c r="O19" s="44"/>
      <c r="P19" s="44"/>
      <c r="Q19" s="44"/>
      <c r="R19" s="44"/>
      <c r="S19" s="44"/>
      <c r="T19" s="44"/>
      <c r="U19" s="44"/>
      <c r="V19" s="44"/>
      <c r="W19" s="44"/>
    </row>
    <row r="20" spans="2:23" x14ac:dyDescent="0.2">
      <c r="B20" s="45"/>
      <c r="C20" s="60"/>
      <c r="D20" s="60"/>
      <c r="E20" s="60"/>
      <c r="H20" s="43"/>
      <c r="I20" s="44"/>
      <c r="J20" s="44"/>
      <c r="K20" s="44"/>
      <c r="L20" s="44"/>
      <c r="M20" s="44"/>
      <c r="N20" s="44"/>
      <c r="O20" s="44"/>
      <c r="P20" s="44"/>
      <c r="Q20" s="44"/>
      <c r="R20" s="44"/>
      <c r="S20" s="44"/>
      <c r="T20" s="44"/>
      <c r="U20" s="44"/>
      <c r="V20" s="44"/>
      <c r="W20" s="44"/>
    </row>
    <row r="21" spans="2:23" x14ac:dyDescent="0.2">
      <c r="B21" s="45"/>
      <c r="C21" s="60"/>
      <c r="D21" s="60"/>
      <c r="E21" s="60"/>
      <c r="H21" s="44"/>
      <c r="I21" s="44"/>
      <c r="J21" s="44"/>
      <c r="K21" s="44"/>
      <c r="L21" s="44"/>
      <c r="M21" s="44"/>
      <c r="N21" s="44"/>
      <c r="O21" s="44"/>
      <c r="P21" s="44"/>
      <c r="Q21" s="44"/>
      <c r="R21" s="44"/>
      <c r="S21" s="44"/>
      <c r="T21" s="44"/>
      <c r="U21" s="44"/>
      <c r="V21" s="44"/>
      <c r="W21" s="44"/>
    </row>
    <row r="22" spans="2:23" x14ac:dyDescent="0.2">
      <c r="B22" s="45"/>
      <c r="C22" s="60"/>
      <c r="D22" s="60"/>
      <c r="E22" s="60"/>
      <c r="H22" s="44"/>
      <c r="I22" s="44"/>
      <c r="J22" s="44"/>
      <c r="K22" s="44"/>
      <c r="L22" s="44"/>
      <c r="M22" s="44"/>
      <c r="N22" s="44"/>
      <c r="O22" s="44"/>
      <c r="P22" s="44"/>
      <c r="Q22" s="44"/>
      <c r="R22" s="44"/>
      <c r="S22" s="44"/>
      <c r="T22" s="44"/>
      <c r="U22" s="44"/>
      <c r="V22" s="44"/>
      <c r="W22" s="44"/>
    </row>
    <row r="23" spans="2:23" x14ac:dyDescent="0.2">
      <c r="B23" s="45"/>
      <c r="C23" s="60"/>
      <c r="D23" s="60"/>
      <c r="E23" s="60"/>
      <c r="H23" s="44"/>
      <c r="I23" s="44"/>
      <c r="J23" s="44"/>
      <c r="K23" s="44"/>
      <c r="L23" s="44"/>
      <c r="M23" s="44"/>
      <c r="N23" s="44"/>
      <c r="O23" s="44"/>
      <c r="P23" s="44"/>
      <c r="Q23" s="44"/>
      <c r="R23" s="44"/>
      <c r="S23" s="44"/>
      <c r="T23" s="44"/>
      <c r="U23" s="44"/>
      <c r="V23" s="44"/>
      <c r="W23" s="44"/>
    </row>
    <row r="24" spans="2:23" x14ac:dyDescent="0.2">
      <c r="B24" s="45"/>
      <c r="C24" s="60"/>
      <c r="D24" s="60"/>
      <c r="E24" s="60"/>
      <c r="H24" s="44"/>
      <c r="I24" s="44"/>
      <c r="J24" s="44"/>
      <c r="K24" s="44"/>
      <c r="L24" s="44"/>
      <c r="M24" s="44"/>
      <c r="N24" s="44"/>
      <c r="O24" s="44"/>
      <c r="P24" s="44"/>
      <c r="Q24" s="44"/>
      <c r="R24" s="44"/>
      <c r="S24" s="44"/>
      <c r="T24" s="44"/>
      <c r="U24" s="44"/>
      <c r="V24" s="44"/>
      <c r="W24" s="44"/>
    </row>
    <row r="25" spans="2:23" x14ac:dyDescent="0.2">
      <c r="B25" s="45"/>
      <c r="C25" s="60"/>
      <c r="D25" s="60"/>
      <c r="E25" s="60"/>
      <c r="H25" s="44"/>
      <c r="I25" s="44"/>
      <c r="J25" s="44"/>
      <c r="K25" s="44"/>
      <c r="L25" s="44"/>
      <c r="M25" s="44"/>
      <c r="N25" s="44"/>
      <c r="O25" s="44"/>
      <c r="P25" s="44"/>
      <c r="Q25" s="44"/>
      <c r="R25" s="44"/>
      <c r="S25" s="44"/>
      <c r="T25" s="44"/>
      <c r="U25" s="44"/>
      <c r="V25" s="44"/>
      <c r="W25" s="44"/>
    </row>
    <row r="26" spans="2:23" x14ac:dyDescent="0.2">
      <c r="B26" s="45"/>
      <c r="C26" s="60"/>
      <c r="D26" s="60"/>
      <c r="E26" s="60"/>
      <c r="H26" s="44"/>
      <c r="I26" s="44"/>
      <c r="J26" s="44"/>
      <c r="K26" s="44"/>
      <c r="L26" s="44"/>
      <c r="M26" s="44"/>
      <c r="N26" s="44"/>
      <c r="O26" s="44"/>
      <c r="P26" s="44"/>
      <c r="Q26" s="44"/>
      <c r="R26" s="44"/>
      <c r="S26" s="44"/>
      <c r="T26" s="44"/>
      <c r="U26" s="44"/>
      <c r="V26" s="44"/>
      <c r="W26" s="44"/>
    </row>
    <row r="27" spans="2:23" x14ac:dyDescent="0.2">
      <c r="B27" s="45"/>
      <c r="C27" s="60"/>
      <c r="D27" s="60"/>
      <c r="E27" s="60"/>
      <c r="H27" s="44"/>
      <c r="I27" s="44"/>
      <c r="J27" s="44"/>
      <c r="K27" s="44"/>
      <c r="L27" s="44"/>
      <c r="M27" s="44"/>
      <c r="N27" s="44"/>
      <c r="O27" s="44"/>
      <c r="P27" s="44"/>
      <c r="Q27" s="44"/>
      <c r="R27" s="44"/>
      <c r="S27" s="44"/>
      <c r="T27" s="44"/>
      <c r="U27" s="44"/>
      <c r="V27" s="44"/>
      <c r="W27" s="44"/>
    </row>
    <row r="28" spans="2:23" x14ac:dyDescent="0.2">
      <c r="B28" s="45"/>
      <c r="C28" s="60"/>
      <c r="D28" s="60"/>
      <c r="E28" s="60"/>
      <c r="H28" s="44"/>
      <c r="I28" s="44"/>
      <c r="J28" s="44"/>
      <c r="K28" s="44"/>
      <c r="L28" s="44"/>
      <c r="M28" s="44"/>
      <c r="N28" s="44"/>
      <c r="O28" s="44"/>
      <c r="P28" s="44"/>
      <c r="Q28" s="44"/>
      <c r="R28" s="44"/>
      <c r="S28" s="44"/>
      <c r="T28" s="44"/>
      <c r="U28" s="44"/>
      <c r="V28" s="44"/>
      <c r="W28" s="44"/>
    </row>
    <row r="29" spans="2:23" x14ac:dyDescent="0.2">
      <c r="B29" s="45"/>
      <c r="C29" s="60"/>
      <c r="D29" s="60"/>
      <c r="E29" s="60"/>
      <c r="H29" s="44"/>
      <c r="I29" s="44"/>
      <c r="J29" s="44"/>
      <c r="K29" s="44"/>
      <c r="L29" s="44"/>
      <c r="M29" s="44"/>
      <c r="N29" s="44"/>
      <c r="O29" s="44"/>
      <c r="P29" s="44"/>
      <c r="Q29" s="44"/>
      <c r="R29" s="44"/>
      <c r="S29" s="44"/>
      <c r="T29" s="44"/>
      <c r="U29" s="44"/>
      <c r="V29" s="44"/>
      <c r="W29" s="44"/>
    </row>
    <row r="30" spans="2:23" x14ac:dyDescent="0.2">
      <c r="B30" s="45"/>
      <c r="C30" s="60"/>
      <c r="D30" s="60"/>
      <c r="E30" s="60"/>
      <c r="H30" s="44"/>
      <c r="I30" s="44"/>
      <c r="J30" s="44"/>
      <c r="K30" s="44"/>
      <c r="L30" s="44"/>
      <c r="M30" s="44"/>
      <c r="N30" s="44"/>
      <c r="O30" s="44"/>
      <c r="P30" s="44"/>
      <c r="Q30" s="44"/>
      <c r="R30" s="44"/>
      <c r="S30" s="44"/>
      <c r="T30" s="44"/>
      <c r="U30" s="44"/>
      <c r="V30" s="44"/>
      <c r="W30" s="44"/>
    </row>
    <row r="31" spans="2:23" x14ac:dyDescent="0.2">
      <c r="B31" s="45"/>
      <c r="C31" s="60"/>
      <c r="D31" s="60"/>
      <c r="E31" s="60"/>
      <c r="H31" s="44"/>
      <c r="I31" s="44"/>
      <c r="J31" s="44"/>
      <c r="K31" s="44"/>
      <c r="L31" s="44"/>
      <c r="M31" s="44"/>
      <c r="N31" s="44"/>
      <c r="O31" s="44"/>
      <c r="P31" s="44"/>
      <c r="Q31" s="44"/>
      <c r="R31" s="44"/>
      <c r="S31" s="44"/>
      <c r="T31" s="44"/>
      <c r="U31" s="44"/>
      <c r="V31" s="44"/>
      <c r="W31" s="44"/>
    </row>
    <row r="32" spans="2:23" x14ac:dyDescent="0.2">
      <c r="B32" s="45"/>
      <c r="C32" s="60"/>
      <c r="D32" s="60"/>
      <c r="E32" s="60"/>
      <c r="H32" s="44"/>
      <c r="I32" s="44"/>
      <c r="J32" s="44"/>
      <c r="K32" s="44"/>
      <c r="L32" s="44"/>
      <c r="M32" s="44"/>
      <c r="N32" s="44"/>
      <c r="O32" s="44"/>
      <c r="P32" s="44"/>
      <c r="Q32" s="44"/>
      <c r="R32" s="44"/>
      <c r="S32" s="44"/>
      <c r="T32" s="44"/>
      <c r="U32" s="44"/>
      <c r="V32" s="44"/>
      <c r="W32" s="44"/>
    </row>
    <row r="33" spans="2:23" x14ac:dyDescent="0.2">
      <c r="B33" s="45"/>
      <c r="C33" s="60"/>
      <c r="D33" s="60"/>
      <c r="E33" s="60"/>
      <c r="H33" s="44"/>
      <c r="I33" s="44"/>
      <c r="J33" s="44"/>
      <c r="K33" s="44"/>
      <c r="L33" s="44"/>
      <c r="M33" s="44"/>
      <c r="N33" s="44"/>
      <c r="O33" s="44"/>
      <c r="P33" s="44"/>
      <c r="Q33" s="44"/>
      <c r="R33" s="44"/>
      <c r="S33" s="44"/>
      <c r="T33" s="44"/>
      <c r="U33" s="44"/>
      <c r="V33" s="44"/>
      <c r="W33" s="44"/>
    </row>
    <row r="34" spans="2:23" x14ac:dyDescent="0.2">
      <c r="B34" s="45"/>
      <c r="C34" s="60"/>
      <c r="D34" s="60"/>
      <c r="E34" s="60"/>
      <c r="H34" s="44"/>
      <c r="I34" s="44"/>
      <c r="J34" s="44"/>
      <c r="K34" s="44"/>
      <c r="L34" s="44"/>
      <c r="M34" s="44"/>
      <c r="N34" s="44"/>
      <c r="O34" s="44"/>
      <c r="P34" s="44"/>
      <c r="Q34" s="44"/>
      <c r="R34" s="44"/>
      <c r="S34" s="44"/>
      <c r="T34" s="44"/>
      <c r="U34" s="44"/>
      <c r="V34" s="44"/>
      <c r="W34" s="44"/>
    </row>
    <row r="35" spans="2:23" x14ac:dyDescent="0.2">
      <c r="B35" s="45"/>
      <c r="C35" s="60"/>
      <c r="D35" s="60"/>
      <c r="E35" s="60"/>
    </row>
    <row r="36" spans="2:23" x14ac:dyDescent="0.2">
      <c r="B36" s="45"/>
      <c r="C36" s="60"/>
      <c r="D36" s="60"/>
      <c r="E36" s="60"/>
    </row>
    <row r="37" spans="2:23" x14ac:dyDescent="0.2">
      <c r="B37" s="45"/>
      <c r="C37" s="60"/>
      <c r="D37" s="60"/>
      <c r="E37" s="60"/>
    </row>
    <row r="38" spans="2:23" x14ac:dyDescent="0.2">
      <c r="B38" s="45"/>
      <c r="C38" s="60"/>
      <c r="D38" s="60"/>
      <c r="E38" s="60"/>
    </row>
    <row r="39" spans="2:23" x14ac:dyDescent="0.2">
      <c r="B39" s="45"/>
      <c r="C39" s="60"/>
      <c r="D39" s="60"/>
      <c r="E39" s="60"/>
    </row>
    <row r="40" spans="2:23" x14ac:dyDescent="0.2">
      <c r="B40" s="45"/>
      <c r="C40" s="60"/>
      <c r="D40" s="60"/>
      <c r="E40" s="60"/>
    </row>
    <row r="41" spans="2:23" x14ac:dyDescent="0.2">
      <c r="B41" s="45"/>
      <c r="C41" s="60"/>
      <c r="D41" s="60"/>
      <c r="E41" s="60"/>
    </row>
    <row r="42" spans="2:23" x14ac:dyDescent="0.2">
      <c r="B42" s="45"/>
      <c r="C42" s="60"/>
      <c r="D42" s="60"/>
      <c r="E42" s="60"/>
    </row>
    <row r="43" spans="2:23" x14ac:dyDescent="0.2">
      <c r="B43" s="45"/>
      <c r="C43" s="60"/>
      <c r="D43" s="60"/>
      <c r="E43" s="60"/>
    </row>
    <row r="44" spans="2:23" x14ac:dyDescent="0.2">
      <c r="B44" s="45"/>
      <c r="C44" s="60"/>
      <c r="D44" s="60"/>
      <c r="E44" s="60"/>
    </row>
    <row r="45" spans="2:23" x14ac:dyDescent="0.2">
      <c r="B45" s="45"/>
      <c r="C45" s="60"/>
      <c r="D45" s="60"/>
      <c r="E45" s="60"/>
    </row>
    <row r="46" spans="2:23" x14ac:dyDescent="0.2">
      <c r="B46" s="45"/>
      <c r="C46" s="60"/>
      <c r="D46" s="60"/>
      <c r="E46" s="60"/>
    </row>
    <row r="47" spans="2:23" x14ac:dyDescent="0.2">
      <c r="B47" s="45"/>
      <c r="C47" s="60"/>
      <c r="D47" s="60"/>
      <c r="E47" s="60"/>
    </row>
    <row r="48" spans="2:23" x14ac:dyDescent="0.2">
      <c r="B48" s="45"/>
      <c r="C48" s="60"/>
      <c r="D48" s="60"/>
      <c r="E48" s="60"/>
    </row>
    <row r="49" spans="2:5" x14ac:dyDescent="0.2">
      <c r="B49" s="45"/>
      <c r="C49" s="60"/>
      <c r="D49" s="60"/>
      <c r="E49" s="60"/>
    </row>
    <row r="50" spans="2:5" x14ac:dyDescent="0.2">
      <c r="B50" s="45"/>
      <c r="C50" s="60"/>
      <c r="D50" s="60"/>
      <c r="E50" s="60"/>
    </row>
    <row r="51" spans="2:5" x14ac:dyDescent="0.2">
      <c r="B51" s="45"/>
      <c r="C51" s="60"/>
      <c r="D51" s="60"/>
      <c r="E51" s="60"/>
    </row>
    <row r="52" spans="2:5" x14ac:dyDescent="0.2">
      <c r="B52" s="45"/>
      <c r="C52" s="60"/>
      <c r="D52" s="60"/>
      <c r="E52" s="60"/>
    </row>
    <row r="53" spans="2:5" x14ac:dyDescent="0.2">
      <c r="B53" s="45"/>
      <c r="C53" s="60"/>
      <c r="D53" s="60"/>
      <c r="E53" s="60"/>
    </row>
    <row r="54" spans="2:5" x14ac:dyDescent="0.2">
      <c r="B54" s="45"/>
      <c r="C54" s="60"/>
      <c r="D54" s="60"/>
      <c r="E54" s="60"/>
    </row>
    <row r="55" spans="2:5" x14ac:dyDescent="0.2">
      <c r="B55" s="45"/>
      <c r="C55" s="60"/>
      <c r="D55" s="60"/>
      <c r="E55" s="60"/>
    </row>
    <row r="56" spans="2:5" x14ac:dyDescent="0.2">
      <c r="B56" s="45"/>
      <c r="C56" s="60"/>
      <c r="D56" s="60"/>
      <c r="E56" s="60"/>
    </row>
    <row r="57" spans="2:5" x14ac:dyDescent="0.2">
      <c r="B57" s="45"/>
      <c r="C57" s="60"/>
      <c r="D57" s="60"/>
      <c r="E57" s="60"/>
    </row>
    <row r="58" spans="2:5" x14ac:dyDescent="0.2">
      <c r="B58" s="45"/>
      <c r="C58" s="60"/>
      <c r="D58" s="60"/>
      <c r="E58" s="60"/>
    </row>
    <row r="59" spans="2:5" x14ac:dyDescent="0.2">
      <c r="B59" s="45"/>
      <c r="C59" s="60"/>
      <c r="D59" s="60"/>
      <c r="E59" s="60"/>
    </row>
    <row r="60" spans="2:5" x14ac:dyDescent="0.2">
      <c r="B60" s="45"/>
      <c r="C60" s="60"/>
      <c r="D60" s="60"/>
      <c r="E60" s="60"/>
    </row>
    <row r="61" spans="2:5" x14ac:dyDescent="0.2">
      <c r="B61" s="45"/>
      <c r="C61" s="60"/>
      <c r="D61" s="60"/>
      <c r="E61" s="60"/>
    </row>
    <row r="62" spans="2:5" x14ac:dyDescent="0.2">
      <c r="B62" s="45"/>
      <c r="C62" s="60"/>
      <c r="D62" s="60"/>
      <c r="E62" s="60"/>
    </row>
    <row r="63" spans="2:5" x14ac:dyDescent="0.2">
      <c r="B63" s="45"/>
      <c r="C63" s="60"/>
      <c r="D63" s="60"/>
      <c r="E63" s="60"/>
    </row>
    <row r="64" spans="2:5" x14ac:dyDescent="0.2">
      <c r="B64" s="45"/>
      <c r="C64" s="60"/>
      <c r="D64" s="60"/>
      <c r="E64" s="60"/>
    </row>
    <row r="65" spans="2:5" x14ac:dyDescent="0.2">
      <c r="B65" s="45"/>
      <c r="C65" s="60"/>
      <c r="D65" s="60"/>
      <c r="E65" s="60"/>
    </row>
    <row r="66" spans="2:5" x14ac:dyDescent="0.2">
      <c r="B66" s="45"/>
      <c r="C66" s="60"/>
      <c r="D66" s="60"/>
      <c r="E66" s="60"/>
    </row>
    <row r="67" spans="2:5" x14ac:dyDescent="0.2">
      <c r="B67" s="45"/>
      <c r="C67" s="60"/>
      <c r="D67" s="60"/>
      <c r="E67" s="60"/>
    </row>
    <row r="68" spans="2:5" x14ac:dyDescent="0.2">
      <c r="B68" s="45"/>
      <c r="C68" s="60"/>
      <c r="D68" s="60"/>
      <c r="E68" s="60"/>
    </row>
    <row r="69" spans="2:5" x14ac:dyDescent="0.2">
      <c r="B69" s="45"/>
      <c r="C69" s="60"/>
      <c r="D69" s="60"/>
      <c r="E69" s="60"/>
    </row>
    <row r="70" spans="2:5" x14ac:dyDescent="0.2">
      <c r="B70" s="45"/>
      <c r="C70" s="60"/>
      <c r="D70" s="60"/>
      <c r="E70" s="60"/>
    </row>
    <row r="71" spans="2:5" x14ac:dyDescent="0.2">
      <c r="B71" s="45"/>
      <c r="C71" s="60"/>
      <c r="D71" s="60"/>
      <c r="E71" s="60"/>
    </row>
    <row r="72" spans="2:5" x14ac:dyDescent="0.2">
      <c r="B72" s="45"/>
      <c r="C72" s="60"/>
      <c r="D72" s="60"/>
      <c r="E72" s="60"/>
    </row>
    <row r="73" spans="2:5" x14ac:dyDescent="0.2">
      <c r="B73" s="45"/>
      <c r="C73" s="60"/>
      <c r="D73" s="60"/>
      <c r="E73" s="60"/>
    </row>
    <row r="74" spans="2:5" x14ac:dyDescent="0.2">
      <c r="B74" s="45"/>
      <c r="C74" s="60"/>
      <c r="D74" s="60"/>
      <c r="E74" s="60"/>
    </row>
    <row r="75" spans="2:5" x14ac:dyDescent="0.2">
      <c r="B75" s="45"/>
      <c r="C75" s="60"/>
      <c r="D75" s="60"/>
      <c r="E75" s="60"/>
    </row>
    <row r="76" spans="2:5" x14ac:dyDescent="0.2">
      <c r="B76" s="45"/>
      <c r="C76" s="60"/>
      <c r="D76" s="60"/>
      <c r="E76" s="60"/>
    </row>
    <row r="77" spans="2:5" x14ac:dyDescent="0.2">
      <c r="B77" s="45"/>
      <c r="C77" s="60"/>
      <c r="D77" s="60"/>
      <c r="E77" s="60"/>
    </row>
    <row r="78" spans="2:5" x14ac:dyDescent="0.2">
      <c r="B78" s="45"/>
      <c r="C78" s="60"/>
      <c r="D78" s="60"/>
      <c r="E78" s="60"/>
    </row>
    <row r="79" spans="2:5" x14ac:dyDescent="0.2">
      <c r="B79" s="45"/>
      <c r="C79" s="60"/>
      <c r="D79" s="60"/>
      <c r="E79" s="60"/>
    </row>
    <row r="80" spans="2:5" x14ac:dyDescent="0.2">
      <c r="B80" s="45"/>
      <c r="C80" s="60"/>
      <c r="D80" s="60"/>
      <c r="E80" s="60"/>
    </row>
    <row r="81" spans="2:5" x14ac:dyDescent="0.2">
      <c r="B81" s="45"/>
      <c r="C81" s="60"/>
      <c r="D81" s="60"/>
      <c r="E81" s="60"/>
    </row>
    <row r="82" spans="2:5" x14ac:dyDescent="0.2">
      <c r="B82" s="45"/>
      <c r="C82" s="60"/>
      <c r="D82" s="60"/>
      <c r="E82" s="60"/>
    </row>
    <row r="83" spans="2:5" x14ac:dyDescent="0.2">
      <c r="B83" s="45"/>
      <c r="C83" s="60"/>
      <c r="D83" s="60"/>
      <c r="E83" s="60"/>
    </row>
    <row r="84" spans="2:5" x14ac:dyDescent="0.2">
      <c r="B84" s="45"/>
      <c r="C84" s="60"/>
      <c r="D84" s="60"/>
      <c r="E84" s="60"/>
    </row>
    <row r="85" spans="2:5" x14ac:dyDescent="0.2">
      <c r="B85" s="45"/>
      <c r="C85" s="60"/>
      <c r="D85" s="60"/>
      <c r="E85" s="60"/>
    </row>
    <row r="86" spans="2:5" x14ac:dyDescent="0.2">
      <c r="B86" s="45"/>
      <c r="C86" s="60"/>
      <c r="D86" s="60"/>
      <c r="E86" s="60"/>
    </row>
    <row r="87" spans="2:5" x14ac:dyDescent="0.2">
      <c r="B87" s="45"/>
      <c r="C87" s="60"/>
      <c r="D87" s="60"/>
      <c r="E87" s="60"/>
    </row>
    <row r="88" spans="2:5" x14ac:dyDescent="0.2">
      <c r="B88" s="45"/>
      <c r="C88" s="60"/>
      <c r="D88" s="60"/>
      <c r="E88" s="60"/>
    </row>
    <row r="89" spans="2:5" x14ac:dyDescent="0.2">
      <c r="B89" s="45"/>
      <c r="C89" s="60"/>
      <c r="D89" s="60"/>
      <c r="E89" s="60"/>
    </row>
    <row r="90" spans="2:5" x14ac:dyDescent="0.2">
      <c r="B90" s="45"/>
      <c r="C90" s="60"/>
      <c r="D90" s="60"/>
      <c r="E90" s="60"/>
    </row>
    <row r="91" spans="2:5" x14ac:dyDescent="0.2">
      <c r="B91" s="45"/>
      <c r="C91" s="60"/>
      <c r="D91" s="60"/>
      <c r="E91" s="60"/>
    </row>
    <row r="92" spans="2:5" x14ac:dyDescent="0.2">
      <c r="B92" s="45"/>
      <c r="C92" s="60"/>
      <c r="D92" s="60"/>
      <c r="E92" s="60"/>
    </row>
    <row r="93" spans="2:5" x14ac:dyDescent="0.2">
      <c r="B93" s="45"/>
      <c r="C93" s="60"/>
      <c r="D93" s="60"/>
      <c r="E93" s="60"/>
    </row>
    <row r="94" spans="2:5" x14ac:dyDescent="0.2">
      <c r="B94" s="45"/>
      <c r="C94" s="60"/>
      <c r="D94" s="60"/>
      <c r="E94" s="60"/>
    </row>
    <row r="95" spans="2:5" x14ac:dyDescent="0.2">
      <c r="B95" s="45"/>
      <c r="C95" s="60"/>
      <c r="D95" s="60"/>
      <c r="E95" s="60"/>
    </row>
    <row r="96" spans="2:5" x14ac:dyDescent="0.2">
      <c r="B96" s="45"/>
      <c r="C96" s="60"/>
      <c r="D96" s="60"/>
      <c r="E96" s="60"/>
    </row>
    <row r="97" spans="2:5" x14ac:dyDescent="0.2">
      <c r="B97" s="45"/>
      <c r="C97" s="60"/>
      <c r="D97" s="60"/>
      <c r="E97" s="60"/>
    </row>
    <row r="98" spans="2:5" x14ac:dyDescent="0.2">
      <c r="B98" s="45"/>
      <c r="C98" s="60"/>
      <c r="D98" s="60"/>
      <c r="E98" s="60"/>
    </row>
    <row r="99" spans="2:5" x14ac:dyDescent="0.2">
      <c r="B99" s="45"/>
      <c r="C99" s="60"/>
      <c r="D99" s="60"/>
      <c r="E99" s="60"/>
    </row>
    <row r="100" spans="2:5" x14ac:dyDescent="0.2">
      <c r="B100" s="45"/>
      <c r="C100" s="60"/>
      <c r="D100" s="60"/>
      <c r="E100" s="60"/>
    </row>
    <row r="101" spans="2:5" x14ac:dyDescent="0.2">
      <c r="B101" s="45"/>
      <c r="C101" s="60"/>
      <c r="D101" s="60"/>
      <c r="E101" s="60"/>
    </row>
    <row r="102" spans="2:5" x14ac:dyDescent="0.2">
      <c r="B102" s="45"/>
      <c r="C102" s="60"/>
      <c r="D102" s="60"/>
      <c r="E102" s="60"/>
    </row>
    <row r="103" spans="2:5" x14ac:dyDescent="0.2">
      <c r="B103" s="45"/>
      <c r="C103" s="60"/>
      <c r="D103" s="60"/>
      <c r="E103" s="60"/>
    </row>
    <row r="104" spans="2:5" x14ac:dyDescent="0.2">
      <c r="B104" s="45"/>
      <c r="C104" s="60"/>
      <c r="D104" s="60"/>
      <c r="E104" s="60"/>
    </row>
    <row r="105" spans="2:5" x14ac:dyDescent="0.2">
      <c r="B105" s="45"/>
      <c r="C105" s="60"/>
      <c r="D105" s="60"/>
      <c r="E105" s="60"/>
    </row>
    <row r="106" spans="2:5" x14ac:dyDescent="0.2">
      <c r="B106" s="45"/>
      <c r="C106" s="60"/>
      <c r="D106" s="60"/>
      <c r="E106" s="60"/>
    </row>
    <row r="107" spans="2:5" x14ac:dyDescent="0.2">
      <c r="B107" s="45"/>
      <c r="C107" s="60"/>
      <c r="D107" s="60"/>
      <c r="E107" s="60"/>
    </row>
    <row r="108" spans="2:5" x14ac:dyDescent="0.2">
      <c r="B108" s="45"/>
      <c r="C108" s="60"/>
      <c r="D108" s="60"/>
      <c r="E108" s="60"/>
    </row>
    <row r="109" spans="2:5" x14ac:dyDescent="0.2">
      <c r="B109" s="45"/>
      <c r="C109" s="60"/>
      <c r="D109" s="60"/>
      <c r="E109" s="60"/>
    </row>
    <row r="110" spans="2:5" x14ac:dyDescent="0.2">
      <c r="B110" s="45"/>
      <c r="C110" s="60"/>
      <c r="D110" s="60"/>
      <c r="E110" s="60"/>
    </row>
    <row r="111" spans="2:5" x14ac:dyDescent="0.2">
      <c r="B111" s="45"/>
      <c r="C111" s="60"/>
      <c r="D111" s="60"/>
      <c r="E111" s="60"/>
    </row>
    <row r="112" spans="2:5" x14ac:dyDescent="0.2">
      <c r="B112" s="45"/>
      <c r="C112" s="60"/>
      <c r="D112" s="60"/>
      <c r="E112" s="60"/>
    </row>
    <row r="113" spans="2:5" x14ac:dyDescent="0.2">
      <c r="B113" s="45"/>
      <c r="C113" s="60"/>
      <c r="D113" s="60"/>
      <c r="E113" s="60"/>
    </row>
    <row r="114" spans="2:5" x14ac:dyDescent="0.2">
      <c r="B114" s="45"/>
      <c r="C114" s="60"/>
      <c r="D114" s="60"/>
      <c r="E114" s="60"/>
    </row>
    <row r="115" spans="2:5" x14ac:dyDescent="0.2">
      <c r="B115" s="45"/>
      <c r="C115" s="60"/>
      <c r="D115" s="60"/>
      <c r="E115" s="60"/>
    </row>
    <row r="116" spans="2:5" x14ac:dyDescent="0.2">
      <c r="B116" s="45"/>
      <c r="C116" s="60"/>
      <c r="D116" s="60"/>
      <c r="E116" s="60"/>
    </row>
    <row r="117" spans="2:5" x14ac:dyDescent="0.2">
      <c r="B117" s="45"/>
      <c r="C117" s="60"/>
      <c r="D117" s="60"/>
      <c r="E117" s="60"/>
    </row>
    <row r="118" spans="2:5" x14ac:dyDescent="0.2">
      <c r="B118" s="45"/>
      <c r="C118" s="60"/>
      <c r="D118" s="60"/>
      <c r="E118" s="60"/>
    </row>
    <row r="119" spans="2:5" x14ac:dyDescent="0.2">
      <c r="B119" s="45"/>
      <c r="C119" s="60"/>
      <c r="D119" s="60"/>
      <c r="E119" s="60"/>
    </row>
    <row r="120" spans="2:5" x14ac:dyDescent="0.2">
      <c r="B120" s="45"/>
      <c r="C120" s="60"/>
      <c r="D120" s="60"/>
      <c r="E120" s="60"/>
    </row>
    <row r="121" spans="2:5" x14ac:dyDescent="0.2">
      <c r="B121" s="45"/>
      <c r="C121" s="60"/>
      <c r="D121" s="60"/>
      <c r="E121" s="60"/>
    </row>
    <row r="122" spans="2:5" x14ac:dyDescent="0.2">
      <c r="B122" s="45"/>
      <c r="C122" s="60"/>
      <c r="D122" s="60"/>
      <c r="E122" s="60"/>
    </row>
    <row r="123" spans="2:5" x14ac:dyDescent="0.2">
      <c r="B123" s="45"/>
      <c r="C123" s="60"/>
      <c r="D123" s="60"/>
      <c r="E123" s="60"/>
    </row>
    <row r="124" spans="2:5" x14ac:dyDescent="0.2">
      <c r="B124" s="45"/>
      <c r="C124" s="60"/>
      <c r="D124" s="60"/>
      <c r="E124" s="60"/>
    </row>
    <row r="125" spans="2:5" x14ac:dyDescent="0.2">
      <c r="B125" s="45"/>
      <c r="C125" s="60"/>
      <c r="D125" s="60"/>
      <c r="E125" s="60"/>
    </row>
    <row r="126" spans="2:5" x14ac:dyDescent="0.2">
      <c r="B126" s="45"/>
      <c r="C126" s="60"/>
      <c r="D126" s="60"/>
      <c r="E126" s="60"/>
    </row>
    <row r="127" spans="2:5" x14ac:dyDescent="0.2">
      <c r="B127" s="45"/>
      <c r="C127" s="60"/>
      <c r="D127" s="60"/>
      <c r="E127" s="60"/>
    </row>
    <row r="128" spans="2:5" x14ac:dyDescent="0.2">
      <c r="B128" s="45"/>
      <c r="C128" s="60"/>
      <c r="D128" s="60"/>
      <c r="E128" s="60"/>
    </row>
    <row r="129" spans="2:5" x14ac:dyDescent="0.2">
      <c r="B129" s="45"/>
      <c r="C129" s="60"/>
      <c r="D129" s="60"/>
      <c r="E129" s="60"/>
    </row>
    <row r="130" spans="2:5" x14ac:dyDescent="0.2">
      <c r="B130" s="45"/>
      <c r="C130" s="60"/>
      <c r="D130" s="60"/>
      <c r="E130" s="60"/>
    </row>
    <row r="131" spans="2:5" x14ac:dyDescent="0.2">
      <c r="B131" s="45"/>
      <c r="C131" s="60"/>
      <c r="D131" s="60"/>
      <c r="E131" s="60"/>
    </row>
    <row r="132" spans="2:5" x14ac:dyDescent="0.2">
      <c r="B132" s="45"/>
      <c r="C132" s="60"/>
      <c r="D132" s="60"/>
      <c r="E132" s="60"/>
    </row>
    <row r="133" spans="2:5" x14ac:dyDescent="0.2">
      <c r="B133" s="45"/>
      <c r="C133" s="60"/>
      <c r="D133" s="60"/>
      <c r="E133" s="60"/>
    </row>
    <row r="134" spans="2:5" x14ac:dyDescent="0.2">
      <c r="B134" s="45"/>
      <c r="C134" s="60"/>
      <c r="D134" s="60"/>
      <c r="E134" s="60"/>
    </row>
    <row r="135" spans="2:5" x14ac:dyDescent="0.2">
      <c r="B135" s="45"/>
      <c r="C135" s="60"/>
      <c r="D135" s="60"/>
      <c r="E135" s="60"/>
    </row>
    <row r="136" spans="2:5" x14ac:dyDescent="0.2">
      <c r="B136" s="45"/>
      <c r="C136" s="60"/>
      <c r="D136" s="60"/>
      <c r="E136" s="60"/>
    </row>
    <row r="137" spans="2:5" x14ac:dyDescent="0.2">
      <c r="B137" s="45"/>
      <c r="C137" s="60"/>
      <c r="D137" s="60"/>
      <c r="E137" s="60"/>
    </row>
    <row r="138" spans="2:5" x14ac:dyDescent="0.2">
      <c r="B138" s="45"/>
      <c r="C138" s="60"/>
      <c r="D138" s="60"/>
      <c r="E138" s="60"/>
    </row>
    <row r="139" spans="2:5" x14ac:dyDescent="0.2">
      <c r="B139" s="45"/>
      <c r="C139" s="60"/>
      <c r="D139" s="60"/>
      <c r="E139" s="60"/>
    </row>
    <row r="140" spans="2:5" x14ac:dyDescent="0.2">
      <c r="B140" s="45"/>
      <c r="C140" s="60"/>
      <c r="D140" s="60"/>
      <c r="E140" s="60"/>
    </row>
    <row r="141" spans="2:5" x14ac:dyDescent="0.2">
      <c r="B141" s="45"/>
      <c r="C141" s="60"/>
      <c r="D141" s="60"/>
      <c r="E141" s="60"/>
    </row>
    <row r="142" spans="2:5" x14ac:dyDescent="0.2">
      <c r="B142" s="45"/>
      <c r="C142" s="60"/>
      <c r="D142" s="60"/>
      <c r="E142" s="60"/>
    </row>
    <row r="143" spans="2:5" x14ac:dyDescent="0.2">
      <c r="B143" s="45"/>
      <c r="C143" s="60"/>
      <c r="D143" s="60"/>
      <c r="E143" s="60"/>
    </row>
    <row r="144" spans="2:5" x14ac:dyDescent="0.2">
      <c r="B144" s="45"/>
      <c r="C144" s="60"/>
      <c r="D144" s="60"/>
      <c r="E144" s="60"/>
    </row>
    <row r="145" spans="2:5" x14ac:dyDescent="0.2">
      <c r="B145" s="45"/>
      <c r="C145" s="60"/>
      <c r="D145" s="60"/>
      <c r="E145" s="60"/>
    </row>
    <row r="146" spans="2:5" x14ac:dyDescent="0.2">
      <c r="B146" s="45"/>
      <c r="C146" s="60"/>
      <c r="D146" s="60"/>
      <c r="E146" s="60"/>
    </row>
    <row r="147" spans="2:5" x14ac:dyDescent="0.2">
      <c r="B147" s="45"/>
      <c r="C147" s="60"/>
      <c r="D147" s="60"/>
      <c r="E147" s="60"/>
    </row>
    <row r="148" spans="2:5" x14ac:dyDescent="0.2">
      <c r="B148" s="45"/>
      <c r="C148" s="60"/>
      <c r="D148" s="60"/>
      <c r="E148" s="60"/>
    </row>
    <row r="149" spans="2:5" x14ac:dyDescent="0.2">
      <c r="B149" s="45"/>
      <c r="C149" s="60"/>
      <c r="D149" s="60"/>
      <c r="E149" s="60"/>
    </row>
    <row r="150" spans="2:5" x14ac:dyDescent="0.2">
      <c r="B150" s="45"/>
      <c r="C150" s="60"/>
      <c r="D150" s="60"/>
      <c r="E150" s="60"/>
    </row>
    <row r="151" spans="2:5" x14ac:dyDescent="0.2">
      <c r="B151" s="45"/>
      <c r="C151" s="60"/>
      <c r="D151" s="60"/>
      <c r="E151" s="60"/>
    </row>
    <row r="152" spans="2:5" x14ac:dyDescent="0.2">
      <c r="B152" s="45"/>
      <c r="C152" s="60"/>
      <c r="D152" s="60"/>
      <c r="E152" s="60"/>
    </row>
    <row r="153" spans="2:5" x14ac:dyDescent="0.2">
      <c r="B153" s="45"/>
      <c r="C153" s="60"/>
      <c r="D153" s="60"/>
      <c r="E153" s="60"/>
    </row>
    <row r="154" spans="2:5" x14ac:dyDescent="0.2">
      <c r="B154" s="45"/>
      <c r="C154" s="60"/>
      <c r="D154" s="60"/>
      <c r="E154" s="60"/>
    </row>
    <row r="155" spans="2:5" x14ac:dyDescent="0.2">
      <c r="B155" s="45"/>
      <c r="C155" s="60"/>
      <c r="D155" s="60"/>
      <c r="E155" s="60"/>
    </row>
    <row r="156" spans="2:5" x14ac:dyDescent="0.2">
      <c r="B156" s="45"/>
      <c r="C156" s="60"/>
      <c r="D156" s="60"/>
      <c r="E156" s="60"/>
    </row>
    <row r="157" spans="2:5" x14ac:dyDescent="0.2">
      <c r="B157" s="45"/>
      <c r="C157" s="60"/>
      <c r="D157" s="60"/>
      <c r="E157" s="60"/>
    </row>
    <row r="158" spans="2:5" x14ac:dyDescent="0.2">
      <c r="B158" s="45"/>
      <c r="C158" s="60"/>
      <c r="D158" s="60"/>
      <c r="E158" s="60"/>
    </row>
    <row r="159" spans="2:5" x14ac:dyDescent="0.2">
      <c r="B159" s="45"/>
      <c r="C159" s="60"/>
      <c r="D159" s="60"/>
      <c r="E159" s="60"/>
    </row>
    <row r="160" spans="2:5" x14ac:dyDescent="0.2">
      <c r="B160" s="45"/>
      <c r="C160" s="60"/>
      <c r="D160" s="60"/>
      <c r="E160" s="60"/>
    </row>
    <row r="161" spans="2:5" x14ac:dyDescent="0.2">
      <c r="B161" s="45"/>
      <c r="C161" s="60"/>
      <c r="D161" s="60"/>
      <c r="E161" s="60"/>
    </row>
    <row r="162" spans="2:5" x14ac:dyDescent="0.2">
      <c r="B162" s="45"/>
      <c r="C162" s="60"/>
      <c r="D162" s="60"/>
      <c r="E162" s="60"/>
    </row>
    <row r="163" spans="2:5" x14ac:dyDescent="0.2">
      <c r="B163" s="45"/>
      <c r="C163" s="60"/>
      <c r="D163" s="60"/>
      <c r="E163" s="60"/>
    </row>
    <row r="164" spans="2:5" x14ac:dyDescent="0.2">
      <c r="B164" s="45"/>
      <c r="C164" s="60"/>
      <c r="D164" s="60"/>
      <c r="E164" s="60"/>
    </row>
    <row r="165" spans="2:5" x14ac:dyDescent="0.2">
      <c r="B165" s="45"/>
      <c r="C165" s="60"/>
      <c r="D165" s="60"/>
      <c r="E165" s="60"/>
    </row>
    <row r="166" spans="2:5" x14ac:dyDescent="0.2">
      <c r="B166" s="45"/>
      <c r="C166" s="60"/>
      <c r="D166" s="60"/>
      <c r="E166" s="60"/>
    </row>
    <row r="167" spans="2:5" x14ac:dyDescent="0.2">
      <c r="B167" s="45"/>
      <c r="C167" s="60"/>
      <c r="D167" s="60"/>
      <c r="E167" s="60"/>
    </row>
    <row r="168" spans="2:5" x14ac:dyDescent="0.2">
      <c r="B168" s="45"/>
      <c r="C168" s="60"/>
      <c r="D168" s="60"/>
      <c r="E168" s="60"/>
    </row>
    <row r="169" spans="2:5" x14ac:dyDescent="0.2">
      <c r="B169" s="45"/>
      <c r="C169" s="60"/>
      <c r="D169" s="60"/>
      <c r="E169" s="60"/>
    </row>
    <row r="170" spans="2:5" x14ac:dyDescent="0.2">
      <c r="B170" s="45"/>
      <c r="C170" s="60"/>
      <c r="D170" s="60"/>
      <c r="E170" s="60"/>
    </row>
    <row r="171" spans="2:5" x14ac:dyDescent="0.2">
      <c r="B171" s="45"/>
      <c r="C171" s="60"/>
      <c r="D171" s="60"/>
      <c r="E171" s="60"/>
    </row>
    <row r="172" spans="2:5" x14ac:dyDescent="0.2">
      <c r="B172" s="45"/>
      <c r="C172" s="60"/>
      <c r="D172" s="60"/>
      <c r="E172" s="60"/>
    </row>
    <row r="173" spans="2:5" x14ac:dyDescent="0.2">
      <c r="B173" s="45"/>
      <c r="C173" s="60"/>
      <c r="D173" s="60"/>
      <c r="E173" s="60"/>
    </row>
    <row r="174" spans="2:5" x14ac:dyDescent="0.2">
      <c r="B174" s="45"/>
      <c r="C174" s="60"/>
      <c r="D174" s="60"/>
      <c r="E174" s="60"/>
    </row>
    <row r="175" spans="2:5" x14ac:dyDescent="0.2">
      <c r="B175" s="45"/>
      <c r="C175" s="60"/>
      <c r="D175" s="60"/>
      <c r="E175" s="60"/>
    </row>
    <row r="176" spans="2:5" x14ac:dyDescent="0.2">
      <c r="B176" s="45"/>
      <c r="C176" s="60"/>
      <c r="D176" s="60"/>
      <c r="E176" s="60"/>
    </row>
    <row r="177" spans="2:5" x14ac:dyDescent="0.2">
      <c r="B177" s="45"/>
      <c r="C177" s="60"/>
      <c r="D177" s="60"/>
      <c r="E177" s="60"/>
    </row>
    <row r="178" spans="2:5" x14ac:dyDescent="0.2">
      <c r="B178" s="45"/>
      <c r="C178" s="60"/>
      <c r="D178" s="60"/>
      <c r="E178" s="60"/>
    </row>
    <row r="179" spans="2:5" x14ac:dyDescent="0.2">
      <c r="B179" s="45"/>
      <c r="C179" s="60"/>
      <c r="D179" s="60"/>
      <c r="E179" s="60"/>
    </row>
    <row r="180" spans="2:5" x14ac:dyDescent="0.2">
      <c r="B180" s="45"/>
      <c r="C180" s="60"/>
      <c r="D180" s="60"/>
      <c r="E180" s="60"/>
    </row>
    <row r="181" spans="2:5" x14ac:dyDescent="0.2">
      <c r="B181" s="45"/>
      <c r="C181" s="60"/>
      <c r="D181" s="60"/>
      <c r="E181" s="60"/>
    </row>
    <row r="182" spans="2:5" x14ac:dyDescent="0.2">
      <c r="B182" s="45"/>
      <c r="C182" s="60"/>
      <c r="D182" s="60"/>
      <c r="E182" s="60"/>
    </row>
    <row r="183" spans="2:5" x14ac:dyDescent="0.2">
      <c r="B183" s="45"/>
      <c r="C183" s="60"/>
      <c r="D183" s="60"/>
      <c r="E183" s="60"/>
    </row>
    <row r="184" spans="2:5" x14ac:dyDescent="0.2">
      <c r="B184" s="45"/>
      <c r="C184" s="60"/>
      <c r="D184" s="60"/>
      <c r="E184" s="60"/>
    </row>
    <row r="185" spans="2:5" x14ac:dyDescent="0.2">
      <c r="B185" s="45"/>
      <c r="C185" s="60"/>
      <c r="D185" s="60"/>
      <c r="E185" s="60"/>
    </row>
    <row r="186" spans="2:5" x14ac:dyDescent="0.2">
      <c r="B186" s="45"/>
      <c r="C186" s="60"/>
      <c r="D186" s="60"/>
      <c r="E186" s="60"/>
    </row>
    <row r="187" spans="2:5" x14ac:dyDescent="0.2">
      <c r="B187" s="45"/>
      <c r="C187" s="60"/>
      <c r="D187" s="60"/>
      <c r="E187" s="60"/>
    </row>
    <row r="188" spans="2:5" x14ac:dyDescent="0.2">
      <c r="B188" s="45"/>
      <c r="C188" s="60"/>
      <c r="D188" s="60"/>
      <c r="E188" s="60"/>
    </row>
    <row r="189" spans="2:5" x14ac:dyDescent="0.2">
      <c r="B189" s="45"/>
      <c r="C189" s="60"/>
      <c r="D189" s="60"/>
      <c r="E189" s="60"/>
    </row>
    <row r="190" spans="2:5" x14ac:dyDescent="0.2">
      <c r="B190" s="45"/>
      <c r="C190" s="60"/>
      <c r="D190" s="60"/>
      <c r="E190" s="60"/>
    </row>
    <row r="191" spans="2:5" x14ac:dyDescent="0.2">
      <c r="B191" s="45"/>
      <c r="C191" s="60"/>
      <c r="D191" s="60"/>
      <c r="E191" s="60"/>
    </row>
    <row r="192" spans="2:5" x14ac:dyDescent="0.2">
      <c r="B192" s="45"/>
      <c r="C192" s="60"/>
      <c r="D192" s="60"/>
      <c r="E192" s="60"/>
    </row>
    <row r="193" spans="2:5" x14ac:dyDescent="0.2">
      <c r="B193" s="45"/>
      <c r="C193" s="60"/>
      <c r="D193" s="60"/>
      <c r="E193" s="60"/>
    </row>
    <row r="194" spans="2:5" x14ac:dyDescent="0.2">
      <c r="B194" s="45"/>
      <c r="C194" s="60"/>
      <c r="D194" s="60"/>
      <c r="E194" s="60"/>
    </row>
    <row r="195" spans="2:5" x14ac:dyDescent="0.2">
      <c r="B195" s="45"/>
      <c r="C195" s="60"/>
      <c r="D195" s="60"/>
      <c r="E195" s="60"/>
    </row>
    <row r="196" spans="2:5" x14ac:dyDescent="0.2">
      <c r="B196" s="45"/>
      <c r="C196" s="60"/>
      <c r="D196" s="60"/>
      <c r="E196" s="60"/>
    </row>
    <row r="197" spans="2:5" x14ac:dyDescent="0.2">
      <c r="B197" s="45"/>
      <c r="C197" s="60"/>
      <c r="D197" s="60"/>
      <c r="E197" s="60"/>
    </row>
    <row r="198" spans="2:5" x14ac:dyDescent="0.2">
      <c r="B198" s="45"/>
      <c r="C198" s="60"/>
      <c r="D198" s="60"/>
      <c r="E198" s="60"/>
    </row>
    <row r="199" spans="2:5" x14ac:dyDescent="0.2">
      <c r="B199" s="45"/>
      <c r="C199" s="60"/>
      <c r="D199" s="60"/>
      <c r="E199" s="60"/>
    </row>
    <row r="200" spans="2:5" x14ac:dyDescent="0.2">
      <c r="B200" s="45"/>
      <c r="C200" s="60"/>
      <c r="D200" s="60"/>
      <c r="E200" s="60"/>
    </row>
  </sheetData>
  <sheetProtection algorithmName="SHA-512" hashValue="UzPlu0FkOVcJKsHCdEeASClg7FNkh7Ai/0loafjqPRg6tI8VCvfArV4hJI0llzoM0yZuATAvGO1pMDSYCtk1pg==" saltValue="H7KGSLpZ5rD/HsfItNuN/w==" spinCount="100000" sheet="1" objects="1" scenarios="1" formatColumns="0" formatRows="0"/>
  <mergeCells count="195">
    <mergeCell ref="C197:E197"/>
    <mergeCell ref="C198:E198"/>
    <mergeCell ref="C199:E199"/>
    <mergeCell ref="C200:E200"/>
    <mergeCell ref="C192:E192"/>
    <mergeCell ref="C193:E193"/>
    <mergeCell ref="C194:E194"/>
    <mergeCell ref="C195:E195"/>
    <mergeCell ref="C196:E196"/>
    <mergeCell ref="C187:E187"/>
    <mergeCell ref="C188:E188"/>
    <mergeCell ref="C189:E189"/>
    <mergeCell ref="C190:E190"/>
    <mergeCell ref="C191:E191"/>
    <mergeCell ref="C182:E182"/>
    <mergeCell ref="C183:E183"/>
    <mergeCell ref="C184:E184"/>
    <mergeCell ref="C185:E185"/>
    <mergeCell ref="C186:E186"/>
    <mergeCell ref="C177:E177"/>
    <mergeCell ref="C178:E178"/>
    <mergeCell ref="C179:E179"/>
    <mergeCell ref="C180:E180"/>
    <mergeCell ref="C181:E181"/>
    <mergeCell ref="C172:E172"/>
    <mergeCell ref="C173:E173"/>
    <mergeCell ref="C174:E174"/>
    <mergeCell ref="C175:E175"/>
    <mergeCell ref="C176:E176"/>
    <mergeCell ref="C167:E167"/>
    <mergeCell ref="C168:E168"/>
    <mergeCell ref="C169:E169"/>
    <mergeCell ref="C170:E170"/>
    <mergeCell ref="C171:E171"/>
    <mergeCell ref="C162:E162"/>
    <mergeCell ref="C163:E163"/>
    <mergeCell ref="C164:E164"/>
    <mergeCell ref="C165:E165"/>
    <mergeCell ref="C166:E166"/>
    <mergeCell ref="C157:E157"/>
    <mergeCell ref="C158:E158"/>
    <mergeCell ref="C159:E159"/>
    <mergeCell ref="C160:E160"/>
    <mergeCell ref="C161:E161"/>
    <mergeCell ref="C152:E152"/>
    <mergeCell ref="C153:E153"/>
    <mergeCell ref="C154:E154"/>
    <mergeCell ref="C155:E155"/>
    <mergeCell ref="C156:E156"/>
    <mergeCell ref="C147:E147"/>
    <mergeCell ref="C148:E148"/>
    <mergeCell ref="C149:E149"/>
    <mergeCell ref="C150:E150"/>
    <mergeCell ref="C151:E151"/>
    <mergeCell ref="C142:E142"/>
    <mergeCell ref="C143:E143"/>
    <mergeCell ref="C144:E144"/>
    <mergeCell ref="C145:E145"/>
    <mergeCell ref="C146:E146"/>
    <mergeCell ref="C137:E137"/>
    <mergeCell ref="C138:E138"/>
    <mergeCell ref="C139:E139"/>
    <mergeCell ref="C140:E140"/>
    <mergeCell ref="C141:E141"/>
    <mergeCell ref="C132:E132"/>
    <mergeCell ref="C133:E133"/>
    <mergeCell ref="C134:E134"/>
    <mergeCell ref="C135:E135"/>
    <mergeCell ref="C136:E136"/>
    <mergeCell ref="C127:E127"/>
    <mergeCell ref="C128:E128"/>
    <mergeCell ref="C129:E129"/>
    <mergeCell ref="C130:E130"/>
    <mergeCell ref="C131:E131"/>
    <mergeCell ref="C122:E122"/>
    <mergeCell ref="C123:E123"/>
    <mergeCell ref="C124:E124"/>
    <mergeCell ref="C125:E125"/>
    <mergeCell ref="C126:E126"/>
    <mergeCell ref="C117:E117"/>
    <mergeCell ref="C118:E118"/>
    <mergeCell ref="C119:E119"/>
    <mergeCell ref="C120:E120"/>
    <mergeCell ref="C121:E121"/>
    <mergeCell ref="C112:E112"/>
    <mergeCell ref="C113:E113"/>
    <mergeCell ref="C114:E114"/>
    <mergeCell ref="C115:E115"/>
    <mergeCell ref="C116:E116"/>
    <mergeCell ref="C107:E107"/>
    <mergeCell ref="C108:E108"/>
    <mergeCell ref="C109:E109"/>
    <mergeCell ref="C110:E110"/>
    <mergeCell ref="C111:E111"/>
    <mergeCell ref="C102:E102"/>
    <mergeCell ref="C103:E103"/>
    <mergeCell ref="C104:E104"/>
    <mergeCell ref="C105:E105"/>
    <mergeCell ref="C106:E106"/>
    <mergeCell ref="C3:D3"/>
    <mergeCell ref="C4:D4"/>
    <mergeCell ref="C10:E10"/>
    <mergeCell ref="C11:E11"/>
    <mergeCell ref="C12:E12"/>
    <mergeCell ref="C13:E13"/>
    <mergeCell ref="C14:E14"/>
    <mergeCell ref="C15:E15"/>
    <mergeCell ref="C16:E16"/>
    <mergeCell ref="C17:E17"/>
    <mergeCell ref="C18:E18"/>
    <mergeCell ref="C19:E19"/>
    <mergeCell ref="C20:E20"/>
    <mergeCell ref="C21:E21"/>
    <mergeCell ref="C22:E22"/>
    <mergeCell ref="C23:E23"/>
    <mergeCell ref="C24:E24"/>
    <mergeCell ref="C25:E25"/>
    <mergeCell ref="C26:E26"/>
    <mergeCell ref="C27:E27"/>
    <mergeCell ref="C28:E28"/>
    <mergeCell ref="C29:E29"/>
    <mergeCell ref="C30:E30"/>
    <mergeCell ref="C31:E31"/>
    <mergeCell ref="C32:E32"/>
    <mergeCell ref="C33:E33"/>
    <mergeCell ref="C34:E34"/>
    <mergeCell ref="C35:E35"/>
    <mergeCell ref="C36:E36"/>
    <mergeCell ref="C37:E37"/>
    <mergeCell ref="C38:E38"/>
    <mergeCell ref="C39:E39"/>
    <mergeCell ref="C40:E40"/>
    <mergeCell ref="C41:E41"/>
    <mergeCell ref="C42:E42"/>
    <mergeCell ref="C43:E43"/>
    <mergeCell ref="C44:E44"/>
    <mergeCell ref="C45:E45"/>
    <mergeCell ref="C46:E46"/>
    <mergeCell ref="C47:E47"/>
    <mergeCell ref="C48:E48"/>
    <mergeCell ref="C49:E49"/>
    <mergeCell ref="C50:E50"/>
    <mergeCell ref="C51:E51"/>
    <mergeCell ref="C52:E52"/>
    <mergeCell ref="C53:E53"/>
    <mergeCell ref="C54:E54"/>
    <mergeCell ref="C55:E55"/>
    <mergeCell ref="C56:E56"/>
    <mergeCell ref="C57:E57"/>
    <mergeCell ref="C58:E58"/>
    <mergeCell ref="C59:E59"/>
    <mergeCell ref="C60:E60"/>
    <mergeCell ref="C61:E61"/>
    <mergeCell ref="C62:E62"/>
    <mergeCell ref="C63:E63"/>
    <mergeCell ref="C64:E64"/>
    <mergeCell ref="C65:E65"/>
    <mergeCell ref="C66:E66"/>
    <mergeCell ref="C67:E67"/>
    <mergeCell ref="C68:E68"/>
    <mergeCell ref="C69:E69"/>
    <mergeCell ref="C70:E70"/>
    <mergeCell ref="C71:E71"/>
    <mergeCell ref="C72:E72"/>
    <mergeCell ref="C73:E73"/>
    <mergeCell ref="C74:E74"/>
    <mergeCell ref="C75:E75"/>
    <mergeCell ref="C76:E76"/>
    <mergeCell ref="C77:E77"/>
    <mergeCell ref="C78:E78"/>
    <mergeCell ref="C79:E79"/>
    <mergeCell ref="C99:E99"/>
    <mergeCell ref="C100:E100"/>
    <mergeCell ref="C101:E101"/>
    <mergeCell ref="F3:G3"/>
    <mergeCell ref="C7:D7"/>
    <mergeCell ref="C93:E93"/>
    <mergeCell ref="C94:E94"/>
    <mergeCell ref="C95:E95"/>
    <mergeCell ref="C96:E96"/>
    <mergeCell ref="C97:E97"/>
    <mergeCell ref="C88:E88"/>
    <mergeCell ref="C89:E89"/>
    <mergeCell ref="C90:E90"/>
    <mergeCell ref="C91:E91"/>
    <mergeCell ref="C92:E92"/>
    <mergeCell ref="C80:E80"/>
    <mergeCell ref="C81:E81"/>
    <mergeCell ref="C82:E82"/>
    <mergeCell ref="C83:E83"/>
    <mergeCell ref="C84:E84"/>
    <mergeCell ref="C85:E85"/>
    <mergeCell ref="C86:E86"/>
    <mergeCell ref="C87:E87"/>
    <mergeCell ref="C98:E98"/>
  </mergeCells>
  <conditionalFormatting sqref="B11:SZ200">
    <cfRule type="expression" dxfId="200" priority="8">
      <formula>AND(NOT(ISBLANK($B11)),NOT(B$10=""))</formula>
    </cfRule>
  </conditionalFormatting>
  <conditionalFormatting sqref="B11:B200">
    <cfRule type="expression" dxfId="199" priority="7">
      <formula>OR(NOT(ISBLANK(B11)),NOT(ISBLANK(B10)))</formula>
    </cfRule>
  </conditionalFormatting>
  <conditionalFormatting sqref="H10:SZ10">
    <cfRule type="expression" dxfId="198" priority="5">
      <formula>NOT(H10="")</formula>
    </cfRule>
  </conditionalFormatting>
  <conditionalFormatting sqref="H11:SZ200">
    <cfRule type="expression" dxfId="197" priority="1">
      <formula>NOT(RIGHT($C$7,1)="g")</formula>
    </cfRule>
    <cfRule type="expression" dxfId="196" priority="2">
      <formula>RIGHT($C$7,1)="g"</formula>
    </cfRule>
  </conditionalFormatting>
  <dataValidations count="5">
    <dataValidation type="list" allowBlank="1" showInputMessage="1" showErrorMessage="1" sqref="C5" xr:uid="{11D6269D-F9E4-4229-9B5F-7A2913AD6A2F}">
      <formula1>start_year</formula1>
    </dataValidation>
    <dataValidation type="list" allowBlank="1" showInputMessage="1" showErrorMessage="1" sqref="C6" xr:uid="{20F4232B-299D-45EA-9C98-3BA479ACBE7C}">
      <formula1>end_year</formula1>
    </dataValidation>
    <dataValidation type="list" allowBlank="1" showInputMessage="1" showErrorMessage="1" sqref="D5" xr:uid="{D27759A5-EB20-4063-964A-B585761850C8}">
      <formula1>start_sub</formula1>
    </dataValidation>
    <dataValidation type="list" allowBlank="1" showInputMessage="1" showErrorMessage="1" sqref="D6" xr:uid="{A8599B68-E2D7-47E0-B160-CD8C2E8BFEB3}">
      <formula1>end_sub</formula1>
    </dataValidation>
    <dataValidation type="list" allowBlank="1" showInputMessage="1" showErrorMessage="1" sqref="B11:B200" xr:uid="{2AE03528-66F9-47A3-957E-4B16309352AA}">
      <formula1>OFFSET(INDIRECT("meta[[#Headers],[VARIABLE]]"),4,0,COUNTA(INDIRECT("meta[VARIABLE]"))-3)</formula1>
    </dataValidation>
  </dataValidation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2" id="{BB69E968-E05A-44F8-950B-49CAA8E19B26}">
            <xm:f>$C$3=technicals!$B$3</xm:f>
            <x14:dxf>
              <font>
                <color theme="2" tint="-0.24994659260841701"/>
              </font>
            </x14:dxf>
          </x14:cfRule>
          <xm:sqref>D4:E4</xm:sqref>
        </x14:conditionalFormatting>
        <x14:conditionalFormatting xmlns:xm="http://schemas.microsoft.com/office/excel/2006/main">
          <x14:cfRule type="expression" priority="11" id="{96118AEB-E2A8-421C-9DF0-4298D5F58DE6}">
            <xm:f>$C$5=technicals!$G$3</xm:f>
            <x14:dxf>
              <font>
                <color theme="2" tint="-0.24994659260841701"/>
              </font>
            </x14:dxf>
          </x14:cfRule>
          <xm:sqref>D5</xm:sqref>
        </x14:conditionalFormatting>
        <x14:conditionalFormatting xmlns:xm="http://schemas.microsoft.com/office/excel/2006/main">
          <x14:cfRule type="expression" priority="10" id="{1317AE3E-C4DF-46C4-8A76-39E9507F7BFC}">
            <xm:f>$C$6=technicals!$H$3</xm:f>
            <x14:dxf>
              <font>
                <color theme="2" tint="-0.24994659260841701"/>
              </font>
            </x14:dxf>
          </x14:cfRule>
          <xm:sqref>D6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E393354-3B0E-42D2-8B65-1BE7F7B4131C}">
          <x14:formula1>
            <xm:f>technicals!$B$3:$B$5</xm:f>
          </x14:formula1>
          <xm:sqref>C3</xm:sqref>
        </x14:dataValidation>
        <x14:dataValidation type="list" allowBlank="1" showInputMessage="1" showErrorMessage="1" xr:uid="{121020FB-2713-47EC-A3D4-9959E7D270A4}">
          <x14:formula1>
            <xm:f>OFFSET(technicals!$D$2,MATCH($C$3,technicals!$D$3:$D$18,0),1,COUNTIFS(technicals!$D$3:$D$18,$C$3))</xm:f>
          </x14:formula1>
          <xm:sqref>C4</xm:sqref>
        </x14:dataValidation>
        <x14:dataValidation type="list" allowBlank="1" showInputMessage="1" showErrorMessage="1" xr:uid="{2A02550B-B49A-4CCC-807E-B804A9CE97E3}">
          <x14:formula1>
            <xm:f>technicals!$Y$24:$Y$31</xm:f>
          </x14:formula1>
          <xm:sqref>C7:D7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E91CE88-8178-429F-BF3A-576D68C81D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12</vt:i4>
      </vt:variant>
    </vt:vector>
  </HeadingPairs>
  <TitlesOfParts>
    <vt:vector size="13" baseType="lpstr">
      <vt:lpstr>START</vt:lpstr>
      <vt:lpstr>avg</vt:lpstr>
      <vt:lpstr>cum</vt:lpstr>
      <vt:lpstr>L_0</vt:lpstr>
      <vt:lpstr>L_1</vt:lpstr>
      <vt:lpstr>L_2</vt:lpstr>
      <vt:lpstr>LN_0</vt:lpstr>
      <vt:lpstr>LN_1</vt:lpstr>
      <vt:lpstr>LN_2</vt:lpstr>
      <vt:lpstr>m</vt:lpstr>
      <vt:lpstr>net</vt:lpstr>
      <vt:lpstr>q</vt:lpstr>
      <vt:lpstr>y</vt:lpstr>
    </vt:vector>
  </TitlesOfParts>
  <Manager>murunofc</Manager>
  <Company>murunofc</Company>
  <LinksUpToDate>false</LinksUpToDate>
  <SharedDoc>false</SharedDoc>
  <HyperlinkBase>https://murunofc.github.io</HyperlinkBase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Macro Database</dc:title>
  <dc:subject>database</dc:subject>
  <dc:creator>murunofc@gmail.com</dc:creator>
  <cp:lastModifiedBy>Dell-PC</cp:lastModifiedBy>
  <dcterms:created xsi:type="dcterms:W3CDTF">2021-07-17T11:01:18Z</dcterms:created>
  <dcterms:modified xsi:type="dcterms:W3CDTF">2021-09-26T12:58:48Z</dcterms:modified>
  <cp:category>Query Database</cp:category>
</cp:coreProperties>
</file>